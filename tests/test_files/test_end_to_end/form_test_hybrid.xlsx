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ccardoMeda\Project\oriom\tests\test_files\test_end_to_end\"/>
    </mc:Choice>
  </mc:AlternateContent>
  <xr:revisionPtr revIDLastSave="0" documentId="13_ncr:1_{0B8CF814-C8FB-4E33-A937-5F6230DCFC24}" xr6:coauthVersionLast="47" xr6:coauthVersionMax="47" xr10:uidLastSave="{00000000-0000-0000-0000-000000000000}"/>
  <bookViews>
    <workbookView xWindow="-120" yWindow="-120" windowWidth="29040" windowHeight="15720" tabRatio="828" activeTab="1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<sst xmlns="http://schemas.openxmlformats.org/spreadsheetml/2006/main" count="1438" uniqueCount="426">
  <si>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</si>
  <si>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</si>
  <si>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</si>
  <si>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</si>
  <si>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</si>
  <si>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</si>
  <si>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</si>
  <si>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</si>
  <si>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</si>
  <si>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</si>
  <si>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</si>
  <si>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</si>
  <si>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</si>
  <si>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</si>
  <si>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</si>
  <si>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</si>
  <si>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</si>
  <si>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</si>
  <si>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</si>
  <si>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</si>
  <si>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</si>
  <si>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</si>
  <si>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</si>
  <si>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</si>
  <si>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</si>
  <si>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</si>
  <si>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</si>
  <si>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</si>
  <si>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</si>
  <si>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</si>
  <si>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</si>
  <si>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</si>
  <si>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</si>
  <si>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</si>
  <si>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</si>
  <si>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</si>
  <si>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</si>
  <si>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</si>
  <si>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</si>
  <si>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</si>
  <si>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</si>
  <si>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</si>
  <si>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</si>
  <si>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</si>
  <si>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</si>
  <si>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</si>
  <si>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</si>
  <si>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</si>
  <si>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</si>
  <si>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</si>
  <si>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</si>
  <si>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</si>
  <si>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</si>
  <si>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</si>
  <si>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</si>
  <si>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</si>
  <si>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</si>
  <si>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</si>
  <si>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</si>
  <si>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</si>
  <si>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</si>
  <si>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</si>
  <si>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</si>
  <si>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</si>
  <si>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</si>
  <si>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</si>
  <si>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</si>
  <si>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</si>
  <si>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</si>
  <si>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</si>
  <si>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</si>
  <si>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</si>
  <si>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</si>
  <si>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</si>
  <si>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</si>
  <si>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</si>
  <si>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</si>
  <si>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</si>
  <si>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</si>
  <si>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</si>
  <si>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</si>
  <si>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</si>
  <si>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</si>
  <si>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</si>
  <si>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</si>
  <si>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</si>
  <si>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</si>
  <si>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</si>
  <si>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</si>
  <si>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</si>
  <si>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</si>
  <si>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</si>
  <si>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</si>
  <si>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</si>
  <si>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</si>
  <si>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</si>
  <si>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</si>
  <si>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</si>
  <si>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</si>
  <si>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</si>
  <si>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</si>
  <si>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</si>
  <si>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</si>
  <si>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</si>
  <si>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</si>
  <si>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</si>
  <si>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</si>
  <si>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</si>
  <si>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</si>
  <si>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</si>
  <si>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</si>
  <si>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</si>
  <si>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</si>
  <si>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</si>
  <si>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</si>
  <si>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</si>
  <si>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</si>
  <si>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</si>
  <si>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</si>
  <si>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</si>
  <si>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</si>
  <si>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</si>
  <si>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</si>
  <si>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</si>
  <si>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</si>
  <si>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</si>
  <si>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</si>
  <si>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</si>
  <si>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</si>
  <si>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</si>
  <si>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</si>
  <si>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</si>
  <si>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</si>
  <si>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</si>
  <si>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</si>
  <si>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</si>
  <si>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</si>
  <si>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</si>
  <si>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</si>
  <si>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</si>
  <si>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</si>
  <si>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</si>
  <si>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</si>
  <si>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</si>
  <si>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</si>
  <si>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</si>
  <si>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</si>
  <si>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</si>
  <si>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</si>
  <si>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</si>
  <si>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</si>
  <si>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</si>
  <si>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</si>
  <si>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</si>
  <si>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</si>
  <si>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</si>
  <si>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</si>
  <si>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</si>
  <si>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</si>
  <si>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</si>
  <si>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</si>
  <si>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</si>
  <si>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</si>
  <si>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</si>
  <si>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</si>
  <si>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</si>
  <si>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</si>
  <si>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</si>
  <si>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</si>
  <si>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</si>
  <si>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</si>
  <si>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</si>
  <si>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</si>
  <si>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</si>
  <si>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</si>
  <si>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</si>
  <si>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</si>
  <si>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</si>
  <si>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</si>
  <si>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</si>
  <si>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</si>
  <si>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</si>
  <si>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</si>
  <si>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</si>
  <si>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</si>
  <si>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</si>
  <si>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</si>
  <si>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</si>
  <si>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</si>
  <si>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</si>
  <si>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</si>
  <si>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</si>
  <si>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</si>
  <si>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</si>
  <si>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</si>
  <si>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</si>
  <si>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</si>
  <si>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</si>
  <si>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</si>
  <si>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</si>
  <si>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</si>
  <si>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</si>
  <si>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</si>
  <si>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</si>
  <si>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</si>
  <si>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</si>
  <si>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</si>
  <si>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</si>
  <si>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</si>
  <si>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</si>
  <si>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</si>
  <si>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</si>
  <si>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</si>
  <si>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</si>
  <si>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</si>
  <si>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</si>
  <si>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</si>
  <si>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</si>
  <si>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</si>
  <si>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</si>
  <si>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</si>
  <si>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</si>
  <si>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</si>
  <si>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</si>
  <si>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</si>
  <si>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</si>
  <si>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</si>
  <si>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</si>
  <si>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</si>
  <si>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</si>
  <si>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</si>
  <si>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</si>
  <si>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</si>
  <si>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</si>
  <si>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</si>
  <si>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</si>
  <si>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</si>
  <si>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</si>
  <si>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</si>
  <si>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</si>
  <si>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</si>
  <si>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</si>
  <si>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</si>
  <si>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</si>
  <si>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</si>
  <si>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</si>
  <si>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</si>
  <si>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</si>
  <si>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</si>
  <si>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</si>
  <si>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</si>
  <si>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</si>
  <si>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</si>
  <si>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</si>
  <si>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</si>
  <si>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</si>
  <si>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</si>
  <si>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</si>
  <si>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</si>
  <si>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</si>
  <si>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</si>
  <si>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</si>
  <si>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</si>
  <si>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</si>
  <si>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</si>
  <si>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</si>
  <si>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</si>
  <si>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</si>
  <si>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</si>
  <si>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</si>
  <si>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</si>
  <si>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</si>
  <si>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</si>
  <si>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</si>
  <si>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</si>
  <si>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</si>
  <si>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</si>
  <si>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</si>
  <si>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</si>
  <si>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</si>
  <si>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</si>
  <si>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</si>
  <si>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</si>
  <si>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</si>
  <si>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</si>
  <si>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</si>
  <si>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</si>
  <si>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</si>
  <si>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</si>
  <si>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</si>
  <si>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</si>
  <si>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</si>
  <si>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</si>
  <si>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</si>
  <si>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</si>
  <si>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</si>
  <si>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</si>
  <si>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</si>
  <si>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</si>
  <si>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</si>
  <si>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</si>
  <si>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</si>
  <si>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</si>
  <si>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</si>
  <si>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</si>
  <si>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</si>
  <si>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</si>
  <si>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</si>
  <si>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</si>
  <si>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</si>
  <si>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</si>
  <si>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</si>
  <si>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</si>
  <si>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</si>
  <si>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</si>
  <si>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</si>
  <si>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</si>
  <si>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</si>
  <si>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</si>
  <si>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</si>
  <si>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</si>
  <si>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</si>
  <si>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</si>
  <si>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</si>
  <si>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</si>
  <si>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</si>
  <si>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</si>
  <si>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</si>
  <si>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</si>
  <si>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</si>
  <si>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</si>
  <si>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</si>
  <si>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</si>
  <si>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</si>
  <si>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</si>
  <si>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</si>
  <si>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</si>
  <si>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</si>
  <si>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</si>
  <si>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</si>
  <si>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</si>
  <si>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</si>
  <si>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</si>
  <si>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</si>
  <si>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</si>
  <si>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</si>
  <si>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</si>
  <si>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</si>
  <si>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</si>
  <si>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</si>
  <si>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</si>
  <si>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</si>
  <si>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</si>
  <si>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</si>
  <si>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</si>
  <si>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</si>
  <si>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</si>
  <si>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</si>
  <si>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</si>
  <si>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</si>
  <si>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</si>
  <si>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</si>
  <si>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</si>
  <si>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</si>
  <si>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</si>
  <si>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</si>
  <si>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</si>
  <si>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</si>
  <si>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</si>
  <si>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</si>
  <si>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</si>
  <si>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</si>
  <si>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</si>
  <si>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</si>
  <si>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</si>
  <si>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</si>
  <si>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</si>
  <si>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</si>
  <si>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</si>
  <si>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</si>
  <si>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</si>
  <si>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</si>
  <si>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</si>
  <si>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</si>
  <si>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</si>
  <si>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</si>
  <si>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</si>
  <si>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</si>
  <si>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</si>
  <si>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</si>
  <si>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</si>
  <si>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</si>
  <si>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</si>
  <si>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Minor repair 2</t>
  </si>
  <si>
    <t>ofw_fail_1</t>
  </si>
  <si>
    <t>ofw_fail_2</t>
  </si>
  <si>
    <t>ofw_fail_3</t>
  </si>
  <si>
    <t>ofw_fail_4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</si>
  <si>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</si>
  <si>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</si>
  <si>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</si>
  <si>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</si>
  <si>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</si>
  <si>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</si>
  <si>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</si>
  <si>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</si>
  <si>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</si>
  <si>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</si>
  <si>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</si>
  <si>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</si>
  <si>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</si>
  <si>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</si>
  <si>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</si>
  <si>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</si>
  <si>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</si>
  <si>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</si>
  <si>
    <t>./tests/test_files/metocean/metocean_02years.csv</t>
  </si>
  <si>
    <t>./tests/test_files/pmatrix_wave.csv</t>
  </si>
  <si>
    <t>./tests/test_files/pcurve_wind.csv</t>
  </si>
  <si>
    <t>Metocean file port</t>
  </si>
  <si>
    <t>preferred_day</t>
  </si>
  <si>
    <t>Electric losses file location</t>
  </si>
  <si>
    <t>Wave losses file location</t>
  </si>
  <si>
    <t>Failure 1_hybrid</t>
  </si>
  <si>
    <t>C:\Users\RiccardoMeda\Project\oriom\tmp\form_test_hybrid_[20260721_112151]\result_dir</t>
  </si>
  <si>
    <t>C:\Users\RiccardoMeda\Project\oriom\tmp\form_test_hybrid_[20260721_112151]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</si>
</sst>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60">
    <dxf>
      <fill>
        <patternFill patternType="darkGray"/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tabSelected="1" zoomScaleNormal="100" workbookViewId="0">
      <selection activeCell="E5" sqref="E5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 t="s">
        <v>425</v>
      </c>
    </row>
    <row r="3" spans="1:3" x14ac:dyDescent="0.25">
      <c r="A3" t="s">
        <v>14</v>
      </c>
      <c r="B3" t="s">
        <v>13</v>
      </c>
      <c r="C3" s="30" t="b">
        <v>1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424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9" priority="1">
      <formula>AND(ISBLANK($C$3),$C$5&lt;&gt;FALSE)</formula>
    </cfRule>
    <cfRule type="expression" dxfId="58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s="47" t="s">
        <v>73</v>
      </c>
      <c r="U1" s="47" t="s">
        <v>74</v>
      </c>
      <c r="V1" s="47" t="s">
        <v>75</v>
      </c>
      <c r="W1" s="47" t="s">
        <v>76</v>
      </c>
      <c r="X1" t="s">
        <v>77</v>
      </c>
    </row>
    <row r="2" spans="1:24" x14ac:dyDescent="0.25">
      <c r="A2" t="s">
        <v>13</v>
      </c>
      <c r="E2" t="s">
        <v>27</v>
      </c>
      <c r="F2" t="s">
        <v>27</v>
      </c>
      <c r="G2" t="s">
        <v>78</v>
      </c>
      <c r="H2" t="s">
        <v>79</v>
      </c>
      <c r="I2" t="s">
        <v>78</v>
      </c>
      <c r="J2" t="s">
        <v>13</v>
      </c>
      <c r="K2" t="s">
        <v>13</v>
      </c>
      <c r="L2" t="s">
        <v>80</v>
      </c>
      <c r="M2" t="s">
        <v>13</v>
      </c>
      <c r="N2" t="s">
        <v>13</v>
      </c>
      <c r="O2" t="s">
        <v>13</v>
      </c>
      <c r="P2" t="s">
        <v>81</v>
      </c>
      <c r="Q2" t="s">
        <v>81</v>
      </c>
      <c r="R2" t="s">
        <v>81</v>
      </c>
      <c r="S2" t="s">
        <v>82</v>
      </c>
      <c r="T2" s="48" t="s">
        <v>13</v>
      </c>
      <c r="U2" s="48" t="s">
        <v>13</v>
      </c>
      <c r="V2" s="47" t="s">
        <v>83</v>
      </c>
      <c r="W2" s="47" t="s">
        <v>13</v>
      </c>
    </row>
    <row r="3" spans="1:24" x14ac:dyDescent="0.25">
      <c r="A3" t="s">
        <v>86</v>
      </c>
      <c r="B3" t="s">
        <v>87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92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88</v>
      </c>
      <c r="B4" t="s">
        <v>89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92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84</v>
      </c>
      <c r="B5" t="s">
        <v>91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92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7" priority="2">
      <formula>AND(ISBLANK($H$3:$H$1048576), NOT(ISBLANK($I$3:$I$1048576)))</formula>
    </cfRule>
  </conditionalFormatting>
  <conditionalFormatting sqref="I3">
    <cfRule type="expression" dxfId="56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E2" sqref="E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418</v>
      </c>
    </row>
    <row r="8" spans="1:3" x14ac:dyDescent="0.25">
      <c r="A8" t="s">
        <v>32</v>
      </c>
      <c r="B8" t="s">
        <v>13</v>
      </c>
      <c r="C8" s="1">
        <v>3</v>
      </c>
    </row>
    <row r="9" spans="1:3" x14ac:dyDescent="0.25">
      <c r="A9" t="s">
        <v>33</v>
      </c>
      <c r="B9" t="s">
        <v>13</v>
      </c>
      <c r="C9" s="1">
        <v>1</v>
      </c>
    </row>
    <row r="10" spans="1:3" x14ac:dyDescent="0.25">
      <c r="A10" t="s">
        <v>34</v>
      </c>
      <c r="B10" t="s">
        <v>13</v>
      </c>
      <c r="C10" s="1">
        <v>1</v>
      </c>
    </row>
    <row r="11" spans="1:3" x14ac:dyDescent="0.25">
      <c r="A11" t="s">
        <v>35</v>
      </c>
      <c r="B11" t="s">
        <v>13</v>
      </c>
      <c r="C11">
        <v>1</v>
      </c>
    </row>
    <row r="12" spans="1:3" x14ac:dyDescent="0.25">
      <c r="A12" t="s">
        <v>36</v>
      </c>
      <c r="B12" t="s">
        <v>13</v>
      </c>
      <c r="C12">
        <v>1</v>
      </c>
    </row>
    <row r="13" spans="1:3" x14ac:dyDescent="0.25">
      <c r="A13" s="47" t="s">
        <v>378</v>
      </c>
      <c r="B13" s="48" t="s">
        <v>13</v>
      </c>
      <c r="C13" s="47">
        <v>4</v>
      </c>
    </row>
    <row r="14" spans="1:3" x14ac:dyDescent="0.25">
      <c r="A14" s="47" t="s">
        <v>379</v>
      </c>
      <c r="B14" s="48" t="s">
        <v>13</v>
      </c>
      <c r="C14" s="47">
        <v>0</v>
      </c>
    </row>
    <row r="15" spans="1:3" x14ac:dyDescent="0.25">
      <c r="A15" t="s">
        <v>407</v>
      </c>
      <c r="B15" t="s">
        <v>13</v>
      </c>
      <c r="C15" t="b">
        <v>1</v>
      </c>
    </row>
  </sheetData>
  <conditionalFormatting sqref="C9:C10">
    <cfRule type="expression" dxfId="55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D6" sqref="D6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37</v>
      </c>
      <c r="B2" t="s">
        <v>13</v>
      </c>
      <c r="C2">
        <v>0</v>
      </c>
    </row>
    <row r="3" spans="1:3" x14ac:dyDescent="0.25">
      <c r="A3" t="s">
        <v>38</v>
      </c>
      <c r="B3" t="s">
        <v>39</v>
      </c>
      <c r="C3" s="2">
        <v>400</v>
      </c>
    </row>
    <row r="4" spans="1:3" x14ac:dyDescent="0.25">
      <c r="A4" t="s">
        <v>40</v>
      </c>
      <c r="B4" t="s">
        <v>13</v>
      </c>
      <c r="C4" t="s">
        <v>417</v>
      </c>
    </row>
    <row r="5" spans="1:3" x14ac:dyDescent="0.25">
      <c r="A5" t="s">
        <v>41</v>
      </c>
      <c r="B5" t="s">
        <v>13</v>
      </c>
      <c r="C5" s="2">
        <v>40</v>
      </c>
    </row>
    <row r="6" spans="1:3" x14ac:dyDescent="0.25">
      <c r="A6" t="s">
        <v>42</v>
      </c>
      <c r="B6" t="s">
        <v>13</v>
      </c>
      <c r="C6" s="2">
        <v>5</v>
      </c>
    </row>
    <row r="7" spans="1:3" x14ac:dyDescent="0.25">
      <c r="A7" t="s">
        <v>43</v>
      </c>
      <c r="B7" t="s">
        <v>13</v>
      </c>
      <c r="C7">
        <v>1</v>
      </c>
    </row>
    <row r="8" spans="1:3" x14ac:dyDescent="0.25">
      <c r="A8" t="s">
        <v>44</v>
      </c>
      <c r="B8" t="s">
        <v>13</v>
      </c>
      <c r="C8">
        <v>1</v>
      </c>
    </row>
    <row r="9" spans="1:3" x14ac:dyDescent="0.25">
      <c r="A9" s="47" t="s">
        <v>45</v>
      </c>
      <c r="B9" s="48" t="s">
        <v>13</v>
      </c>
      <c r="C9" s="47">
        <v>4</v>
      </c>
    </row>
    <row r="10" spans="1:3" x14ac:dyDescent="0.25">
      <c r="A10" s="47" t="s">
        <v>46</v>
      </c>
      <c r="B10" s="48" t="s">
        <v>13</v>
      </c>
      <c r="C10" s="47">
        <v>0</v>
      </c>
    </row>
    <row r="11" spans="1:3" x14ac:dyDescent="0.25">
      <c r="A11" t="s">
        <v>407</v>
      </c>
      <c r="B11" t="s">
        <v>13</v>
      </c>
      <c r="C11" t="b">
        <v>1</v>
      </c>
    </row>
  </sheetData>
  <conditionalFormatting sqref="C6">
    <cfRule type="expression" dxfId="54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D7" sqref="D7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47</v>
      </c>
      <c r="B2" s="60" t="s">
        <v>13</v>
      </c>
      <c r="C2" s="60"/>
    </row>
    <row r="3" spans="1:3" x14ac:dyDescent="0.25">
      <c r="A3" s="60" t="s">
        <v>48</v>
      </c>
      <c r="B3" s="60" t="s">
        <v>13</v>
      </c>
      <c r="C3" s="72"/>
    </row>
    <row r="4" spans="1:3" x14ac:dyDescent="0.25">
      <c r="A4" s="60" t="s">
        <v>49</v>
      </c>
      <c r="B4" s="60" t="s">
        <v>13</v>
      </c>
      <c r="C4" s="60"/>
    </row>
    <row r="5" spans="1:3" x14ac:dyDescent="0.25">
      <c r="A5" s="60" t="s">
        <v>380</v>
      </c>
      <c r="B5" s="60" t="s">
        <v>13</v>
      </c>
      <c r="C5" s="60"/>
    </row>
    <row r="6" spans="1:3" x14ac:dyDescent="0.25">
      <c r="A6" s="60" t="s">
        <v>381</v>
      </c>
      <c r="B6" s="60" t="s">
        <v>39</v>
      </c>
      <c r="C6" s="60"/>
    </row>
    <row r="7" spans="1:3" x14ac:dyDescent="0.25">
      <c r="A7" s="60" t="s">
        <v>382</v>
      </c>
      <c r="B7" s="60" t="s">
        <v>13</v>
      </c>
      <c r="C7" s="60"/>
    </row>
    <row r="8" spans="1:3" x14ac:dyDescent="0.25">
      <c r="A8" s="60" t="s">
        <v>383</v>
      </c>
      <c r="B8" s="60"/>
      <c r="C8" s="60"/>
    </row>
    <row r="9" spans="1:3" x14ac:dyDescent="0.25">
      <c r="A9" s="60" t="s">
        <v>384</v>
      </c>
      <c r="B9" s="60" t="s">
        <v>13</v>
      </c>
      <c r="C9" s="73"/>
    </row>
    <row r="10" spans="1:3" x14ac:dyDescent="0.25">
      <c r="A10" s="60" t="s">
        <v>50</v>
      </c>
      <c r="B10" s="60" t="s">
        <v>13</v>
      </c>
      <c r="C10" s="74"/>
    </row>
    <row r="11" spans="1:3" x14ac:dyDescent="0.25">
      <c r="A11" s="60" t="s">
        <v>51</v>
      </c>
      <c r="B11" s="60" t="s">
        <v>52</v>
      </c>
      <c r="C11" s="60"/>
    </row>
    <row r="12" spans="1:3" x14ac:dyDescent="0.25">
      <c r="A12" s="60" t="s">
        <v>53</v>
      </c>
      <c r="B12" s="60" t="s">
        <v>13</v>
      </c>
      <c r="C12" s="60"/>
    </row>
    <row r="13" spans="1:3" x14ac:dyDescent="0.25">
      <c r="A13" s="60" t="s">
        <v>385</v>
      </c>
      <c r="B13" s="60" t="s">
        <v>13</v>
      </c>
      <c r="C13" s="60"/>
    </row>
    <row r="14" spans="1:3" x14ac:dyDescent="0.25">
      <c r="A14" s="60" t="s">
        <v>386</v>
      </c>
      <c r="B14" s="60" t="s">
        <v>13</v>
      </c>
      <c r="C14" s="60"/>
    </row>
    <row r="15" spans="1:3" x14ac:dyDescent="0.25">
      <c r="A15" s="60" t="s">
        <v>387</v>
      </c>
      <c r="B15" s="60" t="s">
        <v>13</v>
      </c>
      <c r="C15" s="60"/>
    </row>
    <row r="16" spans="1:3" x14ac:dyDescent="0.25">
      <c r="A16" s="60" t="s">
        <v>388</v>
      </c>
      <c r="B16" s="60" t="s">
        <v>13</v>
      </c>
      <c r="C16" s="60"/>
    </row>
    <row r="17" spans="1:3" x14ac:dyDescent="0.25">
      <c r="A17" s="60" t="s">
        <v>389</v>
      </c>
      <c r="B17" s="60" t="s">
        <v>13</v>
      </c>
      <c r="C17" s="60"/>
    </row>
    <row r="18" spans="1:3" x14ac:dyDescent="0.25">
      <c r="A18" t="s">
        <v>407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topLeftCell="A2" workbookViewId="0">
      <selection activeCell="C20" sqref="C20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54</v>
      </c>
      <c r="B1" s="5" t="s">
        <v>93</v>
      </c>
      <c r="C1" s="5" t="s">
        <v>55</v>
      </c>
      <c r="D1" s="5"/>
      <c r="E1" s="5" t="s">
        <v>94</v>
      </c>
      <c r="F1" s="5" t="s">
        <v>95</v>
      </c>
      <c r="G1" s="5" t="s">
        <v>96</v>
      </c>
      <c r="H1" s="6" t="s">
        <v>58</v>
      </c>
      <c r="I1" s="6" t="s">
        <v>97</v>
      </c>
      <c r="J1" s="6" t="s">
        <v>98</v>
      </c>
      <c r="K1" s="6" t="s">
        <v>99</v>
      </c>
      <c r="L1" s="6" t="s">
        <v>100</v>
      </c>
      <c r="M1" s="7" t="s">
        <v>101</v>
      </c>
      <c r="N1" s="7" t="s">
        <v>102</v>
      </c>
      <c r="O1" s="7" t="s">
        <v>103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108</v>
      </c>
      <c r="U1" s="15" t="s">
        <v>109</v>
      </c>
      <c r="V1" s="15" t="s">
        <v>60</v>
      </c>
    </row>
    <row r="2" spans="1:22" x14ac:dyDescent="0.25">
      <c r="A2" s="9" t="s">
        <v>110</v>
      </c>
      <c r="B2" s="9" t="s">
        <v>110</v>
      </c>
      <c r="C2" s="9" t="s">
        <v>110</v>
      </c>
      <c r="D2" s="9"/>
      <c r="E2" s="9" t="s">
        <v>111</v>
      </c>
      <c r="F2" s="9" t="s">
        <v>112</v>
      </c>
      <c r="G2" s="9" t="s">
        <v>112</v>
      </c>
      <c r="H2" s="10" t="s">
        <v>113</v>
      </c>
      <c r="I2" s="10" t="s">
        <v>114</v>
      </c>
      <c r="J2" s="10" t="s">
        <v>115</v>
      </c>
      <c r="K2" s="10" t="s">
        <v>116</v>
      </c>
      <c r="L2" s="10" t="s">
        <v>115</v>
      </c>
      <c r="M2" s="11" t="s">
        <v>110</v>
      </c>
      <c r="N2" s="11" t="s">
        <v>110</v>
      </c>
      <c r="O2" s="11" t="s">
        <v>110</v>
      </c>
      <c r="P2" s="12" t="s">
        <v>117</v>
      </c>
      <c r="Q2" s="12" t="s">
        <v>111</v>
      </c>
      <c r="R2" s="12" t="s">
        <v>111</v>
      </c>
      <c r="S2" s="12" t="s">
        <v>110</v>
      </c>
      <c r="T2" s="12" t="s">
        <v>118</v>
      </c>
    </row>
    <row r="3" spans="1:22" x14ac:dyDescent="0.25">
      <c r="A3" t="s">
        <v>119</v>
      </c>
      <c r="B3" t="s">
        <v>120</v>
      </c>
      <c r="C3" t="s">
        <v>121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91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54</v>
      </c>
      <c r="B1" s="17" t="s">
        <v>122</v>
      </c>
      <c r="C1" s="17" t="s">
        <v>123</v>
      </c>
      <c r="D1" s="17" t="s">
        <v>124</v>
      </c>
      <c r="E1" s="17" t="s">
        <v>125</v>
      </c>
      <c r="F1" s="17" t="s">
        <v>126</v>
      </c>
      <c r="G1" s="47" t="s">
        <v>127</v>
      </c>
      <c r="H1" s="33" t="s">
        <v>128</v>
      </c>
      <c r="I1" s="17" t="s">
        <v>129</v>
      </c>
      <c r="J1" s="34" t="s">
        <v>130</v>
      </c>
      <c r="K1" s="17" t="s">
        <v>131</v>
      </c>
      <c r="L1" s="39" t="s">
        <v>132</v>
      </c>
      <c r="M1" s="33" t="s">
        <v>133</v>
      </c>
      <c r="N1" s="17" t="s">
        <v>134</v>
      </c>
      <c r="O1" s="17" t="s">
        <v>135</v>
      </c>
      <c r="P1" s="17" t="s">
        <v>136</v>
      </c>
      <c r="Q1" s="17" t="s">
        <v>137</v>
      </c>
      <c r="R1" s="34" t="s">
        <v>138</v>
      </c>
      <c r="S1" s="17" t="s">
        <v>139</v>
      </c>
      <c r="T1" s="17" t="s">
        <v>140</v>
      </c>
      <c r="U1" s="17" t="s">
        <v>213</v>
      </c>
      <c r="V1" s="17" t="s">
        <v>141</v>
      </c>
      <c r="W1" s="17" t="s">
        <v>142</v>
      </c>
      <c r="X1" s="17" t="s">
        <v>405</v>
      </c>
      <c r="Y1" s="17" t="s">
        <v>143</v>
      </c>
      <c r="Z1" s="17" t="s">
        <v>144</v>
      </c>
      <c r="AA1" s="17" t="s">
        <v>145</v>
      </c>
      <c r="AB1" s="17" t="s">
        <v>146</v>
      </c>
      <c r="AC1" s="17" t="s">
        <v>147</v>
      </c>
      <c r="AD1" s="17" t="s">
        <v>148</v>
      </c>
      <c r="AE1" s="17" t="s">
        <v>149</v>
      </c>
      <c r="AF1" s="47" t="s">
        <v>150</v>
      </c>
      <c r="AG1" s="17" t="s">
        <v>151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152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79</v>
      </c>
      <c r="L2" s="39" t="s">
        <v>13</v>
      </c>
      <c r="M2" s="33" t="s">
        <v>30</v>
      </c>
      <c r="N2" s="17" t="s">
        <v>153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154</v>
      </c>
      <c r="AB2" s="17" t="s">
        <v>78</v>
      </c>
      <c r="AC2" s="17" t="s">
        <v>78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328</v>
      </c>
      <c r="B3" s="59" t="s">
        <v>329</v>
      </c>
      <c r="C3" s="59" t="s">
        <v>330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331</v>
      </c>
      <c r="T3" s="59" t="s">
        <v>84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288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332</v>
      </c>
      <c r="B4" s="59" t="s">
        <v>333</v>
      </c>
      <c r="C4" s="59" t="s">
        <v>334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331</v>
      </c>
      <c r="T4" s="59" t="s">
        <v>84</v>
      </c>
      <c r="U4" s="24">
        <v>1</v>
      </c>
      <c r="V4" s="59"/>
      <c r="X4" s="24"/>
      <c r="Y4" s="60" t="s">
        <v>119</v>
      </c>
      <c r="Z4" s="59">
        <v>3</v>
      </c>
      <c r="AA4" s="59">
        <v>350</v>
      </c>
      <c r="AB4" s="59"/>
      <c r="AC4" s="59"/>
      <c r="AD4" s="65" t="s">
        <v>288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335</v>
      </c>
      <c r="B5" s="59" t="s">
        <v>336</v>
      </c>
      <c r="C5" s="59" t="s">
        <v>337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331</v>
      </c>
      <c r="T5" s="59" t="s">
        <v>84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288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3" priority="6">
      <formula>AND(COUNTIF(A:A,$A1)&gt;1,$A1&lt;&gt;"")</formula>
    </cfRule>
  </conditionalFormatting>
  <conditionalFormatting sqref="D6:D500 L6:L500">
    <cfRule type="expression" dxfId="52" priority="8">
      <formula>AND(NOT(ISBLANK(D6)),D6=$A6)</formula>
    </cfRule>
  </conditionalFormatting>
  <conditionalFormatting sqref="H6:J500">
    <cfRule type="expression" dxfId="51" priority="76">
      <formula>AND(NOT(ISBLANK($B6)),$H6=0,$I6=0,$J6=0)</formula>
    </cfRule>
  </conditionalFormatting>
  <conditionalFormatting sqref="O6:Q500">
    <cfRule type="expression" dxfId="50" priority="9">
      <formula>AND(NOT(ISBLANK($O6)),NOT(ISBLANK($Q6)))</formula>
    </cfRule>
  </conditionalFormatting>
  <conditionalFormatting sqref="R6:R48">
    <cfRule type="expression" dxfId="49" priority="2">
      <formula>AND(NOT(ISBLANK(R6)),R6=$A6)</formula>
    </cfRule>
  </conditionalFormatting>
  <conditionalFormatting sqref="AD1:AD2 AE6 AD7:AD1048576">
    <cfRule type="expression" dxfId="48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54</v>
      </c>
      <c r="B1" s="17" t="s">
        <v>122</v>
      </c>
      <c r="C1" s="17" t="s">
        <v>123</v>
      </c>
      <c r="D1" s="33" t="s">
        <v>155</v>
      </c>
      <c r="E1" s="17" t="s">
        <v>156</v>
      </c>
      <c r="F1" s="17" t="s">
        <v>125</v>
      </c>
      <c r="G1" s="34" t="s">
        <v>126</v>
      </c>
      <c r="H1" s="33" t="s">
        <v>128</v>
      </c>
      <c r="I1" s="17" t="s">
        <v>129</v>
      </c>
      <c r="J1" s="34" t="s">
        <v>130</v>
      </c>
      <c r="K1" s="17" t="s">
        <v>133</v>
      </c>
      <c r="L1" s="17" t="s">
        <v>134</v>
      </c>
      <c r="M1" s="17" t="s">
        <v>135</v>
      </c>
      <c r="N1" s="17" t="s">
        <v>137</v>
      </c>
      <c r="O1" s="33" t="s">
        <v>139</v>
      </c>
      <c r="P1" s="17" t="s">
        <v>141</v>
      </c>
      <c r="Q1" s="34" t="s">
        <v>143</v>
      </c>
      <c r="R1" s="33" t="s">
        <v>144</v>
      </c>
      <c r="S1" s="17" t="s">
        <v>145</v>
      </c>
      <c r="T1" s="17" t="s">
        <v>146</v>
      </c>
      <c r="U1" s="34" t="s">
        <v>147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152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153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154</v>
      </c>
      <c r="T2" s="17" t="s">
        <v>78</v>
      </c>
      <c r="U2" s="34" t="s">
        <v>78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157</v>
      </c>
      <c r="C3" s="24" t="s">
        <v>158</v>
      </c>
      <c r="D3" s="35"/>
      <c r="E3" s="24"/>
      <c r="F3" s="24">
        <v>0.5</v>
      </c>
      <c r="G3" s="36" t="s">
        <v>159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160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161</v>
      </c>
      <c r="C4" s="24" t="s">
        <v>162</v>
      </c>
      <c r="D4" s="35"/>
      <c r="E4" s="24"/>
      <c r="F4" s="24">
        <v>1</v>
      </c>
      <c r="G4" s="36" t="s">
        <v>163</v>
      </c>
      <c r="H4" s="35">
        <v>0</v>
      </c>
      <c r="I4" s="24">
        <f t="shared" si="1"/>
        <v>0</v>
      </c>
      <c r="J4" s="36">
        <v>0</v>
      </c>
      <c r="N4" s="28"/>
      <c r="O4" s="35" t="s">
        <v>160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164</v>
      </c>
      <c r="C5" s="24" t="s">
        <v>165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166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167</v>
      </c>
      <c r="C6" s="24" t="s">
        <v>168</v>
      </c>
      <c r="D6" s="35" t="s">
        <v>169</v>
      </c>
      <c r="E6" s="24" t="s">
        <v>170</v>
      </c>
      <c r="F6" s="24">
        <v>5</v>
      </c>
      <c r="G6" s="36" t="s">
        <v>163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171</v>
      </c>
      <c r="C7" s="24" t="s">
        <v>172</v>
      </c>
      <c r="D7" s="35" t="s">
        <v>169</v>
      </c>
      <c r="E7" s="24" t="s">
        <v>170</v>
      </c>
      <c r="F7" s="24">
        <v>5</v>
      </c>
      <c r="G7" s="36" t="s">
        <v>163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173</v>
      </c>
      <c r="C8" s="24" t="s">
        <v>174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166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175</v>
      </c>
      <c r="C9" s="24" t="s">
        <v>176</v>
      </c>
      <c r="D9" s="35"/>
      <c r="E9" s="24"/>
      <c r="F9" s="24">
        <v>1</v>
      </c>
      <c r="G9" s="36" t="s">
        <v>177</v>
      </c>
      <c r="H9" s="35">
        <f t="shared" ref="H9:H14" si="2">wtg_devices</f>
        <v>5</v>
      </c>
      <c r="I9" s="24">
        <v>0</v>
      </c>
      <c r="J9" s="36">
        <v>0</v>
      </c>
      <c r="O9" s="35" t="s">
        <v>178</v>
      </c>
      <c r="P9" s="24"/>
      <c r="Q9" s="36" t="s">
        <v>179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180</v>
      </c>
      <c r="C10" s="24" t="s">
        <v>181</v>
      </c>
      <c r="D10" s="35"/>
      <c r="E10" s="24"/>
      <c r="F10" s="24">
        <v>1</v>
      </c>
      <c r="G10" s="36" t="s">
        <v>177</v>
      </c>
      <c r="H10" s="35">
        <f t="shared" si="2"/>
        <v>5</v>
      </c>
      <c r="I10" s="24">
        <v>0</v>
      </c>
      <c r="J10" s="36">
        <v>0</v>
      </c>
      <c r="O10" s="35" t="s">
        <v>160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182</v>
      </c>
      <c r="C11" s="24" t="s">
        <v>183</v>
      </c>
      <c r="D11" s="35"/>
      <c r="E11" s="24"/>
      <c r="F11" s="24">
        <v>1</v>
      </c>
      <c r="G11" s="36" t="s">
        <v>177</v>
      </c>
      <c r="H11" s="35">
        <f t="shared" si="2"/>
        <v>5</v>
      </c>
      <c r="I11" s="24">
        <v>0</v>
      </c>
      <c r="J11" s="36">
        <v>0</v>
      </c>
      <c r="O11" s="35" t="s">
        <v>178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184</v>
      </c>
      <c r="C12" s="24" t="s">
        <v>185</v>
      </c>
      <c r="D12" s="35"/>
      <c r="E12" s="24"/>
      <c r="F12" s="24">
        <v>1</v>
      </c>
      <c r="G12" s="36" t="s">
        <v>177</v>
      </c>
      <c r="H12" s="35">
        <f t="shared" si="2"/>
        <v>5</v>
      </c>
      <c r="I12" s="24">
        <v>0</v>
      </c>
      <c r="J12" s="36">
        <v>0</v>
      </c>
      <c r="O12" s="35" t="s">
        <v>178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186</v>
      </c>
      <c r="C13" s="24" t="s">
        <v>187</v>
      </c>
      <c r="D13" s="35"/>
      <c r="E13" s="24"/>
      <c r="F13" s="24">
        <v>1</v>
      </c>
      <c r="G13" s="36" t="s">
        <v>177</v>
      </c>
      <c r="H13" s="35">
        <f t="shared" si="2"/>
        <v>5</v>
      </c>
      <c r="I13" s="24">
        <v>0</v>
      </c>
      <c r="J13" s="36">
        <v>0</v>
      </c>
      <c r="O13" s="35" t="s">
        <v>178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188</v>
      </c>
      <c r="C14" s="24" t="s">
        <v>189</v>
      </c>
      <c r="D14" s="35"/>
      <c r="E14" s="24"/>
      <c r="F14" s="24">
        <v>1</v>
      </c>
      <c r="G14" s="36" t="s">
        <v>177</v>
      </c>
      <c r="H14" s="35">
        <f t="shared" si="2"/>
        <v>5</v>
      </c>
      <c r="I14" s="24">
        <v>0</v>
      </c>
      <c r="J14" s="36">
        <v>0</v>
      </c>
      <c r="O14" s="35" t="s">
        <v>190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191</v>
      </c>
      <c r="C15" s="24" t="s">
        <v>192</v>
      </c>
      <c r="D15" s="35"/>
      <c r="E15" s="24"/>
      <c r="F15" s="24">
        <v>2</v>
      </c>
      <c r="G15" s="36" t="s">
        <v>177</v>
      </c>
      <c r="H15" s="35">
        <f>wtg_devices</f>
        <v>5</v>
      </c>
      <c r="I15" s="24">
        <v>0</v>
      </c>
      <c r="J15" s="36">
        <v>0</v>
      </c>
      <c r="O15" s="35" t="s">
        <v>190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193</v>
      </c>
      <c r="C16" s="24" t="s">
        <v>194</v>
      </c>
      <c r="D16" s="35"/>
      <c r="E16" s="24"/>
      <c r="F16" s="24">
        <v>2</v>
      </c>
      <c r="G16" s="36" t="s">
        <v>177</v>
      </c>
      <c r="H16" s="35">
        <v>0</v>
      </c>
      <c r="I16" s="24">
        <v>0</v>
      </c>
      <c r="J16" s="36">
        <v>0</v>
      </c>
      <c r="O16" s="35" t="s">
        <v>190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195</v>
      </c>
      <c r="C17" s="24" t="s">
        <v>196</v>
      </c>
      <c r="D17" s="35"/>
      <c r="E17" s="24"/>
      <c r="F17" s="24">
        <v>1</v>
      </c>
      <c r="G17" s="36" t="s">
        <v>163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160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197</v>
      </c>
      <c r="C18" s="24" t="s">
        <v>198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190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199</v>
      </c>
      <c r="C19" s="24" t="s">
        <v>200</v>
      </c>
      <c r="D19" s="35"/>
      <c r="E19" s="24"/>
      <c r="F19" s="24">
        <v>1</v>
      </c>
      <c r="G19" s="36" t="s">
        <v>163</v>
      </c>
      <c r="H19" s="35">
        <f>wtg_devices</f>
        <v>5</v>
      </c>
      <c r="I19" s="24"/>
      <c r="J19" s="36">
        <f>pv_islands</f>
        <v>0</v>
      </c>
      <c r="O19" s="35" t="s">
        <v>160</v>
      </c>
      <c r="P19" s="24"/>
      <c r="Q19" s="36" t="s">
        <v>179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7" priority="5">
      <formula>AND(COUNTIF(A:A,$A1)&gt;1,$A1&lt;&gt;"")</formula>
    </cfRule>
  </conditionalFormatting>
  <conditionalFormatting sqref="D3:E496">
    <cfRule type="expression" dxfId="46" priority="7">
      <formula>AND(NOT(ISBLANK(D3)),D3=$A3)</formula>
    </cfRule>
  </conditionalFormatting>
  <conditionalFormatting sqref="H3:J496">
    <cfRule type="expression" dxfId="45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54</v>
      </c>
      <c r="B1" s="17" t="s">
        <v>122</v>
      </c>
      <c r="C1" s="17" t="s">
        <v>123</v>
      </c>
      <c r="D1" s="17" t="s">
        <v>125</v>
      </c>
      <c r="E1" s="17" t="s">
        <v>126</v>
      </c>
      <c r="F1" s="47" t="s">
        <v>127</v>
      </c>
      <c r="G1" s="17" t="s">
        <v>201</v>
      </c>
      <c r="H1" s="17" t="s">
        <v>131</v>
      </c>
      <c r="I1" s="17" t="s">
        <v>135</v>
      </c>
      <c r="J1" s="34" t="s">
        <v>138</v>
      </c>
      <c r="K1" s="17" t="s">
        <v>144</v>
      </c>
      <c r="L1" s="17" t="s">
        <v>145</v>
      </c>
      <c r="M1" s="17" t="s">
        <v>146</v>
      </c>
      <c r="N1" s="17" t="s">
        <v>147</v>
      </c>
      <c r="O1" s="17" t="s">
        <v>202</v>
      </c>
      <c r="P1" s="17" t="s">
        <v>151</v>
      </c>
      <c r="Q1" s="17" t="s">
        <v>148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152</v>
      </c>
      <c r="E2" s="17" t="s">
        <v>13</v>
      </c>
      <c r="F2" s="48" t="s">
        <v>13</v>
      </c>
      <c r="G2" s="17" t="s">
        <v>13</v>
      </c>
      <c r="H2" s="17" t="s">
        <v>79</v>
      </c>
      <c r="I2" s="17" t="s">
        <v>27</v>
      </c>
      <c r="J2" s="34" t="s">
        <v>13</v>
      </c>
      <c r="K2" s="17" t="s">
        <v>13</v>
      </c>
      <c r="L2" s="17" t="s">
        <v>154</v>
      </c>
      <c r="M2" s="17" t="s">
        <v>78</v>
      </c>
      <c r="N2" s="17" t="s">
        <v>78</v>
      </c>
      <c r="O2" s="17" t="s">
        <v>203</v>
      </c>
      <c r="P2" s="17" t="s">
        <v>13</v>
      </c>
      <c r="Q2" s="17" t="s">
        <v>13</v>
      </c>
    </row>
    <row r="3" spans="1:22" x14ac:dyDescent="0.25">
      <c r="A3" s="59" t="s">
        <v>339</v>
      </c>
      <c r="B3" s="59" t="s">
        <v>340</v>
      </c>
      <c r="C3" s="59" t="s">
        <v>338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288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4" priority="6">
      <formula>AND(COUNTIF(A:A,$A1)&gt;1,$A1&lt;&gt;"")</formula>
    </cfRule>
  </conditionalFormatting>
  <conditionalFormatting sqref="G1:G2 G4:G1048576">
    <cfRule type="expression" dxfId="43" priority="78">
      <formula>AND(NOT(ISBLANK($B1)),#REF!=0,$G1=0,#REF!=0)</formula>
    </cfRule>
  </conditionalFormatting>
  <conditionalFormatting sqref="J3:J8">
    <cfRule type="expression" dxfId="42" priority="2">
      <formula>AND(NOT(ISBLANK(J3)),J3=$A3)</formula>
    </cfRule>
  </conditionalFormatting>
  <conditionalFormatting sqref="Q3:Q496">
    <cfRule type="expression" dxfId="41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54</v>
      </c>
      <c r="B1" s="17" t="s">
        <v>122</v>
      </c>
      <c r="C1" s="17" t="s">
        <v>123</v>
      </c>
      <c r="D1" s="33" t="s">
        <v>204</v>
      </c>
      <c r="E1" s="17" t="s">
        <v>205</v>
      </c>
      <c r="F1" s="34" t="s">
        <v>206</v>
      </c>
      <c r="G1" s="17" t="s">
        <v>207</v>
      </c>
      <c r="H1" s="50" t="s">
        <v>132</v>
      </c>
      <c r="I1" s="33" t="s">
        <v>133</v>
      </c>
      <c r="J1" s="17" t="s">
        <v>134</v>
      </c>
      <c r="K1" s="17" t="s">
        <v>135</v>
      </c>
      <c r="L1" s="17" t="s">
        <v>136</v>
      </c>
      <c r="M1" s="17" t="s">
        <v>137</v>
      </c>
      <c r="N1" s="56" t="s">
        <v>138</v>
      </c>
      <c r="O1" s="17" t="s">
        <v>139</v>
      </c>
      <c r="P1" s="17" t="s">
        <v>140</v>
      </c>
      <c r="Q1" s="17" t="s">
        <v>213</v>
      </c>
      <c r="R1" s="17" t="s">
        <v>141</v>
      </c>
      <c r="S1" s="17" t="s">
        <v>142</v>
      </c>
      <c r="T1" s="17" t="s">
        <v>405</v>
      </c>
      <c r="U1" s="17" t="s">
        <v>143</v>
      </c>
      <c r="V1" s="17" t="s">
        <v>208</v>
      </c>
      <c r="W1" s="17" t="s">
        <v>145</v>
      </c>
      <c r="Y1" s="17" t="s">
        <v>147</v>
      </c>
      <c r="Z1" s="17" t="s">
        <v>148</v>
      </c>
      <c r="AA1" s="17" t="s">
        <v>151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79</v>
      </c>
      <c r="H2" s="51" t="s">
        <v>13</v>
      </c>
      <c r="I2" s="33" t="s">
        <v>30</v>
      </c>
      <c r="J2" s="17" t="s">
        <v>153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154</v>
      </c>
      <c r="Y2" s="17" t="s">
        <v>78</v>
      </c>
      <c r="Z2" s="17" t="s">
        <v>13</v>
      </c>
      <c r="AA2" s="17" t="s">
        <v>13</v>
      </c>
    </row>
    <row r="3" spans="1:33" ht="16.5" customHeight="1" x14ac:dyDescent="0.25">
      <c r="A3" s="59" t="s">
        <v>341</v>
      </c>
      <c r="B3" s="59" t="s">
        <v>195</v>
      </c>
      <c r="C3" s="59" t="s">
        <v>342</v>
      </c>
      <c r="D3" s="66" t="s">
        <v>209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331</v>
      </c>
      <c r="P3" s="59" t="s">
        <v>84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288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343</v>
      </c>
      <c r="B4" s="59" t="s">
        <v>197</v>
      </c>
      <c r="C4" s="59" t="s">
        <v>393</v>
      </c>
      <c r="D4" s="66" t="s">
        <v>209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331</v>
      </c>
      <c r="P4" s="59" t="s">
        <v>84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288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210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210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210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210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210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210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210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210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210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210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210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210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210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210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210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210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210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210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210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210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210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210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210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210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210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210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210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210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210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210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210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210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210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210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210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210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210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210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210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210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210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210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210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210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210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210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210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210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210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210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210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210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210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210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210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210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210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210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210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210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210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210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210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210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210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210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210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210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210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210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210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210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210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210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210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210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210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210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210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210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210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210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210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210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210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210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210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210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210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210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210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210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210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210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210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210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210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210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210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210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210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210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210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210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210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210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210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210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210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210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210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210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210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210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210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210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210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210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210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210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210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210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210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210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210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210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210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210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210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210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210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210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210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210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210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210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210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210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210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210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210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210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210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210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210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210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210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210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210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210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210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210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210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210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210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210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210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210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210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210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210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210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210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210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210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210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210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210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210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210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210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210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210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210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210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210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210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210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210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210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210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210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210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210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210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210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210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210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210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210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210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210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210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210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210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210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210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210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210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210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210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210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210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210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210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210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210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210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210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210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210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210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210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210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210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210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210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210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210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210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210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210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210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210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210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210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210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210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210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210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210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210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210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210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210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210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210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210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210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210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210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210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210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210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210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210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210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210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210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210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210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210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210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210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210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210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210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210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210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210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210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210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210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210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210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210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210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210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210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210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210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210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210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210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210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210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210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210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210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210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210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210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210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210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210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210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210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210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210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210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210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210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210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210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210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210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210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210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210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210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210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210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210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210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210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210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210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210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210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210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210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210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210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210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210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210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210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210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210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210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210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210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210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210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210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210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210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210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210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210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210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210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210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210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210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210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210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210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210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210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210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210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210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210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210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210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210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210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210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210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210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210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210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210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210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210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210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210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210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210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210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210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210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210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210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210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210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210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210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210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210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210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210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210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210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210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210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210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210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210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210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210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210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210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210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210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210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210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210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210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210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210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210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210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210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210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210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210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210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210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210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210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210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210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210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210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210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210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210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210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210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210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210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210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210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210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210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210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210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210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210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210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210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210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210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210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210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210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210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210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210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210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210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210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210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210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210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210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210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210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210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210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210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210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210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210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210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210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210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210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210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210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210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210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210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210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210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210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210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210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210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210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210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210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210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210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210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210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210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40" priority="8">
      <formula>AND(COUNTIF(A:A,$A1)&gt;1,$A1&lt;&gt;"")</formula>
    </cfRule>
  </conditionalFormatting>
  <conditionalFormatting sqref="D5:F500">
    <cfRule type="expression" dxfId="39" priority="4">
      <formula>AND(NOT(ISBLANK($B5)),COUNTBLANK($D5:$F5)&lt;2)</formula>
    </cfRule>
    <cfRule type="expression" dxfId="38" priority="5">
      <formula>AND(NOT(ISBLANK($B5)),COUNTBLANK($D5:$F5)&gt;2)</formula>
    </cfRule>
  </conditionalFormatting>
  <conditionalFormatting sqref="J5:K500">
    <cfRule type="expression" dxfId="37" priority="1">
      <formula>AND(NOT(ISBLANK($K5)),NOT(ISBLANK($L5)))</formula>
    </cfRule>
  </conditionalFormatting>
  <conditionalFormatting sqref="Z5:Z500">
    <cfRule type="expression" dxfId="36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54</v>
      </c>
      <c r="B1" s="17" t="s">
        <v>122</v>
      </c>
      <c r="C1" s="17" t="s">
        <v>123</v>
      </c>
      <c r="D1" s="17" t="s">
        <v>211</v>
      </c>
      <c r="E1" s="17" t="s">
        <v>139</v>
      </c>
      <c r="F1" s="17" t="s">
        <v>140</v>
      </c>
      <c r="G1" s="17" t="s">
        <v>213</v>
      </c>
      <c r="H1" s="17" t="s">
        <v>141</v>
      </c>
      <c r="I1" s="17" t="s">
        <v>142</v>
      </c>
      <c r="J1" s="17" t="s">
        <v>405</v>
      </c>
      <c r="K1" s="17" t="s">
        <v>143</v>
      </c>
      <c r="L1" s="17" t="s">
        <v>212</v>
      </c>
      <c r="M1" s="17" t="s">
        <v>145</v>
      </c>
      <c r="N1" s="17" t="s">
        <v>147</v>
      </c>
      <c r="O1" s="17" t="s">
        <v>202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154</v>
      </c>
      <c r="N2" s="17" t="s">
        <v>78</v>
      </c>
      <c r="O2" s="17" t="s">
        <v>203</v>
      </c>
    </row>
    <row r="3" spans="1:24" x14ac:dyDescent="0.25">
      <c r="A3" s="59" t="s">
        <v>345</v>
      </c>
      <c r="B3" s="17" t="s">
        <v>199</v>
      </c>
      <c r="C3" s="59" t="s">
        <v>344</v>
      </c>
      <c r="D3" s="59" t="b">
        <v>0</v>
      </c>
      <c r="E3" s="59" t="s">
        <v>331</v>
      </c>
      <c r="F3" s="59" t="s">
        <v>84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402</v>
      </c>
      <c r="B4" s="17" t="s">
        <v>401</v>
      </c>
      <c r="C4" s="59" t="s">
        <v>346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410</v>
      </c>
      <c r="B5" s="17" t="s">
        <v>411</v>
      </c>
      <c r="C5" s="59" t="s">
        <v>344</v>
      </c>
      <c r="D5" s="59" t="b">
        <v>0</v>
      </c>
      <c r="E5" s="59" t="s">
        <v>331</v>
      </c>
      <c r="F5" s="59" t="s">
        <v>84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5" priority="2">
      <formula>COUNTIF(B:B,$B1)&gt;1</formula>
    </cfRule>
  </conditionalFormatting>
  <conditionalFormatting sqref="B3:B498">
    <cfRule type="expression" dxfId="34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54</v>
      </c>
      <c r="B1" s="17" t="s">
        <v>122</v>
      </c>
      <c r="C1" s="17" t="s">
        <v>123</v>
      </c>
      <c r="D1" s="17" t="s">
        <v>139</v>
      </c>
      <c r="E1" s="17" t="s">
        <v>140</v>
      </c>
      <c r="F1" s="17" t="s">
        <v>213</v>
      </c>
      <c r="G1" s="17" t="s">
        <v>141</v>
      </c>
      <c r="H1" s="17" t="s">
        <v>142</v>
      </c>
      <c r="I1" s="17" t="s">
        <v>405</v>
      </c>
      <c r="J1" s="17" t="s">
        <v>408</v>
      </c>
      <c r="K1" s="17" t="s">
        <v>409</v>
      </c>
      <c r="L1" s="17" t="s">
        <v>412</v>
      </c>
      <c r="M1" s="17" t="s">
        <v>143</v>
      </c>
      <c r="N1" s="17" t="s">
        <v>212</v>
      </c>
      <c r="O1" s="17" t="s">
        <v>145</v>
      </c>
      <c r="P1" s="17" t="s">
        <v>147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221</v>
      </c>
      <c r="M2" s="17" t="s">
        <v>13</v>
      </c>
      <c r="N2" s="17" t="s">
        <v>13</v>
      </c>
      <c r="O2" s="17" t="s">
        <v>154</v>
      </c>
      <c r="P2" s="17" t="s">
        <v>78</v>
      </c>
    </row>
    <row r="3" spans="1:27" x14ac:dyDescent="0.25">
      <c r="A3" s="59" t="s">
        <v>347</v>
      </c>
      <c r="B3" s="59" t="s">
        <v>350</v>
      </c>
      <c r="C3" s="59" t="s">
        <v>354</v>
      </c>
      <c r="D3" s="17" t="s">
        <v>406</v>
      </c>
      <c r="E3" s="59" t="s">
        <v>86</v>
      </c>
      <c r="F3" s="59">
        <v>2</v>
      </c>
      <c r="G3" s="17" t="s">
        <v>331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410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348</v>
      </c>
      <c r="B4" s="59" t="s">
        <v>351</v>
      </c>
      <c r="C4" s="59" t="s">
        <v>353</v>
      </c>
      <c r="D4" s="17" t="s">
        <v>406</v>
      </c>
      <c r="E4" s="59" t="s">
        <v>86</v>
      </c>
      <c r="F4" s="59">
        <v>1</v>
      </c>
      <c r="G4" s="17" t="s">
        <v>331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349</v>
      </c>
      <c r="B5" s="59" t="s">
        <v>352</v>
      </c>
      <c r="C5" s="59" t="s">
        <v>355</v>
      </c>
      <c r="D5" s="17" t="s">
        <v>406</v>
      </c>
      <c r="E5" s="59" t="s">
        <v>86</v>
      </c>
      <c r="F5" s="59">
        <v>1</v>
      </c>
      <c r="G5" s="17" t="s">
        <v>331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410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3" priority="3">
      <formula>AND(COUNTIF(A:A,$A1)&gt;1,$A1&lt;&gt;"")</formula>
    </cfRule>
  </conditionalFormatting>
  <conditionalFormatting sqref="J3">
    <cfRule type="expression" dxfId="32" priority="2">
      <formula>AND(J3&lt;&gt;"",I3=FALSE)</formula>
    </cfRule>
  </conditionalFormatting>
  <conditionalFormatting sqref="J5">
    <cfRule type="expression" dxfId="31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54</v>
      </c>
      <c r="B1" s="17" t="s">
        <v>214</v>
      </c>
      <c r="C1" s="17" t="s">
        <v>215</v>
      </c>
      <c r="D1" s="17" t="s">
        <v>123</v>
      </c>
      <c r="E1" s="17" t="s">
        <v>216</v>
      </c>
      <c r="F1" s="14" t="s">
        <v>217</v>
      </c>
      <c r="G1" s="14" t="s">
        <v>218</v>
      </c>
      <c r="H1" s="14" t="s">
        <v>219</v>
      </c>
      <c r="I1" s="17" t="s">
        <v>220</v>
      </c>
      <c r="J1" s="17" t="s">
        <v>133</v>
      </c>
      <c r="K1" s="17" t="s">
        <v>134</v>
      </c>
      <c r="L1" s="17" t="s">
        <v>135</v>
      </c>
      <c r="M1" s="17" t="s">
        <v>136</v>
      </c>
      <c r="N1" s="17" t="s">
        <v>137</v>
      </c>
      <c r="O1" s="17" t="s">
        <v>138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221</v>
      </c>
      <c r="J2" s="17" t="s">
        <v>30</v>
      </c>
      <c r="K2" s="17" t="s">
        <v>153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356</v>
      </c>
      <c r="B3" s="17" t="s">
        <v>222</v>
      </c>
      <c r="C3" s="17" t="s">
        <v>345</v>
      </c>
      <c r="D3" s="59" t="s">
        <v>357</v>
      </c>
      <c r="E3" s="59" t="s">
        <v>223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358</v>
      </c>
      <c r="B4" s="17" t="s">
        <v>222</v>
      </c>
      <c r="C4" s="17" t="s">
        <v>345</v>
      </c>
      <c r="D4" s="59" t="s">
        <v>344</v>
      </c>
      <c r="E4" s="59" t="s">
        <v>224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359</v>
      </c>
      <c r="B5" s="17" t="s">
        <v>222</v>
      </c>
      <c r="C5" s="17" t="s">
        <v>345</v>
      </c>
      <c r="D5" s="59" t="s">
        <v>360</v>
      </c>
      <c r="E5" s="59" t="s">
        <v>223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358</v>
      </c>
      <c r="B6" s="17" t="s">
        <v>222</v>
      </c>
      <c r="C6" s="17" t="s">
        <v>402</v>
      </c>
      <c r="D6" s="59" t="s">
        <v>346</v>
      </c>
      <c r="E6" s="17" t="s">
        <v>392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364</v>
      </c>
      <c r="B7" s="17" t="s">
        <v>377</v>
      </c>
      <c r="C7" s="17" t="s">
        <v>347</v>
      </c>
      <c r="D7" s="59" t="s">
        <v>357</v>
      </c>
      <c r="E7" s="59" t="s">
        <v>223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365</v>
      </c>
      <c r="B8" s="17" t="s">
        <v>377</v>
      </c>
      <c r="C8" s="17" t="s">
        <v>347</v>
      </c>
      <c r="D8" s="59" t="s">
        <v>376</v>
      </c>
      <c r="E8" s="59" t="s">
        <v>224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366</v>
      </c>
      <c r="B9" s="17" t="s">
        <v>377</v>
      </c>
      <c r="C9" s="17" t="s">
        <v>347</v>
      </c>
      <c r="D9" s="59" t="s">
        <v>361</v>
      </c>
      <c r="E9" s="59" t="s">
        <v>223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367</v>
      </c>
      <c r="B10" s="17" t="s">
        <v>377</v>
      </c>
      <c r="C10" s="17" t="s">
        <v>348</v>
      </c>
      <c r="D10" s="59" t="s">
        <v>362</v>
      </c>
      <c r="E10" s="59" t="s">
        <v>223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368</v>
      </c>
      <c r="B11" s="17" t="s">
        <v>377</v>
      </c>
      <c r="C11" s="17" t="s">
        <v>348</v>
      </c>
      <c r="D11" s="59" t="s">
        <v>375</v>
      </c>
      <c r="E11" s="59" t="s">
        <v>224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369</v>
      </c>
      <c r="B12" s="17" t="s">
        <v>377</v>
      </c>
      <c r="C12" s="17" t="s">
        <v>348</v>
      </c>
      <c r="D12" s="59" t="s">
        <v>363</v>
      </c>
      <c r="E12" s="59" t="s">
        <v>224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370</v>
      </c>
      <c r="B13" s="17" t="s">
        <v>377</v>
      </c>
      <c r="C13" s="17" t="s">
        <v>348</v>
      </c>
      <c r="D13" s="59" t="s">
        <v>376</v>
      </c>
      <c r="E13" s="59" t="s">
        <v>224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371</v>
      </c>
      <c r="B14" s="17" t="s">
        <v>377</v>
      </c>
      <c r="C14" s="17" t="s">
        <v>348</v>
      </c>
      <c r="D14" s="59" t="s">
        <v>361</v>
      </c>
      <c r="E14" s="59" t="s">
        <v>223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372</v>
      </c>
      <c r="B15" s="17" t="s">
        <v>377</v>
      </c>
      <c r="C15" s="17" t="s">
        <v>349</v>
      </c>
      <c r="D15" s="59" t="s">
        <v>362</v>
      </c>
      <c r="E15" s="59" t="s">
        <v>223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373</v>
      </c>
      <c r="B16" s="17" t="s">
        <v>377</v>
      </c>
      <c r="C16" s="17" t="s">
        <v>349</v>
      </c>
      <c r="D16" s="59" t="s">
        <v>375</v>
      </c>
      <c r="E16" s="59" t="s">
        <v>224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374</v>
      </c>
      <c r="B17" s="17" t="s">
        <v>377</v>
      </c>
      <c r="C17" s="17" t="s">
        <v>349</v>
      </c>
      <c r="D17" s="59" t="s">
        <v>360</v>
      </c>
      <c r="E17" s="59" t="s">
        <v>223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356</v>
      </c>
      <c r="B18" s="17" t="s">
        <v>222</v>
      </c>
      <c r="C18" s="17" t="s">
        <v>410</v>
      </c>
      <c r="D18" s="59" t="s">
        <v>357</v>
      </c>
      <c r="E18" s="59" t="s">
        <v>223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358</v>
      </c>
      <c r="B19" s="17" t="s">
        <v>222</v>
      </c>
      <c r="C19" s="17" t="s">
        <v>410</v>
      </c>
      <c r="D19" s="59" t="s">
        <v>344</v>
      </c>
      <c r="E19" s="59" t="s">
        <v>224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359</v>
      </c>
      <c r="B20" s="17" t="s">
        <v>222</v>
      </c>
      <c r="C20" s="17" t="s">
        <v>410</v>
      </c>
      <c r="D20" s="59" t="s">
        <v>360</v>
      </c>
      <c r="E20" s="59" t="s">
        <v>223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30" priority="101">
      <formula>#REF!=TRUE</formula>
    </cfRule>
  </conditionalFormatting>
  <conditionalFormatting sqref="B3:C4 A21:O496">
    <cfRule type="expression" dxfId="29" priority="27">
      <formula>$C3&lt;&gt;$C4</formula>
    </cfRule>
  </conditionalFormatting>
  <conditionalFormatting sqref="B5:C5">
    <cfRule type="expression" dxfId="28" priority="109">
      <formula>$C5&lt;&gt;$C7</formula>
    </cfRule>
  </conditionalFormatting>
  <conditionalFormatting sqref="B6:C19">
    <cfRule type="expression" dxfId="27" priority="5">
      <formula>$C6&lt;&gt;$C7</formula>
    </cfRule>
  </conditionalFormatting>
  <conditionalFormatting sqref="B20:C20">
    <cfRule type="expression" dxfId="26" priority="3">
      <formula>$C20&lt;&gt;$C22</formula>
    </cfRule>
  </conditionalFormatting>
  <conditionalFormatting sqref="E6">
    <cfRule type="expression" dxfId="25" priority="6">
      <formula>$C6&lt;&gt;$C7</formula>
    </cfRule>
  </conditionalFormatting>
  <conditionalFormatting sqref="E494:G495">
    <cfRule type="expression" dxfId="24" priority="31">
      <formula>AND(NOT(ISBLANK($E494)),$E494&gt;$H494)</formula>
    </cfRule>
  </conditionalFormatting>
  <conditionalFormatting sqref="F3:H4">
    <cfRule type="expression" dxfId="22" priority="104">
      <formula>$D3&lt;&gt;$D4</formula>
    </cfRule>
  </conditionalFormatting>
  <conditionalFormatting sqref="F3:H6">
    <cfRule type="expression" dxfId="21" priority="9">
      <formula>AND(NOT(ISBLANK($F3)),$F3&gt;$J3)</formula>
    </cfRule>
  </conditionalFormatting>
  <conditionalFormatting sqref="F5:H5">
    <cfRule type="expression" dxfId="20" priority="112">
      <formula>$D5&lt;&gt;$D7</formula>
    </cfRule>
  </conditionalFormatting>
  <conditionalFormatting sqref="F6:H6">
    <cfRule type="expression" dxfId="19" priority="8">
      <formula>$D6&lt;&gt;$D7</formula>
    </cfRule>
  </conditionalFormatting>
  <conditionalFormatting sqref="F18:H19">
    <cfRule type="expression" dxfId="18" priority="2">
      <formula>$D18&lt;&gt;$D19</formula>
    </cfRule>
  </conditionalFormatting>
  <conditionalFormatting sqref="F18:H20">
    <cfRule type="expression" dxfId="17" priority="1">
      <formula>AND(NOT(ISBLANK($F18)),$F18&gt;$J18)</formula>
    </cfRule>
  </conditionalFormatting>
  <conditionalFormatting sqref="F20:H20">
    <cfRule type="expression" dxfId="16" priority="4">
      <formula>$D20&lt;&gt;$D22</formula>
    </cfRule>
  </conditionalFormatting>
  <conditionalFormatting sqref="F21:H492">
    <cfRule type="expression" dxfId="15" priority="22">
      <formula>AND(NOT(ISBLANK($F21)),$F21&gt;$I21)</formula>
    </cfRule>
  </conditionalFormatting>
  <conditionalFormatting sqref="H494:H495">
    <cfRule type="expression" dxfId="14" priority="99">
      <formula>AND($N494,$H494&gt;10)</formula>
    </cfRule>
    <cfRule type="expression" dxfId="13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2" priority="16">
      <formula>AND($O21,$I21&gt;10)</formula>
    </cfRule>
  </conditionalFormatting>
  <conditionalFormatting sqref="I21:I496">
    <cfRule type="expression" dxfId="11" priority="102">
      <formula>OR(#REF!,#REF!)</formula>
    </cfRule>
  </conditionalFormatting>
  <conditionalFormatting sqref="K494:L495">
    <cfRule type="expression" dxfId="10" priority="37">
      <formula>AND(NOT(ISBLANK($K494)),NOT(ISBLANK($L494)))</formula>
    </cfRule>
  </conditionalFormatting>
  <conditionalFormatting sqref="L21:M492">
    <cfRule type="expression" dxfId="9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5"/>
  <sheetViews>
    <sheetView topLeftCell="A10" workbookViewId="0">
      <selection activeCell="E15" sqref="E1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225</v>
      </c>
      <c r="B2" t="s">
        <v>226</v>
      </c>
      <c r="C2" s="20">
        <v>54.036999999999999</v>
      </c>
    </row>
    <row r="3" spans="1:3" x14ac:dyDescent="0.25">
      <c r="A3" t="s">
        <v>227</v>
      </c>
      <c r="B3" t="s">
        <v>226</v>
      </c>
      <c r="C3" s="20">
        <v>5.9649999999999999</v>
      </c>
    </row>
    <row r="4" spans="1:3" x14ac:dyDescent="0.25">
      <c r="A4" t="s">
        <v>228</v>
      </c>
      <c r="B4" t="s">
        <v>13</v>
      </c>
      <c r="C4" t="s">
        <v>416</v>
      </c>
    </row>
    <row r="5" spans="1:3" x14ac:dyDescent="0.25">
      <c r="A5" t="s">
        <v>229</v>
      </c>
      <c r="B5" t="s">
        <v>30</v>
      </c>
      <c r="C5" s="20">
        <v>10</v>
      </c>
    </row>
    <row r="6" spans="1:3" x14ac:dyDescent="0.25">
      <c r="A6" t="s">
        <v>230</v>
      </c>
      <c r="B6" t="s">
        <v>30</v>
      </c>
      <c r="C6" s="20">
        <v>2.0000000000000001E-4</v>
      </c>
    </row>
    <row r="7" spans="1:3" x14ac:dyDescent="0.25">
      <c r="A7" t="s">
        <v>231</v>
      </c>
      <c r="B7" t="s">
        <v>232</v>
      </c>
      <c r="C7" s="21">
        <v>10</v>
      </c>
    </row>
    <row r="8" spans="1:3" x14ac:dyDescent="0.25">
      <c r="A8" t="s">
        <v>233</v>
      </c>
      <c r="B8" t="s">
        <v>221</v>
      </c>
      <c r="C8" s="47"/>
    </row>
    <row r="9" spans="1:3" x14ac:dyDescent="0.25">
      <c r="A9" t="s">
        <v>234</v>
      </c>
      <c r="B9" t="s">
        <v>221</v>
      </c>
    </row>
    <row r="10" spans="1:3" x14ac:dyDescent="0.25">
      <c r="A10" t="s">
        <v>235</v>
      </c>
      <c r="B10" t="s">
        <v>221</v>
      </c>
      <c r="C10">
        <v>0.1</v>
      </c>
    </row>
    <row r="11" spans="1:3" x14ac:dyDescent="0.25">
      <c r="A11" t="s">
        <v>236</v>
      </c>
      <c r="B11" t="s">
        <v>221</v>
      </c>
      <c r="C11" s="20">
        <v>4</v>
      </c>
    </row>
    <row r="12" spans="1:3" x14ac:dyDescent="0.25">
      <c r="A12" t="s">
        <v>237</v>
      </c>
      <c r="B12" t="s">
        <v>13</v>
      </c>
      <c r="C12" s="20">
        <v>0.3</v>
      </c>
    </row>
    <row r="13" spans="1:3" x14ac:dyDescent="0.25">
      <c r="A13" t="s">
        <v>238</v>
      </c>
      <c r="B13" t="s">
        <v>232</v>
      </c>
      <c r="C13" s="54"/>
    </row>
    <row r="14" spans="1:3" x14ac:dyDescent="0.25">
      <c r="A14" t="s">
        <v>239</v>
      </c>
      <c r="B14" t="s">
        <v>221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240</v>
      </c>
      <c r="B16" t="s">
        <v>13</v>
      </c>
      <c r="C16">
        <v>0</v>
      </c>
    </row>
    <row r="17" spans="1:3" x14ac:dyDescent="0.25">
      <c r="A17" t="s">
        <v>241</v>
      </c>
      <c r="B17" t="s">
        <v>13</v>
      </c>
      <c r="C17" s="60" t="s">
        <v>84</v>
      </c>
    </row>
    <row r="18" spans="1:3" x14ac:dyDescent="0.25">
      <c r="A18" t="s">
        <v>242</v>
      </c>
      <c r="B18" t="s">
        <v>13</v>
      </c>
      <c r="C18">
        <v>1</v>
      </c>
    </row>
    <row r="19" spans="1:3" x14ac:dyDescent="0.25">
      <c r="A19" t="s">
        <v>243</v>
      </c>
      <c r="B19" t="s">
        <v>13</v>
      </c>
      <c r="C19" t="s">
        <v>416</v>
      </c>
    </row>
    <row r="20" spans="1:3" x14ac:dyDescent="0.25">
      <c r="A20" t="s">
        <v>244</v>
      </c>
      <c r="B20" t="s">
        <v>13</v>
      </c>
    </row>
    <row r="21" spans="1:3" x14ac:dyDescent="0.25">
      <c r="A21" t="s">
        <v>414</v>
      </c>
      <c r="B21" t="s">
        <v>232</v>
      </c>
      <c r="C21">
        <v>1</v>
      </c>
    </row>
    <row r="22" spans="1:3" x14ac:dyDescent="0.25">
      <c r="A22" t="s">
        <v>415</v>
      </c>
      <c r="B22" t="s">
        <v>232</v>
      </c>
    </row>
    <row r="23" spans="1:3" x14ac:dyDescent="0.25">
      <c r="A23" t="s">
        <v>419</v>
      </c>
      <c r="B23" t="s">
        <v>13</v>
      </c>
      <c r="C23" t="s">
        <v>416</v>
      </c>
    </row>
    <row r="24" spans="1:3" x14ac:dyDescent="0.25">
      <c r="A24" t="s">
        <v>421</v>
      </c>
      <c r="B24" t="s">
        <v>13</v>
      </c>
    </row>
    <row r="25" spans="1:3" x14ac:dyDescent="0.25">
      <c r="A25" t="s">
        <v>422</v>
      </c>
      <c r="B25" t="s">
        <v>13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245</v>
      </c>
      <c r="B2" t="s">
        <v>246</v>
      </c>
      <c r="C2" s="20">
        <v>2</v>
      </c>
    </row>
    <row r="3" spans="1:34" x14ac:dyDescent="0.25">
      <c r="A3" t="s">
        <v>247</v>
      </c>
      <c r="B3" t="s">
        <v>13</v>
      </c>
      <c r="C3" s="23">
        <v>2010</v>
      </c>
    </row>
    <row r="4" spans="1:34" x14ac:dyDescent="0.25">
      <c r="A4" t="s">
        <v>248</v>
      </c>
      <c r="B4" t="s">
        <v>13</v>
      </c>
      <c r="C4" s="23">
        <v>1</v>
      </c>
    </row>
    <row r="5" spans="1:34" x14ac:dyDescent="0.25">
      <c r="A5" t="s">
        <v>249</v>
      </c>
      <c r="B5" t="s">
        <v>13</v>
      </c>
      <c r="C5" s="23">
        <v>50</v>
      </c>
    </row>
    <row r="6" spans="1:34" x14ac:dyDescent="0.25">
      <c r="A6" t="s">
        <v>250</v>
      </c>
      <c r="B6" t="s">
        <v>13</v>
      </c>
      <c r="C6" s="23">
        <v>10</v>
      </c>
    </row>
    <row r="7" spans="1:34" x14ac:dyDescent="0.25">
      <c r="A7" t="s">
        <v>251</v>
      </c>
      <c r="B7" t="s">
        <v>13</v>
      </c>
      <c r="C7" s="23">
        <v>90</v>
      </c>
    </row>
    <row r="8" spans="1:34" x14ac:dyDescent="0.25">
      <c r="A8" t="s">
        <v>253</v>
      </c>
      <c r="B8" t="s">
        <v>13</v>
      </c>
      <c r="C8" s="23">
        <v>28</v>
      </c>
    </row>
    <row r="9" spans="1:34" x14ac:dyDescent="0.25">
      <c r="A9" t="s">
        <v>254</v>
      </c>
      <c r="B9" t="s">
        <v>246</v>
      </c>
      <c r="C9" s="23">
        <v>1</v>
      </c>
    </row>
    <row r="10" spans="1:34" x14ac:dyDescent="0.25">
      <c r="A10" t="s">
        <v>255</v>
      </c>
      <c r="B10" t="s">
        <v>246</v>
      </c>
      <c r="C10" s="23">
        <v>0</v>
      </c>
    </row>
    <row r="11" spans="1:34" x14ac:dyDescent="0.25">
      <c r="A11" t="s">
        <v>256</v>
      </c>
      <c r="B11" t="s">
        <v>13</v>
      </c>
      <c r="C11" s="21">
        <v>1.5</v>
      </c>
    </row>
    <row r="12" spans="1:34" x14ac:dyDescent="0.25">
      <c r="A12" t="s">
        <v>257</v>
      </c>
      <c r="B12" t="s">
        <v>258</v>
      </c>
      <c r="C12" s="23">
        <v>100</v>
      </c>
    </row>
    <row r="13" spans="1:34" x14ac:dyDescent="0.25">
      <c r="A13" s="47" t="s">
        <v>259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260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261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262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G13" sqref="G1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>
        <v>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>
        <v>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P500"/>
  <sheetViews>
    <sheetView topLeftCell="B1" zoomScaleNormal="100" workbookViewId="0">
      <selection activeCell="I15" sqref="I15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10" width="20.42578125" customWidth="1"/>
    <col min="11" max="11" width="12.7109375" customWidth="1"/>
    <col min="12" max="12" width="13.5703125" style="17" customWidth="1"/>
    <col min="13" max="13" width="9" bestFit="1" customWidth="1"/>
    <col min="14" max="14" width="17.5703125" bestFit="1" customWidth="1"/>
    <col min="15" max="15" width="14.85546875" bestFit="1" customWidth="1"/>
  </cols>
  <sheetData>
    <row r="1" spans="1:16" ht="30" x14ac:dyDescent="0.25">
      <c r="A1" t="s">
        <v>54</v>
      </c>
      <c r="B1" s="17" t="s">
        <v>123</v>
      </c>
      <c r="C1" s="17" t="s">
        <v>276</v>
      </c>
      <c r="D1" s="17" t="s">
        <v>277</v>
      </c>
      <c r="E1" s="17" t="s">
        <v>278</v>
      </c>
      <c r="F1" s="17" t="s">
        <v>279</v>
      </c>
      <c r="G1" s="17" t="s">
        <v>280</v>
      </c>
      <c r="H1" t="s">
        <v>281</v>
      </c>
      <c r="I1" s="17" t="s">
        <v>420</v>
      </c>
      <c r="J1" s="77" t="s">
        <v>413</v>
      </c>
      <c r="K1" s="17" t="s">
        <v>282</v>
      </c>
      <c r="L1" s="17" t="s">
        <v>146</v>
      </c>
      <c r="M1" s="17" t="s">
        <v>283</v>
      </c>
      <c r="N1" s="17" t="s">
        <v>284</v>
      </c>
      <c r="O1" s="47" t="s">
        <v>285</v>
      </c>
      <c r="P1" s="55" t="s">
        <v>286</v>
      </c>
    </row>
    <row r="2" spans="1:16" x14ac:dyDescent="0.25">
      <c r="A2" t="s">
        <v>13</v>
      </c>
      <c r="B2" s="17" t="s">
        <v>13</v>
      </c>
      <c r="C2" s="17" t="s">
        <v>13</v>
      </c>
      <c r="D2" s="17" t="s">
        <v>287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13</v>
      </c>
      <c r="J2" s="78" t="s">
        <v>13</v>
      </c>
      <c r="K2" s="17" t="s">
        <v>221</v>
      </c>
      <c r="L2" s="17" t="s">
        <v>78</v>
      </c>
      <c r="M2" s="17" t="s">
        <v>13</v>
      </c>
      <c r="N2" s="17" t="s">
        <v>13</v>
      </c>
      <c r="O2" s="48" t="s">
        <v>258</v>
      </c>
      <c r="P2" s="17" t="s">
        <v>13</v>
      </c>
    </row>
    <row r="3" spans="1:16" x14ac:dyDescent="0.25">
      <c r="A3" s="60" t="s">
        <v>394</v>
      </c>
      <c r="B3" s="59" t="s">
        <v>423</v>
      </c>
      <c r="C3" s="59">
        <v>5</v>
      </c>
      <c r="D3" s="75">
        <v>0.3</v>
      </c>
      <c r="E3" s="19" t="s">
        <v>391</v>
      </c>
      <c r="F3" s="60" t="s">
        <v>288</v>
      </c>
      <c r="G3" s="59" t="s">
        <v>341</v>
      </c>
      <c r="H3" s="76">
        <v>7</v>
      </c>
      <c r="I3" s="76">
        <v>3</v>
      </c>
      <c r="J3" s="76"/>
      <c r="K3" s="76">
        <v>0</v>
      </c>
      <c r="L3" s="59">
        <v>1200</v>
      </c>
      <c r="M3" s="60" t="b">
        <v>0</v>
      </c>
      <c r="N3" s="60" t="b">
        <v>1</v>
      </c>
      <c r="O3" s="60">
        <v>100</v>
      </c>
    </row>
    <row r="4" spans="1:16" x14ac:dyDescent="0.25">
      <c r="A4" s="60" t="s">
        <v>395</v>
      </c>
      <c r="B4" s="59" t="s">
        <v>398</v>
      </c>
      <c r="C4" s="59">
        <v>5</v>
      </c>
      <c r="D4" s="75">
        <v>0.127</v>
      </c>
      <c r="E4" s="65" t="s">
        <v>390</v>
      </c>
      <c r="F4" s="60" t="s">
        <v>288</v>
      </c>
      <c r="G4" s="59" t="s">
        <v>341</v>
      </c>
      <c r="H4" s="76"/>
      <c r="I4" s="76"/>
      <c r="J4" s="76"/>
      <c r="K4" s="76">
        <v>0</v>
      </c>
      <c r="L4" s="59">
        <v>1200</v>
      </c>
      <c r="M4" s="60" t="b">
        <v>0</v>
      </c>
      <c r="N4" s="60" t="b">
        <v>0</v>
      </c>
      <c r="O4" s="60">
        <v>100</v>
      </c>
    </row>
    <row r="5" spans="1:16" x14ac:dyDescent="0.25">
      <c r="A5" s="60" t="s">
        <v>396</v>
      </c>
      <c r="B5" s="59" t="s">
        <v>399</v>
      </c>
      <c r="C5" s="59">
        <v>5</v>
      </c>
      <c r="D5" s="75">
        <v>0.223</v>
      </c>
      <c r="E5" s="65" t="s">
        <v>390</v>
      </c>
      <c r="F5" s="60" t="s">
        <v>288</v>
      </c>
      <c r="G5" s="59" t="s">
        <v>343</v>
      </c>
      <c r="H5" s="76"/>
      <c r="I5" s="76"/>
      <c r="J5" s="76"/>
      <c r="K5" s="76">
        <v>168</v>
      </c>
      <c r="L5" s="59">
        <v>10000</v>
      </c>
      <c r="M5" s="60" t="b">
        <v>0</v>
      </c>
      <c r="N5" s="60" t="b">
        <v>1</v>
      </c>
      <c r="O5" s="60">
        <v>100</v>
      </c>
    </row>
    <row r="6" spans="1:16" x14ac:dyDescent="0.25">
      <c r="A6" s="60" t="s">
        <v>397</v>
      </c>
      <c r="B6" s="59" t="s">
        <v>400</v>
      </c>
      <c r="C6" s="59">
        <v>5</v>
      </c>
      <c r="D6" s="75">
        <v>0.1</v>
      </c>
      <c r="E6" s="65" t="s">
        <v>390</v>
      </c>
      <c r="F6" s="60" t="s">
        <v>288</v>
      </c>
      <c r="G6" s="59" t="s">
        <v>345</v>
      </c>
      <c r="H6" s="76"/>
      <c r="I6" s="76"/>
      <c r="J6" s="76"/>
      <c r="K6" s="76">
        <v>168</v>
      </c>
      <c r="L6" s="24">
        <v>10000</v>
      </c>
      <c r="M6" s="60" t="b">
        <v>0</v>
      </c>
      <c r="N6" s="60" t="b">
        <v>1</v>
      </c>
      <c r="O6" s="60">
        <v>100</v>
      </c>
    </row>
    <row r="7" spans="1:16" x14ac:dyDescent="0.25">
      <c r="A7" s="60" t="s">
        <v>403</v>
      </c>
      <c r="B7" s="59" t="s">
        <v>404</v>
      </c>
      <c r="C7" s="59">
        <v>5</v>
      </c>
      <c r="D7" s="75">
        <v>0.1</v>
      </c>
      <c r="E7" s="65" t="s">
        <v>390</v>
      </c>
      <c r="F7" s="60" t="s">
        <v>288</v>
      </c>
      <c r="G7" s="59" t="s">
        <v>402</v>
      </c>
      <c r="H7" s="76"/>
      <c r="I7" s="76"/>
      <c r="J7" s="76"/>
      <c r="K7" s="76">
        <v>168</v>
      </c>
      <c r="L7" s="24">
        <v>7000</v>
      </c>
      <c r="M7" s="60" t="b">
        <v>0</v>
      </c>
      <c r="N7" s="60" t="b">
        <v>1</v>
      </c>
      <c r="O7" s="60">
        <v>100</v>
      </c>
    </row>
    <row r="8" spans="1:16" x14ac:dyDescent="0.25">
      <c r="C8" s="18"/>
      <c r="D8" s="18"/>
      <c r="E8" s="19"/>
      <c r="G8" s="20"/>
      <c r="H8" s="20"/>
      <c r="I8" s="20"/>
      <c r="J8" s="20"/>
      <c r="K8" s="23"/>
      <c r="L8" s="24"/>
      <c r="M8" s="30"/>
      <c r="N8" s="30"/>
      <c r="P8" s="30"/>
    </row>
    <row r="9" spans="1:16" x14ac:dyDescent="0.25">
      <c r="C9" s="18"/>
      <c r="D9" s="18"/>
      <c r="E9" s="19"/>
      <c r="G9" s="20"/>
      <c r="H9" s="20"/>
      <c r="I9" s="20"/>
      <c r="J9" s="20"/>
      <c r="K9" s="23"/>
      <c r="L9" s="24"/>
      <c r="M9" s="30"/>
      <c r="N9" s="30"/>
      <c r="P9" s="30"/>
    </row>
    <row r="10" spans="1:16" x14ac:dyDescent="0.25">
      <c r="C10" s="18"/>
      <c r="D10" s="18"/>
      <c r="E10" s="19"/>
      <c r="G10" s="20"/>
      <c r="H10" s="20"/>
      <c r="I10" s="20"/>
      <c r="J10" s="20"/>
      <c r="K10" s="23"/>
      <c r="L10" s="24"/>
      <c r="M10" s="30"/>
      <c r="N10" s="30"/>
      <c r="P10" s="30"/>
    </row>
    <row r="11" spans="1:16" x14ac:dyDescent="0.25">
      <c r="C11" s="18"/>
      <c r="D11" s="18"/>
      <c r="E11" s="19"/>
      <c r="G11" s="20"/>
      <c r="H11" s="20"/>
      <c r="I11" s="20"/>
      <c r="J11" s="20"/>
      <c r="K11" s="23"/>
      <c r="L11" s="24"/>
      <c r="M11" s="30"/>
      <c r="N11" s="30"/>
      <c r="P11" s="30"/>
    </row>
    <row r="12" spans="1:16" x14ac:dyDescent="0.25">
      <c r="C12" s="18"/>
      <c r="D12" s="18"/>
      <c r="E12" s="19"/>
      <c r="G12" s="20"/>
      <c r="H12" s="20"/>
      <c r="I12" s="20"/>
      <c r="J12" s="20"/>
      <c r="K12" s="23"/>
      <c r="L12" s="24"/>
      <c r="M12" s="30"/>
      <c r="N12" s="30"/>
      <c r="P12" s="30"/>
    </row>
    <row r="13" spans="1:16" x14ac:dyDescent="0.25">
      <c r="C13" s="18"/>
      <c r="D13" s="18"/>
      <c r="E13" s="19"/>
      <c r="G13" s="20"/>
      <c r="H13" s="20"/>
      <c r="I13" s="20"/>
      <c r="J13" s="20"/>
      <c r="K13" s="23"/>
      <c r="L13" s="24"/>
      <c r="M13" s="30"/>
      <c r="N13" s="30"/>
      <c r="P13" s="30"/>
    </row>
    <row r="14" spans="1:16" x14ac:dyDescent="0.25">
      <c r="C14" s="18"/>
      <c r="D14" s="18"/>
      <c r="E14" s="19"/>
      <c r="G14" s="19"/>
      <c r="H14" s="20"/>
      <c r="I14" s="20"/>
      <c r="J14" s="20"/>
      <c r="K14" s="23"/>
      <c r="L14" s="24"/>
      <c r="M14" s="30"/>
      <c r="N14" s="30"/>
      <c r="P14" s="30"/>
    </row>
    <row r="15" spans="1:16" x14ac:dyDescent="0.25">
      <c r="C15" s="18"/>
      <c r="D15" s="18"/>
      <c r="E15" s="19"/>
      <c r="G15" s="19"/>
      <c r="H15" s="20"/>
      <c r="I15" s="20"/>
      <c r="J15" s="20"/>
      <c r="K15" s="23"/>
      <c r="L15" s="24"/>
      <c r="M15" s="30"/>
      <c r="N15" s="30"/>
      <c r="P15" s="30"/>
    </row>
    <row r="16" spans="1:16" x14ac:dyDescent="0.25">
      <c r="C16" s="18"/>
      <c r="D16" s="18"/>
      <c r="E16" s="19"/>
      <c r="G16" s="19"/>
      <c r="H16" s="20"/>
      <c r="I16" s="20"/>
      <c r="J16" s="20"/>
      <c r="K16" s="23"/>
      <c r="L16" s="24"/>
      <c r="M16" s="30"/>
      <c r="N16" s="30"/>
      <c r="P16" s="30"/>
    </row>
    <row r="17" spans="3:16" x14ac:dyDescent="0.25">
      <c r="C17" s="18"/>
      <c r="D17" s="18"/>
      <c r="E17" s="19"/>
      <c r="G17" s="19"/>
      <c r="H17" s="20"/>
      <c r="I17" s="20"/>
      <c r="J17" s="20"/>
      <c r="K17" s="23"/>
      <c r="L17" s="24"/>
      <c r="M17" s="30"/>
      <c r="N17" s="30"/>
      <c r="P17" s="30"/>
    </row>
    <row r="18" spans="3:16" x14ac:dyDescent="0.25">
      <c r="C18" s="18"/>
      <c r="D18" s="18"/>
      <c r="E18" s="19"/>
      <c r="G18" s="19"/>
      <c r="H18" s="20"/>
      <c r="I18" s="20"/>
      <c r="J18" s="20"/>
      <c r="K18" s="23"/>
      <c r="L18" s="24"/>
      <c r="M18" s="30"/>
      <c r="N18" s="30"/>
      <c r="P18" s="30"/>
    </row>
    <row r="19" spans="3:16" x14ac:dyDescent="0.25">
      <c r="C19" s="18"/>
      <c r="D19" s="18"/>
      <c r="E19" s="19"/>
      <c r="G19" s="19"/>
      <c r="H19" s="20"/>
      <c r="I19" s="20"/>
      <c r="J19" s="20"/>
      <c r="K19" s="23"/>
      <c r="L19" s="24"/>
      <c r="M19" s="30"/>
      <c r="N19" s="30"/>
      <c r="P19" s="30"/>
    </row>
    <row r="20" spans="3:16" x14ac:dyDescent="0.25">
      <c r="C20" s="18"/>
      <c r="D20" s="18"/>
      <c r="E20" s="19"/>
      <c r="G20" s="19"/>
      <c r="H20" s="20"/>
      <c r="I20" s="20"/>
      <c r="J20" s="20"/>
      <c r="K20" s="23"/>
      <c r="L20" s="24"/>
      <c r="M20" s="30"/>
      <c r="N20" s="30"/>
      <c r="P20" s="30"/>
    </row>
    <row r="21" spans="3:16" x14ac:dyDescent="0.25">
      <c r="C21" s="18"/>
      <c r="D21" s="18"/>
      <c r="E21" s="19"/>
      <c r="G21" s="19"/>
      <c r="H21" s="20"/>
      <c r="I21" s="20"/>
      <c r="J21" s="20"/>
      <c r="K21" s="23"/>
      <c r="L21" s="24"/>
      <c r="M21" s="30"/>
      <c r="N21" s="30"/>
      <c r="P21" s="30"/>
    </row>
    <row r="22" spans="3:16" x14ac:dyDescent="0.25">
      <c r="C22" s="18"/>
      <c r="D22" s="18"/>
      <c r="E22" s="19"/>
      <c r="G22" s="19"/>
      <c r="H22" s="20"/>
      <c r="I22" s="20"/>
      <c r="J22" s="20"/>
      <c r="K22" s="23"/>
      <c r="L22" s="24"/>
      <c r="M22" s="30"/>
      <c r="N22" s="30"/>
      <c r="P22" s="30"/>
    </row>
    <row r="23" spans="3:16" x14ac:dyDescent="0.25">
      <c r="C23" s="18"/>
      <c r="D23" s="18"/>
      <c r="E23" s="19"/>
      <c r="G23" s="19"/>
      <c r="H23" s="20"/>
      <c r="I23" s="20"/>
      <c r="J23" s="20"/>
      <c r="K23" s="23"/>
      <c r="L23" s="24"/>
      <c r="M23" s="30"/>
      <c r="N23" s="30"/>
      <c r="P23" s="30"/>
    </row>
    <row r="24" spans="3:16" x14ac:dyDescent="0.25">
      <c r="C24" s="18"/>
      <c r="D24" s="18"/>
      <c r="E24" s="19"/>
      <c r="G24" s="19"/>
      <c r="H24" s="20"/>
      <c r="I24" s="20"/>
      <c r="J24" s="20"/>
      <c r="K24" s="23"/>
      <c r="L24" s="24"/>
      <c r="M24" s="30"/>
      <c r="N24" s="30"/>
      <c r="P24" s="30"/>
    </row>
    <row r="25" spans="3:16" x14ac:dyDescent="0.25">
      <c r="C25" s="18"/>
      <c r="D25" s="18"/>
      <c r="E25" s="19"/>
      <c r="G25" s="19"/>
      <c r="H25" s="20"/>
      <c r="I25" s="20"/>
      <c r="J25" s="20"/>
      <c r="K25" s="23"/>
      <c r="L25" s="24"/>
      <c r="M25" s="30"/>
      <c r="N25" s="30"/>
      <c r="P25" s="30"/>
    </row>
    <row r="26" spans="3:16" x14ac:dyDescent="0.25">
      <c r="C26" s="18"/>
      <c r="D26" s="18"/>
      <c r="E26" s="19"/>
      <c r="G26" s="19"/>
      <c r="H26" s="20"/>
      <c r="I26" s="20"/>
      <c r="J26" s="20"/>
      <c r="K26" s="23"/>
      <c r="L26" s="24"/>
      <c r="M26" s="30"/>
      <c r="N26" s="30"/>
      <c r="P26" s="30"/>
    </row>
    <row r="27" spans="3:16" x14ac:dyDescent="0.25">
      <c r="C27" s="18"/>
      <c r="D27" s="18"/>
      <c r="E27" s="19"/>
      <c r="G27" s="19"/>
      <c r="H27" s="20"/>
      <c r="I27" s="20"/>
      <c r="J27" s="20"/>
      <c r="K27" s="23"/>
      <c r="L27" s="24"/>
      <c r="M27" s="30"/>
      <c r="N27" s="30"/>
      <c r="P27" s="30"/>
    </row>
    <row r="28" spans="3:16" x14ac:dyDescent="0.25">
      <c r="C28" s="18"/>
      <c r="D28" s="18"/>
      <c r="E28" s="19"/>
      <c r="G28" s="19"/>
      <c r="H28" s="20"/>
      <c r="I28" s="20"/>
      <c r="J28" s="20"/>
      <c r="K28" s="23"/>
      <c r="L28" s="24"/>
      <c r="M28" s="30"/>
      <c r="N28" s="30"/>
      <c r="P28" s="30"/>
    </row>
    <row r="29" spans="3:16" x14ac:dyDescent="0.25">
      <c r="C29" s="18"/>
      <c r="D29" s="18"/>
      <c r="E29" s="19"/>
      <c r="G29" s="19"/>
      <c r="H29" s="20"/>
      <c r="I29" s="20"/>
      <c r="J29" s="20"/>
      <c r="K29" s="23"/>
      <c r="L29" s="24"/>
      <c r="M29" s="30"/>
      <c r="N29" s="30"/>
      <c r="P29" s="30"/>
    </row>
    <row r="30" spans="3:16" x14ac:dyDescent="0.25">
      <c r="C30" s="18"/>
      <c r="D30" s="18"/>
      <c r="E30" s="19"/>
      <c r="G30" s="19"/>
      <c r="H30" s="20"/>
      <c r="I30" s="20"/>
      <c r="J30" s="20"/>
      <c r="K30" s="23"/>
      <c r="L30" s="24"/>
      <c r="M30" s="30"/>
      <c r="N30" s="30"/>
      <c r="P30" s="30"/>
    </row>
    <row r="31" spans="3:16" x14ac:dyDescent="0.25">
      <c r="D31" s="18"/>
      <c r="E31" s="19"/>
      <c r="G31" s="19"/>
      <c r="H31" s="20"/>
      <c r="I31" s="20"/>
      <c r="J31" s="20"/>
      <c r="K31" s="23"/>
      <c r="L31" s="24"/>
      <c r="M31" s="30"/>
      <c r="N31" s="30"/>
      <c r="P31" s="30"/>
    </row>
    <row r="32" spans="3:16" x14ac:dyDescent="0.25">
      <c r="D32" s="18"/>
      <c r="E32" s="19"/>
      <c r="G32" s="19"/>
      <c r="H32" s="20"/>
      <c r="I32" s="20"/>
      <c r="J32" s="20"/>
      <c r="K32" s="23"/>
      <c r="L32" s="24"/>
      <c r="M32" s="30"/>
      <c r="N32" s="30"/>
      <c r="P32" s="30"/>
    </row>
    <row r="33" spans="4:16" x14ac:dyDescent="0.25">
      <c r="D33" s="18"/>
      <c r="E33" s="19"/>
      <c r="G33" s="19"/>
      <c r="H33" s="20"/>
      <c r="I33" s="20"/>
      <c r="J33" s="20"/>
      <c r="K33" s="23"/>
      <c r="L33" s="24"/>
      <c r="M33" s="30"/>
      <c r="N33" s="30"/>
      <c r="P33" s="30"/>
    </row>
    <row r="34" spans="4:16" x14ac:dyDescent="0.25">
      <c r="D34" s="18"/>
      <c r="E34" s="19"/>
      <c r="G34" s="19"/>
      <c r="H34" s="20"/>
      <c r="I34" s="20"/>
      <c r="J34" s="20"/>
      <c r="K34" s="23"/>
      <c r="L34" s="24"/>
      <c r="M34" s="30"/>
      <c r="N34" s="30"/>
      <c r="P34" s="30"/>
    </row>
    <row r="35" spans="4:16" x14ac:dyDescent="0.25">
      <c r="D35" s="18"/>
      <c r="E35" s="19"/>
      <c r="G35" s="19"/>
      <c r="H35" s="20"/>
      <c r="I35" s="20"/>
      <c r="J35" s="20"/>
      <c r="K35" s="23"/>
      <c r="L35" s="24"/>
      <c r="M35" s="30"/>
      <c r="N35" s="30"/>
      <c r="P35" s="30"/>
    </row>
    <row r="36" spans="4:16" x14ac:dyDescent="0.25">
      <c r="D36" s="18"/>
      <c r="E36" s="19"/>
      <c r="G36" s="19"/>
      <c r="H36" s="20"/>
      <c r="I36" s="20"/>
      <c r="J36" s="20"/>
      <c r="K36" s="23"/>
      <c r="L36" s="24"/>
      <c r="M36" s="30"/>
      <c r="N36" s="30"/>
      <c r="P36" s="30"/>
    </row>
    <row r="37" spans="4:16" x14ac:dyDescent="0.25">
      <c r="D37" s="18"/>
      <c r="G37" s="19"/>
      <c r="H37" s="20"/>
      <c r="I37" s="20"/>
      <c r="J37" s="20"/>
      <c r="K37" s="23"/>
      <c r="L37" s="24"/>
      <c r="M37" s="30"/>
      <c r="N37" s="30"/>
      <c r="P37" s="30"/>
    </row>
    <row r="38" spans="4:16" x14ac:dyDescent="0.25">
      <c r="D38" s="18"/>
      <c r="G38" s="19"/>
      <c r="H38" s="20"/>
      <c r="I38" s="20"/>
      <c r="J38" s="20"/>
      <c r="K38" s="23"/>
      <c r="L38" s="24"/>
      <c r="M38" s="30"/>
      <c r="N38" s="30"/>
      <c r="P38" s="30"/>
    </row>
    <row r="39" spans="4:16" x14ac:dyDescent="0.25">
      <c r="D39" s="18"/>
      <c r="H39" s="20"/>
      <c r="I39" s="20"/>
      <c r="J39" s="20"/>
      <c r="K39" s="23"/>
      <c r="L39" s="24"/>
      <c r="M39" s="30"/>
      <c r="N39" s="30"/>
      <c r="P39" s="30"/>
    </row>
    <row r="40" spans="4:16" x14ac:dyDescent="0.25">
      <c r="D40" s="18"/>
      <c r="H40" s="20"/>
      <c r="I40" s="20"/>
      <c r="J40" s="20"/>
      <c r="K40" s="23"/>
      <c r="L40" s="24"/>
      <c r="M40" s="30"/>
      <c r="N40" s="30"/>
      <c r="P40" s="30"/>
    </row>
    <row r="41" spans="4:16" x14ac:dyDescent="0.25">
      <c r="D41" s="18"/>
      <c r="H41" s="20"/>
      <c r="I41" s="20"/>
      <c r="J41" s="20"/>
      <c r="K41" s="23"/>
      <c r="L41" s="24"/>
      <c r="M41" s="30"/>
      <c r="N41" s="30"/>
      <c r="P41" s="30"/>
    </row>
    <row r="42" spans="4:16" x14ac:dyDescent="0.25">
      <c r="D42" s="18"/>
      <c r="H42" s="20"/>
      <c r="I42" s="20"/>
      <c r="J42" s="20"/>
      <c r="K42" s="23"/>
      <c r="L42" s="24"/>
      <c r="M42" s="30"/>
      <c r="N42" s="30"/>
      <c r="P42" s="30"/>
    </row>
    <row r="43" spans="4:16" x14ac:dyDescent="0.25">
      <c r="D43" s="18"/>
      <c r="H43" s="20"/>
      <c r="I43" s="20"/>
      <c r="J43" s="20"/>
      <c r="K43" s="23"/>
      <c r="L43" s="24"/>
      <c r="M43" s="30"/>
      <c r="N43" s="30"/>
      <c r="P43" s="30"/>
    </row>
    <row r="44" spans="4:16" x14ac:dyDescent="0.25">
      <c r="D44" s="18"/>
      <c r="H44" s="20"/>
      <c r="I44" s="20"/>
      <c r="J44" s="20"/>
      <c r="K44" s="23"/>
      <c r="L44" s="24"/>
      <c r="M44" s="30"/>
      <c r="N44" s="30"/>
      <c r="P44" s="30"/>
    </row>
    <row r="45" spans="4:16" x14ac:dyDescent="0.25">
      <c r="D45" s="18"/>
      <c r="H45" s="20"/>
      <c r="I45" s="20"/>
      <c r="J45" s="20"/>
      <c r="K45" s="23"/>
      <c r="L45" s="24"/>
      <c r="M45" s="30"/>
      <c r="N45" s="30"/>
      <c r="P45" s="30"/>
    </row>
    <row r="46" spans="4:16" x14ac:dyDescent="0.25">
      <c r="D46" s="18"/>
      <c r="H46" s="20"/>
      <c r="I46" s="20"/>
      <c r="J46" s="20"/>
      <c r="K46" s="23"/>
      <c r="L46" s="24"/>
      <c r="M46" s="30"/>
      <c r="N46" s="30"/>
      <c r="P46" s="30"/>
    </row>
    <row r="47" spans="4:16" x14ac:dyDescent="0.25">
      <c r="D47" s="18"/>
      <c r="H47" s="20"/>
      <c r="I47" s="20"/>
      <c r="J47" s="20"/>
      <c r="K47" s="23"/>
      <c r="L47" s="24"/>
      <c r="M47" s="30"/>
      <c r="N47" s="30"/>
      <c r="P47" s="30"/>
    </row>
    <row r="48" spans="4:16" x14ac:dyDescent="0.25">
      <c r="D48" s="18"/>
      <c r="H48" s="20"/>
      <c r="I48" s="20"/>
      <c r="J48" s="20"/>
      <c r="K48" s="23"/>
      <c r="L48" s="24"/>
      <c r="M48" s="30"/>
      <c r="N48" s="30"/>
      <c r="P48" s="30"/>
    </row>
    <row r="49" spans="4:16" x14ac:dyDescent="0.25">
      <c r="D49" s="18"/>
      <c r="H49" s="20"/>
      <c r="I49" s="20"/>
      <c r="J49" s="20"/>
      <c r="K49" s="23"/>
      <c r="L49" s="24"/>
      <c r="M49" s="30"/>
      <c r="N49" s="30"/>
      <c r="P49" s="30"/>
    </row>
    <row r="50" spans="4:16" x14ac:dyDescent="0.25">
      <c r="D50" s="18"/>
      <c r="H50" s="20"/>
      <c r="I50" s="20"/>
      <c r="J50" s="20"/>
      <c r="K50" s="23"/>
      <c r="L50" s="24"/>
      <c r="M50" s="30"/>
      <c r="N50" s="30"/>
      <c r="P50" s="30"/>
    </row>
    <row r="51" spans="4:16" x14ac:dyDescent="0.25">
      <c r="D51" s="18"/>
      <c r="H51" s="20"/>
      <c r="I51" s="20"/>
      <c r="J51" s="20"/>
      <c r="K51" s="23"/>
      <c r="L51" s="24"/>
      <c r="M51" s="30"/>
      <c r="N51" s="30"/>
      <c r="P51" s="30"/>
    </row>
    <row r="52" spans="4:16" x14ac:dyDescent="0.25">
      <c r="D52" s="18"/>
      <c r="H52" s="20"/>
      <c r="I52" s="20"/>
      <c r="J52" s="20"/>
      <c r="K52" s="23"/>
      <c r="L52" s="24"/>
      <c r="M52" s="30"/>
      <c r="N52" s="30"/>
      <c r="P52" s="30"/>
    </row>
    <row r="53" spans="4:16" x14ac:dyDescent="0.25">
      <c r="D53" s="18"/>
      <c r="H53" s="20"/>
      <c r="I53" s="20"/>
      <c r="J53" s="20"/>
      <c r="K53" s="23"/>
      <c r="L53" s="24"/>
      <c r="M53" s="30"/>
      <c r="N53" s="30"/>
      <c r="P53" s="30"/>
    </row>
    <row r="54" spans="4:16" x14ac:dyDescent="0.25">
      <c r="D54" s="18"/>
      <c r="H54" s="20"/>
      <c r="I54" s="20"/>
      <c r="J54" s="20"/>
      <c r="K54" s="23"/>
      <c r="L54" s="24"/>
      <c r="M54" s="30"/>
      <c r="N54" s="30"/>
      <c r="P54" s="30"/>
    </row>
    <row r="55" spans="4:16" x14ac:dyDescent="0.25">
      <c r="D55" s="18"/>
      <c r="H55" s="20"/>
      <c r="I55" s="20"/>
      <c r="J55" s="20"/>
      <c r="K55" s="23"/>
      <c r="L55" s="24"/>
      <c r="M55" s="30"/>
      <c r="N55" s="30"/>
      <c r="P55" s="30"/>
    </row>
    <row r="56" spans="4:16" x14ac:dyDescent="0.25">
      <c r="D56" s="18"/>
      <c r="H56" s="20"/>
      <c r="I56" s="20"/>
      <c r="J56" s="20"/>
      <c r="K56" s="23"/>
      <c r="L56" s="24"/>
      <c r="M56" s="30"/>
      <c r="N56" s="30"/>
      <c r="P56" s="30"/>
    </row>
    <row r="57" spans="4:16" x14ac:dyDescent="0.25">
      <c r="D57" s="18"/>
      <c r="H57" s="20"/>
      <c r="I57" s="20"/>
      <c r="J57" s="20"/>
      <c r="K57" s="23"/>
      <c r="L57" s="24"/>
      <c r="M57" s="30"/>
      <c r="N57" s="30"/>
      <c r="P57" s="30"/>
    </row>
    <row r="58" spans="4:16" x14ac:dyDescent="0.25">
      <c r="D58" s="18"/>
      <c r="H58" s="20"/>
      <c r="I58" s="20"/>
      <c r="J58" s="20"/>
      <c r="K58" s="23"/>
      <c r="L58" s="24"/>
      <c r="M58" s="30"/>
      <c r="N58" s="30"/>
      <c r="P58" s="30"/>
    </row>
    <row r="59" spans="4:16" x14ac:dyDescent="0.25">
      <c r="D59" s="18"/>
      <c r="H59" s="20"/>
      <c r="I59" s="20"/>
      <c r="J59" s="20"/>
      <c r="K59" s="23"/>
      <c r="L59" s="24"/>
      <c r="M59" s="30"/>
      <c r="N59" s="30"/>
      <c r="P59" s="30"/>
    </row>
    <row r="60" spans="4:16" x14ac:dyDescent="0.25">
      <c r="D60" s="18"/>
      <c r="H60" s="20"/>
      <c r="I60" s="20"/>
      <c r="J60" s="20"/>
      <c r="K60" s="23"/>
      <c r="L60" s="24"/>
      <c r="M60" s="30"/>
      <c r="N60" s="30"/>
      <c r="P60" s="30"/>
    </row>
    <row r="61" spans="4:16" x14ac:dyDescent="0.25">
      <c r="D61" s="18"/>
      <c r="H61" s="20"/>
      <c r="I61" s="20"/>
      <c r="J61" s="20"/>
      <c r="K61" s="23"/>
      <c r="L61" s="24"/>
      <c r="M61" s="30"/>
      <c r="N61" s="30"/>
      <c r="P61" s="30"/>
    </row>
    <row r="62" spans="4:16" x14ac:dyDescent="0.25">
      <c r="D62" s="18"/>
      <c r="H62" s="20"/>
      <c r="I62" s="20"/>
      <c r="J62" s="20"/>
      <c r="K62" s="23"/>
      <c r="L62" s="24"/>
      <c r="M62" s="30"/>
      <c r="N62" s="30"/>
      <c r="P62" s="30"/>
    </row>
    <row r="63" spans="4:16" x14ac:dyDescent="0.25">
      <c r="D63" s="18"/>
      <c r="K63" s="23"/>
      <c r="L63" s="24"/>
      <c r="M63" s="30"/>
      <c r="N63" s="30"/>
      <c r="P63" s="30"/>
    </row>
    <row r="64" spans="4:16" x14ac:dyDescent="0.25">
      <c r="D64" s="18"/>
      <c r="K64" s="23"/>
      <c r="L64" s="24"/>
      <c r="M64" s="30"/>
      <c r="N64" s="30"/>
      <c r="P64" s="30"/>
    </row>
    <row r="65" spans="4:16" x14ac:dyDescent="0.25">
      <c r="D65" s="18"/>
      <c r="K65" s="23"/>
      <c r="L65" s="24"/>
      <c r="M65" s="30"/>
      <c r="N65" s="30"/>
      <c r="P65" s="30"/>
    </row>
    <row r="66" spans="4:16" x14ac:dyDescent="0.25">
      <c r="D66" s="18"/>
      <c r="K66" s="23"/>
      <c r="L66" s="24"/>
      <c r="M66" s="30"/>
      <c r="N66" s="30"/>
      <c r="P66" s="30"/>
    </row>
    <row r="67" spans="4:16" x14ac:dyDescent="0.25">
      <c r="D67" s="18"/>
      <c r="K67" s="23"/>
      <c r="L67" s="24"/>
      <c r="M67" s="30"/>
      <c r="N67" s="30"/>
      <c r="P67" s="30"/>
    </row>
    <row r="68" spans="4:16" x14ac:dyDescent="0.25">
      <c r="D68" s="18"/>
      <c r="K68" s="23"/>
      <c r="L68" s="24"/>
      <c r="M68" s="30"/>
      <c r="N68" s="30"/>
      <c r="P68" s="30"/>
    </row>
    <row r="69" spans="4:16" x14ac:dyDescent="0.25">
      <c r="D69" s="18"/>
      <c r="K69" s="23"/>
      <c r="L69" s="24"/>
      <c r="M69" s="30"/>
      <c r="N69" s="30"/>
      <c r="P69" s="30"/>
    </row>
    <row r="70" spans="4:16" x14ac:dyDescent="0.25">
      <c r="D70" s="18"/>
      <c r="K70" s="23"/>
      <c r="L70" s="24"/>
      <c r="M70" s="30"/>
      <c r="N70" s="30"/>
      <c r="P70" s="30"/>
    </row>
    <row r="71" spans="4:16" x14ac:dyDescent="0.25">
      <c r="D71" s="18"/>
      <c r="K71" s="23"/>
      <c r="L71" s="24"/>
      <c r="M71" s="30"/>
      <c r="N71" s="30"/>
      <c r="P71" s="30"/>
    </row>
    <row r="72" spans="4:16" x14ac:dyDescent="0.25">
      <c r="D72" s="18"/>
      <c r="K72" s="23"/>
      <c r="L72" s="24"/>
      <c r="M72" s="30"/>
      <c r="N72" s="30"/>
      <c r="P72" s="30"/>
    </row>
    <row r="73" spans="4:16" x14ac:dyDescent="0.25">
      <c r="D73" s="18"/>
      <c r="K73" s="23"/>
      <c r="L73" s="24"/>
      <c r="M73" s="30"/>
      <c r="N73" s="30"/>
      <c r="P73" s="30"/>
    </row>
    <row r="74" spans="4:16" x14ac:dyDescent="0.25">
      <c r="D74" s="18"/>
      <c r="K74" s="23"/>
      <c r="L74" s="24"/>
      <c r="M74" s="30"/>
      <c r="N74" s="30"/>
      <c r="P74" s="30"/>
    </row>
    <row r="75" spans="4:16" x14ac:dyDescent="0.25">
      <c r="K75" s="23"/>
      <c r="L75" s="24"/>
      <c r="M75" s="30"/>
      <c r="N75" s="30"/>
      <c r="P75" s="30"/>
    </row>
    <row r="76" spans="4:16" x14ac:dyDescent="0.25">
      <c r="K76" s="23"/>
      <c r="L76" s="24"/>
      <c r="M76" s="30"/>
      <c r="N76" s="30"/>
      <c r="P76" s="30"/>
    </row>
    <row r="77" spans="4:16" x14ac:dyDescent="0.25">
      <c r="K77" s="23"/>
      <c r="L77" s="24"/>
      <c r="M77" s="30"/>
      <c r="N77" s="30"/>
      <c r="P77" s="30"/>
    </row>
    <row r="78" spans="4:16" x14ac:dyDescent="0.25">
      <c r="K78" s="23"/>
      <c r="L78" s="24"/>
      <c r="M78" s="30"/>
      <c r="N78" s="30"/>
      <c r="P78" s="30"/>
    </row>
    <row r="79" spans="4:16" x14ac:dyDescent="0.25">
      <c r="K79" s="23"/>
      <c r="L79" s="24"/>
      <c r="M79" s="30"/>
      <c r="N79" s="30"/>
      <c r="P79" s="30"/>
    </row>
    <row r="80" spans="4:16" x14ac:dyDescent="0.25">
      <c r="K80" s="23"/>
      <c r="L80" s="24"/>
      <c r="M80" s="30"/>
      <c r="N80" s="30"/>
      <c r="P80" s="30"/>
    </row>
    <row r="81" spans="11:16" x14ac:dyDescent="0.25">
      <c r="K81" s="23"/>
      <c r="L81" s="24"/>
      <c r="M81" s="30"/>
      <c r="N81" s="30"/>
      <c r="P81" s="30"/>
    </row>
    <row r="82" spans="11:16" x14ac:dyDescent="0.25">
      <c r="K82" s="23"/>
      <c r="L82" s="24"/>
      <c r="M82" s="30"/>
      <c r="N82" s="30"/>
      <c r="P82" s="30"/>
    </row>
    <row r="83" spans="11:16" x14ac:dyDescent="0.25">
      <c r="K83" s="23"/>
      <c r="L83" s="24"/>
      <c r="M83" s="30"/>
      <c r="N83" s="30"/>
      <c r="P83" s="30"/>
    </row>
    <row r="84" spans="11:16" x14ac:dyDescent="0.25">
      <c r="K84" s="23"/>
      <c r="L84" s="24"/>
      <c r="M84" s="30"/>
      <c r="N84" s="30"/>
      <c r="P84" s="30"/>
    </row>
    <row r="85" spans="11:16" x14ac:dyDescent="0.25">
      <c r="K85" s="23"/>
      <c r="L85" s="24"/>
      <c r="M85" s="30"/>
      <c r="N85" s="30"/>
      <c r="P85" s="30"/>
    </row>
    <row r="86" spans="11:16" x14ac:dyDescent="0.25">
      <c r="K86" s="23"/>
      <c r="L86" s="24"/>
      <c r="M86" s="30"/>
      <c r="N86" s="30"/>
      <c r="P86" s="30"/>
    </row>
    <row r="87" spans="11:16" x14ac:dyDescent="0.25">
      <c r="K87" s="23"/>
      <c r="L87" s="24"/>
      <c r="M87" s="30"/>
      <c r="N87" s="30"/>
      <c r="P87" s="30"/>
    </row>
    <row r="88" spans="11:16" x14ac:dyDescent="0.25">
      <c r="K88" s="23"/>
      <c r="L88" s="24"/>
      <c r="M88" s="30"/>
      <c r="N88" s="30"/>
      <c r="P88" s="30"/>
    </row>
    <row r="89" spans="11:16" x14ac:dyDescent="0.25">
      <c r="K89" s="23"/>
      <c r="L89" s="24"/>
      <c r="M89" s="30"/>
      <c r="N89" s="30"/>
      <c r="P89" s="30"/>
    </row>
    <row r="90" spans="11:16" x14ac:dyDescent="0.25">
      <c r="K90" s="23"/>
      <c r="L90" s="24"/>
      <c r="M90" s="30"/>
      <c r="N90" s="30"/>
      <c r="P90" s="30"/>
    </row>
    <row r="91" spans="11:16" x14ac:dyDescent="0.25">
      <c r="K91" s="23"/>
      <c r="L91" s="24"/>
      <c r="M91" s="30"/>
      <c r="N91" s="30"/>
      <c r="P91" s="30"/>
    </row>
    <row r="92" spans="11:16" x14ac:dyDescent="0.25">
      <c r="K92" s="23"/>
      <c r="L92" s="24"/>
      <c r="M92" s="30"/>
      <c r="N92" s="30"/>
      <c r="P92" s="30"/>
    </row>
    <row r="93" spans="11:16" x14ac:dyDescent="0.25">
      <c r="K93" s="23"/>
      <c r="L93" s="24"/>
      <c r="M93" s="30"/>
      <c r="N93" s="30"/>
      <c r="P93" s="30"/>
    </row>
    <row r="94" spans="11:16" x14ac:dyDescent="0.25">
      <c r="K94" s="23"/>
      <c r="L94" s="24"/>
      <c r="M94" s="30"/>
      <c r="N94" s="30"/>
      <c r="P94" s="30"/>
    </row>
    <row r="95" spans="11:16" x14ac:dyDescent="0.25">
      <c r="K95" s="23"/>
      <c r="L95" s="24"/>
      <c r="M95" s="30"/>
      <c r="N95" s="30"/>
      <c r="P95" s="30"/>
    </row>
    <row r="96" spans="11:16" x14ac:dyDescent="0.25">
      <c r="K96" s="23"/>
      <c r="L96" s="24"/>
      <c r="M96" s="30"/>
      <c r="N96" s="30"/>
      <c r="P96" s="30"/>
    </row>
    <row r="97" spans="11:16" x14ac:dyDescent="0.25">
      <c r="K97" s="23"/>
      <c r="L97" s="24"/>
      <c r="M97" s="30"/>
      <c r="N97" s="30"/>
      <c r="P97" s="30"/>
    </row>
    <row r="98" spans="11:16" x14ac:dyDescent="0.25">
      <c r="K98" s="23"/>
      <c r="L98" s="24"/>
      <c r="M98" s="30"/>
      <c r="N98" s="30"/>
      <c r="P98" s="30"/>
    </row>
    <row r="99" spans="11:16" x14ac:dyDescent="0.25">
      <c r="K99" s="23"/>
      <c r="L99" s="24"/>
      <c r="M99" s="30"/>
      <c r="N99" s="30"/>
      <c r="P99" s="30"/>
    </row>
    <row r="100" spans="11:16" x14ac:dyDescent="0.25">
      <c r="K100" s="23"/>
      <c r="L100" s="24"/>
      <c r="M100" s="30"/>
      <c r="N100" s="30"/>
      <c r="P100" s="30"/>
    </row>
    <row r="101" spans="11:16" x14ac:dyDescent="0.25">
      <c r="K101" s="23"/>
      <c r="L101" s="24"/>
      <c r="M101" s="30"/>
      <c r="N101" s="30"/>
      <c r="P101" s="30"/>
    </row>
    <row r="102" spans="11:16" x14ac:dyDescent="0.25">
      <c r="K102" s="23"/>
      <c r="L102" s="24"/>
      <c r="M102" s="30"/>
      <c r="N102" s="30"/>
      <c r="P102" s="30"/>
    </row>
    <row r="103" spans="11:16" x14ac:dyDescent="0.25">
      <c r="K103" s="23"/>
      <c r="L103" s="24"/>
      <c r="M103" s="30"/>
      <c r="N103" s="30"/>
      <c r="P103" s="30"/>
    </row>
    <row r="104" spans="11:16" x14ac:dyDescent="0.25">
      <c r="K104" s="23"/>
      <c r="L104" s="24"/>
      <c r="M104" s="30"/>
      <c r="N104" s="30"/>
      <c r="P104" s="30"/>
    </row>
    <row r="105" spans="11:16" x14ac:dyDescent="0.25">
      <c r="K105" s="23"/>
      <c r="L105" s="24"/>
      <c r="M105" s="30"/>
      <c r="N105" s="30"/>
      <c r="P105" s="30"/>
    </row>
    <row r="106" spans="11:16" x14ac:dyDescent="0.25">
      <c r="K106" s="23"/>
      <c r="L106" s="24"/>
      <c r="M106" s="30"/>
      <c r="N106" s="30"/>
      <c r="P106" s="30"/>
    </row>
    <row r="107" spans="11:16" x14ac:dyDescent="0.25">
      <c r="K107" s="23"/>
      <c r="L107" s="24"/>
      <c r="M107" s="30"/>
      <c r="N107" s="30"/>
      <c r="P107" s="30"/>
    </row>
    <row r="108" spans="11:16" x14ac:dyDescent="0.25">
      <c r="K108" s="23"/>
      <c r="L108" s="24"/>
      <c r="M108" s="30"/>
      <c r="N108" s="30"/>
      <c r="P108" s="30"/>
    </row>
    <row r="109" spans="11:16" x14ac:dyDescent="0.25">
      <c r="K109" s="23"/>
      <c r="L109" s="24"/>
      <c r="M109" s="30"/>
      <c r="N109" s="30"/>
      <c r="P109" s="30"/>
    </row>
    <row r="110" spans="11:16" x14ac:dyDescent="0.25">
      <c r="K110" s="23"/>
      <c r="L110" s="24"/>
      <c r="M110" s="30"/>
      <c r="N110" s="30"/>
      <c r="P110" s="30"/>
    </row>
    <row r="111" spans="11:16" x14ac:dyDescent="0.25">
      <c r="K111" s="23"/>
      <c r="L111" s="24"/>
      <c r="M111" s="30"/>
      <c r="N111" s="30"/>
      <c r="P111" s="30"/>
    </row>
    <row r="112" spans="11:16" x14ac:dyDescent="0.25">
      <c r="K112" s="23"/>
      <c r="L112" s="24"/>
      <c r="M112" s="30"/>
      <c r="N112" s="30"/>
      <c r="P112" s="30"/>
    </row>
    <row r="113" spans="11:16" x14ac:dyDescent="0.25">
      <c r="K113" s="23"/>
      <c r="L113" s="24"/>
      <c r="M113" s="30"/>
      <c r="N113" s="30"/>
      <c r="P113" s="30"/>
    </row>
    <row r="114" spans="11:16" x14ac:dyDescent="0.25">
      <c r="K114" s="23"/>
      <c r="L114" s="24"/>
      <c r="M114" s="30"/>
      <c r="N114" s="30"/>
      <c r="P114" s="30"/>
    </row>
    <row r="115" spans="11:16" x14ac:dyDescent="0.25">
      <c r="K115" s="23"/>
      <c r="L115" s="24"/>
      <c r="M115" s="30"/>
      <c r="N115" s="30"/>
      <c r="P115" s="30"/>
    </row>
    <row r="116" spans="11:16" x14ac:dyDescent="0.25">
      <c r="K116" s="23"/>
      <c r="L116" s="24"/>
      <c r="M116" s="30"/>
      <c r="N116" s="30"/>
      <c r="P116" s="30"/>
    </row>
    <row r="117" spans="11:16" x14ac:dyDescent="0.25">
      <c r="K117" s="23"/>
      <c r="L117" s="24"/>
      <c r="M117" s="30"/>
      <c r="N117" s="30"/>
      <c r="P117" s="30"/>
    </row>
    <row r="118" spans="11:16" x14ac:dyDescent="0.25">
      <c r="K118" s="23"/>
      <c r="L118" s="24"/>
      <c r="M118" s="30"/>
      <c r="N118" s="30"/>
      <c r="P118" s="30"/>
    </row>
    <row r="119" spans="11:16" x14ac:dyDescent="0.25">
      <c r="K119" s="23"/>
      <c r="L119" s="24"/>
      <c r="M119" s="30"/>
      <c r="N119" s="30"/>
      <c r="P119" s="30"/>
    </row>
    <row r="120" spans="11:16" x14ac:dyDescent="0.25">
      <c r="K120" s="23"/>
      <c r="L120" s="24"/>
      <c r="M120" s="30"/>
      <c r="N120" s="30"/>
      <c r="P120" s="30"/>
    </row>
    <row r="121" spans="11:16" x14ac:dyDescent="0.25">
      <c r="K121" s="23"/>
      <c r="L121" s="24"/>
      <c r="M121" s="30"/>
      <c r="N121" s="30"/>
      <c r="P121" s="30"/>
    </row>
    <row r="122" spans="11:16" x14ac:dyDescent="0.25">
      <c r="K122" s="23"/>
      <c r="L122" s="24"/>
      <c r="M122" s="30"/>
      <c r="N122" s="30"/>
      <c r="P122" s="30"/>
    </row>
    <row r="123" spans="11:16" x14ac:dyDescent="0.25">
      <c r="K123" s="23"/>
      <c r="L123" s="24"/>
      <c r="M123" s="30"/>
      <c r="N123" s="30"/>
      <c r="P123" s="30"/>
    </row>
    <row r="124" spans="11:16" x14ac:dyDescent="0.25">
      <c r="K124" s="23"/>
      <c r="L124" s="24"/>
      <c r="M124" s="30"/>
      <c r="N124" s="30"/>
      <c r="P124" s="30"/>
    </row>
    <row r="125" spans="11:16" x14ac:dyDescent="0.25">
      <c r="K125" s="23"/>
      <c r="L125" s="24"/>
      <c r="M125" s="30"/>
      <c r="N125" s="30"/>
      <c r="P125" s="30"/>
    </row>
    <row r="126" spans="11:16" x14ac:dyDescent="0.25">
      <c r="K126" s="23"/>
      <c r="L126" s="24"/>
      <c r="M126" s="30"/>
      <c r="N126" s="30"/>
      <c r="P126" s="30"/>
    </row>
    <row r="127" spans="11:16" x14ac:dyDescent="0.25">
      <c r="K127" s="23"/>
      <c r="L127" s="24"/>
      <c r="M127" s="30"/>
      <c r="N127" s="30"/>
      <c r="P127" s="30"/>
    </row>
    <row r="128" spans="11:16" x14ac:dyDescent="0.25">
      <c r="K128" s="23"/>
      <c r="L128" s="24"/>
      <c r="M128" s="30"/>
      <c r="N128" s="30"/>
      <c r="P128" s="30"/>
    </row>
    <row r="129" spans="11:16" x14ac:dyDescent="0.25">
      <c r="K129" s="23"/>
      <c r="L129" s="24"/>
      <c r="M129" s="30"/>
      <c r="N129" s="30"/>
      <c r="P129" s="30"/>
    </row>
    <row r="130" spans="11:16" x14ac:dyDescent="0.25">
      <c r="K130" s="23"/>
      <c r="L130" s="24"/>
      <c r="M130" s="30"/>
      <c r="N130" s="30"/>
      <c r="P130" s="30"/>
    </row>
    <row r="131" spans="11:16" x14ac:dyDescent="0.25">
      <c r="K131" s="23"/>
      <c r="L131" s="24"/>
      <c r="M131" s="30"/>
      <c r="N131" s="30"/>
      <c r="P131" s="30"/>
    </row>
    <row r="132" spans="11:16" x14ac:dyDescent="0.25">
      <c r="K132" s="23"/>
      <c r="L132" s="24"/>
      <c r="M132" s="30"/>
      <c r="N132" s="30"/>
      <c r="P132" s="30"/>
    </row>
    <row r="133" spans="11:16" x14ac:dyDescent="0.25">
      <c r="K133" s="23"/>
      <c r="L133" s="24"/>
      <c r="M133" s="30"/>
      <c r="N133" s="30"/>
      <c r="P133" s="30"/>
    </row>
    <row r="134" spans="11:16" x14ac:dyDescent="0.25">
      <c r="K134" s="23"/>
      <c r="L134" s="24"/>
      <c r="M134" s="30"/>
      <c r="N134" s="30"/>
      <c r="P134" s="30"/>
    </row>
    <row r="135" spans="11:16" x14ac:dyDescent="0.25">
      <c r="K135" s="23"/>
      <c r="L135" s="24"/>
      <c r="M135" s="30"/>
      <c r="N135" s="30"/>
      <c r="P135" s="30"/>
    </row>
    <row r="136" spans="11:16" x14ac:dyDescent="0.25">
      <c r="K136" s="23"/>
      <c r="L136" s="24"/>
      <c r="M136" s="30"/>
      <c r="N136" s="30"/>
      <c r="P136" s="30"/>
    </row>
    <row r="137" spans="11:16" x14ac:dyDescent="0.25">
      <c r="K137" s="23"/>
      <c r="L137" s="24"/>
      <c r="M137" s="30"/>
      <c r="N137" s="30"/>
      <c r="P137" s="30"/>
    </row>
    <row r="138" spans="11:16" x14ac:dyDescent="0.25">
      <c r="K138" s="23"/>
      <c r="L138" s="24"/>
      <c r="M138" s="30"/>
      <c r="N138" s="30"/>
      <c r="P138" s="30"/>
    </row>
    <row r="139" spans="11:16" x14ac:dyDescent="0.25">
      <c r="K139" s="23"/>
      <c r="L139" s="24"/>
      <c r="M139" s="30"/>
      <c r="N139" s="30"/>
      <c r="P139" s="30"/>
    </row>
    <row r="140" spans="11:16" x14ac:dyDescent="0.25">
      <c r="K140" s="23"/>
      <c r="L140" s="24"/>
      <c r="M140" s="30"/>
      <c r="N140" s="30"/>
      <c r="P140" s="30"/>
    </row>
    <row r="141" spans="11:16" x14ac:dyDescent="0.25">
      <c r="K141" s="23"/>
      <c r="L141" s="24"/>
      <c r="M141" s="30"/>
      <c r="N141" s="30"/>
      <c r="P141" s="30"/>
    </row>
    <row r="142" spans="11:16" x14ac:dyDescent="0.25">
      <c r="K142" s="23"/>
      <c r="L142" s="24"/>
      <c r="M142" s="30"/>
      <c r="N142" s="30"/>
      <c r="P142" s="30"/>
    </row>
    <row r="143" spans="11:16" x14ac:dyDescent="0.25">
      <c r="K143" s="23"/>
      <c r="L143" s="24"/>
      <c r="M143" s="30"/>
      <c r="N143" s="30"/>
      <c r="P143" s="30"/>
    </row>
    <row r="144" spans="11:16" x14ac:dyDescent="0.25">
      <c r="K144" s="23"/>
      <c r="L144" s="24"/>
      <c r="M144" s="30"/>
      <c r="N144" s="30"/>
      <c r="P144" s="30"/>
    </row>
    <row r="145" spans="11:16" x14ac:dyDescent="0.25">
      <c r="K145" s="23"/>
      <c r="L145" s="24"/>
      <c r="M145" s="30"/>
      <c r="N145" s="30"/>
      <c r="P145" s="30"/>
    </row>
    <row r="146" spans="11:16" x14ac:dyDescent="0.25">
      <c r="K146" s="23"/>
      <c r="L146" s="24"/>
      <c r="M146" s="30"/>
      <c r="N146" s="30"/>
      <c r="P146" s="30"/>
    </row>
    <row r="147" spans="11:16" x14ac:dyDescent="0.25">
      <c r="K147" s="23"/>
      <c r="L147" s="24"/>
      <c r="M147" s="30"/>
      <c r="N147" s="30"/>
      <c r="P147" s="30"/>
    </row>
    <row r="148" spans="11:16" x14ac:dyDescent="0.25">
      <c r="K148" s="23"/>
      <c r="L148" s="24"/>
      <c r="M148" s="30"/>
      <c r="N148" s="30"/>
      <c r="P148" s="30"/>
    </row>
    <row r="149" spans="11:16" x14ac:dyDescent="0.25">
      <c r="K149" s="23"/>
      <c r="L149" s="24"/>
      <c r="M149" s="30"/>
      <c r="N149" s="30"/>
      <c r="P149" s="30"/>
    </row>
    <row r="150" spans="11:16" x14ac:dyDescent="0.25">
      <c r="K150" s="23"/>
      <c r="L150" s="24"/>
      <c r="M150" s="30"/>
      <c r="N150" s="30"/>
      <c r="P150" s="30"/>
    </row>
    <row r="151" spans="11:16" x14ac:dyDescent="0.25">
      <c r="K151" s="23"/>
      <c r="L151" s="24"/>
      <c r="M151" s="30"/>
      <c r="N151" s="30"/>
      <c r="P151" s="30"/>
    </row>
    <row r="152" spans="11:16" x14ac:dyDescent="0.25">
      <c r="K152" s="23"/>
      <c r="L152" s="24"/>
      <c r="M152" s="30"/>
      <c r="N152" s="30"/>
      <c r="P152" s="30"/>
    </row>
    <row r="153" spans="11:16" x14ac:dyDescent="0.25">
      <c r="K153" s="23"/>
      <c r="L153" s="24"/>
      <c r="M153" s="30"/>
      <c r="N153" s="30"/>
      <c r="P153" s="30"/>
    </row>
    <row r="154" spans="11:16" x14ac:dyDescent="0.25">
      <c r="K154" s="23"/>
      <c r="L154" s="24"/>
      <c r="M154" s="30"/>
      <c r="N154" s="30"/>
      <c r="P154" s="30"/>
    </row>
    <row r="155" spans="11:16" x14ac:dyDescent="0.25">
      <c r="K155" s="23"/>
      <c r="L155" s="24"/>
      <c r="M155" s="30"/>
      <c r="N155" s="30"/>
      <c r="P155" s="30"/>
    </row>
    <row r="156" spans="11:16" x14ac:dyDescent="0.25">
      <c r="K156" s="23"/>
      <c r="L156" s="24"/>
      <c r="M156" s="30"/>
      <c r="N156" s="30"/>
      <c r="P156" s="30"/>
    </row>
    <row r="157" spans="11:16" x14ac:dyDescent="0.25">
      <c r="K157" s="23"/>
      <c r="L157" s="24"/>
      <c r="M157" s="30"/>
      <c r="N157" s="30"/>
      <c r="P157" s="30"/>
    </row>
    <row r="158" spans="11:16" x14ac:dyDescent="0.25">
      <c r="K158" s="23"/>
      <c r="L158" s="24"/>
      <c r="M158" s="30"/>
      <c r="N158" s="30"/>
      <c r="P158" s="30"/>
    </row>
    <row r="159" spans="11:16" x14ac:dyDescent="0.25">
      <c r="K159" s="23"/>
      <c r="L159" s="24"/>
      <c r="M159" s="30"/>
      <c r="N159" s="30"/>
      <c r="P159" s="30"/>
    </row>
    <row r="160" spans="11:16" x14ac:dyDescent="0.25">
      <c r="K160" s="23"/>
      <c r="L160" s="24"/>
      <c r="M160" s="30"/>
      <c r="N160" s="30"/>
      <c r="P160" s="30"/>
    </row>
    <row r="161" spans="11:16" x14ac:dyDescent="0.25">
      <c r="K161" s="23"/>
      <c r="L161" s="24"/>
      <c r="M161" s="30"/>
      <c r="N161" s="30"/>
      <c r="P161" s="30"/>
    </row>
    <row r="162" spans="11:16" x14ac:dyDescent="0.25">
      <c r="K162" s="23"/>
      <c r="L162" s="24"/>
      <c r="M162" s="30"/>
      <c r="N162" s="30"/>
      <c r="P162" s="30"/>
    </row>
    <row r="163" spans="11:16" x14ac:dyDescent="0.25">
      <c r="K163" s="23"/>
      <c r="L163" s="24"/>
      <c r="M163" s="30"/>
      <c r="N163" s="30"/>
      <c r="P163" s="30"/>
    </row>
    <row r="164" spans="11:16" x14ac:dyDescent="0.25">
      <c r="K164" s="23"/>
      <c r="L164" s="24"/>
      <c r="M164" s="30"/>
      <c r="N164" s="30"/>
      <c r="P164" s="30"/>
    </row>
    <row r="165" spans="11:16" x14ac:dyDescent="0.25">
      <c r="K165" s="23"/>
      <c r="L165" s="24"/>
      <c r="M165" s="30"/>
      <c r="N165" s="30"/>
      <c r="P165" s="30"/>
    </row>
    <row r="166" spans="11:16" x14ac:dyDescent="0.25">
      <c r="K166" s="23"/>
      <c r="L166" s="24"/>
      <c r="M166" s="30"/>
      <c r="N166" s="30"/>
      <c r="P166" s="30"/>
    </row>
    <row r="167" spans="11:16" x14ac:dyDescent="0.25">
      <c r="K167" s="23"/>
      <c r="L167" s="24"/>
      <c r="M167" s="30"/>
      <c r="N167" s="30"/>
      <c r="P167" s="30"/>
    </row>
    <row r="168" spans="11:16" x14ac:dyDescent="0.25">
      <c r="K168" s="23"/>
      <c r="L168" s="24"/>
      <c r="M168" s="30"/>
      <c r="N168" s="30"/>
      <c r="P168" s="30"/>
    </row>
    <row r="169" spans="11:16" x14ac:dyDescent="0.25">
      <c r="K169" s="23"/>
      <c r="L169" s="24"/>
      <c r="M169" s="30"/>
      <c r="N169" s="30"/>
      <c r="P169" s="30"/>
    </row>
    <row r="170" spans="11:16" x14ac:dyDescent="0.25">
      <c r="K170" s="23"/>
      <c r="L170" s="24"/>
      <c r="M170" s="30"/>
      <c r="N170" s="30"/>
      <c r="P170" s="30"/>
    </row>
    <row r="171" spans="11:16" x14ac:dyDescent="0.25">
      <c r="K171" s="23"/>
      <c r="L171" s="24"/>
      <c r="M171" s="30"/>
      <c r="N171" s="30"/>
      <c r="P171" s="30"/>
    </row>
    <row r="172" spans="11:16" x14ac:dyDescent="0.25">
      <c r="K172" s="23"/>
      <c r="L172" s="24"/>
      <c r="M172" s="30"/>
      <c r="N172" s="30"/>
      <c r="P172" s="30"/>
    </row>
    <row r="173" spans="11:16" x14ac:dyDescent="0.25">
      <c r="K173" s="23"/>
      <c r="L173" s="24"/>
      <c r="M173" s="30"/>
      <c r="N173" s="30"/>
      <c r="P173" s="30"/>
    </row>
    <row r="174" spans="11:16" x14ac:dyDescent="0.25">
      <c r="K174" s="23"/>
      <c r="L174" s="24"/>
      <c r="M174" s="30"/>
      <c r="N174" s="30"/>
      <c r="P174" s="30"/>
    </row>
    <row r="175" spans="11:16" x14ac:dyDescent="0.25">
      <c r="K175" s="23"/>
      <c r="L175" s="24"/>
      <c r="M175" s="30"/>
      <c r="N175" s="30"/>
      <c r="P175" s="30"/>
    </row>
    <row r="176" spans="11:16" x14ac:dyDescent="0.25">
      <c r="K176" s="23"/>
      <c r="L176" s="24"/>
      <c r="M176" s="30"/>
      <c r="N176" s="30"/>
      <c r="P176" s="30"/>
    </row>
    <row r="177" spans="11:16" x14ac:dyDescent="0.25">
      <c r="K177" s="23"/>
      <c r="L177" s="24"/>
      <c r="M177" s="30"/>
      <c r="N177" s="30"/>
      <c r="P177" s="30"/>
    </row>
    <row r="178" spans="11:16" x14ac:dyDescent="0.25">
      <c r="K178" s="23"/>
      <c r="L178" s="24"/>
      <c r="M178" s="30"/>
      <c r="N178" s="30"/>
      <c r="P178" s="30"/>
    </row>
    <row r="179" spans="11:16" x14ac:dyDescent="0.25">
      <c r="K179" s="23"/>
      <c r="L179" s="24"/>
      <c r="M179" s="30"/>
      <c r="N179" s="30"/>
      <c r="P179" s="30"/>
    </row>
    <row r="180" spans="11:16" x14ac:dyDescent="0.25">
      <c r="K180" s="23"/>
      <c r="L180" s="24"/>
      <c r="M180" s="30"/>
      <c r="N180" s="30"/>
      <c r="P180" s="30"/>
    </row>
    <row r="181" spans="11:16" x14ac:dyDescent="0.25">
      <c r="K181" s="23"/>
      <c r="L181" s="24"/>
      <c r="M181" s="30"/>
      <c r="N181" s="30"/>
      <c r="P181" s="30"/>
    </row>
    <row r="182" spans="11:16" x14ac:dyDescent="0.25">
      <c r="K182" s="23"/>
      <c r="L182" s="24"/>
      <c r="M182" s="30"/>
      <c r="N182" s="30"/>
      <c r="P182" s="30"/>
    </row>
    <row r="183" spans="11:16" x14ac:dyDescent="0.25">
      <c r="L183" s="24"/>
      <c r="M183" s="30"/>
      <c r="N183" s="30"/>
      <c r="P183" s="30"/>
    </row>
    <row r="184" spans="11:16" x14ac:dyDescent="0.25">
      <c r="L184" s="24"/>
      <c r="M184" s="30"/>
      <c r="N184" s="30"/>
      <c r="P184" s="30"/>
    </row>
    <row r="185" spans="11:16" x14ac:dyDescent="0.25">
      <c r="L185" s="24"/>
      <c r="M185" s="30"/>
      <c r="N185" s="30"/>
      <c r="P185" s="30"/>
    </row>
    <row r="186" spans="11:16" x14ac:dyDescent="0.25">
      <c r="L186" s="24"/>
      <c r="M186" s="30"/>
      <c r="N186" s="30"/>
      <c r="P186" s="30"/>
    </row>
    <row r="187" spans="11:16" x14ac:dyDescent="0.25">
      <c r="L187" s="24"/>
      <c r="M187" s="30"/>
      <c r="N187" s="30"/>
      <c r="P187" s="30"/>
    </row>
    <row r="188" spans="11:16" x14ac:dyDescent="0.25">
      <c r="L188" s="24"/>
      <c r="M188" s="30"/>
      <c r="N188" s="30"/>
      <c r="P188" s="30"/>
    </row>
    <row r="189" spans="11:16" x14ac:dyDescent="0.25">
      <c r="L189" s="24"/>
      <c r="M189" s="30"/>
      <c r="N189" s="30"/>
      <c r="P189" s="30"/>
    </row>
    <row r="190" spans="11:16" x14ac:dyDescent="0.25">
      <c r="L190" s="24"/>
      <c r="M190" s="30"/>
      <c r="N190" s="30"/>
      <c r="P190" s="30"/>
    </row>
    <row r="191" spans="11:16" x14ac:dyDescent="0.25">
      <c r="L191" s="24"/>
      <c r="M191" s="30"/>
      <c r="N191" s="30"/>
      <c r="P191" s="30"/>
    </row>
    <row r="192" spans="11:16" x14ac:dyDescent="0.25">
      <c r="L192" s="24"/>
      <c r="M192" s="30"/>
      <c r="N192" s="30"/>
      <c r="P192" s="30"/>
    </row>
    <row r="193" spans="12:16" x14ac:dyDescent="0.25">
      <c r="L193" s="24"/>
      <c r="M193" s="30"/>
      <c r="N193" s="30"/>
      <c r="P193" s="30"/>
    </row>
    <row r="194" spans="12:16" x14ac:dyDescent="0.25">
      <c r="L194" s="24"/>
      <c r="M194" s="30"/>
      <c r="N194" s="30"/>
      <c r="P194" s="30"/>
    </row>
    <row r="195" spans="12:16" x14ac:dyDescent="0.25">
      <c r="L195" s="24"/>
      <c r="M195" s="30"/>
      <c r="N195" s="30"/>
      <c r="P195" s="30"/>
    </row>
    <row r="196" spans="12:16" x14ac:dyDescent="0.25">
      <c r="L196" s="24"/>
      <c r="M196" s="30"/>
      <c r="N196" s="30"/>
      <c r="P196" s="30"/>
    </row>
    <row r="197" spans="12:16" x14ac:dyDescent="0.25">
      <c r="L197" s="24"/>
      <c r="M197" s="30"/>
      <c r="N197" s="30"/>
      <c r="P197" s="30"/>
    </row>
    <row r="198" spans="12:16" x14ac:dyDescent="0.25">
      <c r="L198" s="24"/>
      <c r="M198" s="30"/>
      <c r="N198" s="30"/>
      <c r="P198" s="30"/>
    </row>
    <row r="199" spans="12:16" x14ac:dyDescent="0.25">
      <c r="L199" s="24"/>
      <c r="M199" s="30"/>
      <c r="N199" s="30"/>
      <c r="P199" s="30"/>
    </row>
    <row r="200" spans="12:16" x14ac:dyDescent="0.25">
      <c r="L200" s="24"/>
      <c r="M200" s="30"/>
      <c r="N200" s="30"/>
      <c r="P200" s="30"/>
    </row>
    <row r="201" spans="12:16" x14ac:dyDescent="0.25">
      <c r="L201" s="24"/>
      <c r="M201" s="30"/>
      <c r="N201" s="30"/>
      <c r="P201" s="30"/>
    </row>
    <row r="202" spans="12:16" x14ac:dyDescent="0.25">
      <c r="L202" s="24"/>
      <c r="M202" s="30"/>
      <c r="N202" s="30"/>
      <c r="P202" s="30"/>
    </row>
    <row r="203" spans="12:16" x14ac:dyDescent="0.25">
      <c r="L203" s="24"/>
      <c r="M203" s="30"/>
      <c r="N203" s="30"/>
      <c r="P203" s="30"/>
    </row>
    <row r="204" spans="12:16" x14ac:dyDescent="0.25">
      <c r="L204" s="24"/>
      <c r="M204" s="30"/>
      <c r="N204" s="30"/>
      <c r="P204" s="30"/>
    </row>
    <row r="205" spans="12:16" x14ac:dyDescent="0.25">
      <c r="L205" s="24"/>
      <c r="M205" s="30"/>
      <c r="N205" s="30"/>
      <c r="P205" s="30"/>
    </row>
    <row r="206" spans="12:16" x14ac:dyDescent="0.25">
      <c r="L206" s="24"/>
      <c r="M206" s="30"/>
      <c r="N206" s="30"/>
      <c r="P206" s="30"/>
    </row>
    <row r="207" spans="12:16" x14ac:dyDescent="0.25">
      <c r="L207" s="24"/>
      <c r="M207" s="30"/>
      <c r="N207" s="30"/>
      <c r="P207" s="30"/>
    </row>
    <row r="208" spans="12:16" x14ac:dyDescent="0.25">
      <c r="L208" s="24"/>
      <c r="M208" s="30"/>
      <c r="N208" s="30"/>
      <c r="P208" s="30"/>
    </row>
    <row r="209" spans="12:16" x14ac:dyDescent="0.25">
      <c r="L209" s="24"/>
      <c r="M209" s="30"/>
      <c r="N209" s="30"/>
      <c r="P209" s="30"/>
    </row>
    <row r="210" spans="12:16" x14ac:dyDescent="0.25">
      <c r="L210" s="24"/>
      <c r="M210" s="30"/>
      <c r="N210" s="30"/>
      <c r="P210" s="30"/>
    </row>
    <row r="211" spans="12:16" x14ac:dyDescent="0.25">
      <c r="L211" s="24"/>
      <c r="M211" s="30"/>
      <c r="N211" s="30"/>
      <c r="P211" s="30"/>
    </row>
    <row r="212" spans="12:16" x14ac:dyDescent="0.25">
      <c r="L212" s="24"/>
      <c r="M212" s="30"/>
      <c r="N212" s="30"/>
      <c r="P212" s="30"/>
    </row>
    <row r="213" spans="12:16" x14ac:dyDescent="0.25">
      <c r="L213" s="24"/>
      <c r="M213" s="30"/>
      <c r="N213" s="30"/>
      <c r="P213" s="30"/>
    </row>
    <row r="214" spans="12:16" x14ac:dyDescent="0.25">
      <c r="L214" s="24"/>
      <c r="M214" s="30"/>
      <c r="N214" s="30"/>
      <c r="P214" s="30"/>
    </row>
    <row r="215" spans="12:16" x14ac:dyDescent="0.25">
      <c r="L215" s="24"/>
      <c r="M215" s="30"/>
      <c r="N215" s="30"/>
      <c r="P215" s="30"/>
    </row>
    <row r="216" spans="12:16" x14ac:dyDescent="0.25">
      <c r="L216" s="24"/>
      <c r="M216" s="30"/>
      <c r="N216" s="30"/>
      <c r="P216" s="30"/>
    </row>
    <row r="217" spans="12:16" x14ac:dyDescent="0.25">
      <c r="L217" s="24"/>
      <c r="M217" s="30"/>
      <c r="N217" s="30"/>
      <c r="P217" s="30"/>
    </row>
    <row r="218" spans="12:16" x14ac:dyDescent="0.25">
      <c r="L218" s="24"/>
      <c r="M218" s="30"/>
      <c r="N218" s="30"/>
      <c r="P218" s="30"/>
    </row>
    <row r="219" spans="12:16" x14ac:dyDescent="0.25">
      <c r="L219" s="24"/>
      <c r="M219" s="30"/>
      <c r="N219" s="30"/>
      <c r="P219" s="30"/>
    </row>
    <row r="220" spans="12:16" x14ac:dyDescent="0.25">
      <c r="L220" s="24"/>
      <c r="M220" s="30"/>
      <c r="N220" s="30"/>
      <c r="P220" s="30"/>
    </row>
    <row r="221" spans="12:16" x14ac:dyDescent="0.25">
      <c r="L221" s="24"/>
      <c r="M221" s="30"/>
      <c r="N221" s="30"/>
      <c r="P221" s="30"/>
    </row>
    <row r="222" spans="12:16" x14ac:dyDescent="0.25">
      <c r="L222" s="24"/>
      <c r="M222" s="30"/>
      <c r="N222" s="30"/>
      <c r="P222" s="30"/>
    </row>
    <row r="223" spans="12:16" x14ac:dyDescent="0.25">
      <c r="L223" s="24"/>
      <c r="M223" s="30"/>
      <c r="N223" s="30"/>
      <c r="P223" s="30"/>
    </row>
    <row r="224" spans="12:16" x14ac:dyDescent="0.25">
      <c r="L224" s="24"/>
      <c r="M224" s="30"/>
      <c r="N224" s="30"/>
      <c r="P224" s="30"/>
    </row>
    <row r="225" spans="12:16" x14ac:dyDescent="0.25">
      <c r="L225" s="24"/>
      <c r="M225" s="30"/>
      <c r="N225" s="30"/>
      <c r="P225" s="30"/>
    </row>
    <row r="226" spans="12:16" x14ac:dyDescent="0.25">
      <c r="L226" s="24"/>
      <c r="M226" s="30"/>
      <c r="N226" s="30"/>
      <c r="P226" s="30"/>
    </row>
    <row r="227" spans="12:16" x14ac:dyDescent="0.25">
      <c r="L227" s="24"/>
      <c r="M227" s="30"/>
      <c r="N227" s="30"/>
      <c r="P227" s="30"/>
    </row>
    <row r="228" spans="12:16" x14ac:dyDescent="0.25">
      <c r="L228" s="24"/>
      <c r="M228" s="30"/>
      <c r="N228" s="30"/>
      <c r="P228" s="30"/>
    </row>
    <row r="229" spans="12:16" x14ac:dyDescent="0.25">
      <c r="L229" s="24"/>
      <c r="M229" s="30"/>
      <c r="N229" s="30"/>
      <c r="P229" s="30"/>
    </row>
    <row r="230" spans="12:16" x14ac:dyDescent="0.25">
      <c r="L230" s="24"/>
      <c r="M230" s="30"/>
      <c r="N230" s="30"/>
      <c r="P230" s="30"/>
    </row>
    <row r="231" spans="12:16" x14ac:dyDescent="0.25">
      <c r="L231" s="24"/>
      <c r="M231" s="30"/>
      <c r="N231" s="30"/>
      <c r="P231" s="30"/>
    </row>
    <row r="232" spans="12:16" x14ac:dyDescent="0.25">
      <c r="L232" s="24"/>
      <c r="M232" s="30"/>
      <c r="N232" s="30"/>
      <c r="P232" s="30"/>
    </row>
    <row r="233" spans="12:16" x14ac:dyDescent="0.25">
      <c r="L233" s="24"/>
      <c r="M233" s="30"/>
      <c r="N233" s="30"/>
      <c r="P233" s="30"/>
    </row>
    <row r="234" spans="12:16" x14ac:dyDescent="0.25">
      <c r="L234" s="24"/>
      <c r="M234" s="30"/>
      <c r="N234" s="30"/>
      <c r="P234" s="30"/>
    </row>
    <row r="235" spans="12:16" x14ac:dyDescent="0.25">
      <c r="L235" s="24"/>
      <c r="M235" s="30"/>
      <c r="N235" s="30"/>
      <c r="P235" s="30"/>
    </row>
    <row r="236" spans="12:16" x14ac:dyDescent="0.25">
      <c r="L236" s="24"/>
      <c r="M236" s="30"/>
      <c r="N236" s="30"/>
      <c r="P236" s="30"/>
    </row>
    <row r="237" spans="12:16" x14ac:dyDescent="0.25">
      <c r="L237" s="24"/>
      <c r="M237" s="30"/>
      <c r="N237" s="30"/>
      <c r="P237" s="30"/>
    </row>
    <row r="238" spans="12:16" x14ac:dyDescent="0.25">
      <c r="L238" s="24"/>
      <c r="M238" s="30"/>
      <c r="N238" s="30"/>
      <c r="P238" s="30"/>
    </row>
    <row r="239" spans="12:16" x14ac:dyDescent="0.25">
      <c r="L239" s="24"/>
      <c r="M239" s="30"/>
      <c r="N239" s="30"/>
      <c r="P239" s="30"/>
    </row>
    <row r="240" spans="12:16" x14ac:dyDescent="0.25">
      <c r="L240" s="24"/>
      <c r="M240" s="30"/>
      <c r="N240" s="30"/>
      <c r="P240" s="30"/>
    </row>
    <row r="241" spans="12:16" x14ac:dyDescent="0.25">
      <c r="L241" s="24"/>
      <c r="M241" s="30"/>
      <c r="N241" s="30"/>
      <c r="P241" s="30"/>
    </row>
    <row r="242" spans="12:16" x14ac:dyDescent="0.25">
      <c r="L242" s="24"/>
      <c r="M242" s="30"/>
      <c r="N242" s="30"/>
      <c r="P242" s="30"/>
    </row>
    <row r="243" spans="12:16" x14ac:dyDescent="0.25">
      <c r="L243" s="24"/>
      <c r="M243" s="30"/>
      <c r="N243" s="30"/>
      <c r="P243" s="30"/>
    </row>
    <row r="244" spans="12:16" x14ac:dyDescent="0.25">
      <c r="L244" s="24"/>
      <c r="M244" s="30"/>
      <c r="N244" s="30"/>
      <c r="P244" s="30"/>
    </row>
    <row r="245" spans="12:16" x14ac:dyDescent="0.25">
      <c r="L245" s="24"/>
      <c r="M245" s="30"/>
      <c r="N245" s="30"/>
      <c r="P245" s="30"/>
    </row>
    <row r="246" spans="12:16" x14ac:dyDescent="0.25">
      <c r="L246" s="24"/>
      <c r="M246" s="30"/>
      <c r="N246" s="30"/>
      <c r="P246" s="30"/>
    </row>
    <row r="247" spans="12:16" x14ac:dyDescent="0.25">
      <c r="L247" s="24"/>
      <c r="M247" s="30"/>
      <c r="N247" s="30"/>
      <c r="P247" s="30"/>
    </row>
    <row r="248" spans="12:16" x14ac:dyDescent="0.25">
      <c r="L248" s="24"/>
      <c r="M248" s="30"/>
      <c r="N248" s="30"/>
      <c r="P248" s="30"/>
    </row>
    <row r="249" spans="12:16" x14ac:dyDescent="0.25">
      <c r="L249" s="24"/>
      <c r="M249" s="30"/>
      <c r="N249" s="30"/>
      <c r="P249" s="30"/>
    </row>
    <row r="250" spans="12:16" x14ac:dyDescent="0.25">
      <c r="L250" s="24"/>
      <c r="M250" s="30"/>
      <c r="N250" s="30"/>
      <c r="P250" s="30"/>
    </row>
    <row r="251" spans="12:16" x14ac:dyDescent="0.25">
      <c r="L251" s="24"/>
      <c r="M251" s="30"/>
      <c r="N251" s="30"/>
      <c r="P251" s="30"/>
    </row>
    <row r="252" spans="12:16" x14ac:dyDescent="0.25">
      <c r="L252" s="24"/>
      <c r="M252" s="30"/>
      <c r="N252" s="30"/>
      <c r="P252" s="30"/>
    </row>
    <row r="253" spans="12:16" x14ac:dyDescent="0.25">
      <c r="L253" s="24"/>
      <c r="M253" s="30"/>
      <c r="N253" s="30"/>
      <c r="P253" s="30"/>
    </row>
    <row r="254" spans="12:16" x14ac:dyDescent="0.25">
      <c r="L254" s="24"/>
      <c r="M254" s="30"/>
      <c r="N254" s="30"/>
      <c r="P254" s="30"/>
    </row>
    <row r="255" spans="12:16" x14ac:dyDescent="0.25">
      <c r="L255" s="24"/>
      <c r="M255" s="30"/>
      <c r="N255" s="30"/>
      <c r="P255" s="30"/>
    </row>
    <row r="256" spans="12:16" x14ac:dyDescent="0.25">
      <c r="L256" s="24"/>
      <c r="M256" s="30"/>
      <c r="N256" s="30"/>
      <c r="P256" s="30"/>
    </row>
    <row r="257" spans="12:16" x14ac:dyDescent="0.25">
      <c r="L257" s="24"/>
      <c r="M257" s="30"/>
      <c r="N257" s="30"/>
      <c r="P257" s="30"/>
    </row>
    <row r="258" spans="12:16" x14ac:dyDescent="0.25">
      <c r="L258" s="24"/>
      <c r="M258" s="30"/>
      <c r="N258" s="30"/>
      <c r="P258" s="30"/>
    </row>
    <row r="259" spans="12:16" x14ac:dyDescent="0.25">
      <c r="L259" s="24"/>
      <c r="M259" s="30"/>
      <c r="N259" s="30"/>
      <c r="P259" s="30"/>
    </row>
    <row r="260" spans="12:16" x14ac:dyDescent="0.25">
      <c r="L260" s="24"/>
      <c r="M260" s="30"/>
      <c r="N260" s="30"/>
      <c r="P260" s="30"/>
    </row>
    <row r="261" spans="12:16" x14ac:dyDescent="0.25">
      <c r="L261" s="24"/>
      <c r="M261" s="30"/>
      <c r="N261" s="30"/>
      <c r="P261" s="30"/>
    </row>
    <row r="262" spans="12:16" x14ac:dyDescent="0.25">
      <c r="L262" s="24"/>
      <c r="M262" s="30"/>
      <c r="N262" s="30"/>
      <c r="P262" s="30"/>
    </row>
    <row r="263" spans="12:16" x14ac:dyDescent="0.25">
      <c r="L263" s="24"/>
      <c r="M263" s="30"/>
      <c r="N263" s="30"/>
      <c r="P263" s="30"/>
    </row>
    <row r="264" spans="12:16" x14ac:dyDescent="0.25">
      <c r="L264" s="24"/>
      <c r="M264" s="30"/>
      <c r="N264" s="30"/>
      <c r="P264" s="30"/>
    </row>
    <row r="265" spans="12:16" x14ac:dyDescent="0.25">
      <c r="L265" s="24"/>
      <c r="M265" s="30"/>
      <c r="N265" s="30"/>
      <c r="P265" s="30"/>
    </row>
    <row r="266" spans="12:16" x14ac:dyDescent="0.25">
      <c r="L266" s="24"/>
      <c r="M266" s="30"/>
      <c r="N266" s="30"/>
      <c r="P266" s="30"/>
    </row>
    <row r="267" spans="12:16" x14ac:dyDescent="0.25">
      <c r="L267" s="24"/>
      <c r="M267" s="30"/>
      <c r="N267" s="30"/>
      <c r="P267" s="30"/>
    </row>
    <row r="268" spans="12:16" x14ac:dyDescent="0.25">
      <c r="L268" s="24"/>
      <c r="M268" s="30"/>
      <c r="N268" s="30"/>
      <c r="P268" s="30"/>
    </row>
    <row r="269" spans="12:16" x14ac:dyDescent="0.25">
      <c r="L269" s="24"/>
      <c r="M269" s="30"/>
      <c r="N269" s="30"/>
      <c r="P269" s="30"/>
    </row>
    <row r="270" spans="12:16" x14ac:dyDescent="0.25">
      <c r="L270" s="24"/>
      <c r="M270" s="30"/>
      <c r="N270" s="30"/>
      <c r="P270" s="30"/>
    </row>
    <row r="271" spans="12:16" x14ac:dyDescent="0.25">
      <c r="L271" s="24"/>
      <c r="M271" s="30"/>
      <c r="N271" s="30"/>
      <c r="P271" s="30"/>
    </row>
    <row r="272" spans="12:16" x14ac:dyDescent="0.25">
      <c r="L272" s="24"/>
      <c r="M272" s="30"/>
      <c r="N272" s="30"/>
      <c r="P272" s="30"/>
    </row>
    <row r="273" spans="12:16" x14ac:dyDescent="0.25">
      <c r="L273" s="24"/>
      <c r="M273" s="30"/>
      <c r="N273" s="30"/>
      <c r="P273" s="30"/>
    </row>
    <row r="274" spans="12:16" x14ac:dyDescent="0.25">
      <c r="L274" s="24"/>
      <c r="M274" s="30"/>
      <c r="N274" s="30"/>
      <c r="P274" s="30"/>
    </row>
    <row r="275" spans="12:16" x14ac:dyDescent="0.25">
      <c r="L275" s="24"/>
      <c r="M275" s="30"/>
      <c r="N275" s="30"/>
      <c r="P275" s="30"/>
    </row>
    <row r="276" spans="12:16" x14ac:dyDescent="0.25">
      <c r="L276" s="24"/>
      <c r="M276" s="30"/>
      <c r="N276" s="30"/>
      <c r="P276" s="30"/>
    </row>
    <row r="277" spans="12:16" x14ac:dyDescent="0.25">
      <c r="L277" s="24"/>
      <c r="M277" s="30"/>
      <c r="N277" s="30"/>
      <c r="P277" s="30"/>
    </row>
    <row r="278" spans="12:16" x14ac:dyDescent="0.25">
      <c r="L278" s="24"/>
      <c r="M278" s="30"/>
      <c r="N278" s="30"/>
      <c r="P278" s="30"/>
    </row>
    <row r="279" spans="12:16" x14ac:dyDescent="0.25">
      <c r="L279" s="24"/>
      <c r="M279" s="30"/>
      <c r="N279" s="30"/>
      <c r="P279" s="30"/>
    </row>
    <row r="280" spans="12:16" x14ac:dyDescent="0.25">
      <c r="L280" s="24"/>
      <c r="M280" s="30"/>
      <c r="N280" s="30"/>
      <c r="P280" s="30"/>
    </row>
    <row r="281" spans="12:16" x14ac:dyDescent="0.25">
      <c r="L281" s="24"/>
      <c r="M281" s="30"/>
      <c r="N281" s="30"/>
      <c r="P281" s="30"/>
    </row>
    <row r="282" spans="12:16" x14ac:dyDescent="0.25">
      <c r="L282" s="24"/>
      <c r="M282" s="30"/>
      <c r="N282" s="30"/>
      <c r="P282" s="30"/>
    </row>
    <row r="283" spans="12:16" x14ac:dyDescent="0.25">
      <c r="L283" s="24"/>
      <c r="M283" s="30"/>
      <c r="N283" s="30"/>
      <c r="P283" s="30"/>
    </row>
    <row r="284" spans="12:16" x14ac:dyDescent="0.25">
      <c r="L284" s="24"/>
      <c r="M284" s="30"/>
      <c r="N284" s="30"/>
      <c r="P284" s="30"/>
    </row>
    <row r="285" spans="12:16" x14ac:dyDescent="0.25">
      <c r="L285" s="24"/>
      <c r="M285" s="30"/>
      <c r="N285" s="30"/>
      <c r="P285" s="30"/>
    </row>
    <row r="286" spans="12:16" x14ac:dyDescent="0.25">
      <c r="L286" s="24"/>
      <c r="M286" s="30"/>
      <c r="N286" s="30"/>
      <c r="P286" s="30"/>
    </row>
    <row r="287" spans="12:16" x14ac:dyDescent="0.25">
      <c r="L287" s="24"/>
      <c r="M287" s="30"/>
      <c r="N287" s="30"/>
      <c r="P287" s="30"/>
    </row>
    <row r="288" spans="12:16" x14ac:dyDescent="0.25">
      <c r="L288" s="24"/>
      <c r="M288" s="30"/>
      <c r="N288" s="30"/>
      <c r="P288" s="30"/>
    </row>
    <row r="289" spans="12:16" x14ac:dyDescent="0.25">
      <c r="L289" s="24"/>
      <c r="M289" s="30"/>
      <c r="N289" s="30"/>
      <c r="P289" s="30"/>
    </row>
    <row r="290" spans="12:16" x14ac:dyDescent="0.25">
      <c r="L290" s="24"/>
      <c r="M290" s="30"/>
      <c r="N290" s="30"/>
      <c r="P290" s="30"/>
    </row>
    <row r="291" spans="12:16" x14ac:dyDescent="0.25">
      <c r="L291" s="24"/>
      <c r="M291" s="30"/>
      <c r="N291" s="30"/>
      <c r="P291" s="30"/>
    </row>
    <row r="292" spans="12:16" x14ac:dyDescent="0.25">
      <c r="L292" s="24"/>
      <c r="M292" s="30"/>
      <c r="N292" s="30"/>
      <c r="P292" s="30"/>
    </row>
    <row r="293" spans="12:16" x14ac:dyDescent="0.25">
      <c r="L293" s="24"/>
      <c r="M293" s="30"/>
      <c r="N293" s="30"/>
      <c r="P293" s="30"/>
    </row>
    <row r="294" spans="12:16" x14ac:dyDescent="0.25">
      <c r="L294" s="24"/>
      <c r="M294" s="30"/>
      <c r="N294" s="30"/>
      <c r="P294" s="30"/>
    </row>
    <row r="295" spans="12:16" x14ac:dyDescent="0.25">
      <c r="L295" s="24"/>
      <c r="M295" s="30"/>
      <c r="N295" s="30"/>
      <c r="P295" s="30"/>
    </row>
    <row r="296" spans="12:16" x14ac:dyDescent="0.25">
      <c r="L296" s="24"/>
      <c r="M296" s="30"/>
      <c r="N296" s="30"/>
      <c r="P296" s="30"/>
    </row>
    <row r="297" spans="12:16" x14ac:dyDescent="0.25">
      <c r="L297" s="24"/>
      <c r="M297" s="30"/>
      <c r="N297" s="30"/>
      <c r="P297" s="30"/>
    </row>
    <row r="298" spans="12:16" x14ac:dyDescent="0.25">
      <c r="L298" s="24"/>
      <c r="M298" s="30"/>
      <c r="N298" s="30"/>
      <c r="P298" s="30"/>
    </row>
    <row r="299" spans="12:16" x14ac:dyDescent="0.25">
      <c r="L299" s="24"/>
      <c r="M299" s="30"/>
      <c r="N299" s="30"/>
      <c r="P299" s="30"/>
    </row>
    <row r="300" spans="12:16" x14ac:dyDescent="0.25">
      <c r="L300" s="24"/>
      <c r="M300" s="30"/>
      <c r="N300" s="30"/>
      <c r="P300" s="30"/>
    </row>
    <row r="301" spans="12:16" x14ac:dyDescent="0.25">
      <c r="L301" s="24"/>
      <c r="M301" s="30"/>
      <c r="N301" s="30"/>
      <c r="P301" s="30"/>
    </row>
    <row r="302" spans="12:16" x14ac:dyDescent="0.25">
      <c r="L302" s="24"/>
      <c r="M302" s="30"/>
      <c r="N302" s="30"/>
      <c r="P302" s="30"/>
    </row>
    <row r="303" spans="12:16" x14ac:dyDescent="0.25">
      <c r="L303" s="24"/>
      <c r="M303" s="30"/>
      <c r="N303" s="30"/>
      <c r="P303" s="30"/>
    </row>
    <row r="304" spans="12:16" x14ac:dyDescent="0.25">
      <c r="L304" s="24"/>
      <c r="M304" s="30"/>
      <c r="N304" s="30"/>
      <c r="P304" s="30"/>
    </row>
    <row r="305" spans="12:16" x14ac:dyDescent="0.25">
      <c r="L305" s="24"/>
      <c r="M305" s="30"/>
      <c r="N305" s="30"/>
      <c r="P305" s="30"/>
    </row>
    <row r="306" spans="12:16" x14ac:dyDescent="0.25">
      <c r="L306" s="24"/>
      <c r="M306" s="30"/>
      <c r="N306" s="30"/>
      <c r="P306" s="30"/>
    </row>
    <row r="307" spans="12:16" x14ac:dyDescent="0.25">
      <c r="L307" s="24"/>
      <c r="M307" s="30"/>
      <c r="N307" s="30"/>
      <c r="P307" s="30"/>
    </row>
    <row r="308" spans="12:16" x14ac:dyDescent="0.25">
      <c r="L308" s="24"/>
      <c r="M308" s="30"/>
      <c r="N308" s="30"/>
      <c r="P308" s="30"/>
    </row>
    <row r="309" spans="12:16" x14ac:dyDescent="0.25">
      <c r="L309" s="24"/>
      <c r="M309" s="30"/>
      <c r="N309" s="30"/>
      <c r="P309" s="30"/>
    </row>
    <row r="310" spans="12:16" x14ac:dyDescent="0.25">
      <c r="L310" s="24"/>
      <c r="M310" s="30"/>
      <c r="N310" s="30"/>
      <c r="P310" s="30"/>
    </row>
    <row r="311" spans="12:16" x14ac:dyDescent="0.25">
      <c r="L311" s="24"/>
      <c r="M311" s="30"/>
      <c r="N311" s="30"/>
      <c r="P311" s="30"/>
    </row>
    <row r="312" spans="12:16" x14ac:dyDescent="0.25">
      <c r="L312" s="24"/>
      <c r="M312" s="30"/>
      <c r="N312" s="30"/>
      <c r="P312" s="30"/>
    </row>
    <row r="313" spans="12:16" x14ac:dyDescent="0.25">
      <c r="L313" s="24"/>
      <c r="M313" s="30"/>
      <c r="N313" s="30"/>
      <c r="P313" s="30"/>
    </row>
    <row r="314" spans="12:16" x14ac:dyDescent="0.25">
      <c r="L314" s="24"/>
      <c r="M314" s="30"/>
      <c r="N314" s="30"/>
      <c r="P314" s="30"/>
    </row>
    <row r="315" spans="12:16" x14ac:dyDescent="0.25">
      <c r="L315" s="24"/>
      <c r="M315" s="30"/>
      <c r="N315" s="30"/>
      <c r="P315" s="30"/>
    </row>
    <row r="316" spans="12:16" x14ac:dyDescent="0.25">
      <c r="L316" s="24"/>
      <c r="M316" s="30"/>
      <c r="N316" s="30"/>
      <c r="P316" s="30"/>
    </row>
    <row r="317" spans="12:16" x14ac:dyDescent="0.25">
      <c r="L317" s="24"/>
      <c r="M317" s="30"/>
      <c r="N317" s="30"/>
      <c r="P317" s="30"/>
    </row>
    <row r="318" spans="12:16" x14ac:dyDescent="0.25">
      <c r="L318" s="24"/>
      <c r="M318" s="30"/>
      <c r="N318" s="30"/>
      <c r="P318" s="30"/>
    </row>
    <row r="319" spans="12:16" x14ac:dyDescent="0.25">
      <c r="L319" s="24"/>
      <c r="M319" s="30"/>
      <c r="N319" s="30"/>
      <c r="P319" s="30"/>
    </row>
    <row r="320" spans="12:16" x14ac:dyDescent="0.25">
      <c r="L320" s="24"/>
      <c r="M320" s="30"/>
      <c r="N320" s="30"/>
      <c r="P320" s="30"/>
    </row>
    <row r="321" spans="12:16" x14ac:dyDescent="0.25">
      <c r="L321" s="24"/>
      <c r="M321" s="30"/>
      <c r="N321" s="30"/>
      <c r="P321" s="30"/>
    </row>
    <row r="322" spans="12:16" x14ac:dyDescent="0.25">
      <c r="L322" s="24"/>
      <c r="M322" s="30"/>
      <c r="N322" s="30"/>
      <c r="P322" s="30"/>
    </row>
    <row r="323" spans="12:16" x14ac:dyDescent="0.25">
      <c r="L323" s="24"/>
      <c r="M323" s="30"/>
      <c r="N323" s="30"/>
      <c r="P323" s="30"/>
    </row>
    <row r="324" spans="12:16" x14ac:dyDescent="0.25">
      <c r="L324" s="24"/>
      <c r="M324" s="30"/>
      <c r="N324" s="30"/>
      <c r="P324" s="30"/>
    </row>
    <row r="325" spans="12:16" x14ac:dyDescent="0.25">
      <c r="L325" s="24"/>
      <c r="M325" s="30"/>
      <c r="N325" s="30"/>
      <c r="P325" s="30"/>
    </row>
    <row r="326" spans="12:16" x14ac:dyDescent="0.25">
      <c r="L326" s="24"/>
      <c r="M326" s="30"/>
      <c r="N326" s="30"/>
      <c r="P326" s="30"/>
    </row>
    <row r="327" spans="12:16" x14ac:dyDescent="0.25">
      <c r="L327" s="24"/>
      <c r="M327" s="30"/>
      <c r="N327" s="30"/>
      <c r="P327" s="30"/>
    </row>
    <row r="328" spans="12:16" x14ac:dyDescent="0.25">
      <c r="L328" s="24"/>
      <c r="M328" s="30"/>
      <c r="N328" s="30"/>
      <c r="P328" s="30"/>
    </row>
    <row r="329" spans="12:16" x14ac:dyDescent="0.25">
      <c r="L329" s="24"/>
      <c r="M329" s="30"/>
      <c r="N329" s="30"/>
      <c r="P329" s="30"/>
    </row>
    <row r="330" spans="12:16" x14ac:dyDescent="0.25">
      <c r="L330" s="24"/>
      <c r="M330" s="30"/>
      <c r="N330" s="30"/>
      <c r="P330" s="30"/>
    </row>
    <row r="331" spans="12:16" x14ac:dyDescent="0.25">
      <c r="L331" s="24"/>
      <c r="M331" s="30"/>
      <c r="N331" s="30"/>
      <c r="P331" s="30"/>
    </row>
    <row r="332" spans="12:16" x14ac:dyDescent="0.25">
      <c r="L332" s="24"/>
      <c r="M332" s="30"/>
      <c r="N332" s="30"/>
      <c r="P332" s="30"/>
    </row>
    <row r="333" spans="12:16" x14ac:dyDescent="0.25">
      <c r="L333" s="24"/>
      <c r="M333" s="30"/>
      <c r="N333" s="30"/>
      <c r="P333" s="30"/>
    </row>
    <row r="334" spans="12:16" x14ac:dyDescent="0.25">
      <c r="L334" s="24"/>
      <c r="M334" s="30"/>
      <c r="N334" s="30"/>
      <c r="P334" s="30"/>
    </row>
    <row r="335" spans="12:16" x14ac:dyDescent="0.25">
      <c r="L335" s="24"/>
      <c r="M335" s="30"/>
      <c r="N335" s="30"/>
      <c r="P335" s="30"/>
    </row>
    <row r="336" spans="12:16" x14ac:dyDescent="0.25">
      <c r="L336" s="24"/>
      <c r="M336" s="30"/>
      <c r="N336" s="30"/>
      <c r="P336" s="30"/>
    </row>
    <row r="337" spans="12:16" x14ac:dyDescent="0.25">
      <c r="L337" s="24"/>
      <c r="M337" s="30"/>
      <c r="N337" s="30"/>
      <c r="P337" s="30"/>
    </row>
    <row r="338" spans="12:16" x14ac:dyDescent="0.25">
      <c r="L338" s="24"/>
      <c r="M338" s="30"/>
      <c r="N338" s="30"/>
      <c r="P338" s="30"/>
    </row>
    <row r="339" spans="12:16" x14ac:dyDescent="0.25">
      <c r="L339" s="24"/>
      <c r="M339" s="30"/>
      <c r="N339" s="30"/>
      <c r="P339" s="30"/>
    </row>
    <row r="340" spans="12:16" x14ac:dyDescent="0.25">
      <c r="L340" s="24"/>
      <c r="M340" s="30"/>
      <c r="N340" s="30"/>
      <c r="P340" s="30"/>
    </row>
    <row r="341" spans="12:16" x14ac:dyDescent="0.25">
      <c r="L341" s="24"/>
      <c r="M341" s="30"/>
      <c r="N341" s="30"/>
      <c r="P341" s="30"/>
    </row>
    <row r="342" spans="12:16" x14ac:dyDescent="0.25">
      <c r="L342" s="24"/>
      <c r="M342" s="30"/>
      <c r="N342" s="30"/>
      <c r="P342" s="30"/>
    </row>
    <row r="343" spans="12:16" x14ac:dyDescent="0.25">
      <c r="L343" s="24"/>
      <c r="M343" s="30"/>
      <c r="N343" s="30"/>
      <c r="P343" s="30"/>
    </row>
    <row r="344" spans="12:16" x14ac:dyDescent="0.25">
      <c r="L344" s="24"/>
      <c r="M344" s="30"/>
      <c r="N344" s="30"/>
      <c r="P344" s="30"/>
    </row>
    <row r="345" spans="12:16" x14ac:dyDescent="0.25">
      <c r="L345" s="24"/>
      <c r="M345" s="30"/>
      <c r="N345" s="30"/>
      <c r="P345" s="30"/>
    </row>
    <row r="346" spans="12:16" x14ac:dyDescent="0.25">
      <c r="L346" s="24"/>
      <c r="M346" s="30"/>
      <c r="N346" s="30"/>
      <c r="P346" s="30"/>
    </row>
    <row r="347" spans="12:16" x14ac:dyDescent="0.25">
      <c r="L347" s="24"/>
      <c r="M347" s="30"/>
      <c r="N347" s="30"/>
      <c r="P347" s="30"/>
    </row>
    <row r="348" spans="12:16" x14ac:dyDescent="0.25">
      <c r="L348" s="24"/>
      <c r="M348" s="30"/>
      <c r="N348" s="30"/>
      <c r="P348" s="30"/>
    </row>
    <row r="349" spans="12:16" x14ac:dyDescent="0.25">
      <c r="L349" s="24"/>
      <c r="M349" s="30"/>
      <c r="N349" s="30"/>
      <c r="P349" s="30"/>
    </row>
    <row r="350" spans="12:16" x14ac:dyDescent="0.25">
      <c r="L350" s="24"/>
      <c r="M350" s="30"/>
      <c r="N350" s="30"/>
      <c r="P350" s="30"/>
    </row>
    <row r="351" spans="12:16" x14ac:dyDescent="0.25">
      <c r="L351" s="24"/>
      <c r="M351" s="30"/>
      <c r="N351" s="30"/>
      <c r="P351" s="30"/>
    </row>
    <row r="352" spans="12:16" x14ac:dyDescent="0.25">
      <c r="L352" s="24"/>
      <c r="M352" s="30"/>
      <c r="N352" s="30"/>
      <c r="P352" s="30"/>
    </row>
    <row r="353" spans="12:16" x14ac:dyDescent="0.25">
      <c r="L353" s="24"/>
      <c r="M353" s="30"/>
      <c r="N353" s="30"/>
      <c r="P353" s="30"/>
    </row>
    <row r="354" spans="12:16" x14ac:dyDescent="0.25">
      <c r="L354" s="24"/>
      <c r="M354" s="30"/>
      <c r="N354" s="30"/>
      <c r="P354" s="30"/>
    </row>
    <row r="355" spans="12:16" x14ac:dyDescent="0.25">
      <c r="L355" s="24"/>
      <c r="M355" s="30"/>
      <c r="N355" s="30"/>
      <c r="P355" s="30"/>
    </row>
    <row r="356" spans="12:16" x14ac:dyDescent="0.25">
      <c r="L356" s="24"/>
      <c r="M356" s="30"/>
      <c r="N356" s="30"/>
      <c r="P356" s="30"/>
    </row>
    <row r="357" spans="12:16" x14ac:dyDescent="0.25">
      <c r="L357" s="24"/>
      <c r="M357" s="30"/>
      <c r="N357" s="30"/>
      <c r="P357" s="30"/>
    </row>
    <row r="358" spans="12:16" x14ac:dyDescent="0.25">
      <c r="L358" s="24"/>
      <c r="M358" s="30"/>
      <c r="N358" s="30"/>
      <c r="P358" s="30"/>
    </row>
    <row r="359" spans="12:16" x14ac:dyDescent="0.25">
      <c r="L359" s="24"/>
      <c r="M359" s="30"/>
      <c r="N359" s="30"/>
      <c r="P359" s="30"/>
    </row>
    <row r="360" spans="12:16" x14ac:dyDescent="0.25">
      <c r="L360" s="24"/>
      <c r="M360" s="30"/>
      <c r="N360" s="30"/>
      <c r="P360" s="30"/>
    </row>
    <row r="361" spans="12:16" x14ac:dyDescent="0.25">
      <c r="L361" s="24"/>
      <c r="M361" s="30"/>
      <c r="N361" s="30"/>
      <c r="P361" s="30"/>
    </row>
    <row r="362" spans="12:16" x14ac:dyDescent="0.25">
      <c r="L362" s="24"/>
      <c r="M362" s="30"/>
      <c r="N362" s="30"/>
      <c r="P362" s="30"/>
    </row>
    <row r="363" spans="12:16" x14ac:dyDescent="0.25">
      <c r="L363" s="24"/>
      <c r="M363" s="30"/>
      <c r="N363" s="30"/>
      <c r="P363" s="30"/>
    </row>
    <row r="364" spans="12:16" x14ac:dyDescent="0.25">
      <c r="L364" s="24"/>
      <c r="M364" s="30"/>
      <c r="N364" s="30"/>
      <c r="P364" s="30"/>
    </row>
    <row r="365" spans="12:16" x14ac:dyDescent="0.25">
      <c r="L365" s="24"/>
      <c r="M365" s="30"/>
      <c r="N365" s="30"/>
      <c r="P365" s="30"/>
    </row>
    <row r="366" spans="12:16" x14ac:dyDescent="0.25">
      <c r="L366" s="24"/>
      <c r="M366" s="30"/>
      <c r="N366" s="30"/>
      <c r="P366" s="30"/>
    </row>
    <row r="367" spans="12:16" x14ac:dyDescent="0.25">
      <c r="L367" s="24"/>
      <c r="M367" s="30"/>
      <c r="N367" s="30"/>
      <c r="P367" s="30"/>
    </row>
    <row r="368" spans="12:16" x14ac:dyDescent="0.25">
      <c r="L368" s="24"/>
      <c r="M368" s="30"/>
      <c r="N368" s="30"/>
      <c r="P368" s="30"/>
    </row>
    <row r="369" spans="12:16" x14ac:dyDescent="0.25">
      <c r="L369" s="24"/>
      <c r="M369" s="30"/>
      <c r="N369" s="30"/>
      <c r="P369" s="30"/>
    </row>
    <row r="370" spans="12:16" x14ac:dyDescent="0.25">
      <c r="L370" s="24"/>
      <c r="M370" s="30"/>
      <c r="N370" s="30"/>
      <c r="P370" s="30"/>
    </row>
    <row r="371" spans="12:16" x14ac:dyDescent="0.25">
      <c r="L371" s="24"/>
      <c r="M371" s="30"/>
      <c r="N371" s="30"/>
      <c r="P371" s="30"/>
    </row>
    <row r="372" spans="12:16" x14ac:dyDescent="0.25">
      <c r="L372" s="24"/>
      <c r="M372" s="30"/>
      <c r="N372" s="30"/>
      <c r="P372" s="30"/>
    </row>
    <row r="373" spans="12:16" x14ac:dyDescent="0.25">
      <c r="L373" s="24"/>
      <c r="M373" s="30"/>
      <c r="N373" s="30"/>
      <c r="P373" s="30"/>
    </row>
    <row r="374" spans="12:16" x14ac:dyDescent="0.25">
      <c r="L374" s="24"/>
      <c r="M374" s="30"/>
      <c r="N374" s="30"/>
      <c r="P374" s="30"/>
    </row>
    <row r="375" spans="12:16" x14ac:dyDescent="0.25">
      <c r="L375" s="24"/>
      <c r="M375" s="30"/>
      <c r="N375" s="30"/>
      <c r="P375" s="30"/>
    </row>
    <row r="376" spans="12:16" x14ac:dyDescent="0.25">
      <c r="L376" s="24"/>
      <c r="M376" s="30"/>
      <c r="N376" s="30"/>
      <c r="P376" s="30"/>
    </row>
    <row r="377" spans="12:16" x14ac:dyDescent="0.25">
      <c r="L377" s="24"/>
      <c r="M377" s="30"/>
      <c r="N377" s="30"/>
      <c r="P377" s="30"/>
    </row>
    <row r="378" spans="12:16" x14ac:dyDescent="0.25">
      <c r="L378" s="24"/>
      <c r="M378" s="30"/>
      <c r="N378" s="30"/>
      <c r="P378" s="30"/>
    </row>
    <row r="379" spans="12:16" x14ac:dyDescent="0.25">
      <c r="L379" s="24"/>
      <c r="M379" s="30"/>
      <c r="N379" s="30"/>
      <c r="P379" s="30"/>
    </row>
    <row r="380" spans="12:16" x14ac:dyDescent="0.25">
      <c r="L380" s="24"/>
      <c r="M380" s="30"/>
      <c r="N380" s="30"/>
      <c r="P380" s="30"/>
    </row>
    <row r="381" spans="12:16" x14ac:dyDescent="0.25">
      <c r="L381" s="24"/>
      <c r="M381" s="30"/>
      <c r="N381" s="30"/>
      <c r="P381" s="30"/>
    </row>
    <row r="382" spans="12:16" x14ac:dyDescent="0.25">
      <c r="L382" s="24"/>
      <c r="M382" s="30"/>
      <c r="N382" s="30"/>
      <c r="P382" s="30"/>
    </row>
    <row r="383" spans="12:16" x14ac:dyDescent="0.25">
      <c r="L383" s="24"/>
      <c r="M383" s="30"/>
      <c r="N383" s="30"/>
      <c r="P383" s="30"/>
    </row>
    <row r="384" spans="12:16" x14ac:dyDescent="0.25">
      <c r="L384" s="24"/>
      <c r="M384" s="30"/>
      <c r="N384" s="30"/>
      <c r="P384" s="30"/>
    </row>
    <row r="385" spans="12:16" x14ac:dyDescent="0.25">
      <c r="L385" s="24"/>
      <c r="M385" s="30"/>
      <c r="N385" s="30"/>
      <c r="P385" s="30"/>
    </row>
    <row r="386" spans="12:16" x14ac:dyDescent="0.25">
      <c r="L386" s="24"/>
      <c r="M386" s="30"/>
      <c r="N386" s="30"/>
      <c r="P386" s="30"/>
    </row>
    <row r="387" spans="12:16" x14ac:dyDescent="0.25">
      <c r="L387" s="24"/>
      <c r="M387" s="30"/>
      <c r="N387" s="30"/>
      <c r="P387" s="30"/>
    </row>
    <row r="388" spans="12:16" x14ac:dyDescent="0.25">
      <c r="L388" s="24"/>
      <c r="M388" s="30"/>
      <c r="N388" s="30"/>
      <c r="P388" s="30"/>
    </row>
    <row r="389" spans="12:16" x14ac:dyDescent="0.25">
      <c r="L389" s="24"/>
      <c r="M389" s="30"/>
      <c r="N389" s="30"/>
      <c r="P389" s="30"/>
    </row>
    <row r="390" spans="12:16" x14ac:dyDescent="0.25">
      <c r="L390" s="24"/>
      <c r="M390" s="30"/>
      <c r="N390" s="30"/>
      <c r="P390" s="30"/>
    </row>
    <row r="391" spans="12:16" x14ac:dyDescent="0.25">
      <c r="L391" s="24"/>
      <c r="M391" s="30"/>
      <c r="N391" s="30"/>
      <c r="P391" s="30"/>
    </row>
    <row r="392" spans="12:16" x14ac:dyDescent="0.25">
      <c r="L392" s="24"/>
      <c r="M392" s="30"/>
      <c r="N392" s="30"/>
      <c r="P392" s="30"/>
    </row>
    <row r="393" spans="12:16" x14ac:dyDescent="0.25">
      <c r="L393" s="24"/>
      <c r="M393" s="30"/>
      <c r="N393" s="30"/>
      <c r="P393" s="30"/>
    </row>
    <row r="394" spans="12:16" x14ac:dyDescent="0.25">
      <c r="L394" s="24"/>
      <c r="M394" s="30"/>
      <c r="N394" s="30"/>
      <c r="P394" s="30"/>
    </row>
    <row r="395" spans="12:16" x14ac:dyDescent="0.25">
      <c r="L395" s="24"/>
      <c r="M395" s="30"/>
      <c r="N395" s="30"/>
      <c r="P395" s="30"/>
    </row>
    <row r="396" spans="12:16" x14ac:dyDescent="0.25">
      <c r="L396" s="24"/>
      <c r="M396" s="30"/>
      <c r="N396" s="30"/>
      <c r="P396" s="30"/>
    </row>
    <row r="397" spans="12:16" x14ac:dyDescent="0.25">
      <c r="L397" s="24"/>
      <c r="M397" s="30"/>
      <c r="N397" s="30"/>
      <c r="P397" s="30"/>
    </row>
    <row r="398" spans="12:16" x14ac:dyDescent="0.25">
      <c r="L398" s="24"/>
      <c r="M398" s="30"/>
      <c r="N398" s="30"/>
      <c r="P398" s="30"/>
    </row>
    <row r="399" spans="12:16" x14ac:dyDescent="0.25">
      <c r="L399" s="24"/>
      <c r="M399" s="30"/>
      <c r="N399" s="30"/>
      <c r="P399" s="30"/>
    </row>
    <row r="400" spans="12:16" x14ac:dyDescent="0.25">
      <c r="L400" s="24"/>
      <c r="M400" s="30"/>
      <c r="N400" s="30"/>
      <c r="P400" s="30"/>
    </row>
    <row r="401" spans="12:16" x14ac:dyDescent="0.25">
      <c r="L401" s="24"/>
      <c r="M401" s="30"/>
      <c r="N401" s="30"/>
      <c r="P401" s="30"/>
    </row>
    <row r="402" spans="12:16" x14ac:dyDescent="0.25">
      <c r="L402" s="24"/>
      <c r="M402" s="30"/>
      <c r="N402" s="30"/>
      <c r="P402" s="30"/>
    </row>
    <row r="403" spans="12:16" x14ac:dyDescent="0.25">
      <c r="L403" s="24"/>
      <c r="M403" s="30"/>
      <c r="N403" s="30"/>
      <c r="P403" s="30"/>
    </row>
    <row r="404" spans="12:16" x14ac:dyDescent="0.25">
      <c r="L404" s="24"/>
      <c r="M404" s="30"/>
      <c r="N404" s="30"/>
      <c r="P404" s="30"/>
    </row>
    <row r="405" spans="12:16" x14ac:dyDescent="0.25">
      <c r="L405" s="24"/>
      <c r="M405" s="30"/>
      <c r="N405" s="30"/>
      <c r="P405" s="30"/>
    </row>
    <row r="406" spans="12:16" x14ac:dyDescent="0.25">
      <c r="L406" s="24"/>
      <c r="M406" s="30"/>
      <c r="N406" s="30"/>
      <c r="P406" s="30"/>
    </row>
    <row r="407" spans="12:16" x14ac:dyDescent="0.25">
      <c r="L407" s="24"/>
      <c r="M407" s="30"/>
      <c r="N407" s="30"/>
      <c r="P407" s="30"/>
    </row>
    <row r="408" spans="12:16" x14ac:dyDescent="0.25">
      <c r="L408" s="24"/>
      <c r="M408" s="30"/>
      <c r="N408" s="30"/>
      <c r="P408" s="30"/>
    </row>
    <row r="409" spans="12:16" x14ac:dyDescent="0.25">
      <c r="L409" s="24"/>
      <c r="M409" s="30"/>
      <c r="N409" s="30"/>
      <c r="P409" s="30"/>
    </row>
    <row r="410" spans="12:16" x14ac:dyDescent="0.25">
      <c r="L410" s="24"/>
      <c r="M410" s="30"/>
      <c r="N410" s="30"/>
      <c r="P410" s="30"/>
    </row>
    <row r="411" spans="12:16" x14ac:dyDescent="0.25">
      <c r="L411" s="24"/>
      <c r="M411" s="30"/>
      <c r="N411" s="30"/>
      <c r="P411" s="30"/>
    </row>
    <row r="412" spans="12:16" x14ac:dyDescent="0.25">
      <c r="L412" s="24"/>
      <c r="M412" s="30"/>
      <c r="N412" s="30"/>
      <c r="P412" s="30"/>
    </row>
    <row r="413" spans="12:16" x14ac:dyDescent="0.25">
      <c r="L413" s="24"/>
      <c r="M413" s="30"/>
      <c r="N413" s="30"/>
      <c r="P413" s="30"/>
    </row>
    <row r="414" spans="12:16" x14ac:dyDescent="0.25">
      <c r="L414" s="24"/>
      <c r="M414" s="30"/>
      <c r="N414" s="30"/>
      <c r="P414" s="30"/>
    </row>
    <row r="415" spans="12:16" x14ac:dyDescent="0.25">
      <c r="L415" s="24"/>
      <c r="M415" s="30"/>
      <c r="N415" s="30"/>
      <c r="P415" s="30"/>
    </row>
    <row r="416" spans="12:16" x14ac:dyDescent="0.25">
      <c r="L416" s="24"/>
      <c r="M416" s="30"/>
      <c r="N416" s="30"/>
      <c r="P416" s="30"/>
    </row>
    <row r="417" spans="12:16" x14ac:dyDescent="0.25">
      <c r="L417" s="24"/>
      <c r="M417" s="30"/>
      <c r="N417" s="30"/>
      <c r="P417" s="30"/>
    </row>
    <row r="418" spans="12:16" x14ac:dyDescent="0.25">
      <c r="L418" s="24"/>
      <c r="M418" s="30"/>
      <c r="N418" s="30"/>
      <c r="P418" s="30"/>
    </row>
    <row r="419" spans="12:16" x14ac:dyDescent="0.25">
      <c r="L419" s="24"/>
      <c r="M419" s="30"/>
      <c r="N419" s="30"/>
      <c r="P419" s="30"/>
    </row>
    <row r="420" spans="12:16" x14ac:dyDescent="0.25">
      <c r="L420" s="24"/>
      <c r="M420" s="30"/>
      <c r="N420" s="30"/>
      <c r="P420" s="30"/>
    </row>
    <row r="421" spans="12:16" x14ac:dyDescent="0.25">
      <c r="L421" s="24"/>
      <c r="M421" s="30"/>
      <c r="N421" s="30"/>
      <c r="P421" s="30"/>
    </row>
    <row r="422" spans="12:16" x14ac:dyDescent="0.25">
      <c r="L422" s="24"/>
      <c r="M422" s="30"/>
      <c r="N422" s="30"/>
      <c r="P422" s="30"/>
    </row>
    <row r="423" spans="12:16" x14ac:dyDescent="0.25">
      <c r="L423" s="24"/>
      <c r="M423" s="30"/>
      <c r="N423" s="30"/>
      <c r="P423" s="30"/>
    </row>
    <row r="424" spans="12:16" x14ac:dyDescent="0.25">
      <c r="L424" s="24"/>
      <c r="M424" s="30"/>
      <c r="N424" s="30"/>
      <c r="P424" s="30"/>
    </row>
    <row r="425" spans="12:16" x14ac:dyDescent="0.25">
      <c r="L425" s="24"/>
      <c r="M425" s="30"/>
      <c r="N425" s="30"/>
      <c r="P425" s="30"/>
    </row>
    <row r="426" spans="12:16" x14ac:dyDescent="0.25">
      <c r="L426" s="24"/>
      <c r="M426" s="30"/>
      <c r="N426" s="30"/>
      <c r="P426" s="30"/>
    </row>
    <row r="427" spans="12:16" x14ac:dyDescent="0.25">
      <c r="L427" s="24"/>
      <c r="M427" s="30"/>
      <c r="N427" s="30"/>
      <c r="P427" s="30"/>
    </row>
    <row r="428" spans="12:16" x14ac:dyDescent="0.25">
      <c r="L428" s="24"/>
      <c r="M428" s="30"/>
      <c r="N428" s="30"/>
      <c r="P428" s="30"/>
    </row>
    <row r="429" spans="12:16" x14ac:dyDescent="0.25">
      <c r="L429" s="24"/>
      <c r="M429" s="30"/>
      <c r="N429" s="30"/>
      <c r="P429" s="30"/>
    </row>
    <row r="430" spans="12:16" x14ac:dyDescent="0.25">
      <c r="L430" s="24"/>
      <c r="M430" s="30"/>
      <c r="N430" s="30"/>
      <c r="P430" s="30"/>
    </row>
    <row r="431" spans="12:16" x14ac:dyDescent="0.25">
      <c r="L431" s="24"/>
      <c r="M431" s="30"/>
      <c r="N431" s="30"/>
      <c r="P431" s="30"/>
    </row>
    <row r="432" spans="12:16" x14ac:dyDescent="0.25">
      <c r="L432" s="24"/>
      <c r="M432" s="30"/>
      <c r="N432" s="30"/>
      <c r="P432" s="30"/>
    </row>
    <row r="433" spans="12:16" x14ac:dyDescent="0.25">
      <c r="L433" s="24"/>
      <c r="M433" s="30"/>
      <c r="N433" s="30"/>
      <c r="P433" s="30"/>
    </row>
    <row r="434" spans="12:16" x14ac:dyDescent="0.25">
      <c r="L434" s="24"/>
      <c r="M434" s="30"/>
      <c r="N434" s="30"/>
      <c r="P434" s="30"/>
    </row>
    <row r="435" spans="12:16" x14ac:dyDescent="0.25">
      <c r="L435" s="24"/>
      <c r="M435" s="30"/>
      <c r="N435" s="30"/>
      <c r="P435" s="30"/>
    </row>
    <row r="436" spans="12:16" x14ac:dyDescent="0.25">
      <c r="L436" s="24"/>
      <c r="M436" s="30"/>
      <c r="N436" s="30"/>
      <c r="P436" s="30"/>
    </row>
    <row r="437" spans="12:16" x14ac:dyDescent="0.25">
      <c r="L437" s="24"/>
      <c r="M437" s="30"/>
      <c r="N437" s="30"/>
      <c r="P437" s="30"/>
    </row>
    <row r="438" spans="12:16" x14ac:dyDescent="0.25">
      <c r="L438" s="24"/>
      <c r="M438" s="30"/>
      <c r="N438" s="30"/>
      <c r="P438" s="30"/>
    </row>
    <row r="439" spans="12:16" x14ac:dyDescent="0.25">
      <c r="L439" s="24"/>
      <c r="M439" s="30"/>
      <c r="N439" s="30"/>
      <c r="P439" s="30"/>
    </row>
    <row r="440" spans="12:16" x14ac:dyDescent="0.25">
      <c r="L440" s="24"/>
      <c r="M440" s="30"/>
      <c r="N440" s="30"/>
      <c r="P440" s="30"/>
    </row>
    <row r="441" spans="12:16" x14ac:dyDescent="0.25">
      <c r="L441" s="24"/>
      <c r="M441" s="30"/>
      <c r="N441" s="30"/>
      <c r="P441" s="30"/>
    </row>
    <row r="442" spans="12:16" x14ac:dyDescent="0.25">
      <c r="L442" s="24"/>
      <c r="M442" s="30"/>
      <c r="N442" s="30"/>
      <c r="P442" s="30"/>
    </row>
    <row r="443" spans="12:16" x14ac:dyDescent="0.25">
      <c r="L443" s="24"/>
      <c r="M443" s="30"/>
      <c r="N443" s="30"/>
      <c r="P443" s="30"/>
    </row>
    <row r="444" spans="12:16" x14ac:dyDescent="0.25">
      <c r="L444" s="24"/>
      <c r="M444" s="30"/>
      <c r="N444" s="30"/>
      <c r="P444" s="30"/>
    </row>
    <row r="445" spans="12:16" x14ac:dyDescent="0.25">
      <c r="L445" s="24"/>
      <c r="M445" s="30"/>
      <c r="N445" s="30"/>
      <c r="P445" s="30"/>
    </row>
    <row r="446" spans="12:16" x14ac:dyDescent="0.25">
      <c r="L446" s="24"/>
      <c r="M446" s="30"/>
      <c r="N446" s="30"/>
      <c r="P446" s="30"/>
    </row>
    <row r="447" spans="12:16" x14ac:dyDescent="0.25">
      <c r="L447" s="24"/>
      <c r="M447" s="30"/>
      <c r="N447" s="30"/>
      <c r="P447" s="30"/>
    </row>
    <row r="448" spans="12:16" x14ac:dyDescent="0.25">
      <c r="L448" s="24"/>
      <c r="M448" s="30"/>
      <c r="N448" s="30"/>
      <c r="P448" s="30"/>
    </row>
    <row r="449" spans="12:16" x14ac:dyDescent="0.25">
      <c r="L449" s="24"/>
      <c r="M449" s="30"/>
      <c r="N449" s="30"/>
      <c r="P449" s="30"/>
    </row>
    <row r="450" spans="12:16" x14ac:dyDescent="0.25">
      <c r="L450" s="24"/>
      <c r="M450" s="30"/>
      <c r="N450" s="30"/>
      <c r="P450" s="30"/>
    </row>
    <row r="451" spans="12:16" x14ac:dyDescent="0.25">
      <c r="L451" s="24"/>
      <c r="M451" s="30"/>
      <c r="N451" s="30"/>
      <c r="P451" s="30"/>
    </row>
    <row r="452" spans="12:16" x14ac:dyDescent="0.25">
      <c r="L452" s="24"/>
      <c r="M452" s="30"/>
      <c r="N452" s="30"/>
      <c r="P452" s="30"/>
    </row>
    <row r="453" spans="12:16" x14ac:dyDescent="0.25">
      <c r="L453" s="24"/>
      <c r="M453" s="30"/>
      <c r="N453" s="30"/>
      <c r="P453" s="30"/>
    </row>
    <row r="454" spans="12:16" x14ac:dyDescent="0.25">
      <c r="L454" s="24"/>
      <c r="M454" s="30"/>
      <c r="N454" s="30"/>
      <c r="P454" s="30"/>
    </row>
    <row r="455" spans="12:16" x14ac:dyDescent="0.25">
      <c r="L455" s="24"/>
      <c r="M455" s="30"/>
      <c r="N455" s="30"/>
      <c r="P455" s="30"/>
    </row>
    <row r="456" spans="12:16" x14ac:dyDescent="0.25">
      <c r="L456" s="24"/>
      <c r="M456" s="30"/>
      <c r="N456" s="30"/>
      <c r="P456" s="30"/>
    </row>
    <row r="457" spans="12:16" x14ac:dyDescent="0.25">
      <c r="L457" s="24"/>
      <c r="M457" s="30"/>
      <c r="N457" s="30"/>
      <c r="P457" s="30"/>
    </row>
    <row r="458" spans="12:16" x14ac:dyDescent="0.25">
      <c r="L458" s="24"/>
      <c r="M458" s="30"/>
      <c r="N458" s="30"/>
      <c r="P458" s="30"/>
    </row>
    <row r="459" spans="12:16" x14ac:dyDescent="0.25">
      <c r="L459" s="24"/>
      <c r="M459" s="30"/>
      <c r="N459" s="30"/>
      <c r="P459" s="30"/>
    </row>
    <row r="460" spans="12:16" x14ac:dyDescent="0.25">
      <c r="L460" s="24"/>
      <c r="M460" s="30"/>
      <c r="N460" s="30"/>
      <c r="P460" s="30"/>
    </row>
    <row r="461" spans="12:16" x14ac:dyDescent="0.25">
      <c r="L461" s="24"/>
      <c r="M461" s="30"/>
      <c r="N461" s="30"/>
      <c r="P461" s="30"/>
    </row>
    <row r="462" spans="12:16" x14ac:dyDescent="0.25">
      <c r="L462" s="24"/>
      <c r="M462" s="30"/>
      <c r="N462" s="30"/>
      <c r="P462" s="30"/>
    </row>
    <row r="463" spans="12:16" x14ac:dyDescent="0.25">
      <c r="L463" s="24"/>
      <c r="M463" s="30"/>
      <c r="N463" s="30"/>
      <c r="P463" s="30"/>
    </row>
    <row r="464" spans="12:16" x14ac:dyDescent="0.25">
      <c r="L464" s="24"/>
      <c r="M464" s="30"/>
      <c r="N464" s="30"/>
      <c r="P464" s="30"/>
    </row>
    <row r="465" spans="12:16" x14ac:dyDescent="0.25">
      <c r="L465" s="24"/>
      <c r="M465" s="30"/>
      <c r="N465" s="30"/>
      <c r="P465" s="30"/>
    </row>
    <row r="466" spans="12:16" x14ac:dyDescent="0.25">
      <c r="L466" s="24"/>
      <c r="M466" s="30"/>
      <c r="N466" s="30"/>
      <c r="P466" s="30"/>
    </row>
    <row r="467" spans="12:16" x14ac:dyDescent="0.25">
      <c r="L467" s="24"/>
      <c r="M467" s="30"/>
      <c r="N467" s="30"/>
      <c r="P467" s="30"/>
    </row>
    <row r="468" spans="12:16" x14ac:dyDescent="0.25">
      <c r="L468" s="24"/>
      <c r="M468" s="30"/>
      <c r="N468" s="30"/>
      <c r="P468" s="30"/>
    </row>
    <row r="469" spans="12:16" x14ac:dyDescent="0.25">
      <c r="L469" s="24"/>
      <c r="M469" s="30"/>
      <c r="N469" s="30"/>
      <c r="P469" s="30"/>
    </row>
    <row r="470" spans="12:16" x14ac:dyDescent="0.25">
      <c r="L470" s="24"/>
      <c r="M470" s="30"/>
      <c r="N470" s="30"/>
      <c r="P470" s="30"/>
    </row>
    <row r="471" spans="12:16" x14ac:dyDescent="0.25">
      <c r="L471" s="24"/>
      <c r="M471" s="30"/>
      <c r="N471" s="30"/>
      <c r="P471" s="30"/>
    </row>
    <row r="472" spans="12:16" x14ac:dyDescent="0.25">
      <c r="L472" s="24"/>
      <c r="M472" s="30"/>
      <c r="N472" s="30"/>
      <c r="P472" s="30"/>
    </row>
    <row r="473" spans="12:16" x14ac:dyDescent="0.25">
      <c r="L473" s="24"/>
      <c r="M473" s="30"/>
      <c r="N473" s="30"/>
      <c r="P473" s="30"/>
    </row>
    <row r="474" spans="12:16" x14ac:dyDescent="0.25">
      <c r="L474" s="24"/>
      <c r="M474" s="30"/>
      <c r="N474" s="30"/>
      <c r="P474" s="30"/>
    </row>
    <row r="475" spans="12:16" x14ac:dyDescent="0.25">
      <c r="L475" s="24"/>
      <c r="M475" s="30"/>
      <c r="N475" s="30"/>
      <c r="P475" s="30"/>
    </row>
    <row r="476" spans="12:16" x14ac:dyDescent="0.25">
      <c r="L476" s="24"/>
      <c r="M476" s="30"/>
      <c r="N476" s="30"/>
      <c r="P476" s="30"/>
    </row>
    <row r="477" spans="12:16" x14ac:dyDescent="0.25">
      <c r="L477" s="24"/>
      <c r="M477" s="30"/>
      <c r="N477" s="30"/>
      <c r="P477" s="30"/>
    </row>
    <row r="478" spans="12:16" x14ac:dyDescent="0.25">
      <c r="L478" s="24"/>
      <c r="M478" s="30"/>
      <c r="N478" s="30"/>
      <c r="P478" s="30"/>
    </row>
    <row r="479" spans="12:16" x14ac:dyDescent="0.25">
      <c r="L479" s="24"/>
      <c r="M479" s="30"/>
      <c r="N479" s="30"/>
      <c r="P479" s="30"/>
    </row>
    <row r="480" spans="12:16" x14ac:dyDescent="0.25">
      <c r="L480" s="24"/>
      <c r="M480" s="30"/>
      <c r="N480" s="30"/>
      <c r="P480" s="30"/>
    </row>
    <row r="481" spans="12:16" x14ac:dyDescent="0.25">
      <c r="L481" s="24"/>
      <c r="M481" s="30"/>
      <c r="N481" s="30"/>
      <c r="P481" s="30"/>
    </row>
    <row r="482" spans="12:16" x14ac:dyDescent="0.25">
      <c r="L482" s="24"/>
      <c r="M482" s="30"/>
      <c r="N482" s="30"/>
      <c r="P482" s="30"/>
    </row>
    <row r="483" spans="12:16" x14ac:dyDescent="0.25">
      <c r="L483" s="24"/>
      <c r="M483" s="30"/>
      <c r="N483" s="30"/>
      <c r="P483" s="30"/>
    </row>
    <row r="484" spans="12:16" x14ac:dyDescent="0.25">
      <c r="L484" s="24"/>
      <c r="M484" s="30"/>
      <c r="N484" s="30"/>
      <c r="P484" s="30"/>
    </row>
    <row r="485" spans="12:16" x14ac:dyDescent="0.25">
      <c r="L485" s="24"/>
      <c r="M485" s="30"/>
      <c r="N485" s="30"/>
      <c r="P485" s="30"/>
    </row>
    <row r="486" spans="12:16" x14ac:dyDescent="0.25">
      <c r="L486" s="24"/>
      <c r="M486" s="30"/>
      <c r="N486" s="30"/>
      <c r="P486" s="30"/>
    </row>
    <row r="487" spans="12:16" x14ac:dyDescent="0.25">
      <c r="L487" s="24"/>
      <c r="M487" s="30"/>
      <c r="N487" s="30"/>
      <c r="P487" s="30"/>
    </row>
    <row r="488" spans="12:16" x14ac:dyDescent="0.25">
      <c r="L488" s="24"/>
      <c r="M488" s="30"/>
      <c r="N488" s="30"/>
      <c r="P488" s="30"/>
    </row>
    <row r="489" spans="12:16" x14ac:dyDescent="0.25">
      <c r="L489" s="24"/>
      <c r="M489" s="30"/>
      <c r="N489" s="30"/>
      <c r="P489" s="30"/>
    </row>
    <row r="490" spans="12:16" x14ac:dyDescent="0.25">
      <c r="L490" s="24"/>
      <c r="M490" s="30"/>
      <c r="N490" s="30"/>
      <c r="P490" s="30"/>
    </row>
    <row r="491" spans="12:16" x14ac:dyDescent="0.25">
      <c r="L491" s="24"/>
      <c r="M491" s="30"/>
      <c r="N491" s="30"/>
      <c r="P491" s="30"/>
    </row>
    <row r="492" spans="12:16" x14ac:dyDescent="0.25">
      <c r="L492" s="24"/>
      <c r="M492" s="30"/>
      <c r="N492" s="30"/>
      <c r="P492" s="30"/>
    </row>
    <row r="493" spans="12:16" x14ac:dyDescent="0.25">
      <c r="M493" s="30"/>
      <c r="N493" s="30"/>
      <c r="P493" s="30"/>
    </row>
    <row r="494" spans="12:16" x14ac:dyDescent="0.25">
      <c r="M494" s="30"/>
      <c r="N494" s="30"/>
      <c r="P494" s="30"/>
    </row>
    <row r="495" spans="12:16" x14ac:dyDescent="0.25">
      <c r="M495" s="30"/>
      <c r="N495" s="30"/>
      <c r="P495" s="30"/>
    </row>
    <row r="496" spans="12:16" x14ac:dyDescent="0.25">
      <c r="M496" s="30"/>
      <c r="N496" s="30"/>
      <c r="P496" s="30"/>
    </row>
    <row r="497" spans="13:16" x14ac:dyDescent="0.25">
      <c r="M497" s="30"/>
      <c r="N497" s="30"/>
      <c r="P497" s="30"/>
    </row>
    <row r="498" spans="13:16" x14ac:dyDescent="0.25">
      <c r="M498" s="30"/>
      <c r="N498" s="30"/>
      <c r="P498" s="30"/>
    </row>
    <row r="499" spans="13:16" x14ac:dyDescent="0.25">
      <c r="M499" s="30"/>
      <c r="N499" s="30"/>
      <c r="P499" s="30"/>
    </row>
    <row r="500" spans="13:16" x14ac:dyDescent="0.25">
      <c r="M500" s="30"/>
      <c r="N500" s="30"/>
      <c r="P500" s="30"/>
    </row>
  </sheetData>
  <phoneticPr fontId="3" type="noConversion"/>
  <conditionalFormatting sqref="B8:E500">
    <cfRule type="expression" dxfId="8" priority="12">
      <formula>IF(AND(NOT(ISBLANK($A8)),ISBLANK(B8)),TRUE,FALSE)</formula>
    </cfRule>
  </conditionalFormatting>
  <conditionalFormatting sqref="E3">
    <cfRule type="expression" dxfId="7" priority="2">
      <formula>IF(AND(NOT(ISBLANK($A3)),ISBLANK(E3)),TRUE,FALSE)</formula>
    </cfRule>
  </conditionalFormatting>
  <conditionalFormatting sqref="G8:G13">
    <cfRule type="expression" dxfId="6" priority="3">
      <formula>AND(NOT(ISBLANK($E7)),$E7="Specific month",ISBLANK(G8))</formula>
    </cfRule>
    <cfRule type="expression" dxfId="5" priority="4">
      <formula>$E7="Immediately"</formula>
    </cfRule>
    <cfRule type="expression" dxfId="4" priority="5">
      <formula>$E7="Never repair"</formula>
    </cfRule>
  </conditionalFormatting>
  <conditionalFormatting sqref="G8:J500">
    <cfRule type="expression" dxfId="3" priority="9">
      <formula>AND(NOT(ISBLANK($E8)),$E8="Specific month",ISBLANK(G8))</formula>
    </cfRule>
    <cfRule type="expression" dxfId="2" priority="13">
      <formula>$E8="Never repair"</formula>
    </cfRule>
  </conditionalFormatting>
  <conditionalFormatting sqref="H8:J500">
    <cfRule type="expression" dxfId="1" priority="10">
      <formula>$E8="Immediately"</formula>
    </cfRule>
  </conditionalFormatting>
  <conditionalFormatting sqref="I3:I1048576">
    <cfRule type="expression" dxfId="0" priority="1">
      <formula>AND($A3&lt;&gt;"",$H3="",$J3="")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J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K8:K140" xr:uid="{030B7424-D88F-42EF-921A-C45A1986C5E0}">
      <formula1>0</formula1>
    </dataValidation>
    <dataValidation type="list" allowBlank="1" showInputMessage="1" showErrorMessage="1" errorTitle="Wrong input" error="It must be a decimal between -90.0 and 90.0." sqref="M8:N500 P8:P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O8:O501" xr:uid="{0D1C834F-FCC5-4710-A119-E3DF557931F2}">
      <formula1>0</formula1>
      <formula2>100</formula2>
    </dataValidation>
    <dataValidation type="decimal" operator="greaterThanOrEqual" allowBlank="1" showInputMessage="1" showErrorMessage="1" sqref="L6:L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A11" sqref="A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289</v>
      </c>
      <c r="B2" t="s">
        <v>290</v>
      </c>
      <c r="C2" s="21">
        <v>390</v>
      </c>
    </row>
    <row r="3" spans="1:3" x14ac:dyDescent="0.25">
      <c r="A3" t="s">
        <v>291</v>
      </c>
      <c r="B3" t="s">
        <v>290</v>
      </c>
      <c r="C3" s="21">
        <v>730</v>
      </c>
    </row>
    <row r="4" spans="1:3" x14ac:dyDescent="0.25">
      <c r="A4" t="s">
        <v>292</v>
      </c>
      <c r="B4" t="s">
        <v>290</v>
      </c>
      <c r="C4" s="21">
        <v>700</v>
      </c>
    </row>
    <row r="5" spans="1:3" x14ac:dyDescent="0.25">
      <c r="A5" t="s">
        <v>293</v>
      </c>
      <c r="B5" t="s">
        <v>252</v>
      </c>
      <c r="C5" s="21">
        <v>5000</v>
      </c>
    </row>
    <row r="6" spans="1:3" x14ac:dyDescent="0.25">
      <c r="A6" t="s">
        <v>294</v>
      </c>
      <c r="B6" t="s">
        <v>13</v>
      </c>
      <c r="C6" s="46" t="b">
        <v>0</v>
      </c>
    </row>
    <row r="7" spans="1:3" x14ac:dyDescent="0.25">
      <c r="A7" t="s">
        <v>295</v>
      </c>
      <c r="B7" t="s">
        <v>296</v>
      </c>
      <c r="C7" s="23">
        <v>30</v>
      </c>
    </row>
    <row r="8" spans="1:3" x14ac:dyDescent="0.25">
      <c r="A8" t="s">
        <v>297</v>
      </c>
      <c r="B8" t="s">
        <v>252</v>
      </c>
    </row>
    <row r="9" spans="1:3" x14ac:dyDescent="0.25">
      <c r="A9" t="s">
        <v>298</v>
      </c>
      <c r="B9" t="s">
        <v>299</v>
      </c>
      <c r="C9">
        <v>97</v>
      </c>
    </row>
    <row r="10" spans="1:3" x14ac:dyDescent="0.25">
      <c r="A10" t="s">
        <v>300</v>
      </c>
      <c r="B10" t="s">
        <v>252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301</v>
      </c>
      <c r="B1" t="s">
        <v>302</v>
      </c>
      <c r="C1" t="s">
        <v>303</v>
      </c>
      <c r="D1" t="s">
        <v>304</v>
      </c>
    </row>
    <row r="2" spans="1:4" x14ac:dyDescent="0.25">
      <c r="A2" t="s">
        <v>89</v>
      </c>
      <c r="B2" t="s">
        <v>305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306</v>
      </c>
      <c r="B3" t="s">
        <v>305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307</v>
      </c>
      <c r="B4" t="s">
        <v>305</v>
      </c>
      <c r="C4">
        <v>13360</v>
      </c>
      <c r="D4">
        <f>210</f>
        <v>210</v>
      </c>
    </row>
    <row r="5" spans="1:4" x14ac:dyDescent="0.25">
      <c r="A5" t="s">
        <v>91</v>
      </c>
      <c r="B5" t="s">
        <v>92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308</v>
      </c>
      <c r="B6" t="s">
        <v>305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90</v>
      </c>
      <c r="B7" t="s">
        <v>305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309</v>
      </c>
      <c r="B8" t="s">
        <v>305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310</v>
      </c>
      <c r="B9" t="s">
        <v>305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87</v>
      </c>
      <c r="B10" t="s">
        <v>92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311</v>
      </c>
      <c r="B11" t="s">
        <v>305</v>
      </c>
      <c r="C11" s="1">
        <f>1413</f>
        <v>1413</v>
      </c>
      <c r="D11">
        <f>210</f>
        <v>210</v>
      </c>
    </row>
    <row r="12" spans="1:4" x14ac:dyDescent="0.25">
      <c r="A12" t="s">
        <v>312</v>
      </c>
      <c r="B12" t="s">
        <v>305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313</v>
      </c>
      <c r="B13" t="s">
        <v>305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314</v>
      </c>
      <c r="B14" t="s">
        <v>305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315</v>
      </c>
      <c r="B15" t="s">
        <v>305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316</v>
      </c>
      <c r="B16" t="s">
        <v>317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318</v>
      </c>
      <c r="B17" t="s">
        <v>305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85</v>
      </c>
      <c r="B18" t="s">
        <v>317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319</v>
      </c>
      <c r="B1" t="s">
        <v>320</v>
      </c>
    </row>
    <row r="2" spans="1:2" x14ac:dyDescent="0.25">
      <c r="A2" t="s">
        <v>223</v>
      </c>
      <c r="B2">
        <v>0.8</v>
      </c>
    </row>
    <row r="3" spans="1:2" x14ac:dyDescent="0.25">
      <c r="A3" t="s">
        <v>321</v>
      </c>
      <c r="B3">
        <v>0.4</v>
      </c>
    </row>
    <row r="4" spans="1:2" x14ac:dyDescent="0.25">
      <c r="A4" t="s">
        <v>322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323</v>
      </c>
      <c r="B1" t="s">
        <v>324</v>
      </c>
    </row>
    <row r="2" spans="1:2" x14ac:dyDescent="0.25">
      <c r="A2" t="s">
        <v>325</v>
      </c>
      <c r="B2">
        <v>1010</v>
      </c>
    </row>
    <row r="3" spans="1:2" x14ac:dyDescent="0.25">
      <c r="A3" t="s">
        <v>326</v>
      </c>
      <c r="B3">
        <v>855</v>
      </c>
    </row>
    <row r="4" spans="1:2" x14ac:dyDescent="0.25">
      <c r="A4" t="s">
        <v>327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2026-07-21T10:27:06Z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