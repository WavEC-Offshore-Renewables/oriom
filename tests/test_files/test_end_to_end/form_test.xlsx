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da\Richi documents\Projects\ORIOM\tests\test_files\test_end_to_end\"/>
    </mc:Choice>
  </mc:AlternateContent>
  <xr:revisionPtr revIDLastSave="0" documentId="13_ncr:1_{7E5BBDCB-2C24-49C5-A1C5-9F8FD01337EA}" xr6:coauthVersionLast="47" xr6:coauthVersionMax="47" xr10:uidLastSave="{00000000-0000-0000-0000-000000000000}"/>
  <bookViews>
    <workbookView xWindow="-120" yWindow="-120" windowWidth="29040" windowHeight="15720" tabRatio="828" firstSheet="4" activeTab="17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V498" i="31"/>
  <c r="V497" i="31"/>
  <c r="V496" i="31"/>
  <c r="V495" i="31"/>
  <c r="V494" i="31"/>
  <c r="V493" i="31"/>
  <c r="V492" i="31"/>
  <c r="V491" i="31"/>
  <c r="V490" i="31"/>
  <c r="V489" i="31"/>
  <c r="V488" i="31"/>
  <c r="V487" i="31"/>
  <c r="V486" i="31"/>
  <c r="V485" i="31"/>
  <c r="V484" i="31"/>
  <c r="V483" i="31"/>
  <c r="V482" i="31"/>
  <c r="V481" i="31"/>
  <c r="V480" i="31"/>
  <c r="V479" i="31"/>
  <c r="V478" i="31"/>
  <c r="V477" i="31"/>
  <c r="V476" i="31"/>
  <c r="V475" i="31"/>
  <c r="V474" i="31"/>
  <c r="V473" i="31"/>
  <c r="V472" i="31"/>
  <c r="V471" i="31"/>
  <c r="V470" i="31"/>
  <c r="V469" i="31"/>
  <c r="V468" i="31"/>
  <c r="V467" i="31"/>
  <c r="V466" i="31"/>
  <c r="V465" i="31"/>
  <c r="V464" i="31"/>
  <c r="V463" i="31"/>
  <c r="V462" i="31"/>
  <c r="V461" i="31"/>
  <c r="V460" i="31"/>
  <c r="V459" i="31"/>
  <c r="V458" i="31"/>
  <c r="V457" i="31"/>
  <c r="V456" i="31"/>
  <c r="V455" i="31"/>
  <c r="V454" i="31"/>
  <c r="V453" i="31"/>
  <c r="V452" i="31"/>
  <c r="V451" i="31"/>
  <c r="V450" i="31"/>
  <c r="V449" i="31"/>
  <c r="V448" i="31"/>
  <c r="V447" i="31"/>
  <c r="V446" i="31"/>
  <c r="V445" i="31"/>
  <c r="V444" i="31"/>
  <c r="V443" i="31"/>
  <c r="V442" i="31"/>
  <c r="V441" i="31"/>
  <c r="V440" i="31"/>
  <c r="V439" i="31"/>
  <c r="V438" i="31"/>
  <c r="V437" i="31"/>
  <c r="V436" i="31"/>
  <c r="V435" i="31"/>
  <c r="V434" i="31"/>
  <c r="V433" i="31"/>
  <c r="V432" i="31"/>
  <c r="V431" i="31"/>
  <c r="V430" i="31"/>
  <c r="V429" i="31"/>
  <c r="V428" i="31"/>
  <c r="V427" i="31"/>
  <c r="V426" i="31"/>
  <c r="V425" i="31"/>
  <c r="V424" i="31"/>
  <c r="V423" i="31"/>
  <c r="V422" i="31"/>
  <c r="V421" i="31"/>
  <c r="V420" i="31"/>
  <c r="V419" i="31"/>
  <c r="V418" i="31"/>
  <c r="V417" i="31"/>
  <c r="V416" i="31"/>
  <c r="V415" i="31"/>
  <c r="V414" i="31"/>
  <c r="V413" i="31"/>
  <c r="V412" i="31"/>
  <c r="V411" i="31"/>
  <c r="V410" i="31"/>
  <c r="V409" i="31"/>
  <c r="V408" i="31"/>
  <c r="V407" i="31"/>
  <c r="V406" i="31"/>
  <c r="V405" i="31"/>
  <c r="V404" i="31"/>
  <c r="V403" i="31"/>
  <c r="V402" i="31"/>
  <c r="V401" i="31"/>
  <c r="V400" i="31"/>
  <c r="V399" i="31"/>
  <c r="V398" i="31"/>
  <c r="V397" i="31"/>
  <c r="V396" i="31"/>
  <c r="V395" i="31"/>
  <c r="V394" i="31"/>
  <c r="V393" i="31"/>
  <c r="V392" i="31"/>
  <c r="V391" i="31"/>
  <c r="V390" i="31"/>
  <c r="V389" i="31"/>
  <c r="V388" i="31"/>
  <c r="V387" i="31"/>
  <c r="V386" i="31"/>
  <c r="V385" i="31"/>
  <c r="V384" i="31"/>
  <c r="V383" i="31"/>
  <c r="V382" i="31"/>
  <c r="V381" i="31"/>
  <c r="V380" i="31"/>
  <c r="V379" i="31"/>
  <c r="V378" i="31"/>
  <c r="V377" i="31"/>
  <c r="V376" i="31"/>
  <c r="V375" i="31"/>
  <c r="V374" i="31"/>
  <c r="V373" i="31"/>
  <c r="V372" i="31"/>
  <c r="V371" i="31"/>
  <c r="V370" i="31"/>
  <c r="V369" i="31"/>
  <c r="V368" i="31"/>
  <c r="V367" i="31"/>
  <c r="V366" i="31"/>
  <c r="V365" i="31"/>
  <c r="V364" i="31"/>
  <c r="V363" i="31"/>
  <c r="V362" i="31"/>
  <c r="V361" i="31"/>
  <c r="V360" i="31"/>
  <c r="V359" i="31"/>
  <c r="V358" i="31"/>
  <c r="V357" i="31"/>
  <c r="V356" i="31"/>
  <c r="V355" i="31"/>
  <c r="V354" i="31"/>
  <c r="V353" i="31"/>
  <c r="V352" i="31"/>
  <c r="V351" i="31"/>
  <c r="V350" i="31"/>
  <c r="V349" i="31"/>
  <c r="V348" i="31"/>
  <c r="V347" i="31"/>
  <c r="V346" i="31"/>
  <c r="V345" i="31"/>
  <c r="V344" i="31"/>
  <c r="V343" i="31"/>
  <c r="V342" i="31"/>
  <c r="V341" i="31"/>
  <c r="V340" i="31"/>
  <c r="V339" i="31"/>
  <c r="V338" i="31"/>
  <c r="V337" i="31"/>
  <c r="V336" i="31"/>
  <c r="V335" i="31"/>
  <c r="V334" i="31"/>
  <c r="V333" i="31"/>
  <c r="V332" i="31"/>
  <c r="V331" i="31"/>
  <c r="V330" i="31"/>
  <c r="V329" i="31"/>
  <c r="V328" i="31"/>
  <c r="V327" i="31"/>
  <c r="V326" i="31"/>
  <c r="V325" i="31"/>
  <c r="V324" i="31"/>
  <c r="V323" i="31"/>
  <c r="V322" i="31"/>
  <c r="V321" i="31"/>
  <c r="V320" i="31"/>
  <c r="V319" i="31"/>
  <c r="V318" i="31"/>
  <c r="V317" i="31"/>
  <c r="V316" i="31"/>
  <c r="V315" i="31"/>
  <c r="V314" i="31"/>
  <c r="V313" i="31"/>
  <c r="V312" i="31"/>
  <c r="V311" i="31"/>
  <c r="V310" i="31"/>
  <c r="V309" i="31"/>
  <c r="V308" i="31"/>
  <c r="V307" i="31"/>
  <c r="V306" i="31"/>
  <c r="V305" i="31"/>
  <c r="V304" i="31"/>
  <c r="V303" i="31"/>
  <c r="V302" i="31"/>
  <c r="V301" i="31"/>
  <c r="V300" i="31"/>
  <c r="V299" i="31"/>
  <c r="V298" i="31"/>
  <c r="V297" i="31"/>
  <c r="V296" i="31"/>
  <c r="V295" i="31"/>
  <c r="V294" i="31"/>
  <c r="V293" i="31"/>
  <c r="V292" i="31"/>
  <c r="V291" i="31"/>
  <c r="V290" i="31"/>
  <c r="V289" i="31"/>
  <c r="V288" i="31"/>
  <c r="V287" i="31"/>
  <c r="V286" i="31"/>
  <c r="V285" i="31"/>
  <c r="V284" i="31"/>
  <c r="V283" i="31"/>
  <c r="V282" i="31"/>
  <c r="V281" i="31"/>
  <c r="V280" i="31"/>
  <c r="V279" i="31"/>
  <c r="V278" i="31"/>
  <c r="V277" i="31"/>
  <c r="V276" i="31"/>
  <c r="V275" i="31"/>
  <c r="V274" i="31"/>
  <c r="V273" i="31"/>
  <c r="V272" i="31"/>
  <c r="V271" i="31"/>
  <c r="V270" i="31"/>
  <c r="V269" i="31"/>
  <c r="V268" i="31"/>
  <c r="V267" i="31"/>
  <c r="V266" i="31"/>
  <c r="V265" i="31"/>
  <c r="V264" i="31"/>
  <c r="V263" i="31"/>
  <c r="V262" i="31"/>
  <c r="V261" i="31"/>
  <c r="V260" i="31"/>
  <c r="V259" i="31"/>
  <c r="V258" i="31"/>
  <c r="V257" i="31"/>
  <c r="V256" i="31"/>
  <c r="V255" i="31"/>
  <c r="V254" i="31"/>
  <c r="V253" i="31"/>
  <c r="V252" i="31"/>
  <c r="V251" i="31"/>
  <c r="V250" i="31"/>
  <c r="V249" i="31"/>
  <c r="V248" i="31"/>
  <c r="V247" i="31"/>
  <c r="V246" i="31"/>
  <c r="V245" i="31"/>
  <c r="V244" i="31"/>
  <c r="V243" i="31"/>
  <c r="V242" i="31"/>
  <c r="V241" i="31"/>
  <c r="V240" i="31"/>
  <c r="V239" i="31"/>
  <c r="V238" i="31"/>
  <c r="V237" i="31"/>
  <c r="V236" i="31"/>
  <c r="V235" i="31"/>
  <c r="V234" i="31"/>
  <c r="V233" i="31"/>
  <c r="V232" i="31"/>
  <c r="V231" i="31"/>
  <c r="V230" i="31"/>
  <c r="V229" i="31"/>
  <c r="V228" i="31"/>
  <c r="V227" i="31"/>
  <c r="V226" i="31"/>
  <c r="V225" i="31"/>
  <c r="V224" i="31"/>
  <c r="V223" i="31"/>
  <c r="V222" i="31"/>
  <c r="V221" i="31"/>
  <c r="V220" i="31"/>
  <c r="V219" i="31"/>
  <c r="V218" i="31"/>
  <c r="V217" i="31"/>
  <c r="V216" i="31"/>
  <c r="V215" i="31"/>
  <c r="V214" i="31"/>
  <c r="V213" i="31"/>
  <c r="V212" i="31"/>
  <c r="V211" i="31"/>
  <c r="V210" i="31"/>
  <c r="V209" i="31"/>
  <c r="V208" i="31"/>
  <c r="V207" i="31"/>
  <c r="V206" i="31"/>
  <c r="V205" i="31"/>
  <c r="V204" i="31"/>
  <c r="V203" i="31"/>
  <c r="V202" i="31"/>
  <c r="V201" i="31"/>
  <c r="V200" i="31"/>
  <c r="V199" i="31"/>
  <c r="V198" i="31"/>
  <c r="V197" i="31"/>
  <c r="V196" i="31"/>
  <c r="V195" i="31"/>
  <c r="V194" i="31"/>
  <c r="V193" i="31"/>
  <c r="V192" i="31"/>
  <c r="V191" i="31"/>
  <c r="V190" i="31"/>
  <c r="V189" i="31"/>
  <c r="V188" i="31"/>
  <c r="V187" i="31"/>
  <c r="V186" i="31"/>
  <c r="V185" i="31"/>
  <c r="V184" i="31"/>
  <c r="V183" i="31"/>
  <c r="V182" i="31"/>
  <c r="V181" i="31"/>
  <c r="V180" i="31"/>
  <c r="V179" i="31"/>
  <c r="V178" i="31"/>
  <c r="V177" i="31"/>
  <c r="V176" i="31"/>
  <c r="V175" i="31"/>
  <c r="V174" i="31"/>
  <c r="V173" i="31"/>
  <c r="V172" i="31"/>
  <c r="V171" i="31"/>
  <c r="V170" i="31"/>
  <c r="V169" i="31"/>
  <c r="V168" i="31"/>
  <c r="V167" i="31"/>
  <c r="V166" i="31"/>
  <c r="V165" i="31"/>
  <c r="V164" i="31"/>
  <c r="V163" i="31"/>
  <c r="V162" i="31"/>
  <c r="V161" i="31"/>
  <c r="V160" i="31"/>
  <c r="V159" i="31"/>
  <c r="V158" i="31"/>
  <c r="V157" i="31"/>
  <c r="V156" i="31"/>
  <c r="V155" i="31"/>
  <c r="V154" i="31"/>
  <c r="V153" i="31"/>
  <c r="V152" i="31"/>
  <c r="V151" i="31"/>
  <c r="V150" i="31"/>
  <c r="V149" i="31"/>
  <c r="V148" i="31"/>
  <c r="V147" i="31"/>
  <c r="V146" i="31"/>
  <c r="V145" i="31"/>
  <c r="V144" i="31"/>
  <c r="V143" i="31"/>
  <c r="V142" i="31"/>
  <c r="V141" i="31"/>
  <c r="V140" i="31"/>
  <c r="V139" i="31"/>
  <c r="V138" i="31"/>
  <c r="V137" i="31"/>
  <c r="V136" i="31"/>
  <c r="V135" i="31"/>
  <c r="V134" i="31"/>
  <c r="V133" i="31"/>
  <c r="V132" i="31"/>
  <c r="V131" i="31"/>
  <c r="V130" i="31"/>
  <c r="V129" i="31"/>
  <c r="V128" i="31"/>
  <c r="V127" i="31"/>
  <c r="V126" i="31"/>
  <c r="V125" i="31"/>
  <c r="V124" i="31"/>
  <c r="V123" i="31"/>
  <c r="V122" i="31"/>
  <c r="V121" i="31"/>
  <c r="V120" i="31"/>
  <c r="V119" i="31"/>
  <c r="V118" i="31"/>
  <c r="V117" i="31"/>
  <c r="V116" i="31"/>
  <c r="V115" i="31"/>
  <c r="V114" i="31"/>
  <c r="V113" i="31"/>
  <c r="V112" i="31"/>
  <c r="V111" i="31"/>
  <c r="V110" i="31"/>
  <c r="V109" i="31"/>
  <c r="V108" i="31"/>
  <c r="V107" i="31"/>
  <c r="V106" i="31"/>
  <c r="V105" i="31"/>
  <c r="V104" i="31"/>
  <c r="V103" i="31"/>
  <c r="V102" i="31"/>
  <c r="V101" i="31"/>
  <c r="V100" i="31"/>
  <c r="V99" i="31"/>
  <c r="V98" i="31"/>
  <c r="V97" i="31"/>
  <c r="V96" i="31"/>
  <c r="V95" i="31"/>
  <c r="V94" i="31"/>
  <c r="V93" i="31"/>
  <c r="V92" i="31"/>
  <c r="V91" i="31"/>
  <c r="V90" i="31"/>
  <c r="V89" i="31"/>
  <c r="V88" i="31"/>
  <c r="V87" i="31"/>
  <c r="V86" i="31"/>
  <c r="V85" i="31"/>
  <c r="V84" i="31"/>
  <c r="V83" i="31"/>
  <c r="V82" i="31"/>
  <c r="V81" i="31"/>
  <c r="V80" i="31"/>
  <c r="V79" i="31"/>
  <c r="V78" i="31"/>
  <c r="V77" i="31"/>
  <c r="V76" i="31"/>
  <c r="V75" i="31"/>
  <c r="V74" i="31"/>
  <c r="V73" i="31"/>
  <c r="V72" i="31"/>
  <c r="V71" i="31"/>
  <c r="V70" i="31"/>
  <c r="V69" i="31"/>
  <c r="V68" i="31"/>
  <c r="V67" i="31"/>
  <c r="V66" i="31"/>
  <c r="V65" i="31"/>
  <c r="V64" i="31"/>
  <c r="V63" i="31"/>
  <c r="V62" i="31"/>
  <c r="V61" i="31"/>
  <c r="V60" i="31"/>
  <c r="V59" i="31"/>
  <c r="V58" i="31"/>
  <c r="V57" i="31"/>
  <c r="V56" i="31"/>
  <c r="V55" i="31"/>
  <c r="V54" i="31"/>
  <c r="V53" i="31"/>
  <c r="V52" i="31"/>
  <c r="V51" i="31"/>
  <c r="V50" i="31"/>
  <c r="V49" i="31"/>
  <c r="V48" i="31"/>
  <c r="V47" i="31"/>
  <c r="V46" i="31"/>
  <c r="V45" i="31"/>
  <c r="V44" i="31"/>
  <c r="V43" i="31"/>
  <c r="V42" i="31"/>
  <c r="V41" i="31"/>
  <c r="V40" i="31"/>
  <c r="V39" i="31"/>
  <c r="V38" i="31"/>
  <c r="V37" i="31"/>
  <c r="V36" i="31"/>
  <c r="V35" i="31"/>
  <c r="V34" i="31"/>
  <c r="V33" i="31"/>
  <c r="V32" i="31"/>
  <c r="V31" i="31"/>
  <c r="V30" i="31"/>
  <c r="V29" i="31"/>
  <c r="V28" i="31"/>
  <c r="V27" i="31"/>
  <c r="V26" i="31"/>
  <c r="V25" i="31"/>
  <c r="V24" i="31"/>
  <c r="V23" i="31"/>
  <c r="V22" i="31"/>
  <c r="V21" i="31"/>
  <c r="V20" i="31"/>
  <c r="V19" i="31"/>
  <c r="V18" i="31"/>
  <c r="V17" i="31"/>
  <c r="V16" i="31"/>
  <c r="V15" i="31"/>
  <c r="V14" i="31"/>
  <c r="V13" i="31"/>
  <c r="V12" i="31"/>
  <c r="V11" i="31"/>
  <c r="V10" i="31"/>
  <c r="V9" i="31"/>
  <c r="V8" i="31"/>
  <c r="V7" i="31"/>
  <c r="W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<sst xmlns="http://schemas.openxmlformats.org/spreadsheetml/2006/main" count="1427" uniqueCount="423">
  <si>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</si>
  <si>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</si>
  <si>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</si>
  <si>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</si>
  <si>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</si>
  <si>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</si>
  <si>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</si>
  <si>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</si>
  <si>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</si>
  <si>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</si>
  <si>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</si>
  <si>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</si>
  <si>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</si>
  <si>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</si>
  <si>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</si>
  <si>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</si>
  <si>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</si>
  <si>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</si>
  <si>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</si>
  <si>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</si>
  <si>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</si>
  <si>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</si>
  <si>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</si>
  <si>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</si>
  <si>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</si>
  <si>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</si>
  <si>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</si>
  <si>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</si>
  <si>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</si>
  <si>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</si>
  <si>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</si>
  <si>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</si>
  <si>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.\tests\test_files\pcurve_wind.csv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</si>
  <si>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</si>
  <si>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</si>
  <si>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</si>
  <si>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</si>
  <si>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</si>
  <si>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</si>
  <si>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</si>
  <si>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</si>
  <si>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</si>
  <si>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.\tests\test_files\pmatrix_wave.csv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</si>
  <si>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</si>
  <si>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</si>
  <si>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</si>
  <si>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</si>
  <si>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</si>
  <si>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</si>
  <si>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</si>
  <si>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</si>
  <si>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</si>
  <si>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</si>
  <si>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</si>
  <si>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</si>
  <si>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</si>
  <si>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</si>
  <si>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</si>
  <si>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</si>
  <si>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</si>
  <si>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</si>
  <si>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</si>
  <si>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</si>
  <si>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</si>
  <si>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</si>
  <si>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</si>
  <si>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</si>
  <si>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</si>
  <si>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</si>
  <si>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</si>
  <si>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</si>
  <si>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</si>
  <si>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</si>
  <si>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</si>
  <si>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</si>
  <si>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</si>
  <si>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</si>
  <si>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</si>
  <si>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</si>
  <si>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</si>
  <si>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</si>
  <si>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</si>
  <si>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</si>
  <si>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</si>
  <si>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</si>
  <si>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</si>
  <si>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</si>
  <si>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</si>
  <si>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</si>
  <si>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</si>
  <si>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</si>
  <si>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</si>
  <si>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</si>
  <si>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</si>
  <si>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</si>
  <si>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</si>
  <si>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</si>
  <si>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</si>
  <si>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</si>
  <si>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</si>
  <si>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</si>
  <si>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</si>
  <si>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</si>
  <si>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</si>
  <si>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</si>
  <si>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</si>
  <si>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</si>
  <si>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</si>
  <si>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</si>
  <si>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</si>
  <si>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</si>
  <si>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</si>
  <si>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</si>
  <si>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</si>
  <si>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</si>
  <si>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</si>
  <si>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</si>
  <si>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</si>
  <si>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</si>
  <si>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</si>
  <si>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</si>
  <si>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</si>
  <si>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</si>
  <si>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</si>
  <si>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</si>
  <si>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</si>
  <si>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</si>
  <si>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</si>
  <si>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</si>
  <si>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</si>
  <si>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</si>
  <si>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</si>
  <si>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</si>
  <si>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</si>
  <si>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</si>
  <si>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</si>
  <si>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</si>
  <si>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</si>
  <si>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</si>
  <si>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</si>
  <si>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</si>
  <si>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</si>
  <si>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</si>
  <si>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</si>
  <si>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</si>
  <si>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</si>
  <si>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</si>
  <si>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</si>
  <si>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</si>
  <si>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</si>
  <si>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</si>
  <si>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</si>
  <si>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</si>
  <si>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</si>
  <si>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</si>
  <si>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</si>
  <si>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</si>
  <si>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</si>
  <si>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</si>
  <si>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</si>
  <si>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</si>
  <si>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</si>
  <si>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</si>
  <si>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</si>
  <si>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</si>
  <si>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</si>
  <si>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</si>
  <si>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</si>
  <si>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</si>
  <si>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</si>
  <si>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</si>
  <si>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</si>
  <si>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</si>
  <si>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</si>
  <si>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</si>
  <si>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</si>
  <si>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</si>
  <si>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</si>
  <si>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</si>
  <si>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</si>
  <si>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</si>
  <si>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</si>
  <si>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</si>
  <si>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</si>
  <si>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</si>
  <si>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</si>
  <si>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</si>
  <si>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</si>
  <si>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</si>
  <si>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</si>
  <si>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</si>
  <si>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</si>
  <si>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</si>
  <si>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</si>
  <si>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</si>
  <si>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</si>
  <si>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</si>
  <si>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</si>
  <si>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</si>
  <si>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</si>
  <si>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</si>
  <si>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</si>
  <si>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</si>
  <si>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</si>
  <si>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</si>
  <si>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</si>
  <si>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</si>
  <si>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</si>
  <si>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</si>
  <si>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</si>
  <si>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</si>
  <si>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</si>
  <si>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</si>
  <si>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</si>
  <si>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</si>
  <si>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</si>
  <si>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</si>
  <si>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</si>
  <si>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</si>
  <si>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</si>
  <si>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</si>
  <si>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</si>
  <si>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</si>
  <si>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</si>
  <si>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</si>
  <si>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</si>
  <si>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</si>
  <si>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</si>
  <si>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</si>
  <si>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</si>
  <si>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</si>
  <si>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</si>
  <si>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</si>
  <si>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</si>
  <si>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</si>
  <si>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</si>
  <si>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</si>
  <si>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</si>
  <si>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</si>
  <si>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</si>
  <si>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</si>
  <si>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</si>
  <si>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</si>
  <si>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</si>
  <si>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</si>
  <si>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</si>
  <si>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</si>
  <si>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Metocean tow file location 3</t>
  </si>
  <si>
    <t>Metocean tow file location 4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</si>
  <si>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</si>
  <si>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</si>
  <si>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</si>
  <si>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</si>
  <si>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</si>
  <si>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</si>
  <si>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</si>
  <si>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</si>
  <si>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</si>
  <si>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</si>
  <si>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</si>
  <si>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</si>
  <si>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</si>
  <si>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</si>
  <si>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</si>
  <si>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</si>
  <si>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</si>
  <si>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</si>
  <si>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</si>
  <si>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</si>
  <si>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</si>
  <si>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</si>
  <si>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</si>
  <si>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</si>
  <si>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</si>
  <si>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</si>
  <si>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</si>
  <si>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</si>
  <si>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</si>
  <si>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</si>
  <si>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</si>
  <si>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</si>
  <si>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</si>
  <si>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</si>
  <si>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</si>
  <si>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</si>
  <si>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</si>
  <si>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</si>
  <si>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</si>
  <si>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</si>
  <si>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</si>
  <si>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</si>
  <si>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</si>
  <si>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</si>
  <si>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</si>
  <si>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</si>
  <si>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</si>
  <si>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</si>
  <si>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</si>
  <si>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</si>
  <si>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</si>
  <si>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</si>
  <si>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</si>
  <si>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</si>
  <si>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</si>
  <si>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</si>
  <si>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</si>
  <si>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</si>
  <si>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</si>
  <si>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</si>
  <si>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</si>
  <si>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</si>
  <si>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</si>
  <si>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</si>
  <si>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</si>
  <si>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</si>
  <si>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</si>
  <si>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</si>
  <si>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</si>
  <si>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</si>
  <si>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</si>
  <si>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</si>
  <si>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</si>
  <si>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</si>
  <si>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</si>
  <si>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</si>
  <si>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</si>
  <si>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</si>
  <si>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</si>
  <si>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</si>
  <si>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</si>
  <si>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</si>
  <si>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</si>
  <si>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</si>
  <si>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</si>
  <si>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</si>
  <si>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</si>
  <si>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</si>
  <si>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</si>
  <si>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</si>
  <si>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</si>
  <si>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</si>
  <si>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</si>
  <si>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</si>
  <si>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</si>
  <si>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</si>
  <si>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</si>
  <si>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</si>
  <si>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</si>
  <si>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</si>
  <si>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</si>
  <si>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</si>
  <si>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</si>
  <si>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</si>
  <si>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</si>
  <si>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</si>
  <si>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</si>
  <si>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</si>
  <si>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</si>
  <si>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</si>
  <si>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</si>
  <si>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</si>
  <si>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</si>
  <si>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</si>
  <si>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</si>
  <si>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</si>
  <si>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</si>
  <si>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</si>
  <si>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</si>
  <si>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</si>
  <si>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</si>
  <si>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</si>
  <si>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</si>
  <si>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</si>
  <si>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</si>
  <si>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</si>
  <si>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</si>
  <si>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</si>
  <si>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</si>
  <si>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</si>
  <si>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</si>
  <si>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</si>
  <si>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</si>
  <si>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</si>
  <si>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</si>
  <si>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</si>
  <si>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</si>
  <si>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</si>
  <si>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</si>
  <si>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</si>
  <si>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</si>
  <si>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</si>
  <si>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</si>
  <si>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</si>
  <si>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</si>
  <si>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</si>
  <si>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</si>
  <si>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</si>
  <si>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</si>
  <si>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</si>
  <si>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.\tests\test_files\metocean\metocean_02years.csv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</si>
  <si>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</si>
  <si>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</si>
  <si>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</si>
  <si>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</si>
  <si>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</si>
  <si>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</si>
  <si>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</si>
  <si>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</si>
  <si>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</si>
  <si>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</si>
  <si>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</si>
  <si>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</si>
  <si>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</si>
  <si>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</si>
  <si>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</si>
  <si>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</si>
  <si>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.\tests\test_files\test_end_to_end</t>
  </si>
  <si>
    <t>additional_previous_op_tow</t>
  </si>
  <si>
    <t>string_disconnection</t>
  </si>
  <si>
    <t>ofw_OP005</t>
  </si>
  <si>
    <t>OP005</t>
  </si>
  <si>
    <t>recommissioning_time</t>
  </si>
  <si>
    <t>avoid_month_correction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</si>
</sst>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59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K14" sqref="K14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416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8" priority="1">
      <formula>AND(ISBLANK($C$3),$C$5&lt;&gt;FALSE)</formula>
    </cfRule>
    <cfRule type="expression" dxfId="57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topLeftCell="I1" workbookViewId="0">
      <selection activeCell="P8" sqref="P8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1" width="18.7109375" customWidth="1"/>
    <col min="22" max="22" width="21.5703125" bestFit="1" customWidth="1"/>
    <col min="23" max="23" width="18.7109375" customWidth="1"/>
    <col min="24" max="24" width="50.7109375" customWidth="1"/>
  </cols>
  <sheetData>
    <row r="1" spans="1:24" x14ac:dyDescent="0.25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s="47" t="s">
        <v>75</v>
      </c>
      <c r="U1" s="47" t="s">
        <v>76</v>
      </c>
      <c r="V1" s="47" t="s">
        <v>77</v>
      </c>
      <c r="W1" s="47" t="s">
        <v>78</v>
      </c>
      <c r="X1" t="s">
        <v>79</v>
      </c>
    </row>
    <row r="2" spans="1:24" x14ac:dyDescent="0.25">
      <c r="A2" t="s">
        <v>13</v>
      </c>
      <c r="E2" t="s">
        <v>27</v>
      </c>
      <c r="F2" t="s">
        <v>27</v>
      </c>
      <c r="G2" t="s">
        <v>80</v>
      </c>
      <c r="H2" t="s">
        <v>81</v>
      </c>
      <c r="I2" t="s">
        <v>80</v>
      </c>
      <c r="J2" t="s">
        <v>13</v>
      </c>
      <c r="K2" t="s">
        <v>13</v>
      </c>
      <c r="L2" t="s">
        <v>82</v>
      </c>
      <c r="M2" t="s">
        <v>13</v>
      </c>
      <c r="N2" t="s">
        <v>13</v>
      </c>
      <c r="O2" t="s">
        <v>13</v>
      </c>
      <c r="P2" t="s">
        <v>83</v>
      </c>
      <c r="Q2" t="s">
        <v>83</v>
      </c>
      <c r="R2" t="s">
        <v>83</v>
      </c>
      <c r="S2" t="s">
        <v>84</v>
      </c>
      <c r="T2" s="48" t="s">
        <v>13</v>
      </c>
      <c r="U2" s="48" t="s">
        <v>13</v>
      </c>
      <c r="V2" s="47" t="s">
        <v>85</v>
      </c>
      <c r="W2" s="47" t="s">
        <v>13</v>
      </c>
    </row>
    <row r="3" spans="1:24" x14ac:dyDescent="0.25">
      <c r="A3" t="s">
        <v>88</v>
      </c>
      <c r="B3" t="s">
        <v>89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94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90</v>
      </c>
      <c r="B4" t="s">
        <v>91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94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86</v>
      </c>
      <c r="B5" t="s">
        <v>93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94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6" priority="2">
      <formula>AND(ISBLANK($H$3:$H$1048576), NOT(ISBLANK($I$3:$I$1048576)))</formula>
    </cfRule>
  </conditionalFormatting>
  <conditionalFormatting sqref="I3">
    <cfRule type="expression" dxfId="55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I21" sqref="I2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32</v>
      </c>
    </row>
    <row r="8" spans="1:3" x14ac:dyDescent="0.25">
      <c r="A8" t="s">
        <v>33</v>
      </c>
      <c r="B8" t="s">
        <v>13</v>
      </c>
      <c r="C8" s="1">
        <v>3</v>
      </c>
    </row>
    <row r="9" spans="1:3" x14ac:dyDescent="0.25">
      <c r="A9" t="s">
        <v>34</v>
      </c>
      <c r="B9" t="s">
        <v>13</v>
      </c>
      <c r="C9" s="1">
        <v>1</v>
      </c>
    </row>
    <row r="10" spans="1:3" x14ac:dyDescent="0.25">
      <c r="A10" t="s">
        <v>35</v>
      </c>
      <c r="B10" t="s">
        <v>13</v>
      </c>
      <c r="C10" s="1">
        <v>1</v>
      </c>
    </row>
    <row r="11" spans="1:3" x14ac:dyDescent="0.25">
      <c r="A11" t="s">
        <v>36</v>
      </c>
      <c r="B11" t="s">
        <v>13</v>
      </c>
      <c r="C11">
        <v>1</v>
      </c>
    </row>
    <row r="12" spans="1:3" x14ac:dyDescent="0.25">
      <c r="A12" t="s">
        <v>37</v>
      </c>
      <c r="B12" t="s">
        <v>13</v>
      </c>
      <c r="C12">
        <v>1</v>
      </c>
    </row>
    <row r="13" spans="1:3" x14ac:dyDescent="0.25">
      <c r="A13" s="47" t="s">
        <v>384</v>
      </c>
      <c r="B13" s="48" t="s">
        <v>13</v>
      </c>
      <c r="C13" s="47">
        <v>4</v>
      </c>
    </row>
    <row r="14" spans="1:3" x14ac:dyDescent="0.25">
      <c r="A14" s="47" t="s">
        <v>385</v>
      </c>
      <c r="B14" s="48" t="s">
        <v>13</v>
      </c>
      <c r="C14" s="47">
        <v>0</v>
      </c>
    </row>
    <row r="15" spans="1:3" x14ac:dyDescent="0.25">
      <c r="A15" t="s">
        <v>415</v>
      </c>
      <c r="B15" t="s">
        <v>13</v>
      </c>
      <c r="C15" t="b">
        <v>1</v>
      </c>
    </row>
  </sheetData>
  <conditionalFormatting sqref="C9:C10">
    <cfRule type="expression" dxfId="54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C11" sqref="C1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38</v>
      </c>
      <c r="B2" t="s">
        <v>13</v>
      </c>
      <c r="C2">
        <v>0</v>
      </c>
    </row>
    <row r="3" spans="1:3" x14ac:dyDescent="0.25">
      <c r="A3" t="s">
        <v>39</v>
      </c>
      <c r="B3" t="s">
        <v>40</v>
      </c>
      <c r="C3" s="2">
        <v>400</v>
      </c>
    </row>
    <row r="4" spans="1:3" x14ac:dyDescent="0.25">
      <c r="A4" t="s">
        <v>41</v>
      </c>
      <c r="B4" t="s">
        <v>13</v>
      </c>
      <c r="C4" t="s">
        <v>42</v>
      </c>
    </row>
    <row r="5" spans="1:3" x14ac:dyDescent="0.25">
      <c r="A5" t="s">
        <v>43</v>
      </c>
      <c r="B5" t="s">
        <v>13</v>
      </c>
      <c r="C5" s="2">
        <v>40</v>
      </c>
    </row>
    <row r="6" spans="1:3" x14ac:dyDescent="0.25">
      <c r="A6" t="s">
        <v>44</v>
      </c>
      <c r="B6" t="s">
        <v>13</v>
      </c>
      <c r="C6" s="2">
        <v>5</v>
      </c>
    </row>
    <row r="7" spans="1:3" x14ac:dyDescent="0.25">
      <c r="A7" t="s">
        <v>45</v>
      </c>
      <c r="B7" t="s">
        <v>13</v>
      </c>
      <c r="C7">
        <v>1</v>
      </c>
    </row>
    <row r="8" spans="1:3" x14ac:dyDescent="0.25">
      <c r="A8" t="s">
        <v>46</v>
      </c>
      <c r="B8" t="s">
        <v>13</v>
      </c>
      <c r="C8">
        <v>1</v>
      </c>
    </row>
    <row r="9" spans="1:3" x14ac:dyDescent="0.25">
      <c r="A9" s="47" t="s">
        <v>47</v>
      </c>
      <c r="B9" s="48" t="s">
        <v>13</v>
      </c>
      <c r="C9" s="47">
        <v>4</v>
      </c>
    </row>
    <row r="10" spans="1:3" x14ac:dyDescent="0.25">
      <c r="A10" s="47" t="s">
        <v>48</v>
      </c>
      <c r="B10" s="48" t="s">
        <v>13</v>
      </c>
      <c r="C10" s="47">
        <v>0</v>
      </c>
    </row>
    <row r="11" spans="1:3" x14ac:dyDescent="0.25">
      <c r="A11" t="s">
        <v>415</v>
      </c>
      <c r="B11" t="s">
        <v>13</v>
      </c>
      <c r="C11" t="b">
        <v>1</v>
      </c>
    </row>
  </sheetData>
  <conditionalFormatting sqref="C6">
    <cfRule type="expression" dxfId="53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G12" sqref="G1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49</v>
      </c>
      <c r="B2" s="60" t="s">
        <v>13</v>
      </c>
      <c r="C2" s="60"/>
    </row>
    <row r="3" spans="1:3" x14ac:dyDescent="0.25">
      <c r="A3" s="60" t="s">
        <v>50</v>
      </c>
      <c r="B3" s="60" t="s">
        <v>13</v>
      </c>
      <c r="C3" s="72"/>
    </row>
    <row r="4" spans="1:3" x14ac:dyDescent="0.25">
      <c r="A4" s="60" t="s">
        <v>51</v>
      </c>
      <c r="B4" s="60" t="s">
        <v>13</v>
      </c>
      <c r="C4" s="60"/>
    </row>
    <row r="5" spans="1:3" x14ac:dyDescent="0.25">
      <c r="A5" s="60" t="s">
        <v>386</v>
      </c>
      <c r="B5" s="60" t="s">
        <v>13</v>
      </c>
      <c r="C5" s="60"/>
    </row>
    <row r="6" spans="1:3" x14ac:dyDescent="0.25">
      <c r="A6" s="60" t="s">
        <v>387</v>
      </c>
      <c r="B6" s="60" t="s">
        <v>40</v>
      </c>
      <c r="C6" s="60"/>
    </row>
    <row r="7" spans="1:3" x14ac:dyDescent="0.25">
      <c r="A7" s="60" t="s">
        <v>388</v>
      </c>
      <c r="B7" s="60" t="s">
        <v>13</v>
      </c>
      <c r="C7" s="60"/>
    </row>
    <row r="8" spans="1:3" x14ac:dyDescent="0.25">
      <c r="A8" s="60" t="s">
        <v>389</v>
      </c>
      <c r="B8" s="60"/>
      <c r="C8" s="60"/>
    </row>
    <row r="9" spans="1:3" x14ac:dyDescent="0.25">
      <c r="A9" s="60" t="s">
        <v>390</v>
      </c>
      <c r="B9" s="60" t="s">
        <v>13</v>
      </c>
      <c r="C9" s="73"/>
    </row>
    <row r="10" spans="1:3" x14ac:dyDescent="0.25">
      <c r="A10" s="60" t="s">
        <v>52</v>
      </c>
      <c r="B10" s="60" t="s">
        <v>13</v>
      </c>
      <c r="C10" s="74"/>
    </row>
    <row r="11" spans="1:3" x14ac:dyDescent="0.25">
      <c r="A11" s="60" t="s">
        <v>53</v>
      </c>
      <c r="B11" s="60" t="s">
        <v>54</v>
      </c>
      <c r="C11" s="60"/>
    </row>
    <row r="12" spans="1:3" x14ac:dyDescent="0.25">
      <c r="A12" s="60" t="s">
        <v>55</v>
      </c>
      <c r="B12" s="60" t="s">
        <v>13</v>
      </c>
      <c r="C12" s="60"/>
    </row>
    <row r="13" spans="1:3" x14ac:dyDescent="0.25">
      <c r="A13" s="60" t="s">
        <v>391</v>
      </c>
      <c r="B13" s="60" t="s">
        <v>13</v>
      </c>
      <c r="C13" s="60"/>
    </row>
    <row r="14" spans="1:3" x14ac:dyDescent="0.25">
      <c r="A14" s="60" t="s">
        <v>392</v>
      </c>
      <c r="B14" s="60" t="s">
        <v>13</v>
      </c>
      <c r="C14" s="60"/>
    </row>
    <row r="15" spans="1:3" x14ac:dyDescent="0.25">
      <c r="A15" s="60" t="s">
        <v>393</v>
      </c>
      <c r="B15" s="60" t="s">
        <v>13</v>
      </c>
      <c r="C15" s="60"/>
    </row>
    <row r="16" spans="1:3" x14ac:dyDescent="0.25">
      <c r="A16" s="60" t="s">
        <v>394</v>
      </c>
      <c r="B16" s="60" t="s">
        <v>13</v>
      </c>
      <c r="C16" s="60"/>
    </row>
    <row r="17" spans="1:3" x14ac:dyDescent="0.25">
      <c r="A17" s="60" t="s">
        <v>395</v>
      </c>
      <c r="B17" s="60" t="s">
        <v>13</v>
      </c>
      <c r="C17" s="60"/>
    </row>
    <row r="18" spans="1:3" x14ac:dyDescent="0.25">
      <c r="A18" t="s">
        <v>415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workbookViewId="0">
      <selection activeCell="L14" sqref="L14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56</v>
      </c>
      <c r="B1" s="5" t="s">
        <v>95</v>
      </c>
      <c r="C1" s="5" t="s">
        <v>57</v>
      </c>
      <c r="D1" s="5"/>
      <c r="E1" s="5" t="s">
        <v>96</v>
      </c>
      <c r="F1" s="5" t="s">
        <v>97</v>
      </c>
      <c r="G1" s="5" t="s">
        <v>98</v>
      </c>
      <c r="H1" s="6" t="s">
        <v>60</v>
      </c>
      <c r="I1" s="6" t="s">
        <v>99</v>
      </c>
      <c r="J1" s="6" t="s">
        <v>100</v>
      </c>
      <c r="K1" s="6" t="s">
        <v>101</v>
      </c>
      <c r="L1" s="6" t="s">
        <v>102</v>
      </c>
      <c r="M1" s="7" t="s">
        <v>103</v>
      </c>
      <c r="N1" s="7" t="s">
        <v>104</v>
      </c>
      <c r="O1" s="7" t="s">
        <v>105</v>
      </c>
      <c r="P1" s="8" t="s">
        <v>106</v>
      </c>
      <c r="Q1" s="8" t="s">
        <v>107</v>
      </c>
      <c r="R1" s="8" t="s">
        <v>108</v>
      </c>
      <c r="S1" s="8" t="s">
        <v>109</v>
      </c>
      <c r="T1" s="8" t="s">
        <v>110</v>
      </c>
      <c r="U1" s="15" t="s">
        <v>111</v>
      </c>
      <c r="V1" s="15" t="s">
        <v>62</v>
      </c>
    </row>
    <row r="2" spans="1:22" x14ac:dyDescent="0.25">
      <c r="A2" s="9" t="s">
        <v>112</v>
      </c>
      <c r="B2" s="9" t="s">
        <v>112</v>
      </c>
      <c r="C2" s="9" t="s">
        <v>112</v>
      </c>
      <c r="D2" s="9"/>
      <c r="E2" s="9" t="s">
        <v>113</v>
      </c>
      <c r="F2" s="9" t="s">
        <v>114</v>
      </c>
      <c r="G2" s="9" t="s">
        <v>114</v>
      </c>
      <c r="H2" s="10" t="s">
        <v>115</v>
      </c>
      <c r="I2" s="10" t="s">
        <v>116</v>
      </c>
      <c r="J2" s="10" t="s">
        <v>117</v>
      </c>
      <c r="K2" s="10" t="s">
        <v>118</v>
      </c>
      <c r="L2" s="10" t="s">
        <v>117</v>
      </c>
      <c r="M2" s="11" t="s">
        <v>112</v>
      </c>
      <c r="N2" s="11" t="s">
        <v>112</v>
      </c>
      <c r="O2" s="11" t="s">
        <v>112</v>
      </c>
      <c r="P2" s="12" t="s">
        <v>119</v>
      </c>
      <c r="Q2" s="12" t="s">
        <v>113</v>
      </c>
      <c r="R2" s="12" t="s">
        <v>113</v>
      </c>
      <c r="S2" s="12" t="s">
        <v>112</v>
      </c>
      <c r="T2" s="12" t="s">
        <v>120</v>
      </c>
    </row>
    <row r="3" spans="1:22" x14ac:dyDescent="0.25">
      <c r="A3" t="s">
        <v>121</v>
      </c>
      <c r="B3" t="s">
        <v>122</v>
      </c>
      <c r="C3" t="s">
        <v>123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93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I498"/>
  <sheetViews>
    <sheetView zoomScale="85" zoomScaleNormal="85" workbookViewId="0">
      <pane xSplit="3" ySplit="2" topLeftCell="Q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3" width="15.5703125" style="17" customWidth="1"/>
    <col min="24" max="25" width="21.42578125" style="17" customWidth="1"/>
    <col min="26" max="26" width="13.5703125" style="17" customWidth="1"/>
    <col min="27" max="27" width="12.7109375" style="17" customWidth="1"/>
    <col min="28" max="28" width="15.42578125" bestFit="1" customWidth="1"/>
    <col min="29" max="29" width="15.140625" style="17" customWidth="1"/>
    <col min="30" max="16384" width="9.28515625" style="17"/>
  </cols>
  <sheetData>
    <row r="1" spans="1:35" x14ac:dyDescent="0.25">
      <c r="A1" s="17" t="s">
        <v>56</v>
      </c>
      <c r="B1" s="17" t="s">
        <v>124</v>
      </c>
      <c r="C1" s="17" t="s">
        <v>125</v>
      </c>
      <c r="D1" s="17" t="s">
        <v>126</v>
      </c>
      <c r="E1" s="17" t="s">
        <v>127</v>
      </c>
      <c r="F1" s="17" t="s">
        <v>128</v>
      </c>
      <c r="G1" s="47" t="s">
        <v>129</v>
      </c>
      <c r="H1" s="33" t="s">
        <v>130</v>
      </c>
      <c r="I1" s="17" t="s">
        <v>131</v>
      </c>
      <c r="J1" s="34" t="s">
        <v>132</v>
      </c>
      <c r="K1" s="17" t="s">
        <v>133</v>
      </c>
      <c r="L1" s="39" t="s">
        <v>134</v>
      </c>
      <c r="M1" s="33" t="s">
        <v>135</v>
      </c>
      <c r="N1" s="17" t="s">
        <v>136</v>
      </c>
      <c r="O1" s="17" t="s">
        <v>137</v>
      </c>
      <c r="P1" s="17" t="s">
        <v>138</v>
      </c>
      <c r="Q1" s="17" t="s">
        <v>139</v>
      </c>
      <c r="R1" s="34" t="s">
        <v>140</v>
      </c>
      <c r="S1" s="17" t="s">
        <v>141</v>
      </c>
      <c r="T1" s="17" t="s">
        <v>142</v>
      </c>
      <c r="U1" s="17" t="s">
        <v>143</v>
      </c>
      <c r="V1" s="17" t="s">
        <v>144</v>
      </c>
      <c r="W1" s="17" t="s">
        <v>145</v>
      </c>
      <c r="X1" s="17" t="s">
        <v>146</v>
      </c>
      <c r="Y1" s="17" t="s">
        <v>147</v>
      </c>
      <c r="Z1" s="17" t="s">
        <v>148</v>
      </c>
      <c r="AA1" s="17" t="s">
        <v>149</v>
      </c>
      <c r="AB1" s="17" t="s">
        <v>150</v>
      </c>
      <c r="AC1" s="17" t="s">
        <v>151</v>
      </c>
      <c r="AD1" s="47" t="s">
        <v>152</v>
      </c>
      <c r="AE1" s="17" t="s">
        <v>153</v>
      </c>
    </row>
    <row r="2" spans="1:3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154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81</v>
      </c>
      <c r="L2" s="39" t="s">
        <v>13</v>
      </c>
      <c r="M2" s="33" t="s">
        <v>30</v>
      </c>
      <c r="N2" s="17" t="s">
        <v>155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156</v>
      </c>
      <c r="Z2" s="17" t="s">
        <v>80</v>
      </c>
      <c r="AA2" s="17" t="s">
        <v>80</v>
      </c>
      <c r="AB2" s="17" t="s">
        <v>13</v>
      </c>
      <c r="AC2" s="17" t="s">
        <v>13</v>
      </c>
      <c r="AD2" s="48" t="s">
        <v>13</v>
      </c>
      <c r="AE2" s="17" t="s">
        <v>13</v>
      </c>
    </row>
    <row r="3" spans="1:35" x14ac:dyDescent="0.25">
      <c r="A3" s="59" t="s">
        <v>334</v>
      </c>
      <c r="B3" s="59" t="s">
        <v>335</v>
      </c>
      <c r="C3" s="59" t="s">
        <v>336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337</v>
      </c>
      <c r="T3" s="59" t="s">
        <v>86</v>
      </c>
      <c r="U3" s="59"/>
      <c r="W3" s="59"/>
      <c r="X3" s="59">
        <v>6</v>
      </c>
      <c r="Y3" s="59">
        <v>350</v>
      </c>
      <c r="Z3" s="59"/>
      <c r="AA3" s="59"/>
      <c r="AB3" s="65" t="s">
        <v>294</v>
      </c>
      <c r="AC3" s="59"/>
      <c r="AD3" s="60"/>
      <c r="AE3" s="59" t="b">
        <v>0</v>
      </c>
      <c r="AF3" s="59"/>
      <c r="AG3" s="59"/>
      <c r="AH3" s="59"/>
      <c r="AI3" s="59"/>
    </row>
    <row r="4" spans="1:35" x14ac:dyDescent="0.25">
      <c r="A4" s="59" t="s">
        <v>338</v>
      </c>
      <c r="B4" s="59" t="s">
        <v>339</v>
      </c>
      <c r="C4" s="59" t="s">
        <v>340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337</v>
      </c>
      <c r="T4" s="59" t="s">
        <v>86</v>
      </c>
      <c r="U4" s="59"/>
      <c r="W4" s="60" t="s">
        <v>121</v>
      </c>
      <c r="X4" s="59">
        <v>3</v>
      </c>
      <c r="Y4" s="59">
        <v>350</v>
      </c>
      <c r="Z4" s="59"/>
      <c r="AA4" s="59"/>
      <c r="AB4" s="65" t="s">
        <v>294</v>
      </c>
      <c r="AC4" s="59"/>
      <c r="AD4" s="60"/>
      <c r="AE4" s="59" t="b">
        <v>0</v>
      </c>
      <c r="AF4" s="59"/>
      <c r="AG4" s="59"/>
      <c r="AH4" s="59"/>
      <c r="AI4" s="59"/>
    </row>
    <row r="5" spans="1:35" x14ac:dyDescent="0.25">
      <c r="A5" s="59" t="s">
        <v>341</v>
      </c>
      <c r="B5" s="59" t="s">
        <v>342</v>
      </c>
      <c r="C5" s="59" t="s">
        <v>343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337</v>
      </c>
      <c r="T5" s="59" t="s">
        <v>86</v>
      </c>
      <c r="U5" s="59"/>
      <c r="W5" s="59"/>
      <c r="X5" s="59">
        <v>2</v>
      </c>
      <c r="Y5" s="59">
        <v>350</v>
      </c>
      <c r="Z5" s="59"/>
      <c r="AA5" s="59"/>
      <c r="AB5" s="65" t="s">
        <v>294</v>
      </c>
      <c r="AC5" s="59"/>
      <c r="AD5" s="60"/>
      <c r="AE5" s="59" t="b">
        <v>0</v>
      </c>
      <c r="AF5" s="59"/>
      <c r="AG5" s="59"/>
      <c r="AH5" s="59"/>
      <c r="AI5" s="59"/>
    </row>
    <row r="6" spans="1:35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W6" s="24" t="str">
        <f>IFERROR(IF(ISBLANK(U6),"",INDEX(Gen_Vessels!$A$3:$C$495,MATCH(InspectionSite!$U6,Gen_Vessels!$C$3:$C$495,0),1)),"")</f>
        <v/>
      </c>
      <c r="X6" s="24"/>
      <c r="Y6" s="24"/>
      <c r="Z6" s="24"/>
      <c r="AA6" s="24"/>
      <c r="AB6" s="24"/>
      <c r="AC6" s="19"/>
      <c r="AD6" s="24"/>
      <c r="AE6" s="47"/>
      <c r="AF6" s="24"/>
      <c r="AG6" s="24"/>
      <c r="AH6" s="24"/>
      <c r="AI6" s="24"/>
    </row>
    <row r="7" spans="1:35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 t="str">
        <f>IFERROR(IF(ISBLANK(U7),"",INDEX(Gen_Vessels!$A$3:$C$495,MATCH(InspectionSite!$U7,Gen_Vessels!$C$3:$C$495,0),1)),"")</f>
        <v/>
      </c>
      <c r="W7" s="24"/>
      <c r="X7" s="24"/>
      <c r="Y7" s="24"/>
      <c r="Z7" s="24"/>
      <c r="AA7" s="24"/>
      <c r="AB7" s="19"/>
      <c r="AC7" s="24"/>
      <c r="AD7" s="47"/>
      <c r="AE7" s="47"/>
      <c r="AF7" s="24"/>
      <c r="AG7" s="24"/>
      <c r="AH7" s="24"/>
      <c r="AI7" s="24"/>
    </row>
    <row r="8" spans="1:35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 t="str">
        <f>IFERROR(IF(ISBLANK(U8),"",INDEX(Gen_Vessels!$A$3:$C$495,MATCH(InspectionSite!$U8,Gen_Vessels!$C$3:$C$495,0),1)),"")</f>
        <v/>
      </c>
      <c r="W8" s="24"/>
      <c r="X8" s="24"/>
      <c r="Y8" s="24"/>
      <c r="Z8" s="24"/>
      <c r="AA8" s="24"/>
      <c r="AB8" s="19"/>
      <c r="AC8" s="24"/>
      <c r="AD8" s="47"/>
      <c r="AE8" s="24"/>
      <c r="AF8" s="24"/>
      <c r="AG8" s="24"/>
      <c r="AH8" s="24"/>
      <c r="AI8" s="24"/>
    </row>
    <row r="9" spans="1:35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 t="str">
        <f>IFERROR(IF(ISBLANK(U9),"",INDEX(Gen_Vessels!$A$3:$C$495,MATCH(InspectionSite!$U9,Gen_Vessels!$C$3:$C$495,0),1)),"")</f>
        <v/>
      </c>
      <c r="W9" s="24"/>
      <c r="X9" s="24"/>
      <c r="Y9" s="24"/>
      <c r="Z9" s="24"/>
      <c r="AA9" s="24"/>
      <c r="AB9" s="19"/>
      <c r="AC9" s="24"/>
      <c r="AD9" s="47"/>
      <c r="AE9" s="24"/>
      <c r="AF9" s="24"/>
      <c r="AG9" s="24"/>
      <c r="AH9" s="24"/>
      <c r="AI9" s="24"/>
    </row>
    <row r="10" spans="1:35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 t="str">
        <f>IFERROR(IF(ISBLANK(U10),"",INDEX(Gen_Vessels!$A$3:$C$495,MATCH(InspectionSite!$U10,Gen_Vessels!$C$3:$C$495,0),1)),"")</f>
        <v/>
      </c>
      <c r="W10" s="24"/>
      <c r="X10" s="24"/>
      <c r="Y10" s="24"/>
      <c r="Z10" s="24"/>
      <c r="AA10" s="24"/>
      <c r="AB10" s="19"/>
      <c r="AC10" s="24"/>
      <c r="AD10" s="47"/>
      <c r="AE10" s="24"/>
      <c r="AF10" s="24"/>
      <c r="AG10" s="24"/>
      <c r="AH10" s="24"/>
      <c r="AI10" s="24"/>
    </row>
    <row r="11" spans="1:35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 t="str">
        <f>IFERROR(IF(ISBLANK(U11),"",INDEX(Gen_Vessels!$A$3:$C$495,MATCH(InspectionSite!$U11,Gen_Vessels!$C$3:$C$495,0),1)),"")</f>
        <v/>
      </c>
      <c r="W11" s="24"/>
      <c r="X11" s="24"/>
      <c r="Y11" s="24"/>
      <c r="Z11" s="24"/>
      <c r="AA11" s="24"/>
      <c r="AB11" s="19"/>
      <c r="AC11" s="24"/>
      <c r="AD11" s="47"/>
      <c r="AE11" s="24"/>
      <c r="AF11" s="24"/>
      <c r="AG11" s="24"/>
      <c r="AH11" s="24"/>
      <c r="AI11" s="24"/>
    </row>
    <row r="12" spans="1:35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 t="str">
        <f>IFERROR(IF(ISBLANK(U12),"",INDEX(Gen_Vessels!$A$3:$C$495,MATCH(InspectionSite!$U12,Gen_Vessels!$C$3:$C$495,0),1)),"")</f>
        <v/>
      </c>
      <c r="W12" s="24"/>
      <c r="X12" s="24"/>
      <c r="Y12" s="24"/>
      <c r="Z12" s="24"/>
      <c r="AA12" s="24"/>
      <c r="AB12" s="19"/>
      <c r="AC12" s="24"/>
      <c r="AD12" s="47"/>
      <c r="AE12" s="24"/>
      <c r="AF12" s="24"/>
      <c r="AG12" s="24"/>
      <c r="AH12" s="24"/>
      <c r="AI12" s="24"/>
    </row>
    <row r="13" spans="1:35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 t="str">
        <f>IFERROR(IF(ISBLANK(U13),"",INDEX(Gen_Vessels!$A$3:$C$495,MATCH(InspectionSite!$U13,Gen_Vessels!$C$3:$C$495,0),1)),"")</f>
        <v/>
      </c>
      <c r="W13" s="24"/>
      <c r="X13" s="24"/>
      <c r="Y13" s="24"/>
      <c r="Z13" s="24"/>
      <c r="AA13" s="24"/>
      <c r="AB13" s="19"/>
      <c r="AC13" s="24"/>
      <c r="AD13" s="47"/>
      <c r="AE13" s="24"/>
      <c r="AF13" s="24"/>
      <c r="AG13" s="24"/>
      <c r="AH13" s="24"/>
      <c r="AI13" s="24"/>
    </row>
    <row r="14" spans="1:35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 t="str">
        <f>IFERROR(IF(ISBLANK(U14),"",INDEX(Gen_Vessels!$A$3:$C$495,MATCH(InspectionSite!$U14,Gen_Vessels!$C$3:$C$495,0),1)),"")</f>
        <v/>
      </c>
      <c r="W14" s="24"/>
      <c r="X14" s="24"/>
      <c r="Y14" s="24"/>
      <c r="Z14" s="24"/>
      <c r="AA14" s="24"/>
      <c r="AB14" s="19"/>
      <c r="AC14" s="24"/>
      <c r="AD14" s="47"/>
      <c r="AE14" s="24"/>
      <c r="AF14" s="24"/>
      <c r="AG14" s="24"/>
      <c r="AH14" s="24"/>
      <c r="AI14" s="24"/>
    </row>
    <row r="15" spans="1:35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 t="str">
        <f>IFERROR(IF(ISBLANK(U15),"",INDEX(Gen_Vessels!$A$3:$C$495,MATCH(InspectionSite!$U15,Gen_Vessels!$C$3:$C$495,0),1)),"")</f>
        <v/>
      </c>
      <c r="W15" s="24"/>
      <c r="X15" s="24"/>
      <c r="Y15" s="24"/>
      <c r="Z15" s="24"/>
      <c r="AA15" s="24"/>
      <c r="AB15" s="19"/>
      <c r="AC15" s="24"/>
      <c r="AD15" s="47"/>
      <c r="AE15" s="24"/>
      <c r="AF15" s="24"/>
      <c r="AG15" s="24"/>
      <c r="AH15" s="24"/>
      <c r="AI15" s="24"/>
    </row>
    <row r="16" spans="1:35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 t="str">
        <f>IFERROR(IF(ISBLANK(U16),"",INDEX(Gen_Vessels!$A$3:$C$495,MATCH(InspectionSite!$U16,Gen_Vessels!$C$3:$C$495,0),1)),"")</f>
        <v/>
      </c>
      <c r="W16" s="24"/>
      <c r="X16" s="24"/>
      <c r="Y16" s="24"/>
      <c r="Z16" s="24"/>
      <c r="AA16" s="24"/>
      <c r="AB16" s="24"/>
      <c r="AC16" s="24"/>
      <c r="AD16" s="47"/>
      <c r="AE16" s="24"/>
      <c r="AF16" s="24"/>
      <c r="AG16" s="24"/>
      <c r="AH16" s="24"/>
      <c r="AI16" s="24"/>
    </row>
    <row r="17" spans="1:35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 t="str">
        <f>IFERROR(IF(ISBLANK(U17),"",INDEX(Gen_Vessels!$A$3:$C$495,MATCH(InspectionSite!$U17,Gen_Vessels!$C$3:$C$495,0),1)),"")</f>
        <v/>
      </c>
      <c r="W17" s="24"/>
      <c r="X17" s="24"/>
      <c r="Y17" s="24"/>
      <c r="Z17" s="24"/>
      <c r="AA17" s="24"/>
      <c r="AC17" s="24"/>
      <c r="AD17" s="47"/>
      <c r="AE17" s="24"/>
      <c r="AF17" s="24"/>
      <c r="AG17" s="24"/>
      <c r="AH17" s="24"/>
      <c r="AI17" s="24"/>
    </row>
    <row r="18" spans="1:35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 t="str">
        <f>IFERROR(IF(ISBLANK(U18),"",INDEX(Gen_Vessels!$A$3:$C$495,MATCH(InspectionSite!$U18,Gen_Vessels!$C$3:$C$495,0),1)),"")</f>
        <v/>
      </c>
      <c r="W18" s="24"/>
      <c r="X18" s="24"/>
      <c r="Y18" s="24"/>
      <c r="Z18" s="24"/>
      <c r="AA18" s="24"/>
      <c r="AC18" s="24"/>
      <c r="AD18" s="47"/>
      <c r="AE18" s="24"/>
      <c r="AF18" s="24"/>
      <c r="AG18" s="24"/>
      <c r="AH18" s="24"/>
      <c r="AI18" s="24"/>
    </row>
    <row r="19" spans="1:35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 t="str">
        <f>IFERROR(IF(ISBLANK(U19),"",INDEX(Gen_Vessels!$A$3:$C$495,MATCH(InspectionSite!$U19,Gen_Vessels!$C$3:$C$495,0),1)),"")</f>
        <v/>
      </c>
      <c r="W19" s="24"/>
      <c r="X19" s="24"/>
      <c r="Y19" s="24"/>
      <c r="Z19" s="24"/>
      <c r="AA19" s="24"/>
      <c r="AC19" s="24"/>
      <c r="AD19" s="47"/>
      <c r="AE19" s="24"/>
      <c r="AF19" s="24"/>
      <c r="AG19" s="24"/>
      <c r="AH19" s="24"/>
      <c r="AI19" s="24"/>
    </row>
    <row r="20" spans="1:35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 t="str">
        <f>IFERROR(IF(ISBLANK(U20),"",INDEX(Gen_Vessels!$A$3:$C$495,MATCH(InspectionSite!$U20,Gen_Vessels!$C$3:$C$495,0),1)),"")</f>
        <v/>
      </c>
      <c r="W20" s="24"/>
      <c r="X20" s="24"/>
      <c r="Y20" s="24"/>
      <c r="Z20" s="24"/>
      <c r="AA20" s="24"/>
      <c r="AC20" s="24"/>
      <c r="AD20" s="47"/>
      <c r="AE20" s="24"/>
      <c r="AF20" s="24"/>
      <c r="AG20" s="24"/>
      <c r="AH20" s="24"/>
      <c r="AI20" s="24"/>
    </row>
    <row r="21" spans="1:35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 t="str">
        <f>IFERROR(IF(ISBLANK(U21),"",INDEX(Gen_Vessels!$A$3:$C$495,MATCH(InspectionSite!$U21,Gen_Vessels!$C$3:$C$495,0),1)),"")</f>
        <v/>
      </c>
      <c r="W21" s="24"/>
      <c r="X21" s="24"/>
      <c r="Y21" s="24"/>
      <c r="Z21" s="24"/>
      <c r="AA21" s="24"/>
      <c r="AC21" s="24"/>
      <c r="AD21" s="47"/>
      <c r="AE21" s="24"/>
      <c r="AF21" s="24"/>
      <c r="AG21" s="24"/>
      <c r="AH21" s="24"/>
      <c r="AI21" s="24"/>
    </row>
    <row r="22" spans="1:35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 t="str">
        <f>IFERROR(IF(ISBLANK(U22),"",INDEX(Gen_Vessels!$A$3:$C$495,MATCH(InspectionSite!$U22,Gen_Vessels!$C$3:$C$495,0),1)),"")</f>
        <v/>
      </c>
      <c r="W22" s="24"/>
      <c r="X22" s="24"/>
      <c r="Y22" s="24"/>
      <c r="Z22" s="24"/>
      <c r="AA22" s="24"/>
      <c r="AC22" s="24"/>
      <c r="AD22" s="47"/>
      <c r="AE22" s="24"/>
      <c r="AF22" s="24"/>
      <c r="AG22" s="24"/>
      <c r="AH22" s="24"/>
      <c r="AI22" s="24"/>
    </row>
    <row r="23" spans="1:35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 t="str">
        <f>IFERROR(IF(ISBLANK(U23),"",INDEX(Gen_Vessels!$A$3:$C$495,MATCH(InspectionSite!$U23,Gen_Vessels!$C$3:$C$495,0),1)),"")</f>
        <v/>
      </c>
      <c r="W23" s="24"/>
      <c r="X23" s="24"/>
      <c r="Y23" s="24"/>
      <c r="Z23" s="24"/>
      <c r="AA23" s="24"/>
      <c r="AC23" s="24"/>
      <c r="AD23" s="47"/>
      <c r="AE23" s="24"/>
      <c r="AF23" s="24"/>
      <c r="AG23" s="24"/>
      <c r="AH23" s="24"/>
      <c r="AI23" s="24"/>
    </row>
    <row r="24" spans="1:35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 t="str">
        <f>IFERROR(IF(ISBLANK(U24),"",INDEX(Gen_Vessels!$A$3:$C$495,MATCH(InspectionSite!$U24,Gen_Vessels!$C$3:$C$495,0),1)),"")</f>
        <v/>
      </c>
      <c r="W24" s="24"/>
      <c r="X24" s="24"/>
      <c r="Y24" s="24"/>
      <c r="Z24" s="24"/>
      <c r="AA24" s="24"/>
      <c r="AC24" s="24"/>
      <c r="AD24" s="47"/>
      <c r="AE24" s="24"/>
      <c r="AF24" s="24"/>
      <c r="AG24" s="24"/>
      <c r="AH24" s="24"/>
      <c r="AI24" s="24"/>
    </row>
    <row r="25" spans="1:35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 t="str">
        <f>IFERROR(IF(ISBLANK(U25),"",INDEX(Gen_Vessels!$A$3:$C$495,MATCH(InspectionSite!$U25,Gen_Vessels!$C$3:$C$495,0),1)),"")</f>
        <v/>
      </c>
      <c r="W25" s="24"/>
      <c r="X25" s="24"/>
      <c r="Y25" s="24"/>
      <c r="Z25" s="24"/>
      <c r="AA25" s="24"/>
      <c r="AC25" s="24"/>
      <c r="AD25" s="47"/>
      <c r="AE25" s="24"/>
      <c r="AF25" s="24"/>
      <c r="AG25" s="24"/>
      <c r="AH25" s="24"/>
      <c r="AI25" s="24"/>
    </row>
    <row r="26" spans="1:35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 t="str">
        <f>IFERROR(IF(ISBLANK(U26),"",INDEX(Gen_Vessels!$A$3:$C$495,MATCH(InspectionSite!$U26,Gen_Vessels!$C$3:$C$495,0),1)),"")</f>
        <v/>
      </c>
      <c r="W26" s="24"/>
      <c r="X26" s="24"/>
      <c r="Y26" s="24"/>
      <c r="Z26" s="24"/>
      <c r="AA26" s="24"/>
      <c r="AC26" s="24"/>
      <c r="AD26" s="47"/>
      <c r="AE26" s="24"/>
      <c r="AF26" s="24"/>
      <c r="AG26" s="24"/>
      <c r="AH26" s="24"/>
      <c r="AI26" s="24"/>
    </row>
    <row r="27" spans="1:35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 t="str">
        <f>IFERROR(IF(ISBLANK(U27),"",INDEX(Gen_Vessels!$A$3:$C$495,MATCH(InspectionSite!$U27,Gen_Vessels!$C$3:$C$495,0),1)),"")</f>
        <v/>
      </c>
      <c r="W27" s="24"/>
      <c r="X27" s="24"/>
      <c r="Y27" s="24"/>
      <c r="Z27" s="24"/>
      <c r="AA27" s="24"/>
      <c r="AC27" s="24"/>
      <c r="AD27" s="47"/>
      <c r="AE27" s="24"/>
      <c r="AF27" s="24"/>
      <c r="AG27" s="24"/>
      <c r="AH27" s="24"/>
      <c r="AI27" s="24"/>
    </row>
    <row r="28" spans="1:35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 t="str">
        <f>IFERROR(IF(ISBLANK(U28),"",INDEX(Gen_Vessels!$A$3:$C$495,MATCH(InspectionSite!$U28,Gen_Vessels!$C$3:$C$495,0),1)),"")</f>
        <v/>
      </c>
      <c r="W28" s="24"/>
      <c r="X28" s="24"/>
      <c r="Y28" s="24"/>
      <c r="Z28" s="24"/>
      <c r="AA28" s="24"/>
      <c r="AC28" s="24"/>
      <c r="AD28" s="47"/>
      <c r="AE28" s="24"/>
      <c r="AF28" s="24"/>
      <c r="AG28" s="24"/>
      <c r="AH28" s="24"/>
      <c r="AI28" s="24"/>
    </row>
    <row r="29" spans="1:35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 t="str">
        <f>IFERROR(IF(ISBLANK(U29),"",INDEX(Gen_Vessels!$A$3:$C$495,MATCH(InspectionSite!$U29,Gen_Vessels!$C$3:$C$495,0),1)),"")</f>
        <v/>
      </c>
      <c r="W29" s="24"/>
      <c r="X29" s="24"/>
      <c r="Y29" s="24"/>
      <c r="Z29" s="24"/>
      <c r="AA29" s="24"/>
      <c r="AC29" s="24"/>
      <c r="AD29" s="47"/>
      <c r="AE29" s="24"/>
      <c r="AF29" s="24"/>
      <c r="AG29" s="24"/>
      <c r="AH29" s="24"/>
      <c r="AI29" s="24"/>
    </row>
    <row r="30" spans="1:35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 t="str">
        <f>IFERROR(IF(ISBLANK(U30),"",INDEX(Gen_Vessels!$A$3:$C$495,MATCH(InspectionSite!$U30,Gen_Vessels!$C$3:$C$495,0),1)),"")</f>
        <v/>
      </c>
      <c r="W30" s="24"/>
      <c r="X30" s="24"/>
      <c r="Y30" s="24"/>
      <c r="Z30" s="24"/>
      <c r="AA30" s="24"/>
      <c r="AC30" s="24"/>
      <c r="AD30" s="47"/>
      <c r="AE30" s="24"/>
      <c r="AF30" s="24"/>
      <c r="AG30" s="24"/>
      <c r="AH30" s="24"/>
      <c r="AI30" s="24"/>
    </row>
    <row r="31" spans="1:35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 t="str">
        <f>IFERROR(IF(ISBLANK(U31),"",INDEX(Gen_Vessels!$A$3:$C$495,MATCH(InspectionSite!$U31,Gen_Vessels!$C$3:$C$495,0),1)),"")</f>
        <v/>
      </c>
      <c r="W31" s="24"/>
      <c r="X31" s="24"/>
      <c r="Y31" s="24"/>
      <c r="Z31" s="24"/>
      <c r="AA31" s="24"/>
      <c r="AC31" s="24"/>
      <c r="AD31" s="47"/>
      <c r="AE31" s="24"/>
      <c r="AF31" s="24"/>
      <c r="AG31" s="24"/>
      <c r="AH31" s="24"/>
      <c r="AI31" s="24"/>
    </row>
    <row r="32" spans="1:35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 t="str">
        <f>IFERROR(IF(ISBLANK(U32),"",INDEX(Gen_Vessels!$A$3:$C$495,MATCH(InspectionSite!$U32,Gen_Vessels!$C$3:$C$495,0),1)),"")</f>
        <v/>
      </c>
      <c r="W32" s="24"/>
      <c r="X32" s="24"/>
      <c r="Y32" s="24"/>
      <c r="Z32" s="24"/>
      <c r="AA32" s="24"/>
      <c r="AC32" s="24"/>
      <c r="AD32" s="47"/>
      <c r="AE32" s="24"/>
      <c r="AF32" s="24"/>
      <c r="AG32" s="24"/>
      <c r="AH32" s="24"/>
      <c r="AI32" s="24"/>
    </row>
    <row r="33" spans="1:35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 t="str">
        <f>IFERROR(IF(ISBLANK(U33),"",INDEX(Gen_Vessels!$A$3:$C$495,MATCH(InspectionSite!$U33,Gen_Vessels!$C$3:$C$495,0),1)),"")</f>
        <v/>
      </c>
      <c r="W33" s="24"/>
      <c r="X33" s="24"/>
      <c r="Y33" s="24"/>
      <c r="Z33" s="24"/>
      <c r="AA33" s="24"/>
      <c r="AC33" s="24"/>
      <c r="AD33" s="47"/>
      <c r="AE33" s="24"/>
      <c r="AF33" s="24"/>
      <c r="AG33" s="24"/>
      <c r="AH33" s="24"/>
      <c r="AI33" s="24"/>
    </row>
    <row r="34" spans="1:35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 t="str">
        <f>IFERROR(IF(ISBLANK(U34),"",INDEX(Gen_Vessels!$A$3:$C$495,MATCH(InspectionSite!$U34,Gen_Vessels!$C$3:$C$495,0),1)),"")</f>
        <v/>
      </c>
      <c r="W34" s="24"/>
      <c r="X34" s="24"/>
      <c r="Y34" s="24"/>
      <c r="Z34" s="24"/>
      <c r="AA34" s="24"/>
      <c r="AC34" s="24"/>
      <c r="AD34" s="47"/>
      <c r="AE34" s="24"/>
      <c r="AF34" s="24"/>
      <c r="AG34" s="24"/>
      <c r="AH34" s="24"/>
      <c r="AI34" s="24"/>
    </row>
    <row r="35" spans="1:35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 t="str">
        <f>IFERROR(IF(ISBLANK(U35),"",INDEX(Gen_Vessels!$A$3:$C$495,MATCH(InspectionSite!$U35,Gen_Vessels!$C$3:$C$495,0),1)),"")</f>
        <v/>
      </c>
      <c r="W35" s="24"/>
      <c r="X35" s="24"/>
      <c r="Y35" s="24"/>
      <c r="Z35" s="24"/>
      <c r="AA35" s="24"/>
      <c r="AC35" s="24"/>
      <c r="AD35" s="47"/>
      <c r="AE35" s="24"/>
      <c r="AF35" s="24"/>
      <c r="AG35" s="24"/>
      <c r="AH35" s="24"/>
      <c r="AI35" s="24"/>
    </row>
    <row r="36" spans="1:35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 t="str">
        <f>IFERROR(IF(ISBLANK(U36),"",INDEX(Gen_Vessels!$A$3:$C$495,MATCH(InspectionSite!$U36,Gen_Vessels!$C$3:$C$495,0),1)),"")</f>
        <v/>
      </c>
      <c r="W36" s="24"/>
      <c r="X36" s="24"/>
      <c r="Y36" s="24"/>
      <c r="Z36" s="24"/>
      <c r="AA36" s="24"/>
      <c r="AC36" s="24"/>
      <c r="AD36" s="47"/>
      <c r="AE36" s="24"/>
      <c r="AF36" s="24"/>
      <c r="AG36" s="24"/>
      <c r="AH36" s="24"/>
      <c r="AI36" s="24"/>
    </row>
    <row r="37" spans="1:35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 t="str">
        <f>IFERROR(IF(ISBLANK(U37),"",INDEX(Gen_Vessels!$A$3:$C$495,MATCH(InspectionSite!$U37,Gen_Vessels!$C$3:$C$495,0),1)),"")</f>
        <v/>
      </c>
      <c r="W37" s="24"/>
      <c r="X37" s="24"/>
      <c r="Y37" s="24"/>
      <c r="Z37" s="24"/>
      <c r="AA37" s="24"/>
      <c r="AC37" s="24"/>
      <c r="AD37" s="47"/>
      <c r="AE37" s="24"/>
      <c r="AF37" s="24"/>
      <c r="AG37" s="24"/>
      <c r="AH37" s="24"/>
      <c r="AI37" s="24"/>
    </row>
    <row r="38" spans="1:35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 t="str">
        <f>IFERROR(IF(ISBLANK(U38),"",INDEX(Gen_Vessels!$A$3:$C$495,MATCH(InspectionSite!$U38,Gen_Vessels!$C$3:$C$495,0),1)),"")</f>
        <v/>
      </c>
      <c r="W38" s="24"/>
      <c r="X38" s="24"/>
      <c r="Y38" s="24"/>
      <c r="Z38" s="24"/>
      <c r="AA38" s="24"/>
      <c r="AC38" s="24"/>
      <c r="AD38" s="47"/>
      <c r="AE38" s="24"/>
      <c r="AF38" s="24"/>
      <c r="AG38" s="24"/>
      <c r="AH38" s="24"/>
      <c r="AI38" s="24"/>
    </row>
    <row r="39" spans="1:35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 t="str">
        <f>IFERROR(IF(ISBLANK(U39),"",INDEX(Gen_Vessels!$A$3:$C$495,MATCH(InspectionSite!$U39,Gen_Vessels!$C$3:$C$495,0),1)),"")</f>
        <v/>
      </c>
      <c r="W39" s="24"/>
      <c r="X39" s="24"/>
      <c r="Y39" s="24"/>
      <c r="Z39" s="24"/>
      <c r="AA39" s="24"/>
      <c r="AC39" s="24"/>
      <c r="AD39" s="47"/>
      <c r="AE39" s="24"/>
      <c r="AF39" s="24"/>
      <c r="AG39" s="24"/>
      <c r="AH39" s="24"/>
      <c r="AI39" s="24"/>
    </row>
    <row r="40" spans="1:35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 t="str">
        <f>IFERROR(IF(ISBLANK(U40),"",INDEX(Gen_Vessels!$A$3:$C$495,MATCH(InspectionSite!$U40,Gen_Vessels!$C$3:$C$495,0),1)),"")</f>
        <v/>
      </c>
      <c r="W40" s="24"/>
      <c r="X40" s="24"/>
      <c r="Y40" s="24"/>
      <c r="Z40" s="24"/>
      <c r="AA40" s="24"/>
      <c r="AC40" s="24"/>
      <c r="AD40" s="47"/>
      <c r="AE40" s="24"/>
      <c r="AF40" s="24"/>
      <c r="AG40" s="24"/>
      <c r="AH40" s="24"/>
      <c r="AI40" s="24"/>
    </row>
    <row r="41" spans="1:35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 t="str">
        <f>IFERROR(IF(ISBLANK(U41),"",INDEX(Gen_Vessels!$A$3:$C$495,MATCH(InspectionSite!$U41,Gen_Vessels!$C$3:$C$495,0),1)),"")</f>
        <v/>
      </c>
      <c r="W41" s="24"/>
      <c r="X41" s="24"/>
      <c r="Y41" s="24"/>
      <c r="Z41" s="24"/>
      <c r="AA41" s="24"/>
      <c r="AC41" s="24"/>
      <c r="AD41" s="47"/>
      <c r="AE41" s="24"/>
      <c r="AF41" s="24"/>
      <c r="AG41" s="24"/>
      <c r="AH41" s="24"/>
      <c r="AI41" s="24"/>
    </row>
    <row r="42" spans="1:35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 t="str">
        <f>IFERROR(IF(ISBLANK(U42),"",INDEX(Gen_Vessels!$A$3:$C$495,MATCH(InspectionSite!$U42,Gen_Vessels!$C$3:$C$495,0),1)),"")</f>
        <v/>
      </c>
      <c r="W42" s="24"/>
      <c r="X42" s="24"/>
      <c r="Y42" s="24"/>
      <c r="Z42" s="24"/>
      <c r="AA42" s="24"/>
      <c r="AC42" s="24"/>
      <c r="AD42" s="47"/>
      <c r="AE42" s="24"/>
      <c r="AF42" s="24"/>
      <c r="AG42" s="24"/>
      <c r="AH42" s="24"/>
      <c r="AI42" s="24"/>
    </row>
    <row r="43" spans="1:35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 t="str">
        <f>IFERROR(IF(ISBLANK(U43),"",INDEX(Gen_Vessels!$A$3:$C$495,MATCH(InspectionSite!$U43,Gen_Vessels!$C$3:$C$495,0),1)),"")</f>
        <v/>
      </c>
      <c r="W43" s="24"/>
      <c r="X43" s="24"/>
      <c r="Y43" s="24"/>
      <c r="Z43" s="24"/>
      <c r="AA43" s="24"/>
      <c r="AC43" s="24"/>
      <c r="AD43" s="47"/>
      <c r="AE43" s="24"/>
      <c r="AF43" s="24"/>
      <c r="AG43" s="24"/>
      <c r="AH43" s="24"/>
      <c r="AI43" s="24"/>
    </row>
    <row r="44" spans="1:35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 t="str">
        <f>IFERROR(IF(ISBLANK(U44),"",INDEX(Gen_Vessels!$A$3:$C$495,MATCH(InspectionSite!$U44,Gen_Vessels!$C$3:$C$495,0),1)),"")</f>
        <v/>
      </c>
      <c r="W44" s="24"/>
      <c r="X44" s="24"/>
      <c r="Y44" s="24"/>
      <c r="Z44" s="24"/>
      <c r="AA44" s="24"/>
      <c r="AC44" s="24"/>
      <c r="AD44" s="47"/>
      <c r="AE44" s="24"/>
      <c r="AF44" s="24"/>
      <c r="AG44" s="24"/>
      <c r="AH44" s="24"/>
      <c r="AI44" s="24"/>
    </row>
    <row r="45" spans="1:35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 t="str">
        <f>IFERROR(IF(ISBLANK(U45),"",INDEX(Gen_Vessels!$A$3:$C$495,MATCH(InspectionSite!$U45,Gen_Vessels!$C$3:$C$495,0),1)),"")</f>
        <v/>
      </c>
      <c r="W45" s="24"/>
      <c r="X45" s="24"/>
      <c r="Y45" s="24"/>
      <c r="Z45" s="24"/>
      <c r="AA45" s="24"/>
      <c r="AC45" s="24"/>
      <c r="AD45" s="47"/>
      <c r="AE45" s="24"/>
      <c r="AF45" s="24"/>
      <c r="AG45" s="24"/>
      <c r="AH45" s="24"/>
      <c r="AI45" s="24"/>
    </row>
    <row r="46" spans="1:35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 t="str">
        <f>IFERROR(IF(ISBLANK(U46),"",INDEX(Gen_Vessels!$A$3:$C$495,MATCH(InspectionSite!$U46,Gen_Vessels!$C$3:$C$495,0),1)),"")</f>
        <v/>
      </c>
      <c r="W46" s="24"/>
      <c r="X46" s="24"/>
      <c r="Y46" s="24"/>
      <c r="Z46" s="24"/>
      <c r="AA46" s="24"/>
      <c r="AC46" s="24"/>
      <c r="AD46" s="47"/>
      <c r="AE46" s="24"/>
      <c r="AF46" s="24"/>
      <c r="AG46" s="24"/>
      <c r="AH46" s="24"/>
      <c r="AI46" s="24"/>
    </row>
    <row r="47" spans="1:35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 t="str">
        <f>IFERROR(IF(ISBLANK(U47),"",INDEX(Gen_Vessels!$A$3:$C$495,MATCH(InspectionSite!$U47,Gen_Vessels!$C$3:$C$495,0),1)),"")</f>
        <v/>
      </c>
      <c r="W47" s="24"/>
      <c r="X47" s="24"/>
      <c r="Y47" s="24"/>
      <c r="Z47" s="24"/>
      <c r="AA47" s="24"/>
      <c r="AC47" s="24"/>
      <c r="AD47" s="47"/>
      <c r="AE47" s="24"/>
      <c r="AF47" s="24"/>
      <c r="AG47" s="24"/>
      <c r="AH47" s="24"/>
      <c r="AI47" s="24"/>
    </row>
    <row r="48" spans="1:35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 t="str">
        <f>IFERROR(IF(ISBLANK(U48),"",INDEX(Gen_Vessels!$A$3:$C$495,MATCH(InspectionSite!$U48,Gen_Vessels!$C$3:$C$495,0),1)),"")</f>
        <v/>
      </c>
      <c r="W48" s="24"/>
      <c r="X48" s="24"/>
      <c r="Y48" s="24"/>
      <c r="Z48" s="24"/>
      <c r="AA48" s="24"/>
      <c r="AC48" s="24"/>
      <c r="AD48" s="47"/>
      <c r="AE48" s="24"/>
      <c r="AF48" s="24"/>
      <c r="AG48" s="24"/>
      <c r="AH48" s="24"/>
      <c r="AI48" s="24"/>
    </row>
    <row r="49" spans="1:35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 t="str">
        <f>IFERROR(IF(ISBLANK(U49),"",INDEX(Gen_Vessels!$A$3:$C$495,MATCH(InspectionSite!$U49,Gen_Vessels!$C$3:$C$495,0),1)),"")</f>
        <v/>
      </c>
      <c r="W49" s="24"/>
      <c r="X49" s="24"/>
      <c r="Y49" s="24"/>
      <c r="Z49" s="24"/>
      <c r="AA49" s="24"/>
      <c r="AC49" s="24"/>
      <c r="AD49" s="47"/>
      <c r="AE49" s="24"/>
      <c r="AF49" s="24"/>
      <c r="AG49" s="24"/>
      <c r="AH49" s="24"/>
      <c r="AI49" s="24"/>
    </row>
    <row r="50" spans="1:35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 t="str">
        <f>IFERROR(IF(ISBLANK(U50),"",INDEX(Gen_Vessels!$A$3:$C$495,MATCH(InspectionSite!$U50,Gen_Vessels!$C$3:$C$495,0),1)),"")</f>
        <v/>
      </c>
      <c r="W50" s="24"/>
      <c r="X50" s="24"/>
      <c r="Y50" s="24"/>
      <c r="Z50" s="24"/>
      <c r="AA50" s="24"/>
      <c r="AC50" s="24"/>
      <c r="AD50" s="47"/>
      <c r="AE50" s="24"/>
      <c r="AF50" s="24"/>
      <c r="AG50" s="24"/>
      <c r="AH50" s="24"/>
      <c r="AI50" s="24"/>
    </row>
    <row r="51" spans="1:35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 t="str">
        <f>IFERROR(IF(ISBLANK(U51),"",INDEX(Gen_Vessels!$A$3:$C$495,MATCH(InspectionSite!$U51,Gen_Vessels!$C$3:$C$495,0),1)),"")</f>
        <v/>
      </c>
      <c r="W51" s="24"/>
      <c r="X51" s="24"/>
      <c r="Y51" s="24"/>
      <c r="Z51" s="24"/>
      <c r="AA51" s="24"/>
      <c r="AC51" s="24"/>
      <c r="AD51" s="47"/>
      <c r="AE51" s="24"/>
      <c r="AF51" s="24"/>
      <c r="AG51" s="24"/>
      <c r="AH51" s="24"/>
      <c r="AI51" s="24"/>
    </row>
    <row r="52" spans="1:35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 t="str">
        <f>IFERROR(IF(ISBLANK(U52),"",INDEX(Gen_Vessels!$A$3:$C$495,MATCH(InspectionSite!$U52,Gen_Vessels!$C$3:$C$495,0),1)),"")</f>
        <v/>
      </c>
      <c r="W52" s="24"/>
      <c r="X52" s="24"/>
      <c r="Y52" s="24"/>
      <c r="Z52" s="24"/>
      <c r="AA52" s="24"/>
      <c r="AC52" s="24"/>
      <c r="AD52" s="47"/>
      <c r="AE52" s="24"/>
      <c r="AF52" s="24"/>
      <c r="AG52" s="24"/>
      <c r="AH52" s="24"/>
      <c r="AI52" s="24"/>
    </row>
    <row r="53" spans="1:35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 t="str">
        <f>IFERROR(IF(ISBLANK(U53),"",INDEX(Gen_Vessels!$A$3:$C$495,MATCH(InspectionSite!$U53,Gen_Vessels!$C$3:$C$495,0),1)),"")</f>
        <v/>
      </c>
      <c r="W53" s="24"/>
      <c r="X53" s="24"/>
      <c r="Y53" s="24"/>
      <c r="Z53" s="24"/>
      <c r="AA53" s="24"/>
      <c r="AC53" s="24"/>
      <c r="AD53" s="47"/>
      <c r="AE53" s="24"/>
      <c r="AF53" s="24"/>
      <c r="AG53" s="24"/>
      <c r="AH53" s="24"/>
      <c r="AI53" s="24"/>
    </row>
    <row r="54" spans="1:35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 t="str">
        <f>IFERROR(IF(ISBLANK(U54),"",INDEX(Gen_Vessels!$A$3:$C$495,MATCH(InspectionSite!$U54,Gen_Vessels!$C$3:$C$495,0),1)),"")</f>
        <v/>
      </c>
      <c r="W54" s="24"/>
      <c r="X54" s="24"/>
      <c r="Y54" s="24"/>
      <c r="Z54" s="24"/>
      <c r="AA54" s="24"/>
      <c r="AC54" s="24"/>
      <c r="AD54" s="47"/>
      <c r="AE54" s="24"/>
      <c r="AF54" s="24"/>
      <c r="AG54" s="24"/>
      <c r="AH54" s="24"/>
      <c r="AI54" s="24"/>
    </row>
    <row r="55" spans="1:35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 t="str">
        <f>IFERROR(IF(ISBLANK(U55),"",INDEX(Gen_Vessels!$A$3:$C$495,MATCH(InspectionSite!$U55,Gen_Vessels!$C$3:$C$495,0),1)),"")</f>
        <v/>
      </c>
      <c r="W55" s="24"/>
      <c r="X55" s="24"/>
      <c r="Y55" s="24"/>
      <c r="Z55" s="24"/>
      <c r="AA55" s="24"/>
      <c r="AC55" s="24"/>
      <c r="AD55" s="47"/>
      <c r="AE55" s="24"/>
      <c r="AF55" s="24"/>
      <c r="AG55" s="24"/>
      <c r="AH55" s="24"/>
      <c r="AI55" s="24"/>
    </row>
    <row r="56" spans="1:35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 t="str">
        <f>IFERROR(IF(ISBLANK(U56),"",INDEX(Gen_Vessels!$A$3:$C$495,MATCH(InspectionSite!$U56,Gen_Vessels!$C$3:$C$495,0),1)),"")</f>
        <v/>
      </c>
      <c r="W56" s="24"/>
      <c r="X56" s="24"/>
      <c r="Y56" s="24"/>
      <c r="Z56" s="24"/>
      <c r="AA56" s="24"/>
      <c r="AC56" s="24"/>
      <c r="AD56" s="47"/>
      <c r="AE56" s="24"/>
      <c r="AF56" s="24"/>
      <c r="AG56" s="24"/>
      <c r="AH56" s="24"/>
      <c r="AI56" s="24"/>
    </row>
    <row r="57" spans="1:35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 t="str">
        <f>IFERROR(IF(ISBLANK(U57),"",INDEX(Gen_Vessels!$A$3:$C$495,MATCH(InspectionSite!$U57,Gen_Vessels!$C$3:$C$495,0),1)),"")</f>
        <v/>
      </c>
      <c r="W57" s="24"/>
      <c r="X57" s="24"/>
      <c r="Y57" s="24"/>
      <c r="Z57" s="24"/>
      <c r="AA57" s="24"/>
      <c r="AC57" s="24"/>
      <c r="AD57" s="47"/>
      <c r="AE57" s="24"/>
      <c r="AF57" s="24"/>
      <c r="AG57" s="24"/>
      <c r="AH57" s="24"/>
      <c r="AI57" s="24"/>
    </row>
    <row r="58" spans="1:35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 t="str">
        <f>IFERROR(IF(ISBLANK(U58),"",INDEX(Gen_Vessels!$A$3:$C$495,MATCH(InspectionSite!$U58,Gen_Vessels!$C$3:$C$495,0),1)),"")</f>
        <v/>
      </c>
      <c r="W58" s="24"/>
      <c r="X58" s="24"/>
      <c r="Y58" s="24"/>
      <c r="Z58" s="24"/>
      <c r="AA58" s="24"/>
      <c r="AC58" s="24"/>
      <c r="AD58" s="47"/>
      <c r="AE58" s="24"/>
      <c r="AF58" s="24"/>
      <c r="AG58" s="24"/>
      <c r="AH58" s="24"/>
      <c r="AI58" s="24"/>
    </row>
    <row r="59" spans="1:35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 t="str">
        <f>IFERROR(IF(ISBLANK(U59),"",INDEX(Gen_Vessels!$A$3:$C$495,MATCH(InspectionSite!$U59,Gen_Vessels!$C$3:$C$495,0),1)),"")</f>
        <v/>
      </c>
      <c r="W59" s="24"/>
      <c r="X59" s="24"/>
      <c r="Y59" s="24"/>
      <c r="Z59" s="24"/>
      <c r="AA59" s="24"/>
      <c r="AC59" s="24"/>
      <c r="AD59" s="47"/>
      <c r="AE59" s="24"/>
      <c r="AF59" s="24"/>
      <c r="AG59" s="24"/>
      <c r="AH59" s="24"/>
      <c r="AI59" s="24"/>
    </row>
    <row r="60" spans="1:35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 t="str">
        <f>IFERROR(IF(ISBLANK(U60),"",INDEX(Gen_Vessels!$A$3:$C$495,MATCH(InspectionSite!$U60,Gen_Vessels!$C$3:$C$495,0),1)),"")</f>
        <v/>
      </c>
      <c r="W60" s="24"/>
      <c r="X60" s="24"/>
      <c r="Y60" s="24"/>
      <c r="Z60" s="24"/>
      <c r="AA60" s="24"/>
      <c r="AC60" s="24"/>
      <c r="AD60" s="47"/>
      <c r="AE60" s="24"/>
      <c r="AF60" s="24"/>
      <c r="AG60" s="24"/>
      <c r="AH60" s="24"/>
      <c r="AI60" s="24"/>
    </row>
    <row r="61" spans="1:35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 t="str">
        <f>IFERROR(IF(ISBLANK(U61),"",INDEX(Gen_Vessels!$A$3:$C$495,MATCH(InspectionSite!$U61,Gen_Vessels!$C$3:$C$495,0),1)),"")</f>
        <v/>
      </c>
      <c r="W61" s="24"/>
      <c r="X61" s="24"/>
      <c r="Y61" s="24"/>
      <c r="Z61" s="24"/>
      <c r="AA61" s="24"/>
      <c r="AC61" s="24"/>
      <c r="AD61" s="47"/>
      <c r="AE61" s="24"/>
      <c r="AF61" s="24"/>
      <c r="AG61" s="24"/>
      <c r="AH61" s="24"/>
      <c r="AI61" s="24"/>
    </row>
    <row r="62" spans="1:35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 t="str">
        <f>IFERROR(IF(ISBLANK(U62),"",INDEX(Gen_Vessels!$A$3:$C$495,MATCH(InspectionSite!$U62,Gen_Vessels!$C$3:$C$495,0),1)),"")</f>
        <v/>
      </c>
      <c r="W62" s="24"/>
      <c r="X62" s="24"/>
      <c r="Y62" s="24"/>
      <c r="Z62" s="24"/>
      <c r="AA62" s="24"/>
      <c r="AC62" s="24"/>
      <c r="AD62" s="47"/>
      <c r="AE62" s="24"/>
      <c r="AF62" s="24"/>
      <c r="AG62" s="24"/>
      <c r="AH62" s="24"/>
      <c r="AI62" s="24"/>
    </row>
    <row r="63" spans="1:35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 t="str">
        <f>IFERROR(IF(ISBLANK(U63),"",INDEX(Gen_Vessels!$A$3:$C$495,MATCH(InspectionSite!$U63,Gen_Vessels!$C$3:$C$495,0),1)),"")</f>
        <v/>
      </c>
      <c r="W63" s="24"/>
      <c r="X63" s="24"/>
      <c r="Y63" s="24"/>
      <c r="Z63" s="24"/>
      <c r="AA63" s="24"/>
      <c r="AC63" s="24"/>
      <c r="AD63" s="47"/>
      <c r="AE63" s="24"/>
      <c r="AF63" s="24"/>
      <c r="AG63" s="24"/>
      <c r="AH63" s="24"/>
      <c r="AI63" s="24"/>
    </row>
    <row r="64" spans="1:35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 t="str">
        <f>IFERROR(IF(ISBLANK(U64),"",INDEX(Gen_Vessels!$A$3:$C$495,MATCH(InspectionSite!$U64,Gen_Vessels!$C$3:$C$495,0),1)),"")</f>
        <v/>
      </c>
      <c r="W64" s="24"/>
      <c r="X64" s="24"/>
      <c r="Y64" s="24"/>
      <c r="Z64" s="24"/>
      <c r="AA64" s="24"/>
      <c r="AC64" s="24"/>
      <c r="AD64" s="47"/>
      <c r="AE64" s="24"/>
      <c r="AF64" s="24"/>
      <c r="AG64" s="24"/>
      <c r="AH64" s="24"/>
      <c r="AI64" s="24"/>
    </row>
    <row r="65" spans="1:35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 t="str">
        <f>IFERROR(IF(ISBLANK(U65),"",INDEX(Gen_Vessels!$A$3:$C$495,MATCH(InspectionSite!$U65,Gen_Vessels!$C$3:$C$495,0),1)),"")</f>
        <v/>
      </c>
      <c r="W65" s="24"/>
      <c r="X65" s="24"/>
      <c r="Y65" s="24"/>
      <c r="Z65" s="24"/>
      <c r="AA65" s="24"/>
      <c r="AC65" s="24"/>
      <c r="AD65" s="47"/>
      <c r="AE65" s="24"/>
      <c r="AF65" s="24"/>
      <c r="AG65" s="24"/>
      <c r="AH65" s="24"/>
      <c r="AI65" s="24"/>
    </row>
    <row r="66" spans="1:35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 t="str">
        <f>IFERROR(IF(ISBLANK(U66),"",INDEX(Gen_Vessels!$A$3:$C$495,MATCH(InspectionSite!$U66,Gen_Vessels!$C$3:$C$495,0),1)),"")</f>
        <v/>
      </c>
      <c r="W66" s="24"/>
      <c r="X66" s="24"/>
      <c r="Y66" s="24"/>
      <c r="Z66" s="24"/>
      <c r="AA66" s="24"/>
      <c r="AC66" s="24"/>
      <c r="AD66" s="47"/>
      <c r="AE66" s="24"/>
      <c r="AF66" s="24"/>
      <c r="AG66" s="24"/>
      <c r="AH66" s="24"/>
      <c r="AI66" s="24"/>
    </row>
    <row r="67" spans="1:35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 t="str">
        <f>IFERROR(IF(ISBLANK(U67),"",INDEX(Gen_Vessels!$A$3:$C$495,MATCH(InspectionSite!$U67,Gen_Vessels!$C$3:$C$495,0),1)),"")</f>
        <v/>
      </c>
      <c r="W67" s="24"/>
      <c r="X67" s="24"/>
      <c r="Y67" s="24"/>
      <c r="Z67" s="24"/>
      <c r="AA67" s="24"/>
      <c r="AC67" s="24"/>
      <c r="AD67" s="47"/>
      <c r="AE67" s="24"/>
      <c r="AF67" s="24"/>
      <c r="AG67" s="24"/>
      <c r="AH67" s="24"/>
      <c r="AI67" s="24"/>
    </row>
    <row r="68" spans="1:35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 t="str">
        <f>IFERROR(IF(ISBLANK(U68),"",INDEX(Gen_Vessels!$A$3:$C$495,MATCH(InspectionSite!$U68,Gen_Vessels!$C$3:$C$495,0),1)),"")</f>
        <v/>
      </c>
      <c r="W68" s="24"/>
      <c r="X68" s="24"/>
      <c r="Y68" s="24"/>
      <c r="Z68" s="24"/>
      <c r="AA68" s="24"/>
      <c r="AC68" s="24"/>
      <c r="AD68" s="47"/>
      <c r="AE68" s="24"/>
      <c r="AF68" s="24"/>
      <c r="AG68" s="24"/>
      <c r="AH68" s="24"/>
      <c r="AI68" s="24"/>
    </row>
    <row r="69" spans="1:35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 t="str">
        <f>IFERROR(IF(ISBLANK(U69),"",INDEX(Gen_Vessels!$A$3:$C$495,MATCH(InspectionSite!$U69,Gen_Vessels!$C$3:$C$495,0),1)),"")</f>
        <v/>
      </c>
      <c r="W69" s="24"/>
      <c r="X69" s="24"/>
      <c r="Y69" s="24"/>
      <c r="Z69" s="24"/>
      <c r="AA69" s="24"/>
      <c r="AC69" s="24"/>
      <c r="AD69" s="47"/>
      <c r="AE69" s="24"/>
      <c r="AF69" s="24"/>
      <c r="AG69" s="24"/>
      <c r="AH69" s="24"/>
      <c r="AI69" s="24"/>
    </row>
    <row r="70" spans="1:35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 t="str">
        <f>IFERROR(IF(ISBLANK(U70),"",INDEX(Gen_Vessels!$A$3:$C$495,MATCH(InspectionSite!$U70,Gen_Vessels!$C$3:$C$495,0),1)),"")</f>
        <v/>
      </c>
      <c r="W70" s="24"/>
      <c r="X70" s="24"/>
      <c r="Y70" s="24"/>
      <c r="Z70" s="24"/>
      <c r="AA70" s="24"/>
      <c r="AC70" s="24"/>
      <c r="AD70" s="47"/>
      <c r="AE70" s="24"/>
      <c r="AF70" s="24"/>
      <c r="AG70" s="24"/>
      <c r="AH70" s="24"/>
      <c r="AI70" s="24"/>
    </row>
    <row r="71" spans="1:35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 t="str">
        <f>IFERROR(IF(ISBLANK(U71),"",INDEX(Gen_Vessels!$A$3:$C$495,MATCH(InspectionSite!$U71,Gen_Vessels!$C$3:$C$495,0),1)),"")</f>
        <v/>
      </c>
      <c r="W71" s="24"/>
      <c r="X71" s="24"/>
      <c r="Y71" s="24"/>
      <c r="Z71" s="24"/>
      <c r="AA71" s="24"/>
      <c r="AC71" s="24"/>
      <c r="AD71" s="47"/>
      <c r="AE71" s="24"/>
      <c r="AF71" s="24"/>
      <c r="AG71" s="24"/>
      <c r="AH71" s="24"/>
      <c r="AI71" s="24"/>
    </row>
    <row r="72" spans="1:35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 t="str">
        <f>IFERROR(IF(ISBLANK(U72),"",INDEX(Gen_Vessels!$A$3:$C$495,MATCH(InspectionSite!$U72,Gen_Vessels!$C$3:$C$495,0),1)),"")</f>
        <v/>
      </c>
      <c r="W72" s="24"/>
      <c r="X72" s="24"/>
      <c r="Y72" s="24"/>
      <c r="Z72" s="24"/>
      <c r="AA72" s="24"/>
      <c r="AC72" s="24"/>
      <c r="AD72" s="47"/>
      <c r="AE72" s="24"/>
      <c r="AF72" s="24"/>
      <c r="AG72" s="24"/>
      <c r="AH72" s="24"/>
      <c r="AI72" s="24"/>
    </row>
    <row r="73" spans="1:35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 t="str">
        <f>IFERROR(IF(ISBLANK(U73),"",INDEX(Gen_Vessels!$A$3:$C$495,MATCH(InspectionSite!$U73,Gen_Vessels!$C$3:$C$495,0),1)),"")</f>
        <v/>
      </c>
      <c r="W73" s="24"/>
      <c r="X73" s="24"/>
      <c r="Y73" s="24"/>
      <c r="Z73" s="24"/>
      <c r="AA73" s="24"/>
      <c r="AC73" s="24"/>
      <c r="AD73" s="47"/>
      <c r="AE73" s="24"/>
      <c r="AF73" s="24"/>
      <c r="AG73" s="24"/>
      <c r="AH73" s="24"/>
      <c r="AI73" s="24"/>
    </row>
    <row r="74" spans="1:35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 t="str">
        <f>IFERROR(IF(ISBLANK(U74),"",INDEX(Gen_Vessels!$A$3:$C$495,MATCH(InspectionSite!$U74,Gen_Vessels!$C$3:$C$495,0),1)),"")</f>
        <v/>
      </c>
      <c r="W74" s="24"/>
      <c r="X74" s="24"/>
      <c r="Y74" s="24"/>
      <c r="Z74" s="24"/>
      <c r="AA74" s="24"/>
      <c r="AC74" s="24"/>
      <c r="AD74" s="47"/>
      <c r="AE74" s="24"/>
      <c r="AF74" s="24"/>
      <c r="AG74" s="24"/>
      <c r="AH74" s="24"/>
      <c r="AI74" s="24"/>
    </row>
    <row r="75" spans="1:35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 t="str">
        <f>IFERROR(IF(ISBLANK(U75),"",INDEX(Gen_Vessels!$A$3:$C$495,MATCH(InspectionSite!$U75,Gen_Vessels!$C$3:$C$495,0),1)),"")</f>
        <v/>
      </c>
      <c r="W75" s="24"/>
      <c r="X75" s="24"/>
      <c r="Y75" s="24"/>
      <c r="Z75" s="24"/>
      <c r="AA75" s="24"/>
      <c r="AC75" s="24"/>
      <c r="AD75" s="47"/>
      <c r="AE75" s="24"/>
      <c r="AF75" s="24"/>
      <c r="AG75" s="24"/>
      <c r="AH75" s="24"/>
      <c r="AI75" s="24"/>
    </row>
    <row r="76" spans="1:35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 t="str">
        <f>IFERROR(IF(ISBLANK(U76),"",INDEX(Gen_Vessels!$A$3:$C$495,MATCH(InspectionSite!$U76,Gen_Vessels!$C$3:$C$495,0),1)),"")</f>
        <v/>
      </c>
      <c r="W76" s="24"/>
      <c r="X76" s="24"/>
      <c r="Y76" s="24"/>
      <c r="Z76" s="24"/>
      <c r="AA76" s="24"/>
      <c r="AC76" s="24"/>
      <c r="AD76" s="47"/>
      <c r="AE76" s="24"/>
      <c r="AF76" s="24"/>
      <c r="AG76" s="24"/>
      <c r="AH76" s="24"/>
      <c r="AI76" s="24"/>
    </row>
    <row r="77" spans="1:35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 t="str">
        <f>IFERROR(IF(ISBLANK(U77),"",INDEX(Gen_Vessels!$A$3:$C$495,MATCH(InspectionSite!$U77,Gen_Vessels!$C$3:$C$495,0),1)),"")</f>
        <v/>
      </c>
      <c r="W77" s="24"/>
      <c r="X77" s="24"/>
      <c r="Y77" s="24"/>
      <c r="Z77" s="24"/>
      <c r="AA77" s="24"/>
      <c r="AC77" s="24"/>
      <c r="AD77" s="47"/>
      <c r="AE77" s="24"/>
      <c r="AF77" s="24"/>
      <c r="AG77" s="24"/>
      <c r="AH77" s="24"/>
      <c r="AI77" s="24"/>
    </row>
    <row r="78" spans="1:35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 t="str">
        <f>IFERROR(IF(ISBLANK(U78),"",INDEX(Gen_Vessels!$A$3:$C$495,MATCH(InspectionSite!$U78,Gen_Vessels!$C$3:$C$495,0),1)),"")</f>
        <v/>
      </c>
      <c r="W78" s="24"/>
      <c r="X78" s="24"/>
      <c r="Y78" s="24"/>
      <c r="Z78" s="24"/>
      <c r="AA78" s="24"/>
      <c r="AC78" s="24"/>
      <c r="AD78" s="47"/>
      <c r="AE78" s="24"/>
      <c r="AF78" s="24"/>
      <c r="AG78" s="24"/>
      <c r="AH78" s="24"/>
      <c r="AI78" s="24"/>
    </row>
    <row r="79" spans="1:35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 t="str">
        <f>IFERROR(IF(ISBLANK(U79),"",INDEX(Gen_Vessels!$A$3:$C$495,MATCH(InspectionSite!$U79,Gen_Vessels!$C$3:$C$495,0),1)),"")</f>
        <v/>
      </c>
      <c r="W79" s="24"/>
      <c r="X79" s="24"/>
      <c r="Y79" s="24"/>
      <c r="Z79" s="24"/>
      <c r="AA79" s="24"/>
      <c r="AC79" s="24"/>
      <c r="AD79" s="47"/>
      <c r="AE79" s="24"/>
      <c r="AF79" s="24"/>
      <c r="AG79" s="24"/>
      <c r="AH79" s="24"/>
      <c r="AI79" s="24"/>
    </row>
    <row r="80" spans="1:35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 t="str">
        <f>IFERROR(IF(ISBLANK(U80),"",INDEX(Gen_Vessels!$A$3:$C$495,MATCH(InspectionSite!$U80,Gen_Vessels!$C$3:$C$495,0),1)),"")</f>
        <v/>
      </c>
      <c r="W80" s="24"/>
      <c r="X80" s="24"/>
      <c r="Y80" s="24"/>
      <c r="Z80" s="24"/>
      <c r="AA80" s="24"/>
      <c r="AC80" s="24"/>
      <c r="AD80" s="47"/>
      <c r="AE80" s="24"/>
      <c r="AF80" s="24"/>
      <c r="AG80" s="24"/>
      <c r="AH80" s="24"/>
      <c r="AI80" s="24"/>
    </row>
    <row r="81" spans="1:35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 t="str">
        <f>IFERROR(IF(ISBLANK(U81),"",INDEX(Gen_Vessels!$A$3:$C$495,MATCH(InspectionSite!$U81,Gen_Vessels!$C$3:$C$495,0),1)),"")</f>
        <v/>
      </c>
      <c r="W81" s="24"/>
      <c r="X81" s="24"/>
      <c r="Y81" s="24"/>
      <c r="Z81" s="24"/>
      <c r="AA81" s="24"/>
      <c r="AC81" s="24"/>
      <c r="AD81" s="47"/>
      <c r="AE81" s="24"/>
      <c r="AF81" s="24"/>
      <c r="AG81" s="24"/>
      <c r="AH81" s="24"/>
      <c r="AI81" s="24"/>
    </row>
    <row r="82" spans="1:35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 t="str">
        <f>IFERROR(IF(ISBLANK(U82),"",INDEX(Gen_Vessels!$A$3:$C$495,MATCH(InspectionSite!$U82,Gen_Vessels!$C$3:$C$495,0),1)),"")</f>
        <v/>
      </c>
      <c r="W82" s="24"/>
      <c r="X82" s="24"/>
      <c r="Y82" s="24"/>
      <c r="Z82" s="24"/>
      <c r="AA82" s="24"/>
      <c r="AC82" s="24"/>
      <c r="AD82" s="47"/>
      <c r="AE82" s="24"/>
      <c r="AF82" s="24"/>
      <c r="AG82" s="24"/>
      <c r="AH82" s="24"/>
      <c r="AI82" s="24"/>
    </row>
    <row r="83" spans="1:35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 t="str">
        <f>IFERROR(IF(ISBLANK(U83),"",INDEX(Gen_Vessels!$A$3:$C$495,MATCH(InspectionSite!$U83,Gen_Vessels!$C$3:$C$495,0),1)),"")</f>
        <v/>
      </c>
      <c r="W83" s="24"/>
      <c r="X83" s="24"/>
      <c r="Y83" s="24"/>
      <c r="Z83" s="24"/>
      <c r="AA83" s="24"/>
      <c r="AC83" s="24"/>
      <c r="AD83" s="47"/>
      <c r="AE83" s="24"/>
      <c r="AF83" s="24"/>
      <c r="AG83" s="24"/>
      <c r="AH83" s="24"/>
      <c r="AI83" s="24"/>
    </row>
    <row r="84" spans="1:35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 t="str">
        <f>IFERROR(IF(ISBLANK(U84),"",INDEX(Gen_Vessels!$A$3:$C$495,MATCH(InspectionSite!$U84,Gen_Vessels!$C$3:$C$495,0),1)),"")</f>
        <v/>
      </c>
      <c r="W84" s="24"/>
      <c r="X84" s="24"/>
      <c r="Y84" s="24"/>
      <c r="Z84" s="24"/>
      <c r="AA84" s="24"/>
      <c r="AC84" s="24"/>
      <c r="AD84" s="47"/>
      <c r="AE84" s="24"/>
      <c r="AF84" s="24"/>
      <c r="AG84" s="24"/>
      <c r="AH84" s="24"/>
      <c r="AI84" s="24"/>
    </row>
    <row r="85" spans="1:35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 t="str">
        <f>IFERROR(IF(ISBLANK(U85),"",INDEX(Gen_Vessels!$A$3:$C$495,MATCH(InspectionSite!$U85,Gen_Vessels!$C$3:$C$495,0),1)),"")</f>
        <v/>
      </c>
      <c r="W85" s="24"/>
      <c r="X85" s="24"/>
      <c r="Y85" s="24"/>
      <c r="Z85" s="24"/>
      <c r="AA85" s="24"/>
      <c r="AC85" s="24"/>
      <c r="AD85" s="47"/>
      <c r="AE85" s="24"/>
      <c r="AF85" s="24"/>
      <c r="AG85" s="24"/>
      <c r="AH85" s="24"/>
      <c r="AI85" s="24"/>
    </row>
    <row r="86" spans="1:35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 t="str">
        <f>IFERROR(IF(ISBLANK(U86),"",INDEX(Gen_Vessels!$A$3:$C$495,MATCH(InspectionSite!$U86,Gen_Vessels!$C$3:$C$495,0),1)),"")</f>
        <v/>
      </c>
      <c r="W86" s="24"/>
      <c r="X86" s="24"/>
      <c r="Y86" s="24"/>
      <c r="Z86" s="24"/>
      <c r="AA86" s="24"/>
      <c r="AC86" s="24"/>
      <c r="AD86" s="47"/>
      <c r="AE86" s="24"/>
      <c r="AF86" s="24"/>
      <c r="AG86" s="24"/>
      <c r="AH86" s="24"/>
      <c r="AI86" s="24"/>
    </row>
    <row r="87" spans="1:35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 t="str">
        <f>IFERROR(IF(ISBLANK(U87),"",INDEX(Gen_Vessels!$A$3:$C$495,MATCH(InspectionSite!$U87,Gen_Vessels!$C$3:$C$495,0),1)),"")</f>
        <v/>
      </c>
      <c r="W87" s="24"/>
      <c r="X87" s="24"/>
      <c r="Y87" s="24"/>
      <c r="Z87" s="24"/>
      <c r="AA87" s="24"/>
      <c r="AC87" s="24"/>
      <c r="AD87" s="47"/>
      <c r="AE87" s="24"/>
      <c r="AF87" s="24"/>
      <c r="AG87" s="24"/>
      <c r="AH87" s="24"/>
      <c r="AI87" s="24"/>
    </row>
    <row r="88" spans="1:35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 t="str">
        <f>IFERROR(IF(ISBLANK(U88),"",INDEX(Gen_Vessels!$A$3:$C$495,MATCH(InspectionSite!$U88,Gen_Vessels!$C$3:$C$495,0),1)),"")</f>
        <v/>
      </c>
      <c r="W88" s="24"/>
      <c r="X88" s="24"/>
      <c r="Y88" s="24"/>
      <c r="Z88" s="24"/>
      <c r="AA88" s="24"/>
      <c r="AC88" s="24"/>
      <c r="AD88" s="47"/>
      <c r="AE88" s="24"/>
      <c r="AF88" s="24"/>
      <c r="AG88" s="24"/>
      <c r="AH88" s="24"/>
      <c r="AI88" s="24"/>
    </row>
    <row r="89" spans="1:35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 t="str">
        <f>IFERROR(IF(ISBLANK(U89),"",INDEX(Gen_Vessels!$A$3:$C$495,MATCH(InspectionSite!$U89,Gen_Vessels!$C$3:$C$495,0),1)),"")</f>
        <v/>
      </c>
      <c r="W89" s="24"/>
      <c r="X89" s="24"/>
      <c r="Y89" s="24"/>
      <c r="Z89" s="24"/>
      <c r="AA89" s="24"/>
      <c r="AC89" s="24"/>
      <c r="AD89" s="47"/>
      <c r="AE89" s="24"/>
      <c r="AF89" s="24"/>
      <c r="AG89" s="24"/>
      <c r="AH89" s="24"/>
      <c r="AI89" s="24"/>
    </row>
    <row r="90" spans="1:35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 t="str">
        <f>IFERROR(IF(ISBLANK(U90),"",INDEX(Gen_Vessels!$A$3:$C$495,MATCH(InspectionSite!$U90,Gen_Vessels!$C$3:$C$495,0),1)),"")</f>
        <v/>
      </c>
      <c r="W90" s="24"/>
      <c r="X90" s="24"/>
      <c r="Y90" s="24"/>
      <c r="Z90" s="24"/>
      <c r="AA90" s="24"/>
      <c r="AC90" s="24"/>
      <c r="AD90" s="47"/>
      <c r="AE90" s="24"/>
      <c r="AF90" s="24"/>
      <c r="AG90" s="24"/>
      <c r="AH90" s="24"/>
      <c r="AI90" s="24"/>
    </row>
    <row r="91" spans="1:35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 t="str">
        <f>IFERROR(IF(ISBLANK(U91),"",INDEX(Gen_Vessels!$A$3:$C$495,MATCH(InspectionSite!$U91,Gen_Vessels!$C$3:$C$495,0),1)),"")</f>
        <v/>
      </c>
      <c r="W91" s="24"/>
      <c r="X91" s="24"/>
      <c r="Y91" s="24"/>
      <c r="Z91" s="24"/>
      <c r="AA91" s="24"/>
      <c r="AC91" s="24"/>
      <c r="AD91" s="47"/>
      <c r="AE91" s="24"/>
      <c r="AF91" s="24"/>
      <c r="AG91" s="24"/>
      <c r="AH91" s="24"/>
      <c r="AI91" s="24"/>
    </row>
    <row r="92" spans="1:35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 t="str">
        <f>IFERROR(IF(ISBLANK(U92),"",INDEX(Gen_Vessels!$A$3:$C$495,MATCH(InspectionSite!$U92,Gen_Vessels!$C$3:$C$495,0),1)),"")</f>
        <v/>
      </c>
      <c r="W92" s="24"/>
      <c r="X92" s="24"/>
      <c r="Y92" s="24"/>
      <c r="Z92" s="24"/>
      <c r="AA92" s="24"/>
      <c r="AC92" s="24"/>
      <c r="AD92" s="47"/>
      <c r="AE92" s="24"/>
      <c r="AF92" s="24"/>
      <c r="AG92" s="24"/>
      <c r="AH92" s="24"/>
      <c r="AI92" s="24"/>
    </row>
    <row r="93" spans="1:35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 t="str">
        <f>IFERROR(IF(ISBLANK(U93),"",INDEX(Gen_Vessels!$A$3:$C$495,MATCH(InspectionSite!$U93,Gen_Vessels!$C$3:$C$495,0),1)),"")</f>
        <v/>
      </c>
      <c r="W93" s="24"/>
      <c r="X93" s="24"/>
      <c r="Y93" s="24"/>
      <c r="Z93" s="24"/>
      <c r="AA93" s="24"/>
      <c r="AC93" s="24"/>
      <c r="AD93" s="47"/>
      <c r="AE93" s="24"/>
      <c r="AF93" s="24"/>
      <c r="AG93" s="24"/>
      <c r="AH93" s="24"/>
      <c r="AI93" s="24"/>
    </row>
    <row r="94" spans="1:35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 t="str">
        <f>IFERROR(IF(ISBLANK(U94),"",INDEX(Gen_Vessels!$A$3:$C$495,MATCH(InspectionSite!$U94,Gen_Vessels!$C$3:$C$495,0),1)),"")</f>
        <v/>
      </c>
      <c r="W94" s="24"/>
      <c r="X94" s="24"/>
      <c r="Y94" s="24"/>
      <c r="Z94" s="24"/>
      <c r="AA94" s="24"/>
      <c r="AC94" s="24"/>
      <c r="AD94" s="47"/>
      <c r="AE94" s="24"/>
      <c r="AF94" s="24"/>
      <c r="AG94" s="24"/>
      <c r="AH94" s="24"/>
      <c r="AI94" s="24"/>
    </row>
    <row r="95" spans="1:35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 t="str">
        <f>IFERROR(IF(ISBLANK(U95),"",INDEX(Gen_Vessels!$A$3:$C$495,MATCH(InspectionSite!$U95,Gen_Vessels!$C$3:$C$495,0),1)),"")</f>
        <v/>
      </c>
      <c r="W95" s="24"/>
      <c r="X95" s="24"/>
      <c r="Y95" s="24"/>
      <c r="Z95" s="24"/>
      <c r="AA95" s="24"/>
      <c r="AC95" s="24"/>
      <c r="AD95" s="47"/>
      <c r="AE95" s="24"/>
      <c r="AF95" s="24"/>
      <c r="AG95" s="24"/>
      <c r="AH95" s="24"/>
      <c r="AI95" s="24"/>
    </row>
    <row r="96" spans="1:35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 t="str">
        <f>IFERROR(IF(ISBLANK(U96),"",INDEX(Gen_Vessels!$A$3:$C$495,MATCH(InspectionSite!$U96,Gen_Vessels!$C$3:$C$495,0),1)),"")</f>
        <v/>
      </c>
      <c r="W96" s="24"/>
      <c r="X96" s="24"/>
      <c r="Y96" s="24"/>
      <c r="Z96" s="24"/>
      <c r="AA96" s="24"/>
      <c r="AC96" s="24"/>
      <c r="AD96" s="47"/>
      <c r="AE96" s="24"/>
      <c r="AF96" s="24"/>
      <c r="AG96" s="24"/>
      <c r="AH96" s="24"/>
      <c r="AI96" s="24"/>
    </row>
    <row r="97" spans="1:35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 t="str">
        <f>IFERROR(IF(ISBLANK(U97),"",INDEX(Gen_Vessels!$A$3:$C$495,MATCH(InspectionSite!$U97,Gen_Vessels!$C$3:$C$495,0),1)),"")</f>
        <v/>
      </c>
      <c r="W97" s="24"/>
      <c r="X97" s="24"/>
      <c r="Y97" s="24"/>
      <c r="Z97" s="24"/>
      <c r="AA97" s="24"/>
      <c r="AC97" s="24"/>
      <c r="AD97" s="47"/>
      <c r="AE97" s="24"/>
      <c r="AF97" s="24"/>
      <c r="AG97" s="24"/>
      <c r="AH97" s="24"/>
      <c r="AI97" s="24"/>
    </row>
    <row r="98" spans="1:35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 t="str">
        <f>IFERROR(IF(ISBLANK(U98),"",INDEX(Gen_Vessels!$A$3:$C$495,MATCH(InspectionSite!$U98,Gen_Vessels!$C$3:$C$495,0),1)),"")</f>
        <v/>
      </c>
      <c r="W98" s="24"/>
      <c r="X98" s="24"/>
      <c r="Y98" s="24"/>
      <c r="Z98" s="24"/>
      <c r="AA98" s="24"/>
      <c r="AC98" s="24"/>
      <c r="AD98" s="47"/>
      <c r="AE98" s="24"/>
      <c r="AF98" s="24"/>
      <c r="AG98" s="24"/>
      <c r="AH98" s="24"/>
      <c r="AI98" s="24"/>
    </row>
    <row r="99" spans="1:35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 t="str">
        <f>IFERROR(IF(ISBLANK(U99),"",INDEX(Gen_Vessels!$A$3:$C$495,MATCH(InspectionSite!$U99,Gen_Vessels!$C$3:$C$495,0),1)),"")</f>
        <v/>
      </c>
      <c r="W99" s="24"/>
      <c r="X99" s="24"/>
      <c r="Y99" s="24"/>
      <c r="Z99" s="24"/>
      <c r="AA99" s="24"/>
      <c r="AC99" s="24"/>
      <c r="AD99" s="47"/>
      <c r="AE99" s="24"/>
      <c r="AF99" s="24"/>
      <c r="AG99" s="24"/>
      <c r="AH99" s="24"/>
      <c r="AI99" s="24"/>
    </row>
    <row r="100" spans="1:35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 t="str">
        <f>IFERROR(IF(ISBLANK(U100),"",INDEX(Gen_Vessels!$A$3:$C$495,MATCH(InspectionSite!$U100,Gen_Vessels!$C$3:$C$495,0),1)),"")</f>
        <v/>
      </c>
      <c r="W100" s="24"/>
      <c r="X100" s="24"/>
      <c r="Y100" s="24"/>
      <c r="Z100" s="24"/>
      <c r="AA100" s="24"/>
      <c r="AC100" s="24"/>
      <c r="AD100" s="47"/>
      <c r="AE100" s="24"/>
      <c r="AF100" s="24"/>
      <c r="AG100" s="24"/>
      <c r="AH100" s="24"/>
      <c r="AI100" s="24"/>
    </row>
    <row r="101" spans="1:35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 t="str">
        <f>IFERROR(IF(ISBLANK(U101),"",INDEX(Gen_Vessels!$A$3:$C$495,MATCH(InspectionSite!$U101,Gen_Vessels!$C$3:$C$495,0),1)),"")</f>
        <v/>
      </c>
      <c r="W101" s="24"/>
      <c r="X101" s="24"/>
      <c r="Y101" s="24"/>
      <c r="Z101" s="24"/>
      <c r="AA101" s="24"/>
      <c r="AC101" s="24"/>
      <c r="AD101" s="47"/>
      <c r="AE101" s="24"/>
      <c r="AF101" s="24"/>
      <c r="AG101" s="24"/>
      <c r="AH101" s="24"/>
      <c r="AI101" s="24"/>
    </row>
    <row r="102" spans="1:35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 t="str">
        <f>IFERROR(IF(ISBLANK(U102),"",INDEX(Gen_Vessels!$A$3:$C$495,MATCH(InspectionSite!$U102,Gen_Vessels!$C$3:$C$495,0),1)),"")</f>
        <v/>
      </c>
      <c r="W102" s="24"/>
      <c r="X102" s="24"/>
      <c r="Y102" s="24"/>
      <c r="Z102" s="24"/>
      <c r="AA102" s="24"/>
      <c r="AC102" s="24"/>
      <c r="AD102" s="47"/>
      <c r="AE102" s="24"/>
      <c r="AF102" s="24"/>
      <c r="AG102" s="24"/>
      <c r="AH102" s="24"/>
      <c r="AI102" s="24"/>
    </row>
    <row r="103" spans="1:35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 t="str">
        <f>IFERROR(IF(ISBLANK(U103),"",INDEX(Gen_Vessels!$A$3:$C$495,MATCH(InspectionSite!$U103,Gen_Vessels!$C$3:$C$495,0),1)),"")</f>
        <v/>
      </c>
      <c r="W103" s="24"/>
      <c r="X103" s="24"/>
      <c r="Y103" s="24"/>
      <c r="Z103" s="24"/>
      <c r="AA103" s="24"/>
      <c r="AC103" s="24"/>
      <c r="AD103" s="47"/>
      <c r="AE103" s="24"/>
      <c r="AF103" s="24"/>
      <c r="AG103" s="24"/>
      <c r="AH103" s="24"/>
      <c r="AI103" s="24"/>
    </row>
    <row r="104" spans="1:35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 t="str">
        <f>IFERROR(IF(ISBLANK(U104),"",INDEX(Gen_Vessels!$A$3:$C$495,MATCH(InspectionSite!$U104,Gen_Vessels!$C$3:$C$495,0),1)),"")</f>
        <v/>
      </c>
      <c r="W104" s="24"/>
      <c r="X104" s="24"/>
      <c r="Y104" s="24"/>
      <c r="Z104" s="24"/>
      <c r="AA104" s="24"/>
      <c r="AC104" s="24"/>
      <c r="AD104" s="47"/>
      <c r="AE104" s="24"/>
      <c r="AF104" s="24"/>
      <c r="AG104" s="24"/>
      <c r="AH104" s="24"/>
      <c r="AI104" s="24"/>
    </row>
    <row r="105" spans="1:35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 t="str">
        <f>IFERROR(IF(ISBLANK(U105),"",INDEX(Gen_Vessels!$A$3:$C$495,MATCH(InspectionSite!$U105,Gen_Vessels!$C$3:$C$495,0),1)),"")</f>
        <v/>
      </c>
      <c r="W105" s="24"/>
      <c r="X105" s="24"/>
      <c r="Y105" s="24"/>
      <c r="Z105" s="24"/>
      <c r="AA105" s="24"/>
      <c r="AC105" s="24"/>
      <c r="AD105" s="47"/>
      <c r="AE105" s="24"/>
      <c r="AF105" s="24"/>
      <c r="AG105" s="24"/>
      <c r="AH105" s="24"/>
      <c r="AI105" s="24"/>
    </row>
    <row r="106" spans="1:35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 t="str">
        <f>IFERROR(IF(ISBLANK(U106),"",INDEX(Gen_Vessels!$A$3:$C$495,MATCH(InspectionSite!$U106,Gen_Vessels!$C$3:$C$495,0),1)),"")</f>
        <v/>
      </c>
      <c r="W106" s="24"/>
      <c r="X106" s="24"/>
      <c r="Y106" s="24"/>
      <c r="Z106" s="24"/>
      <c r="AA106" s="24"/>
      <c r="AC106" s="24"/>
      <c r="AD106" s="47"/>
      <c r="AE106" s="24"/>
      <c r="AF106" s="24"/>
      <c r="AG106" s="24"/>
      <c r="AH106" s="24"/>
      <c r="AI106" s="24"/>
    </row>
    <row r="107" spans="1:35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 t="str">
        <f>IFERROR(IF(ISBLANK(U107),"",INDEX(Gen_Vessels!$A$3:$C$495,MATCH(InspectionSite!$U107,Gen_Vessels!$C$3:$C$495,0),1)),"")</f>
        <v/>
      </c>
      <c r="W107" s="24"/>
      <c r="X107" s="24"/>
      <c r="Y107" s="24"/>
      <c r="Z107" s="24"/>
      <c r="AA107" s="24"/>
      <c r="AC107" s="24"/>
      <c r="AD107" s="47"/>
      <c r="AE107" s="24"/>
      <c r="AF107" s="24"/>
      <c r="AG107" s="24"/>
      <c r="AH107" s="24"/>
      <c r="AI107" s="24"/>
    </row>
    <row r="108" spans="1:35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 t="str">
        <f>IFERROR(IF(ISBLANK(U108),"",INDEX(Gen_Vessels!$A$3:$C$495,MATCH(InspectionSite!$U108,Gen_Vessels!$C$3:$C$495,0),1)),"")</f>
        <v/>
      </c>
      <c r="W108" s="24"/>
      <c r="X108" s="24"/>
      <c r="Y108" s="24"/>
      <c r="Z108" s="24"/>
      <c r="AA108" s="24"/>
      <c r="AC108" s="24"/>
      <c r="AD108" s="47"/>
      <c r="AE108" s="24"/>
      <c r="AF108" s="24"/>
      <c r="AG108" s="24"/>
      <c r="AH108" s="24"/>
      <c r="AI108" s="24"/>
    </row>
    <row r="109" spans="1:35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 t="str">
        <f>IFERROR(IF(ISBLANK(U109),"",INDEX(Gen_Vessels!$A$3:$C$495,MATCH(InspectionSite!$U109,Gen_Vessels!$C$3:$C$495,0),1)),"")</f>
        <v/>
      </c>
      <c r="W109" s="24"/>
      <c r="X109" s="24"/>
      <c r="Y109" s="24"/>
      <c r="Z109" s="24"/>
      <c r="AA109" s="24"/>
      <c r="AC109" s="24"/>
      <c r="AD109" s="47"/>
      <c r="AE109" s="24"/>
      <c r="AF109" s="24"/>
      <c r="AG109" s="24"/>
      <c r="AH109" s="24"/>
      <c r="AI109" s="24"/>
    </row>
    <row r="110" spans="1:35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 t="str">
        <f>IFERROR(IF(ISBLANK(U110),"",INDEX(Gen_Vessels!$A$3:$C$495,MATCH(InspectionSite!$U110,Gen_Vessels!$C$3:$C$495,0),1)),"")</f>
        <v/>
      </c>
      <c r="W110" s="24"/>
      <c r="X110" s="24"/>
      <c r="Y110" s="24"/>
      <c r="Z110" s="24"/>
      <c r="AA110" s="24"/>
      <c r="AC110" s="24"/>
      <c r="AD110" s="47"/>
      <c r="AE110" s="24"/>
      <c r="AF110" s="24"/>
      <c r="AG110" s="24"/>
      <c r="AH110" s="24"/>
      <c r="AI110" s="24"/>
    </row>
    <row r="111" spans="1:35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 t="str">
        <f>IFERROR(IF(ISBLANK(U111),"",INDEX(Gen_Vessels!$A$3:$C$495,MATCH(InspectionSite!$U111,Gen_Vessels!$C$3:$C$495,0),1)),"")</f>
        <v/>
      </c>
      <c r="W111" s="24"/>
      <c r="X111" s="24"/>
      <c r="Y111" s="24"/>
      <c r="Z111" s="24"/>
      <c r="AA111" s="24"/>
      <c r="AC111" s="24"/>
      <c r="AD111" s="47"/>
      <c r="AE111" s="24"/>
      <c r="AF111" s="24"/>
      <c r="AG111" s="24"/>
      <c r="AH111" s="24"/>
      <c r="AI111" s="24"/>
    </row>
    <row r="112" spans="1:35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 t="str">
        <f>IFERROR(IF(ISBLANK(U112),"",INDEX(Gen_Vessels!$A$3:$C$495,MATCH(InspectionSite!$U112,Gen_Vessels!$C$3:$C$495,0),1)),"")</f>
        <v/>
      </c>
      <c r="W112" s="24"/>
      <c r="X112" s="24"/>
      <c r="Y112" s="24"/>
      <c r="Z112" s="24"/>
      <c r="AA112" s="24"/>
      <c r="AC112" s="24"/>
      <c r="AD112" s="47"/>
      <c r="AE112" s="24"/>
      <c r="AF112" s="24"/>
      <c r="AG112" s="24"/>
      <c r="AH112" s="24"/>
      <c r="AI112" s="24"/>
    </row>
    <row r="113" spans="1:35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 t="str">
        <f>IFERROR(IF(ISBLANK(U113),"",INDEX(Gen_Vessels!$A$3:$C$495,MATCH(InspectionSite!$U113,Gen_Vessels!$C$3:$C$495,0),1)),"")</f>
        <v/>
      </c>
      <c r="W113" s="24"/>
      <c r="X113" s="24"/>
      <c r="Y113" s="24"/>
      <c r="Z113" s="24"/>
      <c r="AA113" s="24"/>
      <c r="AC113" s="24"/>
      <c r="AD113" s="47"/>
      <c r="AE113" s="24"/>
      <c r="AF113" s="24"/>
      <c r="AG113" s="24"/>
      <c r="AH113" s="24"/>
      <c r="AI113" s="24"/>
    </row>
    <row r="114" spans="1:35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 t="str">
        <f>IFERROR(IF(ISBLANK(U114),"",INDEX(Gen_Vessels!$A$3:$C$495,MATCH(InspectionSite!$U114,Gen_Vessels!$C$3:$C$495,0),1)),"")</f>
        <v/>
      </c>
      <c r="W114" s="24"/>
      <c r="X114" s="24"/>
      <c r="Y114" s="24"/>
      <c r="Z114" s="24"/>
      <c r="AA114" s="24"/>
      <c r="AC114" s="24"/>
      <c r="AD114" s="47"/>
      <c r="AE114" s="24"/>
      <c r="AF114" s="24"/>
      <c r="AG114" s="24"/>
      <c r="AH114" s="24"/>
      <c r="AI114" s="24"/>
    </row>
    <row r="115" spans="1:35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 t="str">
        <f>IFERROR(IF(ISBLANK(U115),"",INDEX(Gen_Vessels!$A$3:$C$495,MATCH(InspectionSite!$U115,Gen_Vessels!$C$3:$C$495,0),1)),"")</f>
        <v/>
      </c>
      <c r="W115" s="24"/>
      <c r="X115" s="24"/>
      <c r="Y115" s="24"/>
      <c r="Z115" s="24"/>
      <c r="AA115" s="24"/>
      <c r="AC115" s="24"/>
      <c r="AD115" s="47"/>
      <c r="AE115" s="24"/>
      <c r="AF115" s="24"/>
      <c r="AG115" s="24"/>
      <c r="AH115" s="24"/>
      <c r="AI115" s="24"/>
    </row>
    <row r="116" spans="1:35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 t="str">
        <f>IFERROR(IF(ISBLANK(U116),"",INDEX(Gen_Vessels!$A$3:$C$495,MATCH(InspectionSite!$U116,Gen_Vessels!$C$3:$C$495,0),1)),"")</f>
        <v/>
      </c>
      <c r="W116" s="24"/>
      <c r="X116" s="24"/>
      <c r="Y116" s="24"/>
      <c r="Z116" s="24"/>
      <c r="AA116" s="24"/>
      <c r="AC116" s="24"/>
      <c r="AD116" s="47"/>
      <c r="AE116" s="24"/>
      <c r="AF116" s="24"/>
      <c r="AG116" s="24"/>
      <c r="AH116" s="24"/>
      <c r="AI116" s="24"/>
    </row>
    <row r="117" spans="1:35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 t="str">
        <f>IFERROR(IF(ISBLANK(U117),"",INDEX(Gen_Vessels!$A$3:$C$495,MATCH(InspectionSite!$U117,Gen_Vessels!$C$3:$C$495,0),1)),"")</f>
        <v/>
      </c>
      <c r="W117" s="24"/>
      <c r="X117" s="24"/>
      <c r="Y117" s="24"/>
      <c r="Z117" s="24"/>
      <c r="AA117" s="24"/>
      <c r="AC117" s="24"/>
      <c r="AD117" s="47"/>
      <c r="AE117" s="24"/>
      <c r="AF117" s="24"/>
      <c r="AG117" s="24"/>
      <c r="AH117" s="24"/>
      <c r="AI117" s="24"/>
    </row>
    <row r="118" spans="1:35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 t="str">
        <f>IFERROR(IF(ISBLANK(U118),"",INDEX(Gen_Vessels!$A$3:$C$495,MATCH(InspectionSite!$U118,Gen_Vessels!$C$3:$C$495,0),1)),"")</f>
        <v/>
      </c>
      <c r="W118" s="24"/>
      <c r="X118" s="24"/>
      <c r="Y118" s="24"/>
      <c r="Z118" s="24"/>
      <c r="AA118" s="24"/>
      <c r="AC118" s="24"/>
      <c r="AD118" s="47"/>
      <c r="AE118" s="24"/>
      <c r="AF118" s="24"/>
      <c r="AG118" s="24"/>
      <c r="AH118" s="24"/>
      <c r="AI118" s="24"/>
    </row>
    <row r="119" spans="1:35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 t="str">
        <f>IFERROR(IF(ISBLANK(U119),"",INDEX(Gen_Vessels!$A$3:$C$495,MATCH(InspectionSite!$U119,Gen_Vessels!$C$3:$C$495,0),1)),"")</f>
        <v/>
      </c>
      <c r="W119" s="24"/>
      <c r="X119" s="24"/>
      <c r="Y119" s="24"/>
      <c r="Z119" s="24"/>
      <c r="AA119" s="24"/>
      <c r="AC119" s="24"/>
      <c r="AD119" s="47"/>
      <c r="AE119" s="24"/>
      <c r="AF119" s="24"/>
      <c r="AG119" s="24"/>
      <c r="AH119" s="24"/>
      <c r="AI119" s="24"/>
    </row>
    <row r="120" spans="1:35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 t="str">
        <f>IFERROR(IF(ISBLANK(U120),"",INDEX(Gen_Vessels!$A$3:$C$495,MATCH(InspectionSite!$U120,Gen_Vessels!$C$3:$C$495,0),1)),"")</f>
        <v/>
      </c>
      <c r="W120" s="24"/>
      <c r="X120" s="24"/>
      <c r="Y120" s="24"/>
      <c r="Z120" s="24"/>
      <c r="AA120" s="24"/>
      <c r="AC120" s="24"/>
      <c r="AD120" s="47"/>
      <c r="AE120" s="24"/>
      <c r="AF120" s="24"/>
      <c r="AG120" s="24"/>
      <c r="AH120" s="24"/>
      <c r="AI120" s="24"/>
    </row>
    <row r="121" spans="1:35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 t="str">
        <f>IFERROR(IF(ISBLANK(U121),"",INDEX(Gen_Vessels!$A$3:$C$495,MATCH(InspectionSite!$U121,Gen_Vessels!$C$3:$C$495,0),1)),"")</f>
        <v/>
      </c>
      <c r="W121" s="24"/>
      <c r="X121" s="24"/>
      <c r="Y121" s="24"/>
      <c r="Z121" s="24"/>
      <c r="AA121" s="24"/>
      <c r="AC121" s="24"/>
      <c r="AD121" s="47"/>
      <c r="AE121" s="24"/>
      <c r="AF121" s="24"/>
      <c r="AG121" s="24"/>
      <c r="AH121" s="24"/>
      <c r="AI121" s="24"/>
    </row>
    <row r="122" spans="1:35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 t="str">
        <f>IFERROR(IF(ISBLANK(U122),"",INDEX(Gen_Vessels!$A$3:$C$495,MATCH(InspectionSite!$U122,Gen_Vessels!$C$3:$C$495,0),1)),"")</f>
        <v/>
      </c>
      <c r="W122" s="24"/>
      <c r="X122" s="24"/>
      <c r="Y122" s="24"/>
      <c r="Z122" s="24"/>
      <c r="AA122" s="24"/>
      <c r="AC122" s="24"/>
      <c r="AD122" s="47"/>
      <c r="AE122" s="24"/>
      <c r="AF122" s="24"/>
      <c r="AG122" s="24"/>
      <c r="AH122" s="24"/>
      <c r="AI122" s="24"/>
    </row>
    <row r="123" spans="1:35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 t="str">
        <f>IFERROR(IF(ISBLANK(U123),"",INDEX(Gen_Vessels!$A$3:$C$495,MATCH(InspectionSite!$U123,Gen_Vessels!$C$3:$C$495,0),1)),"")</f>
        <v/>
      </c>
      <c r="W123" s="24"/>
      <c r="X123" s="24"/>
      <c r="Y123" s="24"/>
      <c r="Z123" s="24"/>
      <c r="AA123" s="24"/>
      <c r="AC123" s="24"/>
      <c r="AD123" s="47"/>
      <c r="AE123" s="24"/>
      <c r="AF123" s="24"/>
      <c r="AG123" s="24"/>
      <c r="AH123" s="24"/>
      <c r="AI123" s="24"/>
    </row>
    <row r="124" spans="1:35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 t="str">
        <f>IFERROR(IF(ISBLANK(U124),"",INDEX(Gen_Vessels!$A$3:$C$495,MATCH(InspectionSite!$U124,Gen_Vessels!$C$3:$C$495,0),1)),"")</f>
        <v/>
      </c>
      <c r="W124" s="24"/>
      <c r="X124" s="24"/>
      <c r="Y124" s="24"/>
      <c r="Z124" s="24"/>
      <c r="AA124" s="24"/>
      <c r="AC124" s="24"/>
      <c r="AD124" s="47"/>
      <c r="AE124" s="24"/>
      <c r="AF124" s="24"/>
      <c r="AG124" s="24"/>
      <c r="AH124" s="24"/>
      <c r="AI124" s="24"/>
    </row>
    <row r="125" spans="1:35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 t="str">
        <f>IFERROR(IF(ISBLANK(U125),"",INDEX(Gen_Vessels!$A$3:$C$495,MATCH(InspectionSite!$U125,Gen_Vessels!$C$3:$C$495,0),1)),"")</f>
        <v/>
      </c>
      <c r="W125" s="24"/>
      <c r="X125" s="24"/>
      <c r="Y125" s="24"/>
      <c r="Z125" s="24"/>
      <c r="AA125" s="24"/>
      <c r="AC125" s="24"/>
      <c r="AD125" s="47"/>
      <c r="AE125" s="24"/>
      <c r="AF125" s="24"/>
      <c r="AG125" s="24"/>
      <c r="AH125" s="24"/>
      <c r="AI125" s="24"/>
    </row>
    <row r="126" spans="1:35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 t="str">
        <f>IFERROR(IF(ISBLANK(U126),"",INDEX(Gen_Vessels!$A$3:$C$495,MATCH(InspectionSite!$U126,Gen_Vessels!$C$3:$C$495,0),1)),"")</f>
        <v/>
      </c>
      <c r="W126" s="24"/>
      <c r="X126" s="24"/>
      <c r="Y126" s="24"/>
      <c r="Z126" s="24"/>
      <c r="AA126" s="24"/>
      <c r="AC126" s="24"/>
      <c r="AD126" s="47"/>
      <c r="AE126" s="24"/>
      <c r="AF126" s="24"/>
      <c r="AG126" s="24"/>
      <c r="AH126" s="24"/>
      <c r="AI126" s="24"/>
    </row>
    <row r="127" spans="1:35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 t="str">
        <f>IFERROR(IF(ISBLANK(U127),"",INDEX(Gen_Vessels!$A$3:$C$495,MATCH(InspectionSite!$U127,Gen_Vessels!$C$3:$C$495,0),1)),"")</f>
        <v/>
      </c>
      <c r="W127" s="24"/>
      <c r="X127" s="24"/>
      <c r="Y127" s="24"/>
      <c r="Z127" s="24"/>
      <c r="AA127" s="24"/>
      <c r="AC127" s="24"/>
      <c r="AD127" s="47"/>
      <c r="AE127" s="24"/>
      <c r="AF127" s="24"/>
      <c r="AG127" s="24"/>
      <c r="AH127" s="24"/>
      <c r="AI127" s="24"/>
    </row>
    <row r="128" spans="1:35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 t="str">
        <f>IFERROR(IF(ISBLANK(U128),"",INDEX(Gen_Vessels!$A$3:$C$495,MATCH(InspectionSite!$U128,Gen_Vessels!$C$3:$C$495,0),1)),"")</f>
        <v/>
      </c>
      <c r="W128" s="24"/>
      <c r="X128" s="24"/>
      <c r="Y128" s="24"/>
      <c r="Z128" s="24"/>
      <c r="AA128" s="24"/>
      <c r="AC128" s="24"/>
      <c r="AD128" s="47"/>
      <c r="AE128" s="24"/>
      <c r="AF128" s="24"/>
      <c r="AG128" s="24"/>
      <c r="AH128" s="24"/>
      <c r="AI128" s="24"/>
    </row>
    <row r="129" spans="1:35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 t="str">
        <f>IFERROR(IF(ISBLANK(U129),"",INDEX(Gen_Vessels!$A$3:$C$495,MATCH(InspectionSite!$U129,Gen_Vessels!$C$3:$C$495,0),1)),"")</f>
        <v/>
      </c>
      <c r="W129" s="24"/>
      <c r="X129" s="24"/>
      <c r="Y129" s="24"/>
      <c r="Z129" s="24"/>
      <c r="AA129" s="24"/>
      <c r="AC129" s="24"/>
      <c r="AD129" s="47"/>
      <c r="AE129" s="24"/>
      <c r="AF129" s="24"/>
      <c r="AG129" s="24"/>
      <c r="AH129" s="24"/>
      <c r="AI129" s="24"/>
    </row>
    <row r="130" spans="1:35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 t="str">
        <f>IFERROR(IF(ISBLANK(U130),"",INDEX(Gen_Vessels!$A$3:$C$495,MATCH(InspectionSite!$U130,Gen_Vessels!$C$3:$C$495,0),1)),"")</f>
        <v/>
      </c>
      <c r="W130" s="24"/>
      <c r="X130" s="24"/>
      <c r="Y130" s="24"/>
      <c r="Z130" s="24"/>
      <c r="AA130" s="24"/>
      <c r="AC130" s="24"/>
      <c r="AD130" s="47"/>
      <c r="AE130" s="24"/>
      <c r="AF130" s="24"/>
      <c r="AG130" s="24"/>
      <c r="AH130" s="24"/>
      <c r="AI130" s="24"/>
    </row>
    <row r="131" spans="1:35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 t="str">
        <f>IFERROR(IF(ISBLANK(U131),"",INDEX(Gen_Vessels!$A$3:$C$495,MATCH(InspectionSite!$U131,Gen_Vessels!$C$3:$C$495,0),1)),"")</f>
        <v/>
      </c>
      <c r="W131" s="24"/>
      <c r="X131" s="24"/>
      <c r="Y131" s="24"/>
      <c r="Z131" s="24"/>
      <c r="AA131" s="24"/>
      <c r="AC131" s="24"/>
      <c r="AD131" s="47"/>
      <c r="AE131" s="24"/>
      <c r="AF131" s="24"/>
      <c r="AG131" s="24"/>
      <c r="AH131" s="24"/>
      <c r="AI131" s="24"/>
    </row>
    <row r="132" spans="1:35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 t="str">
        <f>IFERROR(IF(ISBLANK(U132),"",INDEX(Gen_Vessels!$A$3:$C$495,MATCH(InspectionSite!$U132,Gen_Vessels!$C$3:$C$495,0),1)),"")</f>
        <v/>
      </c>
      <c r="W132" s="24"/>
      <c r="X132" s="24"/>
      <c r="Y132" s="24"/>
      <c r="Z132" s="24"/>
      <c r="AA132" s="24"/>
      <c r="AC132" s="24"/>
      <c r="AD132" s="47"/>
      <c r="AE132" s="24"/>
      <c r="AF132" s="24"/>
      <c r="AG132" s="24"/>
      <c r="AH132" s="24"/>
      <c r="AI132" s="24"/>
    </row>
    <row r="133" spans="1:35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 t="str">
        <f>IFERROR(IF(ISBLANK(U133),"",INDEX(Gen_Vessels!$A$3:$C$495,MATCH(InspectionSite!$U133,Gen_Vessels!$C$3:$C$495,0),1)),"")</f>
        <v/>
      </c>
      <c r="W133" s="24"/>
      <c r="X133" s="24"/>
      <c r="Y133" s="24"/>
      <c r="Z133" s="24"/>
      <c r="AA133" s="24"/>
      <c r="AC133" s="24"/>
      <c r="AD133" s="47"/>
      <c r="AE133" s="24"/>
      <c r="AF133" s="24"/>
      <c r="AG133" s="24"/>
      <c r="AH133" s="24"/>
      <c r="AI133" s="24"/>
    </row>
    <row r="134" spans="1:35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 t="str">
        <f>IFERROR(IF(ISBLANK(U134),"",INDEX(Gen_Vessels!$A$3:$C$495,MATCH(InspectionSite!$U134,Gen_Vessels!$C$3:$C$495,0),1)),"")</f>
        <v/>
      </c>
      <c r="W134" s="24"/>
      <c r="X134" s="24"/>
      <c r="Y134" s="24"/>
      <c r="Z134" s="24"/>
      <c r="AA134" s="24"/>
      <c r="AC134" s="24"/>
      <c r="AD134" s="47"/>
      <c r="AE134" s="24"/>
      <c r="AF134" s="24"/>
      <c r="AG134" s="24"/>
      <c r="AH134" s="24"/>
      <c r="AI134" s="24"/>
    </row>
    <row r="135" spans="1:35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 t="str">
        <f>IFERROR(IF(ISBLANK(U135),"",INDEX(Gen_Vessels!$A$3:$C$495,MATCH(InspectionSite!$U135,Gen_Vessels!$C$3:$C$495,0),1)),"")</f>
        <v/>
      </c>
      <c r="W135" s="24"/>
      <c r="X135" s="24"/>
      <c r="Y135" s="24"/>
      <c r="Z135" s="24"/>
      <c r="AA135" s="24"/>
      <c r="AC135" s="24"/>
      <c r="AD135" s="47"/>
      <c r="AE135" s="24"/>
      <c r="AF135" s="24"/>
      <c r="AG135" s="24"/>
      <c r="AH135" s="24"/>
      <c r="AI135" s="24"/>
    </row>
    <row r="136" spans="1:35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 t="str">
        <f>IFERROR(IF(ISBLANK(U136),"",INDEX(Gen_Vessels!$A$3:$C$495,MATCH(InspectionSite!$U136,Gen_Vessels!$C$3:$C$495,0),1)),"")</f>
        <v/>
      </c>
      <c r="W136" s="24"/>
      <c r="X136" s="24"/>
      <c r="Y136" s="24"/>
      <c r="Z136" s="24"/>
      <c r="AA136" s="24"/>
      <c r="AC136" s="24"/>
      <c r="AD136" s="47"/>
      <c r="AE136" s="24"/>
      <c r="AF136" s="24"/>
      <c r="AG136" s="24"/>
      <c r="AH136" s="24"/>
      <c r="AI136" s="24"/>
    </row>
    <row r="137" spans="1:35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 t="str">
        <f>IFERROR(IF(ISBLANK(U137),"",INDEX(Gen_Vessels!$A$3:$C$495,MATCH(InspectionSite!$U137,Gen_Vessels!$C$3:$C$495,0),1)),"")</f>
        <v/>
      </c>
      <c r="W137" s="24"/>
      <c r="X137" s="24"/>
      <c r="Y137" s="24"/>
      <c r="Z137" s="24"/>
      <c r="AA137" s="24"/>
      <c r="AC137" s="24"/>
      <c r="AD137" s="47"/>
      <c r="AE137" s="24"/>
      <c r="AF137" s="24"/>
      <c r="AG137" s="24"/>
      <c r="AH137" s="24"/>
      <c r="AI137" s="24"/>
    </row>
    <row r="138" spans="1:35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 t="str">
        <f>IFERROR(IF(ISBLANK(U138),"",INDEX(Gen_Vessels!$A$3:$C$495,MATCH(InspectionSite!$U138,Gen_Vessels!$C$3:$C$495,0),1)),"")</f>
        <v/>
      </c>
      <c r="W138" s="24"/>
      <c r="X138" s="24"/>
      <c r="Y138" s="24"/>
      <c r="Z138" s="24"/>
      <c r="AA138" s="24"/>
      <c r="AC138" s="24"/>
      <c r="AD138" s="47"/>
      <c r="AE138" s="24"/>
      <c r="AF138" s="24"/>
      <c r="AG138" s="24"/>
      <c r="AH138" s="24"/>
      <c r="AI138" s="24"/>
    </row>
    <row r="139" spans="1:35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 t="str">
        <f>IFERROR(IF(ISBLANK(U139),"",INDEX(Gen_Vessels!$A$3:$C$495,MATCH(InspectionSite!$U139,Gen_Vessels!$C$3:$C$495,0),1)),"")</f>
        <v/>
      </c>
      <c r="W139" s="24"/>
      <c r="X139" s="24"/>
      <c r="Y139" s="24"/>
      <c r="Z139" s="24"/>
      <c r="AA139" s="24"/>
      <c r="AC139" s="24"/>
      <c r="AD139" s="47"/>
      <c r="AE139" s="24"/>
      <c r="AF139" s="24"/>
      <c r="AG139" s="24"/>
      <c r="AH139" s="24"/>
      <c r="AI139" s="24"/>
    </row>
    <row r="140" spans="1:35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 t="str">
        <f>IFERROR(IF(ISBLANK(U140),"",INDEX(Gen_Vessels!$A$3:$C$495,MATCH(InspectionSite!$U140,Gen_Vessels!$C$3:$C$495,0),1)),"")</f>
        <v/>
      </c>
      <c r="W140" s="24"/>
      <c r="X140" s="24"/>
      <c r="Y140" s="24"/>
      <c r="Z140" s="24"/>
      <c r="AA140" s="24"/>
      <c r="AC140" s="24"/>
      <c r="AD140" s="47"/>
      <c r="AE140" s="24"/>
      <c r="AF140" s="24"/>
      <c r="AG140" s="24"/>
      <c r="AH140" s="24"/>
      <c r="AI140" s="24"/>
    </row>
    <row r="141" spans="1:35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 t="str">
        <f>IFERROR(IF(ISBLANK(U141),"",INDEX(Gen_Vessels!$A$3:$C$495,MATCH(InspectionSite!$U141,Gen_Vessels!$C$3:$C$495,0),1)),"")</f>
        <v/>
      </c>
      <c r="W141" s="24"/>
      <c r="X141" s="24"/>
      <c r="Y141" s="24"/>
      <c r="Z141" s="24"/>
      <c r="AA141" s="24"/>
      <c r="AC141" s="24"/>
      <c r="AD141" s="47"/>
      <c r="AE141" s="24"/>
      <c r="AF141" s="24"/>
      <c r="AG141" s="24"/>
      <c r="AH141" s="24"/>
      <c r="AI141" s="24"/>
    </row>
    <row r="142" spans="1:35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 t="str">
        <f>IFERROR(IF(ISBLANK(U142),"",INDEX(Gen_Vessels!$A$3:$C$495,MATCH(InspectionSite!$U142,Gen_Vessels!$C$3:$C$495,0),1)),"")</f>
        <v/>
      </c>
      <c r="W142" s="24"/>
      <c r="X142" s="24"/>
      <c r="Y142" s="24"/>
      <c r="Z142" s="24"/>
      <c r="AA142" s="24"/>
      <c r="AC142" s="24"/>
      <c r="AD142" s="47"/>
      <c r="AE142" s="24"/>
      <c r="AF142" s="24"/>
      <c r="AG142" s="24"/>
      <c r="AH142" s="24"/>
      <c r="AI142" s="24"/>
    </row>
    <row r="143" spans="1:35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 t="str">
        <f>IFERROR(IF(ISBLANK(U143),"",INDEX(Gen_Vessels!$A$3:$C$495,MATCH(InspectionSite!$U143,Gen_Vessels!$C$3:$C$495,0),1)),"")</f>
        <v/>
      </c>
      <c r="W143" s="24"/>
      <c r="X143" s="24"/>
      <c r="Y143" s="24"/>
      <c r="Z143" s="24"/>
      <c r="AA143" s="24"/>
      <c r="AC143" s="24"/>
      <c r="AD143" s="47"/>
      <c r="AE143" s="24"/>
      <c r="AF143" s="24"/>
      <c r="AG143" s="24"/>
      <c r="AH143" s="24"/>
      <c r="AI143" s="24"/>
    </row>
    <row r="144" spans="1:35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 t="str">
        <f>IFERROR(IF(ISBLANK(U144),"",INDEX(Gen_Vessels!$A$3:$C$495,MATCH(InspectionSite!$U144,Gen_Vessels!$C$3:$C$495,0),1)),"")</f>
        <v/>
      </c>
      <c r="W144" s="24"/>
      <c r="X144" s="24"/>
      <c r="Y144" s="24"/>
      <c r="Z144" s="24"/>
      <c r="AA144" s="24"/>
      <c r="AC144" s="24"/>
      <c r="AD144" s="47"/>
      <c r="AE144" s="24"/>
      <c r="AF144" s="24"/>
      <c r="AG144" s="24"/>
      <c r="AH144" s="24"/>
      <c r="AI144" s="24"/>
    </row>
    <row r="145" spans="1:35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 t="str">
        <f>IFERROR(IF(ISBLANK(U145),"",INDEX(Gen_Vessels!$A$3:$C$495,MATCH(InspectionSite!$U145,Gen_Vessels!$C$3:$C$495,0),1)),"")</f>
        <v/>
      </c>
      <c r="W145" s="24"/>
      <c r="X145" s="24"/>
      <c r="Y145" s="24"/>
      <c r="Z145" s="24"/>
      <c r="AA145" s="24"/>
      <c r="AC145" s="24"/>
      <c r="AD145" s="47"/>
      <c r="AE145" s="24"/>
      <c r="AF145" s="24"/>
      <c r="AG145" s="24"/>
      <c r="AH145" s="24"/>
      <c r="AI145" s="24"/>
    </row>
    <row r="146" spans="1:35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 t="str">
        <f>IFERROR(IF(ISBLANK(U146),"",INDEX(Gen_Vessels!$A$3:$C$495,MATCH(InspectionSite!$U146,Gen_Vessels!$C$3:$C$495,0),1)),"")</f>
        <v/>
      </c>
      <c r="W146" s="24"/>
      <c r="X146" s="24"/>
      <c r="Y146" s="24"/>
      <c r="Z146" s="24"/>
      <c r="AA146" s="24"/>
      <c r="AC146" s="24"/>
      <c r="AD146" s="47"/>
      <c r="AE146" s="24"/>
      <c r="AF146" s="24"/>
      <c r="AG146" s="24"/>
      <c r="AH146" s="24"/>
      <c r="AI146" s="24"/>
    </row>
    <row r="147" spans="1:35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 t="str">
        <f>IFERROR(IF(ISBLANK(U147),"",INDEX(Gen_Vessels!$A$3:$C$495,MATCH(InspectionSite!$U147,Gen_Vessels!$C$3:$C$495,0),1)),"")</f>
        <v/>
      </c>
      <c r="W147" s="24"/>
      <c r="X147" s="24"/>
      <c r="Y147" s="24"/>
      <c r="Z147" s="24"/>
      <c r="AA147" s="24"/>
      <c r="AC147" s="24"/>
      <c r="AD147" s="47"/>
      <c r="AE147" s="24"/>
      <c r="AF147" s="24"/>
      <c r="AG147" s="24"/>
      <c r="AH147" s="24"/>
      <c r="AI147" s="24"/>
    </row>
    <row r="148" spans="1:35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 t="str">
        <f>IFERROR(IF(ISBLANK(U148),"",INDEX(Gen_Vessels!$A$3:$C$495,MATCH(InspectionSite!$U148,Gen_Vessels!$C$3:$C$495,0),1)),"")</f>
        <v/>
      </c>
      <c r="W148" s="24"/>
      <c r="X148" s="24"/>
      <c r="Y148" s="24"/>
      <c r="Z148" s="24"/>
      <c r="AA148" s="24"/>
      <c r="AC148" s="24"/>
      <c r="AD148" s="47"/>
      <c r="AE148" s="24"/>
      <c r="AF148" s="24"/>
      <c r="AG148" s="24"/>
      <c r="AH148" s="24"/>
      <c r="AI148" s="24"/>
    </row>
    <row r="149" spans="1:35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 t="str">
        <f>IFERROR(IF(ISBLANK(U149),"",INDEX(Gen_Vessels!$A$3:$C$495,MATCH(InspectionSite!$U149,Gen_Vessels!$C$3:$C$495,0),1)),"")</f>
        <v/>
      </c>
      <c r="W149" s="24"/>
      <c r="X149" s="24"/>
      <c r="Y149" s="24"/>
      <c r="Z149" s="24"/>
      <c r="AA149" s="24"/>
      <c r="AC149" s="24"/>
      <c r="AD149" s="47"/>
      <c r="AE149" s="24"/>
      <c r="AF149" s="24"/>
      <c r="AG149" s="24"/>
      <c r="AH149" s="24"/>
      <c r="AI149" s="24"/>
    </row>
    <row r="150" spans="1:35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 t="str">
        <f>IFERROR(IF(ISBLANK(U150),"",INDEX(Gen_Vessels!$A$3:$C$495,MATCH(InspectionSite!$U150,Gen_Vessels!$C$3:$C$495,0),1)),"")</f>
        <v/>
      </c>
      <c r="W150" s="24"/>
      <c r="X150" s="24"/>
      <c r="Y150" s="24"/>
      <c r="Z150" s="24"/>
      <c r="AA150" s="24"/>
      <c r="AC150" s="24"/>
      <c r="AD150" s="47"/>
      <c r="AE150" s="24"/>
      <c r="AF150" s="24"/>
      <c r="AG150" s="24"/>
      <c r="AH150" s="24"/>
      <c r="AI150" s="24"/>
    </row>
    <row r="151" spans="1:35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 t="str">
        <f>IFERROR(IF(ISBLANK(U151),"",INDEX(Gen_Vessels!$A$3:$C$495,MATCH(InspectionSite!$U151,Gen_Vessels!$C$3:$C$495,0),1)),"")</f>
        <v/>
      </c>
      <c r="W151" s="24"/>
      <c r="X151" s="24"/>
      <c r="Y151" s="24"/>
      <c r="Z151" s="24"/>
      <c r="AA151" s="24"/>
      <c r="AC151" s="24"/>
      <c r="AD151" s="47"/>
      <c r="AE151" s="24"/>
      <c r="AF151" s="24"/>
      <c r="AG151" s="24"/>
      <c r="AH151" s="24"/>
      <c r="AI151" s="24"/>
    </row>
    <row r="152" spans="1:35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 t="str">
        <f>IFERROR(IF(ISBLANK(U152),"",INDEX(Gen_Vessels!$A$3:$C$495,MATCH(InspectionSite!$U152,Gen_Vessels!$C$3:$C$495,0),1)),"")</f>
        <v/>
      </c>
      <c r="W152" s="24"/>
      <c r="X152" s="24"/>
      <c r="Y152" s="24"/>
      <c r="Z152" s="24"/>
      <c r="AA152" s="24"/>
      <c r="AC152" s="24"/>
      <c r="AD152" s="47"/>
      <c r="AE152" s="24"/>
      <c r="AF152" s="24"/>
      <c r="AG152" s="24"/>
      <c r="AH152" s="24"/>
      <c r="AI152" s="24"/>
    </row>
    <row r="153" spans="1:35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 t="str">
        <f>IFERROR(IF(ISBLANK(U153),"",INDEX(Gen_Vessels!$A$3:$C$495,MATCH(InspectionSite!$U153,Gen_Vessels!$C$3:$C$495,0),1)),"")</f>
        <v/>
      </c>
      <c r="W153" s="24"/>
      <c r="X153" s="24"/>
      <c r="Y153" s="24"/>
      <c r="Z153" s="24"/>
      <c r="AA153" s="24"/>
      <c r="AC153" s="24"/>
      <c r="AD153" s="47"/>
      <c r="AE153" s="24"/>
      <c r="AF153" s="24"/>
      <c r="AG153" s="24"/>
      <c r="AH153" s="24"/>
      <c r="AI153" s="24"/>
    </row>
    <row r="154" spans="1:35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 t="str">
        <f>IFERROR(IF(ISBLANK(U154),"",INDEX(Gen_Vessels!$A$3:$C$495,MATCH(InspectionSite!$U154,Gen_Vessels!$C$3:$C$495,0),1)),"")</f>
        <v/>
      </c>
      <c r="W154" s="24"/>
      <c r="X154" s="24"/>
      <c r="Y154" s="24"/>
      <c r="Z154" s="24"/>
      <c r="AA154" s="24"/>
      <c r="AC154" s="24"/>
      <c r="AD154" s="47"/>
      <c r="AE154" s="24"/>
      <c r="AF154" s="24"/>
      <c r="AG154" s="24"/>
      <c r="AH154" s="24"/>
      <c r="AI154" s="24"/>
    </row>
    <row r="155" spans="1:35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 t="str">
        <f>IFERROR(IF(ISBLANK(U155),"",INDEX(Gen_Vessels!$A$3:$C$495,MATCH(InspectionSite!$U155,Gen_Vessels!$C$3:$C$495,0),1)),"")</f>
        <v/>
      </c>
      <c r="W155" s="24"/>
      <c r="X155" s="24"/>
      <c r="Y155" s="24"/>
      <c r="Z155" s="24"/>
      <c r="AA155" s="24"/>
      <c r="AC155" s="24"/>
      <c r="AD155" s="47"/>
      <c r="AE155" s="24"/>
      <c r="AF155" s="24"/>
      <c r="AG155" s="24"/>
      <c r="AH155" s="24"/>
      <c r="AI155" s="24"/>
    </row>
    <row r="156" spans="1:35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 t="str">
        <f>IFERROR(IF(ISBLANK(U156),"",INDEX(Gen_Vessels!$A$3:$C$495,MATCH(InspectionSite!$U156,Gen_Vessels!$C$3:$C$495,0),1)),"")</f>
        <v/>
      </c>
      <c r="W156" s="24"/>
      <c r="X156" s="24"/>
      <c r="Y156" s="24"/>
      <c r="Z156" s="24"/>
      <c r="AA156" s="24"/>
      <c r="AC156" s="24"/>
      <c r="AD156" s="47"/>
      <c r="AE156" s="24"/>
      <c r="AF156" s="24"/>
      <c r="AG156" s="24"/>
      <c r="AH156" s="24"/>
      <c r="AI156" s="24"/>
    </row>
    <row r="157" spans="1:35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 t="str">
        <f>IFERROR(IF(ISBLANK(U157),"",INDEX(Gen_Vessels!$A$3:$C$495,MATCH(InspectionSite!$U157,Gen_Vessels!$C$3:$C$495,0),1)),"")</f>
        <v/>
      </c>
      <c r="W157" s="24"/>
      <c r="X157" s="24"/>
      <c r="Y157" s="24"/>
      <c r="Z157" s="24"/>
      <c r="AA157" s="24"/>
      <c r="AC157" s="24"/>
      <c r="AD157" s="47"/>
      <c r="AE157" s="24"/>
      <c r="AF157" s="24"/>
      <c r="AG157" s="24"/>
      <c r="AH157" s="24"/>
      <c r="AI157" s="24"/>
    </row>
    <row r="158" spans="1:35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 t="str">
        <f>IFERROR(IF(ISBLANK(U158),"",INDEX(Gen_Vessels!$A$3:$C$495,MATCH(InspectionSite!$U158,Gen_Vessels!$C$3:$C$495,0),1)),"")</f>
        <v/>
      </c>
      <c r="W158" s="24"/>
      <c r="X158" s="24"/>
      <c r="Y158" s="24"/>
      <c r="Z158" s="24"/>
      <c r="AA158" s="24"/>
      <c r="AC158" s="24"/>
      <c r="AD158" s="47"/>
      <c r="AE158" s="24"/>
      <c r="AF158" s="24"/>
      <c r="AG158" s="24"/>
      <c r="AH158" s="24"/>
      <c r="AI158" s="24"/>
    </row>
    <row r="159" spans="1:35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 t="str">
        <f>IFERROR(IF(ISBLANK(U159),"",INDEX(Gen_Vessels!$A$3:$C$495,MATCH(InspectionSite!$U159,Gen_Vessels!$C$3:$C$495,0),1)),"")</f>
        <v/>
      </c>
      <c r="W159" s="24"/>
      <c r="X159" s="24"/>
      <c r="Y159" s="24"/>
      <c r="Z159" s="24"/>
      <c r="AA159" s="24"/>
      <c r="AC159" s="24"/>
      <c r="AD159" s="47"/>
      <c r="AE159" s="24"/>
      <c r="AF159" s="24"/>
      <c r="AG159" s="24"/>
      <c r="AH159" s="24"/>
      <c r="AI159" s="24"/>
    </row>
    <row r="160" spans="1:35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 t="str">
        <f>IFERROR(IF(ISBLANK(U160),"",INDEX(Gen_Vessels!$A$3:$C$495,MATCH(InspectionSite!$U160,Gen_Vessels!$C$3:$C$495,0),1)),"")</f>
        <v/>
      </c>
      <c r="W160" s="24"/>
      <c r="X160" s="24"/>
      <c r="Y160" s="24"/>
      <c r="Z160" s="24"/>
      <c r="AA160" s="24"/>
      <c r="AC160" s="24"/>
      <c r="AD160" s="47"/>
      <c r="AE160" s="24"/>
      <c r="AF160" s="24"/>
      <c r="AG160" s="24"/>
      <c r="AH160" s="24"/>
      <c r="AI160" s="24"/>
    </row>
    <row r="161" spans="1:35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 t="str">
        <f>IFERROR(IF(ISBLANK(U161),"",INDEX(Gen_Vessels!$A$3:$C$495,MATCH(InspectionSite!$U161,Gen_Vessels!$C$3:$C$495,0),1)),"")</f>
        <v/>
      </c>
      <c r="W161" s="24"/>
      <c r="X161" s="24"/>
      <c r="Y161" s="24"/>
      <c r="Z161" s="24"/>
      <c r="AA161" s="24"/>
      <c r="AC161" s="24"/>
      <c r="AD161" s="47"/>
      <c r="AE161" s="24"/>
      <c r="AF161" s="24"/>
      <c r="AG161" s="24"/>
      <c r="AH161" s="24"/>
      <c r="AI161" s="24"/>
    </row>
    <row r="162" spans="1:35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 t="str">
        <f>IFERROR(IF(ISBLANK(U162),"",INDEX(Gen_Vessels!$A$3:$C$495,MATCH(InspectionSite!$U162,Gen_Vessels!$C$3:$C$495,0),1)),"")</f>
        <v/>
      </c>
      <c r="W162" s="24"/>
      <c r="X162" s="24"/>
      <c r="Y162" s="24"/>
      <c r="Z162" s="24"/>
      <c r="AA162" s="24"/>
      <c r="AC162" s="24"/>
      <c r="AD162" s="47"/>
      <c r="AE162" s="24"/>
      <c r="AF162" s="24"/>
      <c r="AG162" s="24"/>
      <c r="AH162" s="24"/>
      <c r="AI162" s="24"/>
    </row>
    <row r="163" spans="1:35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 t="str">
        <f>IFERROR(IF(ISBLANK(U163),"",INDEX(Gen_Vessels!$A$3:$C$495,MATCH(InspectionSite!$U163,Gen_Vessels!$C$3:$C$495,0),1)),"")</f>
        <v/>
      </c>
      <c r="W163" s="24"/>
      <c r="X163" s="24"/>
      <c r="Y163" s="24"/>
      <c r="Z163" s="24"/>
      <c r="AA163" s="24"/>
      <c r="AC163" s="24"/>
      <c r="AD163" s="47"/>
      <c r="AE163" s="24"/>
      <c r="AF163" s="24"/>
      <c r="AG163" s="24"/>
      <c r="AH163" s="24"/>
      <c r="AI163" s="24"/>
    </row>
    <row r="164" spans="1:35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 t="str">
        <f>IFERROR(IF(ISBLANK(U164),"",INDEX(Gen_Vessels!$A$3:$C$495,MATCH(InspectionSite!$U164,Gen_Vessels!$C$3:$C$495,0),1)),"")</f>
        <v/>
      </c>
      <c r="W164" s="24"/>
      <c r="X164" s="24"/>
      <c r="Y164" s="24"/>
      <c r="Z164" s="24"/>
      <c r="AA164" s="24"/>
      <c r="AC164" s="24"/>
      <c r="AD164" s="47"/>
      <c r="AE164" s="24"/>
      <c r="AF164" s="24"/>
      <c r="AG164" s="24"/>
      <c r="AH164" s="24"/>
      <c r="AI164" s="24"/>
    </row>
    <row r="165" spans="1:35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 t="str">
        <f>IFERROR(IF(ISBLANK(U165),"",INDEX(Gen_Vessels!$A$3:$C$495,MATCH(InspectionSite!$U165,Gen_Vessels!$C$3:$C$495,0),1)),"")</f>
        <v/>
      </c>
      <c r="W165" s="24"/>
      <c r="X165" s="24"/>
      <c r="Y165" s="24"/>
      <c r="Z165" s="24"/>
      <c r="AA165" s="24"/>
      <c r="AC165" s="24"/>
      <c r="AD165" s="47"/>
      <c r="AE165" s="24"/>
      <c r="AF165" s="24"/>
      <c r="AG165" s="24"/>
      <c r="AH165" s="24"/>
      <c r="AI165" s="24"/>
    </row>
    <row r="166" spans="1:35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 t="str">
        <f>IFERROR(IF(ISBLANK(U166),"",INDEX(Gen_Vessels!$A$3:$C$495,MATCH(InspectionSite!$U166,Gen_Vessels!$C$3:$C$495,0),1)),"")</f>
        <v/>
      </c>
      <c r="W166" s="24"/>
      <c r="X166" s="24"/>
      <c r="Y166" s="24"/>
      <c r="Z166" s="24"/>
      <c r="AA166" s="24"/>
      <c r="AC166" s="24"/>
      <c r="AD166" s="47"/>
      <c r="AE166" s="24"/>
      <c r="AF166" s="24"/>
      <c r="AG166" s="24"/>
      <c r="AH166" s="24"/>
      <c r="AI166" s="24"/>
    </row>
    <row r="167" spans="1:35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 t="str">
        <f>IFERROR(IF(ISBLANK(U167),"",INDEX(Gen_Vessels!$A$3:$C$495,MATCH(InspectionSite!$U167,Gen_Vessels!$C$3:$C$495,0),1)),"")</f>
        <v/>
      </c>
      <c r="W167" s="24"/>
      <c r="X167" s="24"/>
      <c r="Y167" s="24"/>
      <c r="Z167" s="24"/>
      <c r="AA167" s="24"/>
      <c r="AC167" s="24"/>
      <c r="AD167" s="47"/>
      <c r="AE167" s="24"/>
      <c r="AF167" s="24"/>
      <c r="AG167" s="24"/>
      <c r="AH167" s="24"/>
      <c r="AI167" s="24"/>
    </row>
    <row r="168" spans="1:35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 t="str">
        <f>IFERROR(IF(ISBLANK(U168),"",INDEX(Gen_Vessels!$A$3:$C$495,MATCH(InspectionSite!$U168,Gen_Vessels!$C$3:$C$495,0),1)),"")</f>
        <v/>
      </c>
      <c r="W168" s="24"/>
      <c r="X168" s="24"/>
      <c r="Y168" s="24"/>
      <c r="Z168" s="24"/>
      <c r="AA168" s="24"/>
      <c r="AC168" s="24"/>
      <c r="AD168" s="47"/>
      <c r="AE168" s="24"/>
      <c r="AF168" s="24"/>
      <c r="AG168" s="24"/>
      <c r="AH168" s="24"/>
      <c r="AI168" s="24"/>
    </row>
    <row r="169" spans="1:35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 t="str">
        <f>IFERROR(IF(ISBLANK(U169),"",INDEX(Gen_Vessels!$A$3:$C$495,MATCH(InspectionSite!$U169,Gen_Vessels!$C$3:$C$495,0),1)),"")</f>
        <v/>
      </c>
      <c r="W169" s="24"/>
      <c r="X169" s="24"/>
      <c r="Y169" s="24"/>
      <c r="Z169" s="24"/>
      <c r="AA169" s="24"/>
      <c r="AC169" s="24"/>
      <c r="AD169" s="47"/>
      <c r="AE169" s="24"/>
      <c r="AF169" s="24"/>
      <c r="AG169" s="24"/>
      <c r="AH169" s="24"/>
      <c r="AI169" s="24"/>
    </row>
    <row r="170" spans="1:35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 t="str">
        <f>IFERROR(IF(ISBLANK(U170),"",INDEX(Gen_Vessels!$A$3:$C$495,MATCH(InspectionSite!$U170,Gen_Vessels!$C$3:$C$495,0),1)),"")</f>
        <v/>
      </c>
      <c r="W170" s="24"/>
      <c r="X170" s="24"/>
      <c r="Y170" s="24"/>
      <c r="Z170" s="24"/>
      <c r="AA170" s="24"/>
      <c r="AC170" s="24"/>
      <c r="AD170" s="47"/>
      <c r="AE170" s="24"/>
      <c r="AF170" s="24"/>
      <c r="AG170" s="24"/>
      <c r="AH170" s="24"/>
      <c r="AI170" s="24"/>
    </row>
    <row r="171" spans="1:35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 t="str">
        <f>IFERROR(IF(ISBLANK(U171),"",INDEX(Gen_Vessels!$A$3:$C$495,MATCH(InspectionSite!$U171,Gen_Vessels!$C$3:$C$495,0),1)),"")</f>
        <v/>
      </c>
      <c r="W171" s="24"/>
      <c r="X171" s="24"/>
      <c r="Y171" s="24"/>
      <c r="Z171" s="24"/>
      <c r="AA171" s="24"/>
      <c r="AC171" s="24"/>
      <c r="AD171" s="47"/>
      <c r="AE171" s="24"/>
      <c r="AF171" s="24"/>
      <c r="AG171" s="24"/>
      <c r="AH171" s="24"/>
      <c r="AI171" s="24"/>
    </row>
    <row r="172" spans="1:35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 t="str">
        <f>IFERROR(IF(ISBLANK(U172),"",INDEX(Gen_Vessels!$A$3:$C$495,MATCH(InspectionSite!$U172,Gen_Vessels!$C$3:$C$495,0),1)),"")</f>
        <v/>
      </c>
      <c r="W172" s="24"/>
      <c r="X172" s="24"/>
      <c r="Y172" s="24"/>
      <c r="Z172" s="24"/>
      <c r="AA172" s="24"/>
      <c r="AC172" s="24"/>
      <c r="AD172" s="47"/>
      <c r="AE172" s="24"/>
      <c r="AF172" s="24"/>
      <c r="AG172" s="24"/>
      <c r="AH172" s="24"/>
      <c r="AI172" s="24"/>
    </row>
    <row r="173" spans="1:35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 t="str">
        <f>IFERROR(IF(ISBLANK(U173),"",INDEX(Gen_Vessels!$A$3:$C$495,MATCH(InspectionSite!$U173,Gen_Vessels!$C$3:$C$495,0),1)),"")</f>
        <v/>
      </c>
      <c r="W173" s="24"/>
      <c r="X173" s="24"/>
      <c r="Y173" s="24"/>
      <c r="Z173" s="24"/>
      <c r="AA173" s="24"/>
      <c r="AC173" s="24"/>
      <c r="AD173" s="47"/>
      <c r="AE173" s="24"/>
      <c r="AF173" s="24"/>
      <c r="AG173" s="24"/>
      <c r="AH173" s="24"/>
      <c r="AI173" s="24"/>
    </row>
    <row r="174" spans="1:35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 t="str">
        <f>IFERROR(IF(ISBLANK(U174),"",INDEX(Gen_Vessels!$A$3:$C$495,MATCH(InspectionSite!$U174,Gen_Vessels!$C$3:$C$495,0),1)),"")</f>
        <v/>
      </c>
      <c r="W174" s="24"/>
      <c r="X174" s="24"/>
      <c r="Y174" s="24"/>
      <c r="Z174" s="24"/>
      <c r="AA174" s="24"/>
      <c r="AC174" s="24"/>
      <c r="AD174" s="47"/>
      <c r="AE174" s="24"/>
      <c r="AF174" s="24"/>
      <c r="AG174" s="24"/>
      <c r="AH174" s="24"/>
      <c r="AI174" s="24"/>
    </row>
    <row r="175" spans="1:35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 t="str">
        <f>IFERROR(IF(ISBLANK(U175),"",INDEX(Gen_Vessels!$A$3:$C$495,MATCH(InspectionSite!$U175,Gen_Vessels!$C$3:$C$495,0),1)),"")</f>
        <v/>
      </c>
      <c r="W175" s="24"/>
      <c r="X175" s="24"/>
      <c r="Y175" s="24"/>
      <c r="Z175" s="24"/>
      <c r="AA175" s="24"/>
      <c r="AC175" s="24"/>
      <c r="AD175" s="47"/>
      <c r="AE175" s="24"/>
      <c r="AF175" s="24"/>
      <c r="AG175" s="24"/>
      <c r="AH175" s="24"/>
      <c r="AI175" s="24"/>
    </row>
    <row r="176" spans="1:35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 t="str">
        <f>IFERROR(IF(ISBLANK(U176),"",INDEX(Gen_Vessels!$A$3:$C$495,MATCH(InspectionSite!$U176,Gen_Vessels!$C$3:$C$495,0),1)),"")</f>
        <v/>
      </c>
      <c r="W176" s="24"/>
      <c r="X176" s="24"/>
      <c r="Y176" s="24"/>
      <c r="Z176" s="24"/>
      <c r="AA176" s="24"/>
      <c r="AC176" s="24"/>
      <c r="AD176" s="47"/>
      <c r="AE176" s="24"/>
      <c r="AF176" s="24"/>
      <c r="AG176" s="24"/>
      <c r="AH176" s="24"/>
      <c r="AI176" s="24"/>
    </row>
    <row r="177" spans="1:35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 t="str">
        <f>IFERROR(IF(ISBLANK(U177),"",INDEX(Gen_Vessels!$A$3:$C$495,MATCH(InspectionSite!$U177,Gen_Vessels!$C$3:$C$495,0),1)),"")</f>
        <v/>
      </c>
      <c r="W177" s="24"/>
      <c r="X177" s="24"/>
      <c r="Y177" s="24"/>
      <c r="Z177" s="24"/>
      <c r="AA177" s="24"/>
      <c r="AC177" s="24"/>
      <c r="AD177" s="47"/>
      <c r="AE177" s="24"/>
      <c r="AF177" s="24"/>
      <c r="AG177" s="24"/>
      <c r="AH177" s="24"/>
      <c r="AI177" s="24"/>
    </row>
    <row r="178" spans="1:35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 t="str">
        <f>IFERROR(IF(ISBLANK(U178),"",INDEX(Gen_Vessels!$A$3:$C$495,MATCH(InspectionSite!$U178,Gen_Vessels!$C$3:$C$495,0),1)),"")</f>
        <v/>
      </c>
      <c r="W178" s="24"/>
      <c r="X178" s="24"/>
      <c r="Y178" s="24"/>
      <c r="Z178" s="24"/>
      <c r="AA178" s="24"/>
      <c r="AC178" s="24"/>
      <c r="AD178" s="47"/>
      <c r="AE178" s="24"/>
      <c r="AF178" s="24"/>
      <c r="AG178" s="24"/>
      <c r="AH178" s="24"/>
      <c r="AI178" s="24"/>
    </row>
    <row r="179" spans="1:35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 t="str">
        <f>IFERROR(IF(ISBLANK(U179),"",INDEX(Gen_Vessels!$A$3:$C$495,MATCH(InspectionSite!$U179,Gen_Vessels!$C$3:$C$495,0),1)),"")</f>
        <v/>
      </c>
      <c r="W179" s="24"/>
      <c r="X179" s="24"/>
      <c r="Y179" s="24"/>
      <c r="Z179" s="24"/>
      <c r="AA179" s="24"/>
      <c r="AC179" s="24"/>
      <c r="AD179" s="47"/>
      <c r="AE179" s="24"/>
      <c r="AF179" s="24"/>
      <c r="AG179" s="24"/>
      <c r="AH179" s="24"/>
      <c r="AI179" s="24"/>
    </row>
    <row r="180" spans="1:35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 t="str">
        <f>IFERROR(IF(ISBLANK(U180),"",INDEX(Gen_Vessels!$A$3:$C$495,MATCH(InspectionSite!$U180,Gen_Vessels!$C$3:$C$495,0),1)),"")</f>
        <v/>
      </c>
      <c r="W180" s="24"/>
      <c r="X180" s="24"/>
      <c r="Y180" s="24"/>
      <c r="Z180" s="24"/>
      <c r="AA180" s="24"/>
      <c r="AC180" s="24"/>
      <c r="AD180" s="47"/>
      <c r="AE180" s="24"/>
      <c r="AF180" s="24"/>
      <c r="AG180" s="24"/>
      <c r="AH180" s="24"/>
      <c r="AI180" s="24"/>
    </row>
    <row r="181" spans="1:35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 t="str">
        <f>IFERROR(IF(ISBLANK(U181),"",INDEX(Gen_Vessels!$A$3:$C$495,MATCH(InspectionSite!$U181,Gen_Vessels!$C$3:$C$495,0),1)),"")</f>
        <v/>
      </c>
      <c r="W181" s="24"/>
      <c r="X181" s="24"/>
      <c r="Y181" s="24"/>
      <c r="Z181" s="24"/>
      <c r="AA181" s="24"/>
      <c r="AC181" s="24"/>
      <c r="AD181" s="47"/>
      <c r="AE181" s="24"/>
      <c r="AF181" s="24"/>
      <c r="AG181" s="24"/>
      <c r="AH181" s="24"/>
      <c r="AI181" s="24"/>
    </row>
    <row r="182" spans="1:35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 t="str">
        <f>IFERROR(IF(ISBLANK(U182),"",INDEX(Gen_Vessels!$A$3:$C$495,MATCH(InspectionSite!$U182,Gen_Vessels!$C$3:$C$495,0),1)),"")</f>
        <v/>
      </c>
      <c r="W182" s="24"/>
      <c r="X182" s="24"/>
      <c r="Y182" s="24"/>
      <c r="Z182" s="24"/>
      <c r="AA182" s="24"/>
      <c r="AC182" s="24"/>
      <c r="AD182" s="47"/>
      <c r="AE182" s="24"/>
      <c r="AF182" s="24"/>
      <c r="AG182" s="24"/>
      <c r="AH182" s="24"/>
      <c r="AI182" s="24"/>
    </row>
    <row r="183" spans="1:35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 t="str">
        <f>IFERROR(IF(ISBLANK(U183),"",INDEX(Gen_Vessels!$A$3:$C$495,MATCH(InspectionSite!$U183,Gen_Vessels!$C$3:$C$495,0),1)),"")</f>
        <v/>
      </c>
      <c r="W183" s="24"/>
      <c r="X183" s="24"/>
      <c r="Y183" s="24"/>
      <c r="Z183" s="24"/>
      <c r="AA183" s="24"/>
      <c r="AC183" s="24"/>
      <c r="AD183" s="47"/>
      <c r="AE183" s="24"/>
      <c r="AF183" s="24"/>
      <c r="AG183" s="24"/>
      <c r="AH183" s="24"/>
      <c r="AI183" s="24"/>
    </row>
    <row r="184" spans="1:35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 t="str">
        <f>IFERROR(IF(ISBLANK(U184),"",INDEX(Gen_Vessels!$A$3:$C$495,MATCH(InspectionSite!$U184,Gen_Vessels!$C$3:$C$495,0),1)),"")</f>
        <v/>
      </c>
      <c r="W184" s="24"/>
      <c r="X184" s="24"/>
      <c r="Y184" s="24"/>
      <c r="Z184" s="24"/>
      <c r="AA184" s="24"/>
      <c r="AC184" s="24"/>
      <c r="AD184" s="47"/>
      <c r="AE184" s="24"/>
      <c r="AF184" s="24"/>
      <c r="AG184" s="24"/>
      <c r="AH184" s="24"/>
      <c r="AI184" s="24"/>
    </row>
    <row r="185" spans="1:35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 t="str">
        <f>IFERROR(IF(ISBLANK(U185),"",INDEX(Gen_Vessels!$A$3:$C$495,MATCH(InspectionSite!$U185,Gen_Vessels!$C$3:$C$495,0),1)),"")</f>
        <v/>
      </c>
      <c r="W185" s="24"/>
      <c r="X185" s="24"/>
      <c r="Y185" s="24"/>
      <c r="Z185" s="24"/>
      <c r="AA185" s="24"/>
      <c r="AC185" s="24"/>
      <c r="AD185" s="47"/>
      <c r="AE185" s="24"/>
      <c r="AF185" s="24"/>
      <c r="AG185" s="24"/>
      <c r="AH185" s="24"/>
      <c r="AI185" s="24"/>
    </row>
    <row r="186" spans="1:35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 t="str">
        <f>IFERROR(IF(ISBLANK(U186),"",INDEX(Gen_Vessels!$A$3:$C$495,MATCH(InspectionSite!$U186,Gen_Vessels!$C$3:$C$495,0),1)),"")</f>
        <v/>
      </c>
      <c r="W186" s="24"/>
      <c r="X186" s="24"/>
      <c r="Y186" s="24"/>
      <c r="Z186" s="24"/>
      <c r="AA186" s="24"/>
      <c r="AC186" s="24"/>
      <c r="AD186" s="47"/>
      <c r="AE186" s="24"/>
      <c r="AF186" s="24"/>
      <c r="AG186" s="24"/>
      <c r="AH186" s="24"/>
      <c r="AI186" s="24"/>
    </row>
    <row r="187" spans="1:35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 t="str">
        <f>IFERROR(IF(ISBLANK(U187),"",INDEX(Gen_Vessels!$A$3:$C$495,MATCH(InspectionSite!$U187,Gen_Vessels!$C$3:$C$495,0),1)),"")</f>
        <v/>
      </c>
      <c r="W187" s="24"/>
      <c r="X187" s="24"/>
      <c r="Y187" s="24"/>
      <c r="Z187" s="24"/>
      <c r="AA187" s="24"/>
      <c r="AC187" s="24"/>
      <c r="AD187" s="47"/>
      <c r="AE187" s="24"/>
      <c r="AF187" s="24"/>
      <c r="AG187" s="24"/>
      <c r="AH187" s="24"/>
      <c r="AI187" s="24"/>
    </row>
    <row r="188" spans="1:35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 t="str">
        <f>IFERROR(IF(ISBLANK(U188),"",INDEX(Gen_Vessels!$A$3:$C$495,MATCH(InspectionSite!$U188,Gen_Vessels!$C$3:$C$495,0),1)),"")</f>
        <v/>
      </c>
      <c r="W188" s="24"/>
      <c r="X188" s="24"/>
      <c r="Y188" s="24"/>
      <c r="Z188" s="24"/>
      <c r="AA188" s="24"/>
      <c r="AC188" s="24"/>
      <c r="AD188" s="47"/>
      <c r="AE188" s="24"/>
      <c r="AF188" s="24"/>
      <c r="AG188" s="24"/>
      <c r="AH188" s="24"/>
      <c r="AI188" s="24"/>
    </row>
    <row r="189" spans="1:35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 t="str">
        <f>IFERROR(IF(ISBLANK(U189),"",INDEX(Gen_Vessels!$A$3:$C$495,MATCH(InspectionSite!$U189,Gen_Vessels!$C$3:$C$495,0),1)),"")</f>
        <v/>
      </c>
      <c r="W189" s="24"/>
      <c r="X189" s="24"/>
      <c r="Y189" s="24"/>
      <c r="Z189" s="24"/>
      <c r="AA189" s="24"/>
      <c r="AC189" s="24"/>
      <c r="AD189" s="47"/>
      <c r="AE189" s="24"/>
      <c r="AF189" s="24"/>
      <c r="AG189" s="24"/>
      <c r="AH189" s="24"/>
      <c r="AI189" s="24"/>
    </row>
    <row r="190" spans="1:35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 t="str">
        <f>IFERROR(IF(ISBLANK(U190),"",INDEX(Gen_Vessels!$A$3:$C$495,MATCH(InspectionSite!$U190,Gen_Vessels!$C$3:$C$495,0),1)),"")</f>
        <v/>
      </c>
      <c r="W190" s="24"/>
      <c r="X190" s="24"/>
      <c r="Y190" s="24"/>
      <c r="Z190" s="24"/>
      <c r="AA190" s="24"/>
      <c r="AC190" s="24"/>
      <c r="AD190" s="47"/>
      <c r="AE190" s="24"/>
      <c r="AF190" s="24"/>
      <c r="AG190" s="24"/>
      <c r="AH190" s="24"/>
      <c r="AI190" s="24"/>
    </row>
    <row r="191" spans="1:35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 t="str">
        <f>IFERROR(IF(ISBLANK(U191),"",INDEX(Gen_Vessels!$A$3:$C$495,MATCH(InspectionSite!$U191,Gen_Vessels!$C$3:$C$495,0),1)),"")</f>
        <v/>
      </c>
      <c r="W191" s="24"/>
      <c r="X191" s="24"/>
      <c r="Y191" s="24"/>
      <c r="Z191" s="24"/>
      <c r="AA191" s="24"/>
      <c r="AC191" s="24"/>
      <c r="AD191" s="47"/>
      <c r="AE191" s="24"/>
      <c r="AF191" s="24"/>
      <c r="AG191" s="24"/>
      <c r="AH191" s="24"/>
      <c r="AI191" s="24"/>
    </row>
    <row r="192" spans="1:35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 t="str">
        <f>IFERROR(IF(ISBLANK(U192),"",INDEX(Gen_Vessels!$A$3:$C$495,MATCH(InspectionSite!$U192,Gen_Vessels!$C$3:$C$495,0),1)),"")</f>
        <v/>
      </c>
      <c r="W192" s="24"/>
      <c r="X192" s="24"/>
      <c r="Y192" s="24"/>
      <c r="Z192" s="24"/>
      <c r="AA192" s="24"/>
      <c r="AC192" s="24"/>
      <c r="AD192" s="47"/>
      <c r="AE192" s="24"/>
      <c r="AF192" s="24"/>
      <c r="AG192" s="24"/>
      <c r="AH192" s="24"/>
      <c r="AI192" s="24"/>
    </row>
    <row r="193" spans="1:35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 t="str">
        <f>IFERROR(IF(ISBLANK(U193),"",INDEX(Gen_Vessels!$A$3:$C$495,MATCH(InspectionSite!$U193,Gen_Vessels!$C$3:$C$495,0),1)),"")</f>
        <v/>
      </c>
      <c r="W193" s="24"/>
      <c r="X193" s="24"/>
      <c r="Y193" s="24"/>
      <c r="Z193" s="24"/>
      <c r="AA193" s="24"/>
      <c r="AC193" s="24"/>
      <c r="AD193" s="47"/>
      <c r="AE193" s="24"/>
      <c r="AF193" s="24"/>
      <c r="AG193" s="24"/>
      <c r="AH193" s="24"/>
      <c r="AI193" s="24"/>
    </row>
    <row r="194" spans="1:35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 t="str">
        <f>IFERROR(IF(ISBLANK(U194),"",INDEX(Gen_Vessels!$A$3:$C$495,MATCH(InspectionSite!$U194,Gen_Vessels!$C$3:$C$495,0),1)),"")</f>
        <v/>
      </c>
      <c r="W194" s="24"/>
      <c r="X194" s="24"/>
      <c r="Y194" s="24"/>
      <c r="Z194" s="24"/>
      <c r="AA194" s="24"/>
      <c r="AC194" s="24"/>
      <c r="AD194" s="47"/>
      <c r="AE194" s="24"/>
      <c r="AF194" s="24"/>
      <c r="AG194" s="24"/>
      <c r="AH194" s="24"/>
      <c r="AI194" s="24"/>
    </row>
    <row r="195" spans="1:35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 t="str">
        <f>IFERROR(IF(ISBLANK(U195),"",INDEX(Gen_Vessels!$A$3:$C$495,MATCH(InspectionSite!$U195,Gen_Vessels!$C$3:$C$495,0),1)),"")</f>
        <v/>
      </c>
      <c r="W195" s="24"/>
      <c r="X195" s="24"/>
      <c r="Y195" s="24"/>
      <c r="Z195" s="24"/>
      <c r="AA195" s="24"/>
      <c r="AC195" s="24"/>
      <c r="AD195" s="47"/>
      <c r="AE195" s="24"/>
      <c r="AF195" s="24"/>
      <c r="AG195" s="24"/>
      <c r="AH195" s="24"/>
      <c r="AI195" s="24"/>
    </row>
    <row r="196" spans="1:35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 t="str">
        <f>IFERROR(IF(ISBLANK(U196),"",INDEX(Gen_Vessels!$A$3:$C$495,MATCH(InspectionSite!$U196,Gen_Vessels!$C$3:$C$495,0),1)),"")</f>
        <v/>
      </c>
      <c r="W196" s="24"/>
      <c r="X196" s="24"/>
      <c r="Y196" s="24"/>
      <c r="Z196" s="24"/>
      <c r="AA196" s="24"/>
      <c r="AC196" s="24"/>
      <c r="AD196" s="47"/>
      <c r="AE196" s="24"/>
      <c r="AF196" s="24"/>
      <c r="AG196" s="24"/>
      <c r="AH196" s="24"/>
      <c r="AI196" s="24"/>
    </row>
    <row r="197" spans="1:35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 t="str">
        <f>IFERROR(IF(ISBLANK(U197),"",INDEX(Gen_Vessels!$A$3:$C$495,MATCH(InspectionSite!$U197,Gen_Vessels!$C$3:$C$495,0),1)),"")</f>
        <v/>
      </c>
      <c r="W197" s="24"/>
      <c r="X197" s="24"/>
      <c r="Y197" s="24"/>
      <c r="Z197" s="24"/>
      <c r="AA197" s="24"/>
      <c r="AC197" s="24"/>
      <c r="AD197" s="47"/>
      <c r="AE197" s="24"/>
      <c r="AF197" s="24"/>
      <c r="AG197" s="24"/>
      <c r="AH197" s="24"/>
      <c r="AI197" s="24"/>
    </row>
    <row r="198" spans="1:35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 t="str">
        <f>IFERROR(IF(ISBLANK(U198),"",INDEX(Gen_Vessels!$A$3:$C$495,MATCH(InspectionSite!$U198,Gen_Vessels!$C$3:$C$495,0),1)),"")</f>
        <v/>
      </c>
      <c r="W198" s="24"/>
      <c r="X198" s="24"/>
      <c r="Y198" s="24"/>
      <c r="Z198" s="24"/>
      <c r="AA198" s="24"/>
      <c r="AC198" s="24"/>
      <c r="AD198" s="47"/>
      <c r="AE198" s="24"/>
      <c r="AF198" s="24"/>
      <c r="AG198" s="24"/>
      <c r="AH198" s="24"/>
      <c r="AI198" s="24"/>
    </row>
    <row r="199" spans="1:35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 t="str">
        <f>IFERROR(IF(ISBLANK(U199),"",INDEX(Gen_Vessels!$A$3:$C$495,MATCH(InspectionSite!$U199,Gen_Vessels!$C$3:$C$495,0),1)),"")</f>
        <v/>
      </c>
      <c r="W199" s="24"/>
      <c r="X199" s="24"/>
      <c r="Y199" s="24"/>
      <c r="Z199" s="24"/>
      <c r="AA199" s="24"/>
      <c r="AC199" s="24"/>
      <c r="AD199" s="47"/>
      <c r="AE199" s="24"/>
      <c r="AF199" s="24"/>
      <c r="AG199" s="24"/>
      <c r="AH199" s="24"/>
      <c r="AI199" s="24"/>
    </row>
    <row r="200" spans="1:35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 t="str">
        <f>IFERROR(IF(ISBLANK(U200),"",INDEX(Gen_Vessels!$A$3:$C$495,MATCH(InspectionSite!$U200,Gen_Vessels!$C$3:$C$495,0),1)),"")</f>
        <v/>
      </c>
      <c r="W200" s="24"/>
      <c r="X200" s="24"/>
      <c r="Y200" s="24"/>
      <c r="Z200" s="24"/>
      <c r="AA200" s="24"/>
      <c r="AC200" s="24"/>
      <c r="AD200" s="47"/>
      <c r="AE200" s="24"/>
      <c r="AF200" s="24"/>
      <c r="AG200" s="24"/>
      <c r="AH200" s="24"/>
      <c r="AI200" s="24"/>
    </row>
    <row r="201" spans="1:35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 t="str">
        <f>IFERROR(IF(ISBLANK(U201),"",INDEX(Gen_Vessels!$A$3:$C$495,MATCH(InspectionSite!$U201,Gen_Vessels!$C$3:$C$495,0),1)),"")</f>
        <v/>
      </c>
      <c r="W201" s="24"/>
      <c r="X201" s="24"/>
      <c r="Y201" s="24"/>
      <c r="Z201" s="24"/>
      <c r="AA201" s="24"/>
      <c r="AC201" s="24"/>
      <c r="AD201" s="47"/>
      <c r="AE201" s="24"/>
      <c r="AF201" s="24"/>
      <c r="AG201" s="24"/>
      <c r="AH201" s="24"/>
      <c r="AI201" s="24"/>
    </row>
    <row r="202" spans="1:35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 t="str">
        <f>IFERROR(IF(ISBLANK(U202),"",INDEX(Gen_Vessels!$A$3:$C$495,MATCH(InspectionSite!$U202,Gen_Vessels!$C$3:$C$495,0),1)),"")</f>
        <v/>
      </c>
      <c r="W202" s="24"/>
      <c r="X202" s="24"/>
      <c r="Y202" s="24"/>
      <c r="Z202" s="24"/>
      <c r="AA202" s="24"/>
      <c r="AC202" s="24"/>
      <c r="AD202" s="47"/>
      <c r="AE202" s="24"/>
      <c r="AF202" s="24"/>
      <c r="AG202" s="24"/>
      <c r="AH202" s="24"/>
      <c r="AI202" s="24"/>
    </row>
    <row r="203" spans="1:35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 t="str">
        <f>IFERROR(IF(ISBLANK(U203),"",INDEX(Gen_Vessels!$A$3:$C$495,MATCH(InspectionSite!$U203,Gen_Vessels!$C$3:$C$495,0),1)),"")</f>
        <v/>
      </c>
      <c r="W203" s="24"/>
      <c r="X203" s="24"/>
      <c r="Y203" s="24"/>
      <c r="Z203" s="24"/>
      <c r="AA203" s="24"/>
      <c r="AC203" s="24"/>
      <c r="AD203" s="47"/>
      <c r="AE203" s="24"/>
      <c r="AF203" s="24"/>
      <c r="AG203" s="24"/>
      <c r="AH203" s="24"/>
      <c r="AI203" s="24"/>
    </row>
    <row r="204" spans="1:35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 t="str">
        <f>IFERROR(IF(ISBLANK(U204),"",INDEX(Gen_Vessels!$A$3:$C$495,MATCH(InspectionSite!$U204,Gen_Vessels!$C$3:$C$495,0),1)),"")</f>
        <v/>
      </c>
      <c r="W204" s="24"/>
      <c r="X204" s="24"/>
      <c r="Y204" s="24"/>
      <c r="Z204" s="24"/>
      <c r="AA204" s="24"/>
      <c r="AC204" s="24"/>
      <c r="AD204" s="47"/>
      <c r="AE204" s="24"/>
      <c r="AF204" s="24"/>
      <c r="AG204" s="24"/>
      <c r="AH204" s="24"/>
      <c r="AI204" s="24"/>
    </row>
    <row r="205" spans="1:35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 t="str">
        <f>IFERROR(IF(ISBLANK(U205),"",INDEX(Gen_Vessels!$A$3:$C$495,MATCH(InspectionSite!$U205,Gen_Vessels!$C$3:$C$495,0),1)),"")</f>
        <v/>
      </c>
      <c r="W205" s="24"/>
      <c r="X205" s="24"/>
      <c r="Y205" s="24"/>
      <c r="Z205" s="24"/>
      <c r="AA205" s="24"/>
      <c r="AC205" s="24"/>
      <c r="AD205" s="47"/>
      <c r="AE205" s="24"/>
      <c r="AF205" s="24"/>
      <c r="AG205" s="24"/>
      <c r="AH205" s="24"/>
      <c r="AI205" s="24"/>
    </row>
    <row r="206" spans="1:35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 t="str">
        <f>IFERROR(IF(ISBLANK(U206),"",INDEX(Gen_Vessels!$A$3:$C$495,MATCH(InspectionSite!$U206,Gen_Vessels!$C$3:$C$495,0),1)),"")</f>
        <v/>
      </c>
      <c r="W206" s="24"/>
      <c r="X206" s="24"/>
      <c r="Y206" s="24"/>
      <c r="Z206" s="24"/>
      <c r="AA206" s="24"/>
      <c r="AC206" s="24"/>
      <c r="AD206" s="47"/>
      <c r="AE206" s="24"/>
      <c r="AF206" s="24"/>
      <c r="AG206" s="24"/>
      <c r="AH206" s="24"/>
      <c r="AI206" s="24"/>
    </row>
    <row r="207" spans="1:35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 t="str">
        <f>IFERROR(IF(ISBLANK(U207),"",INDEX(Gen_Vessels!$A$3:$C$495,MATCH(InspectionSite!$U207,Gen_Vessels!$C$3:$C$495,0),1)),"")</f>
        <v/>
      </c>
      <c r="W207" s="24"/>
      <c r="X207" s="24"/>
      <c r="Y207" s="24"/>
      <c r="Z207" s="24"/>
      <c r="AA207" s="24"/>
      <c r="AC207" s="24"/>
      <c r="AD207" s="47"/>
      <c r="AE207" s="24"/>
      <c r="AF207" s="24"/>
      <c r="AG207" s="24"/>
      <c r="AH207" s="24"/>
      <c r="AI207" s="24"/>
    </row>
    <row r="208" spans="1:35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 t="str">
        <f>IFERROR(IF(ISBLANK(U208),"",INDEX(Gen_Vessels!$A$3:$C$495,MATCH(InspectionSite!$U208,Gen_Vessels!$C$3:$C$495,0),1)),"")</f>
        <v/>
      </c>
      <c r="W208" s="24"/>
      <c r="X208" s="24"/>
      <c r="Y208" s="24"/>
      <c r="Z208" s="24"/>
      <c r="AA208" s="24"/>
      <c r="AC208" s="24"/>
      <c r="AD208" s="47"/>
      <c r="AE208" s="24"/>
      <c r="AF208" s="24"/>
      <c r="AG208" s="24"/>
      <c r="AH208" s="24"/>
      <c r="AI208" s="24"/>
    </row>
    <row r="209" spans="1:35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 t="str">
        <f>IFERROR(IF(ISBLANK(U209),"",INDEX(Gen_Vessels!$A$3:$C$495,MATCH(InspectionSite!$U209,Gen_Vessels!$C$3:$C$495,0),1)),"")</f>
        <v/>
      </c>
      <c r="W209" s="24"/>
      <c r="X209" s="24"/>
      <c r="Y209" s="24"/>
      <c r="Z209" s="24"/>
      <c r="AA209" s="24"/>
      <c r="AC209" s="24"/>
      <c r="AD209" s="47"/>
      <c r="AE209" s="24"/>
      <c r="AF209" s="24"/>
      <c r="AG209" s="24"/>
      <c r="AH209" s="24"/>
      <c r="AI209" s="24"/>
    </row>
    <row r="210" spans="1:35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 t="str">
        <f>IFERROR(IF(ISBLANK(U210),"",INDEX(Gen_Vessels!$A$3:$C$495,MATCH(InspectionSite!$U210,Gen_Vessels!$C$3:$C$495,0),1)),"")</f>
        <v/>
      </c>
      <c r="W210" s="24"/>
      <c r="X210" s="24"/>
      <c r="Y210" s="24"/>
      <c r="Z210" s="24"/>
      <c r="AA210" s="24"/>
      <c r="AC210" s="24"/>
      <c r="AD210" s="47"/>
      <c r="AE210" s="24"/>
      <c r="AF210" s="24"/>
      <c r="AG210" s="24"/>
      <c r="AH210" s="24"/>
      <c r="AI210" s="24"/>
    </row>
    <row r="211" spans="1:35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 t="str">
        <f>IFERROR(IF(ISBLANK(U211),"",INDEX(Gen_Vessels!$A$3:$C$495,MATCH(InspectionSite!$U211,Gen_Vessels!$C$3:$C$495,0),1)),"")</f>
        <v/>
      </c>
      <c r="W211" s="24"/>
      <c r="X211" s="24"/>
      <c r="Y211" s="24"/>
      <c r="Z211" s="24"/>
      <c r="AA211" s="24"/>
      <c r="AC211" s="24"/>
      <c r="AD211" s="47"/>
      <c r="AE211" s="24"/>
      <c r="AF211" s="24"/>
      <c r="AG211" s="24"/>
      <c r="AH211" s="24"/>
      <c r="AI211" s="24"/>
    </row>
    <row r="212" spans="1:35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 t="str">
        <f>IFERROR(IF(ISBLANK(U212),"",INDEX(Gen_Vessels!$A$3:$C$495,MATCH(InspectionSite!$U212,Gen_Vessels!$C$3:$C$495,0),1)),"")</f>
        <v/>
      </c>
      <c r="W212" s="24"/>
      <c r="X212" s="24"/>
      <c r="Y212" s="24"/>
      <c r="Z212" s="24"/>
      <c r="AA212" s="24"/>
      <c r="AC212" s="24"/>
      <c r="AD212" s="47"/>
      <c r="AE212" s="24"/>
      <c r="AF212" s="24"/>
      <c r="AG212" s="24"/>
      <c r="AH212" s="24"/>
      <c r="AI212" s="24"/>
    </row>
    <row r="213" spans="1:35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 t="str">
        <f>IFERROR(IF(ISBLANK(U213),"",INDEX(Gen_Vessels!$A$3:$C$495,MATCH(InspectionSite!$U213,Gen_Vessels!$C$3:$C$495,0),1)),"")</f>
        <v/>
      </c>
      <c r="W213" s="24"/>
      <c r="X213" s="24"/>
      <c r="Y213" s="24"/>
      <c r="Z213" s="24"/>
      <c r="AA213" s="24"/>
      <c r="AC213" s="24"/>
      <c r="AD213" s="47"/>
      <c r="AE213" s="24"/>
      <c r="AF213" s="24"/>
      <c r="AG213" s="24"/>
      <c r="AH213" s="24"/>
      <c r="AI213" s="24"/>
    </row>
    <row r="214" spans="1:35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 t="str">
        <f>IFERROR(IF(ISBLANK(U214),"",INDEX(Gen_Vessels!$A$3:$C$495,MATCH(InspectionSite!$U214,Gen_Vessels!$C$3:$C$495,0),1)),"")</f>
        <v/>
      </c>
      <c r="W214" s="24"/>
      <c r="X214" s="24"/>
      <c r="Y214" s="24"/>
      <c r="Z214" s="24"/>
      <c r="AA214" s="24"/>
      <c r="AC214" s="24"/>
      <c r="AD214" s="47"/>
      <c r="AE214" s="24"/>
      <c r="AF214" s="24"/>
      <c r="AG214" s="24"/>
      <c r="AH214" s="24"/>
      <c r="AI214" s="24"/>
    </row>
    <row r="215" spans="1:35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 t="str">
        <f>IFERROR(IF(ISBLANK(U215),"",INDEX(Gen_Vessels!$A$3:$C$495,MATCH(InspectionSite!$U215,Gen_Vessels!$C$3:$C$495,0),1)),"")</f>
        <v/>
      </c>
      <c r="W215" s="24"/>
      <c r="X215" s="24"/>
      <c r="Y215" s="24"/>
      <c r="Z215" s="24"/>
      <c r="AA215" s="24"/>
      <c r="AC215" s="24"/>
      <c r="AD215" s="47"/>
      <c r="AE215" s="24"/>
      <c r="AF215" s="24"/>
      <c r="AG215" s="24"/>
      <c r="AH215" s="24"/>
      <c r="AI215" s="24"/>
    </row>
    <row r="216" spans="1:35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 t="str">
        <f>IFERROR(IF(ISBLANK(U216),"",INDEX(Gen_Vessels!$A$3:$C$495,MATCH(InspectionSite!$U216,Gen_Vessels!$C$3:$C$495,0),1)),"")</f>
        <v/>
      </c>
      <c r="W216" s="24"/>
      <c r="X216" s="24"/>
      <c r="Y216" s="24"/>
      <c r="Z216" s="24"/>
      <c r="AA216" s="24"/>
      <c r="AC216" s="24"/>
      <c r="AD216" s="47"/>
      <c r="AE216" s="24"/>
      <c r="AF216" s="24"/>
      <c r="AG216" s="24"/>
      <c r="AH216" s="24"/>
      <c r="AI216" s="24"/>
    </row>
    <row r="217" spans="1:35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 t="str">
        <f>IFERROR(IF(ISBLANK(U217),"",INDEX(Gen_Vessels!$A$3:$C$495,MATCH(InspectionSite!$U217,Gen_Vessels!$C$3:$C$495,0),1)),"")</f>
        <v/>
      </c>
      <c r="W217" s="24"/>
      <c r="X217" s="24"/>
      <c r="Y217" s="24"/>
      <c r="Z217" s="24"/>
      <c r="AA217" s="24"/>
      <c r="AC217" s="24"/>
      <c r="AD217" s="47"/>
      <c r="AE217" s="24"/>
      <c r="AF217" s="24"/>
      <c r="AG217" s="24"/>
      <c r="AH217" s="24"/>
      <c r="AI217" s="24"/>
    </row>
    <row r="218" spans="1:35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 t="str">
        <f>IFERROR(IF(ISBLANK(U218),"",INDEX(Gen_Vessels!$A$3:$C$495,MATCH(InspectionSite!$U218,Gen_Vessels!$C$3:$C$495,0),1)),"")</f>
        <v/>
      </c>
      <c r="W218" s="24"/>
      <c r="X218" s="24"/>
      <c r="Y218" s="24"/>
      <c r="Z218" s="24"/>
      <c r="AA218" s="24"/>
      <c r="AC218" s="24"/>
      <c r="AD218" s="47"/>
      <c r="AE218" s="24"/>
      <c r="AF218" s="24"/>
      <c r="AG218" s="24"/>
      <c r="AH218" s="24"/>
      <c r="AI218" s="24"/>
    </row>
    <row r="219" spans="1:35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 t="str">
        <f>IFERROR(IF(ISBLANK(U219),"",INDEX(Gen_Vessels!$A$3:$C$495,MATCH(InspectionSite!$U219,Gen_Vessels!$C$3:$C$495,0),1)),"")</f>
        <v/>
      </c>
      <c r="W219" s="24"/>
      <c r="X219" s="24"/>
      <c r="Y219" s="24"/>
      <c r="Z219" s="24"/>
      <c r="AA219" s="24"/>
      <c r="AC219" s="24"/>
      <c r="AD219" s="47"/>
      <c r="AE219" s="24"/>
      <c r="AF219" s="24"/>
      <c r="AG219" s="24"/>
      <c r="AH219" s="24"/>
      <c r="AI219" s="24"/>
    </row>
    <row r="220" spans="1:35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 t="str">
        <f>IFERROR(IF(ISBLANK(U220),"",INDEX(Gen_Vessels!$A$3:$C$495,MATCH(InspectionSite!$U220,Gen_Vessels!$C$3:$C$495,0),1)),"")</f>
        <v/>
      </c>
      <c r="W220" s="24"/>
      <c r="X220" s="24"/>
      <c r="Y220" s="24"/>
      <c r="Z220" s="24"/>
      <c r="AA220" s="24"/>
      <c r="AC220" s="24"/>
      <c r="AD220" s="47"/>
      <c r="AE220" s="24"/>
      <c r="AF220" s="24"/>
      <c r="AG220" s="24"/>
      <c r="AH220" s="24"/>
      <c r="AI220" s="24"/>
    </row>
    <row r="221" spans="1:35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 t="str">
        <f>IFERROR(IF(ISBLANK(U221),"",INDEX(Gen_Vessels!$A$3:$C$495,MATCH(InspectionSite!$U221,Gen_Vessels!$C$3:$C$495,0),1)),"")</f>
        <v/>
      </c>
      <c r="W221" s="24"/>
      <c r="X221" s="24"/>
      <c r="Y221" s="24"/>
      <c r="Z221" s="24"/>
      <c r="AA221" s="24"/>
      <c r="AC221" s="24"/>
      <c r="AD221" s="47"/>
      <c r="AE221" s="24"/>
      <c r="AF221" s="24"/>
      <c r="AG221" s="24"/>
      <c r="AH221" s="24"/>
      <c r="AI221" s="24"/>
    </row>
    <row r="222" spans="1:35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 t="str">
        <f>IFERROR(IF(ISBLANK(U222),"",INDEX(Gen_Vessels!$A$3:$C$495,MATCH(InspectionSite!$U222,Gen_Vessels!$C$3:$C$495,0),1)),"")</f>
        <v/>
      </c>
      <c r="W222" s="24"/>
      <c r="X222" s="24"/>
      <c r="Y222" s="24"/>
      <c r="Z222" s="24"/>
      <c r="AA222" s="24"/>
      <c r="AC222" s="24"/>
      <c r="AD222" s="47"/>
      <c r="AE222" s="24"/>
      <c r="AF222" s="24"/>
      <c r="AG222" s="24"/>
      <c r="AH222" s="24"/>
      <c r="AI222" s="24"/>
    </row>
    <row r="223" spans="1:35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 t="str">
        <f>IFERROR(IF(ISBLANK(U223),"",INDEX(Gen_Vessels!$A$3:$C$495,MATCH(InspectionSite!$U223,Gen_Vessels!$C$3:$C$495,0),1)),"")</f>
        <v/>
      </c>
      <c r="W223" s="24"/>
      <c r="X223" s="24"/>
      <c r="Y223" s="24"/>
      <c r="Z223" s="24"/>
      <c r="AA223" s="24"/>
      <c r="AC223" s="24"/>
      <c r="AD223" s="47"/>
      <c r="AE223" s="24"/>
      <c r="AF223" s="24"/>
      <c r="AG223" s="24"/>
      <c r="AH223" s="24"/>
      <c r="AI223" s="24"/>
    </row>
    <row r="224" spans="1:35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 t="str">
        <f>IFERROR(IF(ISBLANK(U224),"",INDEX(Gen_Vessels!$A$3:$C$495,MATCH(InspectionSite!$U224,Gen_Vessels!$C$3:$C$495,0),1)),"")</f>
        <v/>
      </c>
      <c r="W224" s="24"/>
      <c r="X224" s="24"/>
      <c r="Y224" s="24"/>
      <c r="Z224" s="24"/>
      <c r="AA224" s="24"/>
      <c r="AC224" s="24"/>
      <c r="AD224" s="47"/>
      <c r="AE224" s="24"/>
      <c r="AF224" s="24"/>
      <c r="AG224" s="24"/>
      <c r="AH224" s="24"/>
      <c r="AI224" s="24"/>
    </row>
    <row r="225" spans="1:35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 t="str">
        <f>IFERROR(IF(ISBLANK(U225),"",INDEX(Gen_Vessels!$A$3:$C$495,MATCH(InspectionSite!$U225,Gen_Vessels!$C$3:$C$495,0),1)),"")</f>
        <v/>
      </c>
      <c r="W225" s="24"/>
      <c r="X225" s="24"/>
      <c r="Y225" s="24"/>
      <c r="Z225" s="24"/>
      <c r="AA225" s="24"/>
      <c r="AC225" s="24"/>
      <c r="AD225" s="47"/>
      <c r="AE225" s="24"/>
      <c r="AF225" s="24"/>
      <c r="AG225" s="24"/>
      <c r="AH225" s="24"/>
      <c r="AI225" s="24"/>
    </row>
    <row r="226" spans="1:35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 t="str">
        <f>IFERROR(IF(ISBLANK(U226),"",INDEX(Gen_Vessels!$A$3:$C$495,MATCH(InspectionSite!$U226,Gen_Vessels!$C$3:$C$495,0),1)),"")</f>
        <v/>
      </c>
      <c r="W226" s="24"/>
      <c r="X226" s="24"/>
      <c r="Y226" s="24"/>
      <c r="Z226" s="24"/>
      <c r="AA226" s="24"/>
      <c r="AC226" s="24"/>
      <c r="AD226" s="47"/>
      <c r="AE226" s="24"/>
      <c r="AF226" s="24"/>
      <c r="AG226" s="24"/>
      <c r="AH226" s="24"/>
      <c r="AI226" s="24"/>
    </row>
    <row r="227" spans="1:35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 t="str">
        <f>IFERROR(IF(ISBLANK(U227),"",INDEX(Gen_Vessels!$A$3:$C$495,MATCH(InspectionSite!$U227,Gen_Vessels!$C$3:$C$495,0),1)),"")</f>
        <v/>
      </c>
      <c r="W227" s="24"/>
      <c r="X227" s="24"/>
      <c r="Y227" s="24"/>
      <c r="Z227" s="24"/>
      <c r="AA227" s="24"/>
      <c r="AC227" s="24"/>
      <c r="AD227" s="47"/>
      <c r="AE227" s="24"/>
      <c r="AF227" s="24"/>
      <c r="AG227" s="24"/>
      <c r="AH227" s="24"/>
      <c r="AI227" s="24"/>
    </row>
    <row r="228" spans="1:35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 t="str">
        <f>IFERROR(IF(ISBLANK(U228),"",INDEX(Gen_Vessels!$A$3:$C$495,MATCH(InspectionSite!$U228,Gen_Vessels!$C$3:$C$495,0),1)),"")</f>
        <v/>
      </c>
      <c r="W228" s="24"/>
      <c r="X228" s="24"/>
      <c r="Y228" s="24"/>
      <c r="Z228" s="24"/>
      <c r="AA228" s="24"/>
      <c r="AC228" s="24"/>
      <c r="AD228" s="47"/>
      <c r="AE228" s="24"/>
      <c r="AF228" s="24"/>
      <c r="AG228" s="24"/>
      <c r="AH228" s="24"/>
      <c r="AI228" s="24"/>
    </row>
    <row r="229" spans="1:35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 t="str">
        <f>IFERROR(IF(ISBLANK(U229),"",INDEX(Gen_Vessels!$A$3:$C$495,MATCH(InspectionSite!$U229,Gen_Vessels!$C$3:$C$495,0),1)),"")</f>
        <v/>
      </c>
      <c r="W229" s="24"/>
      <c r="X229" s="24"/>
      <c r="Y229" s="24"/>
      <c r="Z229" s="24"/>
      <c r="AA229" s="24"/>
      <c r="AC229" s="24"/>
      <c r="AD229" s="47"/>
      <c r="AE229" s="24"/>
      <c r="AF229" s="24"/>
      <c r="AG229" s="24"/>
      <c r="AH229" s="24"/>
      <c r="AI229" s="24"/>
    </row>
    <row r="230" spans="1:35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 t="str">
        <f>IFERROR(IF(ISBLANK(U230),"",INDEX(Gen_Vessels!$A$3:$C$495,MATCH(InspectionSite!$U230,Gen_Vessels!$C$3:$C$495,0),1)),"")</f>
        <v/>
      </c>
      <c r="W230" s="24"/>
      <c r="X230" s="24"/>
      <c r="Y230" s="24"/>
      <c r="Z230" s="24"/>
      <c r="AA230" s="24"/>
      <c r="AC230" s="24"/>
      <c r="AD230" s="47"/>
      <c r="AE230" s="24"/>
      <c r="AF230" s="24"/>
      <c r="AG230" s="24"/>
      <c r="AH230" s="24"/>
      <c r="AI230" s="24"/>
    </row>
    <row r="231" spans="1:35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 t="str">
        <f>IFERROR(IF(ISBLANK(U231),"",INDEX(Gen_Vessels!$A$3:$C$495,MATCH(InspectionSite!$U231,Gen_Vessels!$C$3:$C$495,0),1)),"")</f>
        <v/>
      </c>
      <c r="W231" s="24"/>
      <c r="X231" s="24"/>
      <c r="Y231" s="24"/>
      <c r="Z231" s="24"/>
      <c r="AA231" s="24"/>
      <c r="AC231" s="24"/>
      <c r="AD231" s="47"/>
      <c r="AE231" s="24"/>
      <c r="AF231" s="24"/>
      <c r="AG231" s="24"/>
      <c r="AH231" s="24"/>
      <c r="AI231" s="24"/>
    </row>
    <row r="232" spans="1:35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 t="str">
        <f>IFERROR(IF(ISBLANK(U232),"",INDEX(Gen_Vessels!$A$3:$C$495,MATCH(InspectionSite!$U232,Gen_Vessels!$C$3:$C$495,0),1)),"")</f>
        <v/>
      </c>
      <c r="W232" s="24"/>
      <c r="X232" s="24"/>
      <c r="Y232" s="24"/>
      <c r="Z232" s="24"/>
      <c r="AA232" s="24"/>
      <c r="AC232" s="24"/>
      <c r="AD232" s="47"/>
      <c r="AE232" s="24"/>
      <c r="AF232" s="24"/>
      <c r="AG232" s="24"/>
      <c r="AH232" s="24"/>
      <c r="AI232" s="24"/>
    </row>
    <row r="233" spans="1:35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 t="str">
        <f>IFERROR(IF(ISBLANK(U233),"",INDEX(Gen_Vessels!$A$3:$C$495,MATCH(InspectionSite!$U233,Gen_Vessels!$C$3:$C$495,0),1)),"")</f>
        <v/>
      </c>
      <c r="W233" s="24"/>
      <c r="X233" s="24"/>
      <c r="Y233" s="24"/>
      <c r="Z233" s="24"/>
      <c r="AA233" s="24"/>
      <c r="AC233" s="24"/>
      <c r="AD233" s="47"/>
      <c r="AE233" s="24"/>
      <c r="AF233" s="24"/>
      <c r="AG233" s="24"/>
      <c r="AH233" s="24"/>
      <c r="AI233" s="24"/>
    </row>
    <row r="234" spans="1:35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 t="str">
        <f>IFERROR(IF(ISBLANK(U234),"",INDEX(Gen_Vessels!$A$3:$C$495,MATCH(InspectionSite!$U234,Gen_Vessels!$C$3:$C$495,0),1)),"")</f>
        <v/>
      </c>
      <c r="W234" s="24"/>
      <c r="X234" s="24"/>
      <c r="Y234" s="24"/>
      <c r="Z234" s="24"/>
      <c r="AA234" s="24"/>
      <c r="AC234" s="24"/>
      <c r="AD234" s="47"/>
      <c r="AE234" s="24"/>
      <c r="AF234" s="24"/>
      <c r="AG234" s="24"/>
      <c r="AH234" s="24"/>
      <c r="AI234" s="24"/>
    </row>
    <row r="235" spans="1:35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 t="str">
        <f>IFERROR(IF(ISBLANK(U235),"",INDEX(Gen_Vessels!$A$3:$C$495,MATCH(InspectionSite!$U235,Gen_Vessels!$C$3:$C$495,0),1)),"")</f>
        <v/>
      </c>
      <c r="W235" s="24"/>
      <c r="X235" s="24"/>
      <c r="Y235" s="24"/>
      <c r="Z235" s="24"/>
      <c r="AA235" s="24"/>
      <c r="AC235" s="24"/>
      <c r="AD235" s="47"/>
      <c r="AE235" s="24"/>
      <c r="AF235" s="24"/>
      <c r="AG235" s="24"/>
      <c r="AH235" s="24"/>
      <c r="AI235" s="24"/>
    </row>
    <row r="236" spans="1:35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 t="str">
        <f>IFERROR(IF(ISBLANK(U236),"",INDEX(Gen_Vessels!$A$3:$C$495,MATCH(InspectionSite!$U236,Gen_Vessels!$C$3:$C$495,0),1)),"")</f>
        <v/>
      </c>
      <c r="W236" s="24"/>
      <c r="X236" s="24"/>
      <c r="Y236" s="24"/>
      <c r="Z236" s="24"/>
      <c r="AA236" s="24"/>
      <c r="AC236" s="24"/>
      <c r="AD236" s="47"/>
      <c r="AE236" s="24"/>
      <c r="AF236" s="24"/>
      <c r="AG236" s="24"/>
      <c r="AH236" s="24"/>
      <c r="AI236" s="24"/>
    </row>
    <row r="237" spans="1:35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 t="str">
        <f>IFERROR(IF(ISBLANK(U237),"",INDEX(Gen_Vessels!$A$3:$C$495,MATCH(InspectionSite!$U237,Gen_Vessels!$C$3:$C$495,0),1)),"")</f>
        <v/>
      </c>
      <c r="W237" s="24"/>
      <c r="X237" s="24"/>
      <c r="Y237" s="24"/>
      <c r="Z237" s="24"/>
      <c r="AA237" s="24"/>
      <c r="AC237" s="24"/>
      <c r="AD237" s="47"/>
      <c r="AE237" s="24"/>
      <c r="AF237" s="24"/>
      <c r="AG237" s="24"/>
      <c r="AH237" s="24"/>
      <c r="AI237" s="24"/>
    </row>
    <row r="238" spans="1:35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 t="str">
        <f>IFERROR(IF(ISBLANK(U238),"",INDEX(Gen_Vessels!$A$3:$C$495,MATCH(InspectionSite!$U238,Gen_Vessels!$C$3:$C$495,0),1)),"")</f>
        <v/>
      </c>
      <c r="W238" s="24"/>
      <c r="X238" s="24"/>
      <c r="Y238" s="24"/>
      <c r="Z238" s="24"/>
      <c r="AA238" s="24"/>
      <c r="AC238" s="24"/>
      <c r="AD238" s="47"/>
      <c r="AE238" s="24"/>
      <c r="AF238" s="24"/>
      <c r="AG238" s="24"/>
      <c r="AH238" s="24"/>
      <c r="AI238" s="24"/>
    </row>
    <row r="239" spans="1:35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 t="str">
        <f>IFERROR(IF(ISBLANK(U239),"",INDEX(Gen_Vessels!$A$3:$C$495,MATCH(InspectionSite!$U239,Gen_Vessels!$C$3:$C$495,0),1)),"")</f>
        <v/>
      </c>
      <c r="W239" s="24"/>
      <c r="X239" s="24"/>
      <c r="Y239" s="24"/>
      <c r="Z239" s="24"/>
      <c r="AA239" s="24"/>
      <c r="AC239" s="24"/>
      <c r="AD239" s="47"/>
      <c r="AE239" s="24"/>
      <c r="AF239" s="24"/>
      <c r="AG239" s="24"/>
      <c r="AH239" s="24"/>
      <c r="AI239" s="24"/>
    </row>
    <row r="240" spans="1:35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 t="str">
        <f>IFERROR(IF(ISBLANK(U240),"",INDEX(Gen_Vessels!$A$3:$C$495,MATCH(InspectionSite!$U240,Gen_Vessels!$C$3:$C$495,0),1)),"")</f>
        <v/>
      </c>
      <c r="W240" s="24"/>
      <c r="X240" s="24"/>
      <c r="Y240" s="24"/>
      <c r="Z240" s="24"/>
      <c r="AA240" s="24"/>
      <c r="AC240" s="24"/>
      <c r="AD240" s="47"/>
      <c r="AE240" s="24"/>
      <c r="AF240" s="24"/>
      <c r="AG240" s="24"/>
      <c r="AH240" s="24"/>
      <c r="AI240" s="24"/>
    </row>
    <row r="241" spans="1:35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 t="str">
        <f>IFERROR(IF(ISBLANK(U241),"",INDEX(Gen_Vessels!$A$3:$C$495,MATCH(InspectionSite!$U241,Gen_Vessels!$C$3:$C$495,0),1)),"")</f>
        <v/>
      </c>
      <c r="W241" s="24"/>
      <c r="X241" s="24"/>
      <c r="Y241" s="24"/>
      <c r="Z241" s="24"/>
      <c r="AA241" s="24"/>
      <c r="AC241" s="24"/>
      <c r="AD241" s="47"/>
      <c r="AE241" s="24"/>
      <c r="AF241" s="24"/>
      <c r="AG241" s="24"/>
      <c r="AH241" s="24"/>
      <c r="AI241" s="24"/>
    </row>
    <row r="242" spans="1:35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 t="str">
        <f>IFERROR(IF(ISBLANK(U242),"",INDEX(Gen_Vessels!$A$3:$C$495,MATCH(InspectionSite!$U242,Gen_Vessels!$C$3:$C$495,0),1)),"")</f>
        <v/>
      </c>
      <c r="W242" s="24"/>
      <c r="X242" s="24"/>
      <c r="Y242" s="24"/>
      <c r="Z242" s="24"/>
      <c r="AA242" s="24"/>
      <c r="AC242" s="24"/>
      <c r="AD242" s="47"/>
      <c r="AE242" s="24"/>
      <c r="AF242" s="24"/>
      <c r="AG242" s="24"/>
      <c r="AH242" s="24"/>
      <c r="AI242" s="24"/>
    </row>
    <row r="243" spans="1:35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 t="str">
        <f>IFERROR(IF(ISBLANK(U243),"",INDEX(Gen_Vessels!$A$3:$C$495,MATCH(InspectionSite!$U243,Gen_Vessels!$C$3:$C$495,0),1)),"")</f>
        <v/>
      </c>
      <c r="W243" s="24"/>
      <c r="X243" s="24"/>
      <c r="Y243" s="24"/>
      <c r="Z243" s="24"/>
      <c r="AA243" s="24"/>
      <c r="AC243" s="24"/>
      <c r="AD243" s="47"/>
      <c r="AE243" s="24"/>
      <c r="AF243" s="24"/>
      <c r="AG243" s="24"/>
      <c r="AH243" s="24"/>
      <c r="AI243" s="24"/>
    </row>
    <row r="244" spans="1:35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 t="str">
        <f>IFERROR(IF(ISBLANK(U244),"",INDEX(Gen_Vessels!$A$3:$C$495,MATCH(InspectionSite!$U244,Gen_Vessels!$C$3:$C$495,0),1)),"")</f>
        <v/>
      </c>
      <c r="W244" s="24"/>
      <c r="X244" s="24"/>
      <c r="Y244" s="24"/>
      <c r="Z244" s="24"/>
      <c r="AA244" s="24"/>
      <c r="AC244" s="24"/>
      <c r="AD244" s="47"/>
      <c r="AE244" s="24"/>
      <c r="AF244" s="24"/>
      <c r="AG244" s="24"/>
      <c r="AH244" s="24"/>
      <c r="AI244" s="24"/>
    </row>
    <row r="245" spans="1:35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 t="str">
        <f>IFERROR(IF(ISBLANK(U245),"",INDEX(Gen_Vessels!$A$3:$C$495,MATCH(InspectionSite!$U245,Gen_Vessels!$C$3:$C$495,0),1)),"")</f>
        <v/>
      </c>
      <c r="W245" s="24"/>
      <c r="X245" s="24"/>
      <c r="Y245" s="24"/>
      <c r="Z245" s="24"/>
      <c r="AA245" s="24"/>
      <c r="AC245" s="24"/>
      <c r="AD245" s="47"/>
      <c r="AE245" s="24"/>
      <c r="AF245" s="24"/>
      <c r="AG245" s="24"/>
      <c r="AH245" s="24"/>
      <c r="AI245" s="24"/>
    </row>
    <row r="246" spans="1:35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 t="str">
        <f>IFERROR(IF(ISBLANK(U246),"",INDEX(Gen_Vessels!$A$3:$C$495,MATCH(InspectionSite!$U246,Gen_Vessels!$C$3:$C$495,0),1)),"")</f>
        <v/>
      </c>
      <c r="W246" s="24"/>
      <c r="X246" s="24"/>
      <c r="Y246" s="24"/>
      <c r="Z246" s="24"/>
      <c r="AA246" s="24"/>
      <c r="AC246" s="24"/>
      <c r="AD246" s="47"/>
      <c r="AE246" s="24"/>
      <c r="AF246" s="24"/>
      <c r="AG246" s="24"/>
      <c r="AH246" s="24"/>
      <c r="AI246" s="24"/>
    </row>
    <row r="247" spans="1:35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 t="str">
        <f>IFERROR(IF(ISBLANK(U247),"",INDEX(Gen_Vessels!$A$3:$C$495,MATCH(InspectionSite!$U247,Gen_Vessels!$C$3:$C$495,0),1)),"")</f>
        <v/>
      </c>
      <c r="W247" s="24"/>
      <c r="X247" s="24"/>
      <c r="Y247" s="24"/>
      <c r="Z247" s="24"/>
      <c r="AA247" s="24"/>
      <c r="AC247" s="24"/>
      <c r="AD247" s="47"/>
      <c r="AE247" s="24"/>
      <c r="AF247" s="24"/>
      <c r="AG247" s="24"/>
      <c r="AH247" s="24"/>
      <c r="AI247" s="24"/>
    </row>
    <row r="248" spans="1:35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 t="str">
        <f>IFERROR(IF(ISBLANK(U248),"",INDEX(Gen_Vessels!$A$3:$C$495,MATCH(InspectionSite!$U248,Gen_Vessels!$C$3:$C$495,0),1)),"")</f>
        <v/>
      </c>
      <c r="W248" s="24"/>
      <c r="X248" s="24"/>
      <c r="Y248" s="24"/>
      <c r="Z248" s="24"/>
      <c r="AA248" s="24"/>
      <c r="AC248" s="24"/>
      <c r="AD248" s="47"/>
      <c r="AE248" s="24"/>
      <c r="AF248" s="24"/>
      <c r="AG248" s="24"/>
      <c r="AH248" s="24"/>
      <c r="AI248" s="24"/>
    </row>
    <row r="249" spans="1:35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 t="str">
        <f>IFERROR(IF(ISBLANK(U249),"",INDEX(Gen_Vessels!$A$3:$C$495,MATCH(InspectionSite!$U249,Gen_Vessels!$C$3:$C$495,0),1)),"")</f>
        <v/>
      </c>
      <c r="W249" s="24"/>
      <c r="X249" s="24"/>
      <c r="Y249" s="24"/>
      <c r="Z249" s="24"/>
      <c r="AA249" s="24"/>
      <c r="AC249" s="24"/>
      <c r="AD249" s="47"/>
      <c r="AE249" s="24"/>
      <c r="AF249" s="24"/>
      <c r="AG249" s="24"/>
      <c r="AH249" s="24"/>
      <c r="AI249" s="24"/>
    </row>
    <row r="250" spans="1:35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 t="str">
        <f>IFERROR(IF(ISBLANK(U250),"",INDEX(Gen_Vessels!$A$3:$C$495,MATCH(InspectionSite!$U250,Gen_Vessels!$C$3:$C$495,0),1)),"")</f>
        <v/>
      </c>
      <c r="W250" s="24"/>
      <c r="X250" s="24"/>
      <c r="Y250" s="24"/>
      <c r="Z250" s="24"/>
      <c r="AA250" s="24"/>
      <c r="AC250" s="24"/>
      <c r="AD250" s="47"/>
      <c r="AE250" s="24"/>
      <c r="AF250" s="24"/>
      <c r="AG250" s="24"/>
      <c r="AH250" s="24"/>
      <c r="AI250" s="24"/>
    </row>
    <row r="251" spans="1:35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 t="str">
        <f>IFERROR(IF(ISBLANK(U251),"",INDEX(Gen_Vessels!$A$3:$C$495,MATCH(InspectionSite!$U251,Gen_Vessels!$C$3:$C$495,0),1)),"")</f>
        <v/>
      </c>
      <c r="W251" s="24"/>
      <c r="X251" s="24"/>
      <c r="Y251" s="24"/>
      <c r="Z251" s="24"/>
      <c r="AA251" s="24"/>
      <c r="AC251" s="24"/>
      <c r="AD251" s="47"/>
      <c r="AE251" s="24"/>
      <c r="AF251" s="24"/>
      <c r="AG251" s="24"/>
      <c r="AH251" s="24"/>
      <c r="AI251" s="24"/>
    </row>
    <row r="252" spans="1:35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 t="str">
        <f>IFERROR(IF(ISBLANK(U252),"",INDEX(Gen_Vessels!$A$3:$C$495,MATCH(InspectionSite!$U252,Gen_Vessels!$C$3:$C$495,0),1)),"")</f>
        <v/>
      </c>
      <c r="W252" s="24"/>
      <c r="X252" s="24"/>
      <c r="Y252" s="24"/>
      <c r="Z252" s="24"/>
      <c r="AA252" s="24"/>
      <c r="AC252" s="24"/>
      <c r="AD252" s="47"/>
      <c r="AE252" s="24"/>
      <c r="AF252" s="24"/>
      <c r="AG252" s="24"/>
      <c r="AH252" s="24"/>
      <c r="AI252" s="24"/>
    </row>
    <row r="253" spans="1:35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 t="str">
        <f>IFERROR(IF(ISBLANK(U253),"",INDEX(Gen_Vessels!$A$3:$C$495,MATCH(InspectionSite!$U253,Gen_Vessels!$C$3:$C$495,0),1)),"")</f>
        <v/>
      </c>
      <c r="W253" s="24"/>
      <c r="X253" s="24"/>
      <c r="Y253" s="24"/>
      <c r="Z253" s="24"/>
      <c r="AA253" s="24"/>
      <c r="AC253" s="24"/>
      <c r="AD253" s="47"/>
      <c r="AE253" s="24"/>
      <c r="AF253" s="24"/>
      <c r="AG253" s="24"/>
      <c r="AH253" s="24"/>
      <c r="AI253" s="24"/>
    </row>
    <row r="254" spans="1:35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 t="str">
        <f>IFERROR(IF(ISBLANK(U254),"",INDEX(Gen_Vessels!$A$3:$C$495,MATCH(InspectionSite!$U254,Gen_Vessels!$C$3:$C$495,0),1)),"")</f>
        <v/>
      </c>
      <c r="W254" s="24"/>
      <c r="X254" s="24"/>
      <c r="Y254" s="24"/>
      <c r="Z254" s="24"/>
      <c r="AA254" s="24"/>
      <c r="AC254" s="24"/>
      <c r="AD254" s="47"/>
      <c r="AE254" s="24"/>
      <c r="AF254" s="24"/>
      <c r="AG254" s="24"/>
      <c r="AH254" s="24"/>
      <c r="AI254" s="24"/>
    </row>
    <row r="255" spans="1:35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 t="str">
        <f>IFERROR(IF(ISBLANK(U255),"",INDEX(Gen_Vessels!$A$3:$C$495,MATCH(InspectionSite!$U255,Gen_Vessels!$C$3:$C$495,0),1)),"")</f>
        <v/>
      </c>
      <c r="W255" s="24"/>
      <c r="X255" s="24"/>
      <c r="Y255" s="24"/>
      <c r="Z255" s="24"/>
      <c r="AA255" s="24"/>
      <c r="AC255" s="24"/>
      <c r="AD255" s="47"/>
      <c r="AE255" s="24"/>
      <c r="AF255" s="24"/>
      <c r="AG255" s="24"/>
      <c r="AH255" s="24"/>
      <c r="AI255" s="24"/>
    </row>
    <row r="256" spans="1:35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 t="str">
        <f>IFERROR(IF(ISBLANK(U256),"",INDEX(Gen_Vessels!$A$3:$C$495,MATCH(InspectionSite!$U256,Gen_Vessels!$C$3:$C$495,0),1)),"")</f>
        <v/>
      </c>
      <c r="W256" s="24"/>
      <c r="X256" s="24"/>
      <c r="Y256" s="24"/>
      <c r="Z256" s="24"/>
      <c r="AA256" s="24"/>
      <c r="AC256" s="24"/>
      <c r="AD256" s="47"/>
      <c r="AE256" s="24"/>
      <c r="AF256" s="24"/>
      <c r="AG256" s="24"/>
      <c r="AH256" s="24"/>
      <c r="AI256" s="24"/>
    </row>
    <row r="257" spans="1:35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 t="str">
        <f>IFERROR(IF(ISBLANK(U257),"",INDEX(Gen_Vessels!$A$3:$C$495,MATCH(InspectionSite!$U257,Gen_Vessels!$C$3:$C$495,0),1)),"")</f>
        <v/>
      </c>
      <c r="W257" s="24"/>
      <c r="X257" s="24"/>
      <c r="Y257" s="24"/>
      <c r="Z257" s="24"/>
      <c r="AA257" s="24"/>
      <c r="AC257" s="24"/>
      <c r="AD257" s="47"/>
      <c r="AE257" s="24"/>
      <c r="AF257" s="24"/>
      <c r="AG257" s="24"/>
      <c r="AH257" s="24"/>
      <c r="AI257" s="24"/>
    </row>
    <row r="258" spans="1:35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 t="str">
        <f>IFERROR(IF(ISBLANK(U258),"",INDEX(Gen_Vessels!$A$3:$C$495,MATCH(InspectionSite!$U258,Gen_Vessels!$C$3:$C$495,0),1)),"")</f>
        <v/>
      </c>
      <c r="W258" s="24"/>
      <c r="X258" s="24"/>
      <c r="Y258" s="24"/>
      <c r="Z258" s="24"/>
      <c r="AA258" s="24"/>
      <c r="AC258" s="24"/>
      <c r="AD258" s="47"/>
      <c r="AE258" s="24"/>
      <c r="AF258" s="24"/>
      <c r="AG258" s="24"/>
      <c r="AH258" s="24"/>
      <c r="AI258" s="24"/>
    </row>
    <row r="259" spans="1:35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 t="str">
        <f>IFERROR(IF(ISBLANK(U259),"",INDEX(Gen_Vessels!$A$3:$C$495,MATCH(InspectionSite!$U259,Gen_Vessels!$C$3:$C$495,0),1)),"")</f>
        <v/>
      </c>
      <c r="W259" s="24"/>
      <c r="X259" s="24"/>
      <c r="Y259" s="24"/>
      <c r="Z259" s="24"/>
      <c r="AA259" s="24"/>
      <c r="AC259" s="24"/>
      <c r="AD259" s="47"/>
      <c r="AE259" s="24"/>
      <c r="AF259" s="24"/>
      <c r="AG259" s="24"/>
      <c r="AH259" s="24"/>
      <c r="AI259" s="24"/>
    </row>
    <row r="260" spans="1:35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 t="str">
        <f>IFERROR(IF(ISBLANK(U260),"",INDEX(Gen_Vessels!$A$3:$C$495,MATCH(InspectionSite!$U260,Gen_Vessels!$C$3:$C$495,0),1)),"")</f>
        <v/>
      </c>
      <c r="W260" s="24"/>
      <c r="X260" s="24"/>
      <c r="Y260" s="24"/>
      <c r="Z260" s="24"/>
      <c r="AA260" s="24"/>
      <c r="AC260" s="24"/>
      <c r="AD260" s="47"/>
      <c r="AE260" s="24"/>
      <c r="AF260" s="24"/>
      <c r="AG260" s="24"/>
      <c r="AH260" s="24"/>
      <c r="AI260" s="24"/>
    </row>
    <row r="261" spans="1:35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 t="str">
        <f>IFERROR(IF(ISBLANK(U261),"",INDEX(Gen_Vessels!$A$3:$C$495,MATCH(InspectionSite!$U261,Gen_Vessels!$C$3:$C$495,0),1)),"")</f>
        <v/>
      </c>
      <c r="W261" s="24"/>
      <c r="X261" s="24"/>
      <c r="Y261" s="24"/>
      <c r="Z261" s="24"/>
      <c r="AA261" s="24"/>
      <c r="AC261" s="24"/>
      <c r="AD261" s="47"/>
      <c r="AE261" s="24"/>
      <c r="AF261" s="24"/>
      <c r="AG261" s="24"/>
      <c r="AH261" s="24"/>
      <c r="AI261" s="24"/>
    </row>
    <row r="262" spans="1:35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 t="str">
        <f>IFERROR(IF(ISBLANK(U262),"",INDEX(Gen_Vessels!$A$3:$C$495,MATCH(InspectionSite!$U262,Gen_Vessels!$C$3:$C$495,0),1)),"")</f>
        <v/>
      </c>
      <c r="W262" s="24"/>
      <c r="X262" s="24"/>
      <c r="Y262" s="24"/>
      <c r="Z262" s="24"/>
      <c r="AA262" s="24"/>
      <c r="AC262" s="24"/>
      <c r="AD262" s="47"/>
      <c r="AE262" s="24"/>
      <c r="AF262" s="24"/>
      <c r="AG262" s="24"/>
      <c r="AH262" s="24"/>
      <c r="AI262" s="24"/>
    </row>
    <row r="263" spans="1:35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 t="str">
        <f>IFERROR(IF(ISBLANK(U263),"",INDEX(Gen_Vessels!$A$3:$C$495,MATCH(InspectionSite!$U263,Gen_Vessels!$C$3:$C$495,0),1)),"")</f>
        <v/>
      </c>
      <c r="W263" s="24"/>
      <c r="X263" s="24"/>
      <c r="Y263" s="24"/>
      <c r="Z263" s="24"/>
      <c r="AA263" s="24"/>
      <c r="AC263" s="24"/>
      <c r="AD263" s="47"/>
      <c r="AE263" s="24"/>
      <c r="AF263" s="24"/>
      <c r="AG263" s="24"/>
      <c r="AH263" s="24"/>
      <c r="AI263" s="24"/>
    </row>
    <row r="264" spans="1:35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 t="str">
        <f>IFERROR(IF(ISBLANK(U264),"",INDEX(Gen_Vessels!$A$3:$C$495,MATCH(InspectionSite!$U264,Gen_Vessels!$C$3:$C$495,0),1)),"")</f>
        <v/>
      </c>
      <c r="W264" s="24"/>
      <c r="X264" s="24"/>
      <c r="Y264" s="24"/>
      <c r="Z264" s="24"/>
      <c r="AA264" s="24"/>
      <c r="AC264" s="24"/>
      <c r="AD264" s="47"/>
      <c r="AE264" s="24"/>
      <c r="AF264" s="24"/>
      <c r="AG264" s="24"/>
      <c r="AH264" s="24"/>
      <c r="AI264" s="24"/>
    </row>
    <row r="265" spans="1:35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 t="str">
        <f>IFERROR(IF(ISBLANK(U265),"",INDEX(Gen_Vessels!$A$3:$C$495,MATCH(InspectionSite!$U265,Gen_Vessels!$C$3:$C$495,0),1)),"")</f>
        <v/>
      </c>
      <c r="W265" s="24"/>
      <c r="X265" s="24"/>
      <c r="Y265" s="24"/>
      <c r="Z265" s="24"/>
      <c r="AA265" s="24"/>
      <c r="AC265" s="24"/>
      <c r="AD265" s="47"/>
      <c r="AE265" s="24"/>
      <c r="AF265" s="24"/>
      <c r="AG265" s="24"/>
      <c r="AH265" s="24"/>
      <c r="AI265" s="24"/>
    </row>
    <row r="266" spans="1:35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 t="str">
        <f>IFERROR(IF(ISBLANK(U266),"",INDEX(Gen_Vessels!$A$3:$C$495,MATCH(InspectionSite!$U266,Gen_Vessels!$C$3:$C$495,0),1)),"")</f>
        <v/>
      </c>
      <c r="W266" s="24"/>
      <c r="X266" s="24"/>
      <c r="Y266" s="24"/>
      <c r="Z266" s="24"/>
      <c r="AA266" s="24"/>
      <c r="AC266" s="24"/>
      <c r="AD266" s="47"/>
      <c r="AE266" s="24"/>
      <c r="AF266" s="24"/>
      <c r="AG266" s="24"/>
      <c r="AH266" s="24"/>
      <c r="AI266" s="24"/>
    </row>
    <row r="267" spans="1:35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 t="str">
        <f>IFERROR(IF(ISBLANK(U267),"",INDEX(Gen_Vessels!$A$3:$C$495,MATCH(InspectionSite!$U267,Gen_Vessels!$C$3:$C$495,0),1)),"")</f>
        <v/>
      </c>
      <c r="W267" s="24"/>
      <c r="X267" s="24"/>
      <c r="Y267" s="24"/>
      <c r="Z267" s="24"/>
      <c r="AA267" s="24"/>
      <c r="AC267" s="24"/>
      <c r="AD267" s="47"/>
      <c r="AE267" s="24"/>
      <c r="AF267" s="24"/>
      <c r="AG267" s="24"/>
      <c r="AH267" s="24"/>
      <c r="AI267" s="24"/>
    </row>
    <row r="268" spans="1:35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 t="str">
        <f>IFERROR(IF(ISBLANK(U268),"",INDEX(Gen_Vessels!$A$3:$C$495,MATCH(InspectionSite!$U268,Gen_Vessels!$C$3:$C$495,0),1)),"")</f>
        <v/>
      </c>
      <c r="W268" s="24"/>
      <c r="X268" s="24"/>
      <c r="Y268" s="24"/>
      <c r="Z268" s="24"/>
      <c r="AA268" s="24"/>
      <c r="AC268" s="24"/>
      <c r="AD268" s="47"/>
      <c r="AE268" s="24"/>
      <c r="AF268" s="24"/>
      <c r="AG268" s="24"/>
      <c r="AH268" s="24"/>
      <c r="AI268" s="24"/>
    </row>
    <row r="269" spans="1:35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 t="str">
        <f>IFERROR(IF(ISBLANK(U269),"",INDEX(Gen_Vessels!$A$3:$C$495,MATCH(InspectionSite!$U269,Gen_Vessels!$C$3:$C$495,0),1)),"")</f>
        <v/>
      </c>
      <c r="W269" s="24"/>
      <c r="X269" s="24"/>
      <c r="Y269" s="24"/>
      <c r="Z269" s="24"/>
      <c r="AA269" s="24"/>
      <c r="AC269" s="24"/>
      <c r="AD269" s="47"/>
      <c r="AE269" s="24"/>
      <c r="AF269" s="24"/>
      <c r="AG269" s="24"/>
      <c r="AH269" s="24"/>
      <c r="AI269" s="24"/>
    </row>
    <row r="270" spans="1:35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 t="str">
        <f>IFERROR(IF(ISBLANK(U270),"",INDEX(Gen_Vessels!$A$3:$C$495,MATCH(InspectionSite!$U270,Gen_Vessels!$C$3:$C$495,0),1)),"")</f>
        <v/>
      </c>
      <c r="W270" s="24"/>
      <c r="X270" s="24"/>
      <c r="Y270" s="24"/>
      <c r="Z270" s="24"/>
      <c r="AA270" s="24"/>
      <c r="AC270" s="24"/>
      <c r="AD270" s="47"/>
      <c r="AE270" s="24"/>
      <c r="AF270" s="24"/>
      <c r="AG270" s="24"/>
      <c r="AH270" s="24"/>
      <c r="AI270" s="24"/>
    </row>
    <row r="271" spans="1:35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 t="str">
        <f>IFERROR(IF(ISBLANK(U271),"",INDEX(Gen_Vessels!$A$3:$C$495,MATCH(InspectionSite!$U271,Gen_Vessels!$C$3:$C$495,0),1)),"")</f>
        <v/>
      </c>
      <c r="W271" s="24"/>
      <c r="X271" s="24"/>
      <c r="Y271" s="24"/>
      <c r="Z271" s="24"/>
      <c r="AA271" s="24"/>
      <c r="AC271" s="24"/>
      <c r="AD271" s="47"/>
      <c r="AE271" s="24"/>
      <c r="AF271" s="24"/>
      <c r="AG271" s="24"/>
      <c r="AH271" s="24"/>
      <c r="AI271" s="24"/>
    </row>
    <row r="272" spans="1:35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 t="str">
        <f>IFERROR(IF(ISBLANK(U272),"",INDEX(Gen_Vessels!$A$3:$C$495,MATCH(InspectionSite!$U272,Gen_Vessels!$C$3:$C$495,0),1)),"")</f>
        <v/>
      </c>
      <c r="W272" s="24"/>
      <c r="X272" s="24"/>
      <c r="Y272" s="24"/>
      <c r="Z272" s="24"/>
      <c r="AA272" s="24"/>
      <c r="AC272" s="24"/>
      <c r="AD272" s="47"/>
      <c r="AE272" s="24"/>
      <c r="AF272" s="24"/>
      <c r="AG272" s="24"/>
      <c r="AH272" s="24"/>
      <c r="AI272" s="24"/>
    </row>
    <row r="273" spans="1:35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 t="str">
        <f>IFERROR(IF(ISBLANK(U273),"",INDEX(Gen_Vessels!$A$3:$C$495,MATCH(InspectionSite!$U273,Gen_Vessels!$C$3:$C$495,0),1)),"")</f>
        <v/>
      </c>
      <c r="W273" s="24"/>
      <c r="X273" s="24"/>
      <c r="Y273" s="24"/>
      <c r="Z273" s="24"/>
      <c r="AA273" s="24"/>
      <c r="AC273" s="24"/>
      <c r="AD273" s="47"/>
      <c r="AE273" s="24"/>
      <c r="AF273" s="24"/>
      <c r="AG273" s="24"/>
      <c r="AH273" s="24"/>
      <c r="AI273" s="24"/>
    </row>
    <row r="274" spans="1:35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 t="str">
        <f>IFERROR(IF(ISBLANK(U274),"",INDEX(Gen_Vessels!$A$3:$C$495,MATCH(InspectionSite!$U274,Gen_Vessels!$C$3:$C$495,0),1)),"")</f>
        <v/>
      </c>
      <c r="W274" s="24"/>
      <c r="X274" s="24"/>
      <c r="Y274" s="24"/>
      <c r="Z274" s="24"/>
      <c r="AA274" s="24"/>
      <c r="AC274" s="24"/>
      <c r="AD274" s="47"/>
      <c r="AE274" s="24"/>
      <c r="AF274" s="24"/>
      <c r="AG274" s="24"/>
      <c r="AH274" s="24"/>
      <c r="AI274" s="24"/>
    </row>
    <row r="275" spans="1:35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 t="str">
        <f>IFERROR(IF(ISBLANK(U275),"",INDEX(Gen_Vessels!$A$3:$C$495,MATCH(InspectionSite!$U275,Gen_Vessels!$C$3:$C$495,0),1)),"")</f>
        <v/>
      </c>
      <c r="W275" s="24"/>
      <c r="X275" s="24"/>
      <c r="Y275" s="24"/>
      <c r="Z275" s="24"/>
      <c r="AA275" s="24"/>
      <c r="AC275" s="24"/>
      <c r="AD275" s="47"/>
      <c r="AE275" s="24"/>
      <c r="AF275" s="24"/>
      <c r="AG275" s="24"/>
      <c r="AH275" s="24"/>
      <c r="AI275" s="24"/>
    </row>
    <row r="276" spans="1:35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 t="str">
        <f>IFERROR(IF(ISBLANK(U276),"",INDEX(Gen_Vessels!$A$3:$C$495,MATCH(InspectionSite!$U276,Gen_Vessels!$C$3:$C$495,0),1)),"")</f>
        <v/>
      </c>
      <c r="W276" s="24"/>
      <c r="X276" s="24"/>
      <c r="Y276" s="24"/>
      <c r="Z276" s="24"/>
      <c r="AA276" s="24"/>
      <c r="AC276" s="24"/>
      <c r="AD276" s="47"/>
      <c r="AE276" s="24"/>
      <c r="AF276" s="24"/>
      <c r="AG276" s="24"/>
      <c r="AH276" s="24"/>
      <c r="AI276" s="24"/>
    </row>
    <row r="277" spans="1:35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 t="str">
        <f>IFERROR(IF(ISBLANK(U277),"",INDEX(Gen_Vessels!$A$3:$C$495,MATCH(InspectionSite!$U277,Gen_Vessels!$C$3:$C$495,0),1)),"")</f>
        <v/>
      </c>
      <c r="W277" s="24"/>
      <c r="X277" s="24"/>
      <c r="Y277" s="24"/>
      <c r="Z277" s="24"/>
      <c r="AA277" s="24"/>
      <c r="AC277" s="24"/>
      <c r="AD277" s="47"/>
      <c r="AE277" s="24"/>
      <c r="AF277" s="24"/>
      <c r="AG277" s="24"/>
      <c r="AH277" s="24"/>
      <c r="AI277" s="24"/>
    </row>
    <row r="278" spans="1:35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 t="str">
        <f>IFERROR(IF(ISBLANK(U278),"",INDEX(Gen_Vessels!$A$3:$C$495,MATCH(InspectionSite!$U278,Gen_Vessels!$C$3:$C$495,0),1)),"")</f>
        <v/>
      </c>
      <c r="W278" s="24"/>
      <c r="X278" s="24"/>
      <c r="Y278" s="24"/>
      <c r="Z278" s="24"/>
      <c r="AA278" s="24"/>
      <c r="AC278" s="24"/>
      <c r="AD278" s="47"/>
      <c r="AE278" s="24"/>
      <c r="AF278" s="24"/>
      <c r="AG278" s="24"/>
      <c r="AH278" s="24"/>
      <c r="AI278" s="24"/>
    </row>
    <row r="279" spans="1:35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 t="str">
        <f>IFERROR(IF(ISBLANK(U279),"",INDEX(Gen_Vessels!$A$3:$C$495,MATCH(InspectionSite!$U279,Gen_Vessels!$C$3:$C$495,0),1)),"")</f>
        <v/>
      </c>
      <c r="W279" s="24"/>
      <c r="X279" s="24"/>
      <c r="Y279" s="24"/>
      <c r="Z279" s="24"/>
      <c r="AA279" s="24"/>
      <c r="AC279" s="24"/>
      <c r="AD279" s="47"/>
      <c r="AE279" s="24"/>
      <c r="AF279" s="24"/>
      <c r="AG279" s="24"/>
      <c r="AH279" s="24"/>
      <c r="AI279" s="24"/>
    </row>
    <row r="280" spans="1:35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 t="str">
        <f>IFERROR(IF(ISBLANK(U280),"",INDEX(Gen_Vessels!$A$3:$C$495,MATCH(InspectionSite!$U280,Gen_Vessels!$C$3:$C$495,0),1)),"")</f>
        <v/>
      </c>
      <c r="W280" s="24"/>
      <c r="X280" s="24"/>
      <c r="Y280" s="24"/>
      <c r="Z280" s="24"/>
      <c r="AA280" s="24"/>
      <c r="AC280" s="24"/>
      <c r="AD280" s="47"/>
      <c r="AE280" s="24"/>
      <c r="AF280" s="24"/>
      <c r="AG280" s="24"/>
      <c r="AH280" s="24"/>
      <c r="AI280" s="24"/>
    </row>
    <row r="281" spans="1:35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 t="str">
        <f>IFERROR(IF(ISBLANK(U281),"",INDEX(Gen_Vessels!$A$3:$C$495,MATCH(InspectionSite!$U281,Gen_Vessels!$C$3:$C$495,0),1)),"")</f>
        <v/>
      </c>
      <c r="W281" s="24"/>
      <c r="X281" s="24"/>
      <c r="Y281" s="24"/>
      <c r="Z281" s="24"/>
      <c r="AA281" s="24"/>
      <c r="AC281" s="24"/>
      <c r="AD281" s="47"/>
      <c r="AE281" s="24"/>
      <c r="AF281" s="24"/>
      <c r="AG281" s="24"/>
      <c r="AH281" s="24"/>
      <c r="AI281" s="24"/>
    </row>
    <row r="282" spans="1:35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 t="str">
        <f>IFERROR(IF(ISBLANK(U282),"",INDEX(Gen_Vessels!$A$3:$C$495,MATCH(InspectionSite!$U282,Gen_Vessels!$C$3:$C$495,0),1)),"")</f>
        <v/>
      </c>
      <c r="W282" s="24"/>
      <c r="X282" s="24"/>
      <c r="Y282" s="24"/>
      <c r="Z282" s="24"/>
      <c r="AA282" s="24"/>
      <c r="AC282" s="24"/>
      <c r="AD282" s="47"/>
      <c r="AE282" s="24"/>
      <c r="AF282" s="24"/>
      <c r="AG282" s="24"/>
      <c r="AH282" s="24"/>
      <c r="AI282" s="24"/>
    </row>
    <row r="283" spans="1:35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 t="str">
        <f>IFERROR(IF(ISBLANK(U283),"",INDEX(Gen_Vessels!$A$3:$C$495,MATCH(InspectionSite!$U283,Gen_Vessels!$C$3:$C$495,0),1)),"")</f>
        <v/>
      </c>
      <c r="W283" s="24"/>
      <c r="X283" s="24"/>
      <c r="Y283" s="24"/>
      <c r="Z283" s="24"/>
      <c r="AA283" s="24"/>
      <c r="AC283" s="24"/>
      <c r="AD283" s="47"/>
      <c r="AE283" s="24"/>
      <c r="AF283" s="24"/>
      <c r="AG283" s="24"/>
      <c r="AH283" s="24"/>
      <c r="AI283" s="24"/>
    </row>
    <row r="284" spans="1:35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 t="str">
        <f>IFERROR(IF(ISBLANK(U284),"",INDEX(Gen_Vessels!$A$3:$C$495,MATCH(InspectionSite!$U284,Gen_Vessels!$C$3:$C$495,0),1)),"")</f>
        <v/>
      </c>
      <c r="W284" s="24"/>
      <c r="X284" s="24"/>
      <c r="Y284" s="24"/>
      <c r="Z284" s="24"/>
      <c r="AA284" s="24"/>
      <c r="AC284" s="24"/>
      <c r="AD284" s="47"/>
      <c r="AE284" s="24"/>
      <c r="AF284" s="24"/>
      <c r="AG284" s="24"/>
      <c r="AH284" s="24"/>
      <c r="AI284" s="24"/>
    </row>
    <row r="285" spans="1:35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 t="str">
        <f>IFERROR(IF(ISBLANK(U285),"",INDEX(Gen_Vessels!$A$3:$C$495,MATCH(InspectionSite!$U285,Gen_Vessels!$C$3:$C$495,0),1)),"")</f>
        <v/>
      </c>
      <c r="W285" s="24"/>
      <c r="X285" s="24"/>
      <c r="Y285" s="24"/>
      <c r="Z285" s="24"/>
      <c r="AA285" s="24"/>
      <c r="AC285" s="24"/>
      <c r="AD285" s="47"/>
      <c r="AE285" s="24"/>
      <c r="AF285" s="24"/>
      <c r="AG285" s="24"/>
      <c r="AH285" s="24"/>
      <c r="AI285" s="24"/>
    </row>
    <row r="286" spans="1:35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 t="str">
        <f>IFERROR(IF(ISBLANK(U286),"",INDEX(Gen_Vessels!$A$3:$C$495,MATCH(InspectionSite!$U286,Gen_Vessels!$C$3:$C$495,0),1)),"")</f>
        <v/>
      </c>
      <c r="W286" s="24"/>
      <c r="X286" s="24"/>
      <c r="Y286" s="24"/>
      <c r="Z286" s="24"/>
      <c r="AA286" s="24"/>
      <c r="AC286" s="24"/>
      <c r="AD286" s="47"/>
      <c r="AE286" s="24"/>
      <c r="AF286" s="24"/>
      <c r="AG286" s="24"/>
      <c r="AH286" s="24"/>
      <c r="AI286" s="24"/>
    </row>
    <row r="287" spans="1:35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 t="str">
        <f>IFERROR(IF(ISBLANK(U287),"",INDEX(Gen_Vessels!$A$3:$C$495,MATCH(InspectionSite!$U287,Gen_Vessels!$C$3:$C$495,0),1)),"")</f>
        <v/>
      </c>
      <c r="W287" s="24"/>
      <c r="X287" s="24"/>
      <c r="Y287" s="24"/>
      <c r="Z287" s="24"/>
      <c r="AA287" s="24"/>
      <c r="AC287" s="24"/>
      <c r="AD287" s="47"/>
      <c r="AE287" s="24"/>
      <c r="AF287" s="24"/>
      <c r="AG287" s="24"/>
      <c r="AH287" s="24"/>
      <c r="AI287" s="24"/>
    </row>
    <row r="288" spans="1:35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 t="str">
        <f>IFERROR(IF(ISBLANK(U288),"",INDEX(Gen_Vessels!$A$3:$C$495,MATCH(InspectionSite!$U288,Gen_Vessels!$C$3:$C$495,0),1)),"")</f>
        <v/>
      </c>
      <c r="W288" s="24"/>
      <c r="X288" s="24"/>
      <c r="Y288" s="24"/>
      <c r="Z288" s="24"/>
      <c r="AA288" s="24"/>
      <c r="AC288" s="24"/>
      <c r="AD288" s="47"/>
      <c r="AE288" s="24"/>
      <c r="AF288" s="24"/>
      <c r="AG288" s="24"/>
      <c r="AH288" s="24"/>
      <c r="AI288" s="24"/>
    </row>
    <row r="289" spans="1:35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 t="str">
        <f>IFERROR(IF(ISBLANK(U289),"",INDEX(Gen_Vessels!$A$3:$C$495,MATCH(InspectionSite!$U289,Gen_Vessels!$C$3:$C$495,0),1)),"")</f>
        <v/>
      </c>
      <c r="W289" s="24"/>
      <c r="X289" s="24"/>
      <c r="Y289" s="24"/>
      <c r="Z289" s="24"/>
      <c r="AA289" s="24"/>
      <c r="AC289" s="24"/>
      <c r="AD289" s="47"/>
      <c r="AE289" s="24"/>
      <c r="AF289" s="24"/>
      <c r="AG289" s="24"/>
      <c r="AH289" s="24"/>
      <c r="AI289" s="24"/>
    </row>
    <row r="290" spans="1:35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 t="str">
        <f>IFERROR(IF(ISBLANK(U290),"",INDEX(Gen_Vessels!$A$3:$C$495,MATCH(InspectionSite!$U290,Gen_Vessels!$C$3:$C$495,0),1)),"")</f>
        <v/>
      </c>
      <c r="W290" s="24"/>
      <c r="X290" s="24"/>
      <c r="Y290" s="24"/>
      <c r="Z290" s="24"/>
      <c r="AA290" s="24"/>
      <c r="AC290" s="24"/>
      <c r="AD290" s="47"/>
      <c r="AE290" s="24"/>
      <c r="AF290" s="24"/>
      <c r="AG290" s="24"/>
      <c r="AH290" s="24"/>
      <c r="AI290" s="24"/>
    </row>
    <row r="291" spans="1:35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 t="str">
        <f>IFERROR(IF(ISBLANK(U291),"",INDEX(Gen_Vessels!$A$3:$C$495,MATCH(InspectionSite!$U291,Gen_Vessels!$C$3:$C$495,0),1)),"")</f>
        <v/>
      </c>
      <c r="W291" s="24"/>
      <c r="X291" s="24"/>
      <c r="Y291" s="24"/>
      <c r="Z291" s="24"/>
      <c r="AA291" s="24"/>
      <c r="AC291" s="24"/>
      <c r="AD291" s="47"/>
      <c r="AE291" s="24"/>
      <c r="AF291" s="24"/>
      <c r="AG291" s="24"/>
      <c r="AH291" s="24"/>
      <c r="AI291" s="24"/>
    </row>
    <row r="292" spans="1:35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 t="str">
        <f>IFERROR(IF(ISBLANK(U292),"",INDEX(Gen_Vessels!$A$3:$C$495,MATCH(InspectionSite!$U292,Gen_Vessels!$C$3:$C$495,0),1)),"")</f>
        <v/>
      </c>
      <c r="W292" s="24"/>
      <c r="X292" s="24"/>
      <c r="Y292" s="24"/>
      <c r="Z292" s="24"/>
      <c r="AA292" s="24"/>
      <c r="AC292" s="24"/>
      <c r="AD292" s="47"/>
      <c r="AE292" s="24"/>
      <c r="AF292" s="24"/>
      <c r="AG292" s="24"/>
      <c r="AH292" s="24"/>
      <c r="AI292" s="24"/>
    </row>
    <row r="293" spans="1:35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 t="str">
        <f>IFERROR(IF(ISBLANK(U293),"",INDEX(Gen_Vessels!$A$3:$C$495,MATCH(InspectionSite!$U293,Gen_Vessels!$C$3:$C$495,0),1)),"")</f>
        <v/>
      </c>
      <c r="W293" s="24"/>
      <c r="X293" s="24"/>
      <c r="Y293" s="24"/>
      <c r="Z293" s="24"/>
      <c r="AA293" s="24"/>
      <c r="AC293" s="24"/>
      <c r="AD293" s="47"/>
      <c r="AE293" s="24"/>
      <c r="AF293" s="24"/>
      <c r="AG293" s="24"/>
      <c r="AH293" s="24"/>
      <c r="AI293" s="24"/>
    </row>
    <row r="294" spans="1:35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 t="str">
        <f>IFERROR(IF(ISBLANK(U294),"",INDEX(Gen_Vessels!$A$3:$C$495,MATCH(InspectionSite!$U294,Gen_Vessels!$C$3:$C$495,0),1)),"")</f>
        <v/>
      </c>
      <c r="W294" s="24"/>
      <c r="X294" s="24"/>
      <c r="Y294" s="24"/>
      <c r="Z294" s="24"/>
      <c r="AA294" s="24"/>
      <c r="AC294" s="24"/>
      <c r="AD294" s="47"/>
      <c r="AE294" s="24"/>
      <c r="AF294" s="24"/>
      <c r="AG294" s="24"/>
      <c r="AH294" s="24"/>
      <c r="AI294" s="24"/>
    </row>
    <row r="295" spans="1:35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 t="str">
        <f>IFERROR(IF(ISBLANK(U295),"",INDEX(Gen_Vessels!$A$3:$C$495,MATCH(InspectionSite!$U295,Gen_Vessels!$C$3:$C$495,0),1)),"")</f>
        <v/>
      </c>
      <c r="W295" s="24"/>
      <c r="X295" s="24"/>
      <c r="Y295" s="24"/>
      <c r="Z295" s="24"/>
      <c r="AA295" s="24"/>
      <c r="AC295" s="24"/>
      <c r="AD295" s="47"/>
      <c r="AE295" s="24"/>
      <c r="AF295" s="24"/>
      <c r="AG295" s="24"/>
      <c r="AH295" s="24"/>
      <c r="AI295" s="24"/>
    </row>
    <row r="296" spans="1:35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 t="str">
        <f>IFERROR(IF(ISBLANK(U296),"",INDEX(Gen_Vessels!$A$3:$C$495,MATCH(InspectionSite!$U296,Gen_Vessels!$C$3:$C$495,0),1)),"")</f>
        <v/>
      </c>
      <c r="W296" s="24"/>
      <c r="X296" s="24"/>
      <c r="Y296" s="24"/>
      <c r="Z296" s="24"/>
      <c r="AA296" s="24"/>
      <c r="AC296" s="24"/>
      <c r="AD296" s="47"/>
      <c r="AE296" s="24"/>
      <c r="AF296" s="24"/>
      <c r="AG296" s="24"/>
      <c r="AH296" s="24"/>
      <c r="AI296" s="24"/>
    </row>
    <row r="297" spans="1:35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 t="str">
        <f>IFERROR(IF(ISBLANK(U297),"",INDEX(Gen_Vessels!$A$3:$C$495,MATCH(InspectionSite!$U297,Gen_Vessels!$C$3:$C$495,0),1)),"")</f>
        <v/>
      </c>
      <c r="W297" s="24"/>
      <c r="X297" s="24"/>
      <c r="Y297" s="24"/>
      <c r="Z297" s="24"/>
      <c r="AA297" s="24"/>
      <c r="AC297" s="24"/>
      <c r="AD297" s="47"/>
      <c r="AE297" s="24"/>
      <c r="AF297" s="24"/>
      <c r="AG297" s="24"/>
      <c r="AH297" s="24"/>
      <c r="AI297" s="24"/>
    </row>
    <row r="298" spans="1:35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 t="str">
        <f>IFERROR(IF(ISBLANK(U298),"",INDEX(Gen_Vessels!$A$3:$C$495,MATCH(InspectionSite!$U298,Gen_Vessels!$C$3:$C$495,0),1)),"")</f>
        <v/>
      </c>
      <c r="W298" s="24"/>
      <c r="X298" s="24"/>
      <c r="Y298" s="24"/>
      <c r="Z298" s="24"/>
      <c r="AA298" s="24"/>
      <c r="AC298" s="24"/>
      <c r="AD298" s="47"/>
      <c r="AE298" s="24"/>
      <c r="AF298" s="24"/>
      <c r="AG298" s="24"/>
      <c r="AH298" s="24"/>
      <c r="AI298" s="24"/>
    </row>
    <row r="299" spans="1:35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 t="str">
        <f>IFERROR(IF(ISBLANK(U299),"",INDEX(Gen_Vessels!$A$3:$C$495,MATCH(InspectionSite!$U299,Gen_Vessels!$C$3:$C$495,0),1)),"")</f>
        <v/>
      </c>
      <c r="W299" s="24"/>
      <c r="X299" s="24"/>
      <c r="Y299" s="24"/>
      <c r="Z299" s="24"/>
      <c r="AA299" s="24"/>
      <c r="AC299" s="24"/>
      <c r="AD299" s="47"/>
      <c r="AE299" s="24"/>
      <c r="AF299" s="24"/>
      <c r="AG299" s="24"/>
      <c r="AH299" s="24"/>
      <c r="AI299" s="24"/>
    </row>
    <row r="300" spans="1:35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 t="str">
        <f>IFERROR(IF(ISBLANK(U300),"",INDEX(Gen_Vessels!$A$3:$C$495,MATCH(InspectionSite!$U300,Gen_Vessels!$C$3:$C$495,0),1)),"")</f>
        <v/>
      </c>
      <c r="W300" s="24"/>
      <c r="X300" s="24"/>
      <c r="Y300" s="24"/>
      <c r="Z300" s="24"/>
      <c r="AA300" s="24"/>
      <c r="AC300" s="24"/>
      <c r="AD300" s="47"/>
      <c r="AE300" s="24"/>
      <c r="AF300" s="24"/>
      <c r="AG300" s="24"/>
      <c r="AH300" s="24"/>
      <c r="AI300" s="24"/>
    </row>
    <row r="301" spans="1:35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 t="str">
        <f>IFERROR(IF(ISBLANK(U301),"",INDEX(Gen_Vessels!$A$3:$C$495,MATCH(InspectionSite!$U301,Gen_Vessels!$C$3:$C$495,0),1)),"")</f>
        <v/>
      </c>
      <c r="W301" s="24"/>
      <c r="X301" s="24"/>
      <c r="Y301" s="24"/>
      <c r="Z301" s="24"/>
      <c r="AA301" s="24"/>
      <c r="AC301" s="24"/>
      <c r="AD301" s="47"/>
      <c r="AE301" s="24"/>
      <c r="AF301" s="24"/>
      <c r="AG301" s="24"/>
      <c r="AH301" s="24"/>
      <c r="AI301" s="24"/>
    </row>
    <row r="302" spans="1:35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 t="str">
        <f>IFERROR(IF(ISBLANK(U302),"",INDEX(Gen_Vessels!$A$3:$C$495,MATCH(InspectionSite!$U302,Gen_Vessels!$C$3:$C$495,0),1)),"")</f>
        <v/>
      </c>
      <c r="W302" s="24"/>
      <c r="X302" s="24"/>
      <c r="Y302" s="24"/>
      <c r="Z302" s="24"/>
      <c r="AA302" s="24"/>
      <c r="AC302" s="24"/>
      <c r="AD302" s="47"/>
      <c r="AE302" s="24"/>
      <c r="AF302" s="24"/>
      <c r="AG302" s="24"/>
      <c r="AH302" s="24"/>
      <c r="AI302" s="24"/>
    </row>
    <row r="303" spans="1:35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 t="str">
        <f>IFERROR(IF(ISBLANK(U303),"",INDEX(Gen_Vessels!$A$3:$C$495,MATCH(InspectionSite!$U303,Gen_Vessels!$C$3:$C$495,0),1)),"")</f>
        <v/>
      </c>
      <c r="W303" s="24"/>
      <c r="X303" s="24"/>
      <c r="Y303" s="24"/>
      <c r="Z303" s="24"/>
      <c r="AA303" s="24"/>
      <c r="AC303" s="24"/>
      <c r="AD303" s="47"/>
      <c r="AE303" s="24"/>
      <c r="AF303" s="24"/>
      <c r="AG303" s="24"/>
      <c r="AH303" s="24"/>
      <c r="AI303" s="24"/>
    </row>
    <row r="304" spans="1:35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 t="str">
        <f>IFERROR(IF(ISBLANK(U304),"",INDEX(Gen_Vessels!$A$3:$C$495,MATCH(InspectionSite!$U304,Gen_Vessels!$C$3:$C$495,0),1)),"")</f>
        <v/>
      </c>
      <c r="W304" s="24"/>
      <c r="X304" s="24"/>
      <c r="Y304" s="24"/>
      <c r="Z304" s="24"/>
      <c r="AA304" s="24"/>
      <c r="AC304" s="24"/>
      <c r="AD304" s="47"/>
      <c r="AE304" s="24"/>
      <c r="AF304" s="24"/>
      <c r="AG304" s="24"/>
      <c r="AH304" s="24"/>
      <c r="AI304" s="24"/>
    </row>
    <row r="305" spans="1:35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 t="str">
        <f>IFERROR(IF(ISBLANK(U305),"",INDEX(Gen_Vessels!$A$3:$C$495,MATCH(InspectionSite!$U305,Gen_Vessels!$C$3:$C$495,0),1)),"")</f>
        <v/>
      </c>
      <c r="W305" s="24"/>
      <c r="X305" s="24"/>
      <c r="Y305" s="24"/>
      <c r="Z305" s="24"/>
      <c r="AA305" s="24"/>
      <c r="AC305" s="24"/>
      <c r="AD305" s="47"/>
      <c r="AE305" s="24"/>
      <c r="AF305" s="24"/>
      <c r="AG305" s="24"/>
      <c r="AH305" s="24"/>
      <c r="AI305" s="24"/>
    </row>
    <row r="306" spans="1:35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 t="str">
        <f>IFERROR(IF(ISBLANK(U306),"",INDEX(Gen_Vessels!$A$3:$C$495,MATCH(InspectionSite!$U306,Gen_Vessels!$C$3:$C$495,0),1)),"")</f>
        <v/>
      </c>
      <c r="W306" s="24"/>
      <c r="X306" s="24"/>
      <c r="Y306" s="24"/>
      <c r="Z306" s="24"/>
      <c r="AA306" s="24"/>
      <c r="AC306" s="24"/>
      <c r="AD306" s="47"/>
      <c r="AE306" s="24"/>
      <c r="AF306" s="24"/>
      <c r="AG306" s="24"/>
      <c r="AH306" s="24"/>
      <c r="AI306" s="24"/>
    </row>
    <row r="307" spans="1:35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 t="str">
        <f>IFERROR(IF(ISBLANK(U307),"",INDEX(Gen_Vessels!$A$3:$C$495,MATCH(InspectionSite!$U307,Gen_Vessels!$C$3:$C$495,0),1)),"")</f>
        <v/>
      </c>
      <c r="W307" s="24"/>
      <c r="X307" s="24"/>
      <c r="Y307" s="24"/>
      <c r="Z307" s="24"/>
      <c r="AA307" s="24"/>
      <c r="AC307" s="24"/>
      <c r="AD307" s="47"/>
      <c r="AE307" s="24"/>
      <c r="AF307" s="24"/>
      <c r="AG307" s="24"/>
      <c r="AH307" s="24"/>
      <c r="AI307" s="24"/>
    </row>
    <row r="308" spans="1:35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 t="str">
        <f>IFERROR(IF(ISBLANK(U308),"",INDEX(Gen_Vessels!$A$3:$C$495,MATCH(InspectionSite!$U308,Gen_Vessels!$C$3:$C$495,0),1)),"")</f>
        <v/>
      </c>
      <c r="W308" s="24"/>
      <c r="X308" s="24"/>
      <c r="Y308" s="24"/>
      <c r="Z308" s="24"/>
      <c r="AA308" s="24"/>
      <c r="AC308" s="24"/>
      <c r="AD308" s="47"/>
      <c r="AE308" s="24"/>
      <c r="AF308" s="24"/>
      <c r="AG308" s="24"/>
      <c r="AH308" s="24"/>
      <c r="AI308" s="24"/>
    </row>
    <row r="309" spans="1:35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 t="str">
        <f>IFERROR(IF(ISBLANK(U309),"",INDEX(Gen_Vessels!$A$3:$C$495,MATCH(InspectionSite!$U309,Gen_Vessels!$C$3:$C$495,0),1)),"")</f>
        <v/>
      </c>
      <c r="W309" s="24"/>
      <c r="X309" s="24"/>
      <c r="Y309" s="24"/>
      <c r="Z309" s="24"/>
      <c r="AA309" s="24"/>
      <c r="AC309" s="24"/>
      <c r="AD309" s="47"/>
      <c r="AE309" s="24"/>
      <c r="AF309" s="24"/>
      <c r="AG309" s="24"/>
      <c r="AH309" s="24"/>
      <c r="AI309" s="24"/>
    </row>
    <row r="310" spans="1:35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 t="str">
        <f>IFERROR(IF(ISBLANK(U310),"",INDEX(Gen_Vessels!$A$3:$C$495,MATCH(InspectionSite!$U310,Gen_Vessels!$C$3:$C$495,0),1)),"")</f>
        <v/>
      </c>
      <c r="W310" s="24"/>
      <c r="X310" s="24"/>
      <c r="Y310" s="24"/>
      <c r="Z310" s="24"/>
      <c r="AA310" s="24"/>
      <c r="AC310" s="24"/>
      <c r="AD310" s="47"/>
      <c r="AE310" s="24"/>
      <c r="AF310" s="24"/>
      <c r="AG310" s="24"/>
      <c r="AH310" s="24"/>
      <c r="AI310" s="24"/>
    </row>
    <row r="311" spans="1:35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 t="str">
        <f>IFERROR(IF(ISBLANK(U311),"",INDEX(Gen_Vessels!$A$3:$C$495,MATCH(InspectionSite!$U311,Gen_Vessels!$C$3:$C$495,0),1)),"")</f>
        <v/>
      </c>
      <c r="W311" s="24"/>
      <c r="X311" s="24"/>
      <c r="Y311" s="24"/>
      <c r="Z311" s="24"/>
      <c r="AA311" s="24"/>
      <c r="AC311" s="24"/>
      <c r="AD311" s="47"/>
      <c r="AE311" s="24"/>
      <c r="AF311" s="24"/>
      <c r="AG311" s="24"/>
      <c r="AH311" s="24"/>
      <c r="AI311" s="24"/>
    </row>
    <row r="312" spans="1:35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 t="str">
        <f>IFERROR(IF(ISBLANK(U312),"",INDEX(Gen_Vessels!$A$3:$C$495,MATCH(InspectionSite!$U312,Gen_Vessels!$C$3:$C$495,0),1)),"")</f>
        <v/>
      </c>
      <c r="W312" s="24"/>
      <c r="X312" s="24"/>
      <c r="Y312" s="24"/>
      <c r="Z312" s="24"/>
      <c r="AA312" s="24"/>
      <c r="AC312" s="24"/>
      <c r="AD312" s="47"/>
      <c r="AE312" s="24"/>
      <c r="AF312" s="24"/>
      <c r="AG312" s="24"/>
      <c r="AH312" s="24"/>
      <c r="AI312" s="24"/>
    </row>
    <row r="313" spans="1:35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 t="str">
        <f>IFERROR(IF(ISBLANK(U313),"",INDEX(Gen_Vessels!$A$3:$C$495,MATCH(InspectionSite!$U313,Gen_Vessels!$C$3:$C$495,0),1)),"")</f>
        <v/>
      </c>
      <c r="W313" s="24"/>
      <c r="X313" s="24"/>
      <c r="Y313" s="24"/>
      <c r="Z313" s="24"/>
      <c r="AA313" s="24"/>
      <c r="AC313" s="24"/>
      <c r="AD313" s="47"/>
      <c r="AE313" s="24"/>
      <c r="AF313" s="24"/>
      <c r="AG313" s="24"/>
      <c r="AH313" s="24"/>
      <c r="AI313" s="24"/>
    </row>
    <row r="314" spans="1:35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 t="str">
        <f>IFERROR(IF(ISBLANK(U314),"",INDEX(Gen_Vessels!$A$3:$C$495,MATCH(InspectionSite!$U314,Gen_Vessels!$C$3:$C$495,0),1)),"")</f>
        <v/>
      </c>
      <c r="W314" s="24"/>
      <c r="X314" s="24"/>
      <c r="Y314" s="24"/>
      <c r="Z314" s="24"/>
      <c r="AA314" s="24"/>
      <c r="AC314" s="24"/>
      <c r="AD314" s="47"/>
      <c r="AE314" s="24"/>
      <c r="AF314" s="24"/>
      <c r="AG314" s="24"/>
      <c r="AH314" s="24"/>
      <c r="AI314" s="24"/>
    </row>
    <row r="315" spans="1:35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 t="str">
        <f>IFERROR(IF(ISBLANK(U315),"",INDEX(Gen_Vessels!$A$3:$C$495,MATCH(InspectionSite!$U315,Gen_Vessels!$C$3:$C$495,0),1)),"")</f>
        <v/>
      </c>
      <c r="W315" s="24"/>
      <c r="X315" s="24"/>
      <c r="Y315" s="24"/>
      <c r="Z315" s="24"/>
      <c r="AA315" s="24"/>
      <c r="AC315" s="24"/>
      <c r="AD315" s="47"/>
      <c r="AE315" s="24"/>
      <c r="AF315" s="24"/>
      <c r="AG315" s="24"/>
      <c r="AH315" s="24"/>
      <c r="AI315" s="24"/>
    </row>
    <row r="316" spans="1:35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 t="str">
        <f>IFERROR(IF(ISBLANK(U316),"",INDEX(Gen_Vessels!$A$3:$C$495,MATCH(InspectionSite!$U316,Gen_Vessels!$C$3:$C$495,0),1)),"")</f>
        <v/>
      </c>
      <c r="W316" s="24"/>
      <c r="X316" s="24"/>
      <c r="Y316" s="24"/>
      <c r="Z316" s="24"/>
      <c r="AA316" s="24"/>
      <c r="AC316" s="24"/>
      <c r="AD316" s="47"/>
      <c r="AE316" s="24"/>
      <c r="AF316" s="24"/>
      <c r="AG316" s="24"/>
      <c r="AH316" s="24"/>
      <c r="AI316" s="24"/>
    </row>
    <row r="317" spans="1:35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 t="str">
        <f>IFERROR(IF(ISBLANK(U317),"",INDEX(Gen_Vessels!$A$3:$C$495,MATCH(InspectionSite!$U317,Gen_Vessels!$C$3:$C$495,0),1)),"")</f>
        <v/>
      </c>
      <c r="W317" s="24"/>
      <c r="X317" s="24"/>
      <c r="Y317" s="24"/>
      <c r="Z317" s="24"/>
      <c r="AA317" s="24"/>
      <c r="AC317" s="24"/>
      <c r="AD317" s="47"/>
      <c r="AE317" s="24"/>
      <c r="AF317" s="24"/>
      <c r="AG317" s="24"/>
      <c r="AH317" s="24"/>
      <c r="AI317" s="24"/>
    </row>
    <row r="318" spans="1:35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 t="str">
        <f>IFERROR(IF(ISBLANK(U318),"",INDEX(Gen_Vessels!$A$3:$C$495,MATCH(InspectionSite!$U318,Gen_Vessels!$C$3:$C$495,0),1)),"")</f>
        <v/>
      </c>
      <c r="W318" s="24"/>
      <c r="X318" s="24"/>
      <c r="Y318" s="24"/>
      <c r="Z318" s="24"/>
      <c r="AA318" s="24"/>
      <c r="AC318" s="24"/>
      <c r="AD318" s="47"/>
      <c r="AE318" s="24"/>
      <c r="AF318" s="24"/>
      <c r="AG318" s="24"/>
      <c r="AH318" s="24"/>
      <c r="AI318" s="24"/>
    </row>
    <row r="319" spans="1:35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 t="str">
        <f>IFERROR(IF(ISBLANK(U319),"",INDEX(Gen_Vessels!$A$3:$C$495,MATCH(InspectionSite!$U319,Gen_Vessels!$C$3:$C$495,0),1)),"")</f>
        <v/>
      </c>
      <c r="W319" s="24"/>
      <c r="X319" s="24"/>
      <c r="Y319" s="24"/>
      <c r="Z319" s="24"/>
      <c r="AA319" s="24"/>
      <c r="AC319" s="24"/>
      <c r="AD319" s="47"/>
      <c r="AE319" s="24"/>
      <c r="AF319" s="24"/>
      <c r="AG319" s="24"/>
      <c r="AH319" s="24"/>
      <c r="AI319" s="24"/>
    </row>
    <row r="320" spans="1:35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 t="str">
        <f>IFERROR(IF(ISBLANK(U320),"",INDEX(Gen_Vessels!$A$3:$C$495,MATCH(InspectionSite!$U320,Gen_Vessels!$C$3:$C$495,0),1)),"")</f>
        <v/>
      </c>
      <c r="W320" s="24"/>
      <c r="X320" s="24"/>
      <c r="Y320" s="24"/>
      <c r="Z320" s="24"/>
      <c r="AA320" s="24"/>
      <c r="AC320" s="24"/>
      <c r="AD320" s="47"/>
      <c r="AE320" s="24"/>
      <c r="AF320" s="24"/>
      <c r="AG320" s="24"/>
      <c r="AH320" s="24"/>
      <c r="AI320" s="24"/>
    </row>
    <row r="321" spans="1:35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 t="str">
        <f>IFERROR(IF(ISBLANK(U321),"",INDEX(Gen_Vessels!$A$3:$C$495,MATCH(InspectionSite!$U321,Gen_Vessels!$C$3:$C$495,0),1)),"")</f>
        <v/>
      </c>
      <c r="W321" s="24"/>
      <c r="X321" s="24"/>
      <c r="Y321" s="24"/>
      <c r="Z321" s="24"/>
      <c r="AA321" s="24"/>
      <c r="AC321" s="24"/>
      <c r="AD321" s="47"/>
      <c r="AE321" s="24"/>
      <c r="AF321" s="24"/>
      <c r="AG321" s="24"/>
      <c r="AH321" s="24"/>
      <c r="AI321" s="24"/>
    </row>
    <row r="322" spans="1:35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 t="str">
        <f>IFERROR(IF(ISBLANK(U322),"",INDEX(Gen_Vessels!$A$3:$C$495,MATCH(InspectionSite!$U322,Gen_Vessels!$C$3:$C$495,0),1)),"")</f>
        <v/>
      </c>
      <c r="W322" s="24"/>
      <c r="X322" s="24"/>
      <c r="Y322" s="24"/>
      <c r="Z322" s="24"/>
      <c r="AA322" s="24"/>
      <c r="AC322" s="24"/>
      <c r="AD322" s="47"/>
      <c r="AE322" s="24"/>
      <c r="AF322" s="24"/>
      <c r="AG322" s="24"/>
      <c r="AH322" s="24"/>
      <c r="AI322" s="24"/>
    </row>
    <row r="323" spans="1:35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 t="str">
        <f>IFERROR(IF(ISBLANK(U323),"",INDEX(Gen_Vessels!$A$3:$C$495,MATCH(InspectionSite!$U323,Gen_Vessels!$C$3:$C$495,0),1)),"")</f>
        <v/>
      </c>
      <c r="W323" s="24"/>
      <c r="X323" s="24"/>
      <c r="Y323" s="24"/>
      <c r="Z323" s="24"/>
      <c r="AA323" s="24"/>
      <c r="AC323" s="24"/>
      <c r="AD323" s="47"/>
      <c r="AE323" s="24"/>
      <c r="AF323" s="24"/>
      <c r="AG323" s="24"/>
      <c r="AH323" s="24"/>
      <c r="AI323" s="24"/>
    </row>
    <row r="324" spans="1:35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 t="str">
        <f>IFERROR(IF(ISBLANK(U324),"",INDEX(Gen_Vessels!$A$3:$C$495,MATCH(InspectionSite!$U324,Gen_Vessels!$C$3:$C$495,0),1)),"")</f>
        <v/>
      </c>
      <c r="W324" s="24"/>
      <c r="X324" s="24"/>
      <c r="Y324" s="24"/>
      <c r="Z324" s="24"/>
      <c r="AA324" s="24"/>
      <c r="AC324" s="24"/>
      <c r="AD324" s="47"/>
      <c r="AE324" s="24"/>
      <c r="AF324" s="24"/>
      <c r="AG324" s="24"/>
      <c r="AH324" s="24"/>
      <c r="AI324" s="24"/>
    </row>
    <row r="325" spans="1:35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 t="str">
        <f>IFERROR(IF(ISBLANK(U325),"",INDEX(Gen_Vessels!$A$3:$C$495,MATCH(InspectionSite!$U325,Gen_Vessels!$C$3:$C$495,0),1)),"")</f>
        <v/>
      </c>
      <c r="W325" s="24"/>
      <c r="X325" s="24"/>
      <c r="Y325" s="24"/>
      <c r="Z325" s="24"/>
      <c r="AA325" s="24"/>
      <c r="AC325" s="24"/>
      <c r="AD325" s="47"/>
      <c r="AE325" s="24"/>
      <c r="AF325" s="24"/>
      <c r="AG325" s="24"/>
      <c r="AH325" s="24"/>
      <c r="AI325" s="24"/>
    </row>
    <row r="326" spans="1:35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 t="str">
        <f>IFERROR(IF(ISBLANK(U326),"",INDEX(Gen_Vessels!$A$3:$C$495,MATCH(InspectionSite!$U326,Gen_Vessels!$C$3:$C$495,0),1)),"")</f>
        <v/>
      </c>
      <c r="W326" s="24"/>
      <c r="X326" s="24"/>
      <c r="Y326" s="24"/>
      <c r="Z326" s="24"/>
      <c r="AA326" s="24"/>
      <c r="AC326" s="24"/>
      <c r="AD326" s="47"/>
      <c r="AE326" s="24"/>
      <c r="AF326" s="24"/>
      <c r="AG326" s="24"/>
      <c r="AH326" s="24"/>
      <c r="AI326" s="24"/>
    </row>
    <row r="327" spans="1:35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 t="str">
        <f>IFERROR(IF(ISBLANK(U327),"",INDEX(Gen_Vessels!$A$3:$C$495,MATCH(InspectionSite!$U327,Gen_Vessels!$C$3:$C$495,0),1)),"")</f>
        <v/>
      </c>
      <c r="W327" s="24"/>
      <c r="X327" s="24"/>
      <c r="Y327" s="24"/>
      <c r="Z327" s="24"/>
      <c r="AA327" s="24"/>
      <c r="AC327" s="24"/>
      <c r="AD327" s="47"/>
      <c r="AE327" s="24"/>
      <c r="AF327" s="24"/>
      <c r="AG327" s="24"/>
      <c r="AH327" s="24"/>
      <c r="AI327" s="24"/>
    </row>
    <row r="328" spans="1:35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 t="str">
        <f>IFERROR(IF(ISBLANK(U328),"",INDEX(Gen_Vessels!$A$3:$C$495,MATCH(InspectionSite!$U328,Gen_Vessels!$C$3:$C$495,0),1)),"")</f>
        <v/>
      </c>
      <c r="W328" s="24"/>
      <c r="X328" s="24"/>
      <c r="Y328" s="24"/>
      <c r="Z328" s="24"/>
      <c r="AA328" s="24"/>
      <c r="AC328" s="24"/>
      <c r="AD328" s="47"/>
      <c r="AE328" s="24"/>
      <c r="AF328" s="24"/>
      <c r="AG328" s="24"/>
      <c r="AH328" s="24"/>
      <c r="AI328" s="24"/>
    </row>
    <row r="329" spans="1:35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 t="str">
        <f>IFERROR(IF(ISBLANK(U329),"",INDEX(Gen_Vessels!$A$3:$C$495,MATCH(InspectionSite!$U329,Gen_Vessels!$C$3:$C$495,0),1)),"")</f>
        <v/>
      </c>
      <c r="W329" s="24"/>
      <c r="X329" s="24"/>
      <c r="Y329" s="24"/>
      <c r="Z329" s="24"/>
      <c r="AA329" s="24"/>
      <c r="AC329" s="24"/>
      <c r="AD329" s="47"/>
      <c r="AE329" s="24"/>
      <c r="AF329" s="24"/>
      <c r="AG329" s="24"/>
      <c r="AH329" s="24"/>
      <c r="AI329" s="24"/>
    </row>
    <row r="330" spans="1:35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 t="str">
        <f>IFERROR(IF(ISBLANK(U330),"",INDEX(Gen_Vessels!$A$3:$C$495,MATCH(InspectionSite!$U330,Gen_Vessels!$C$3:$C$495,0),1)),"")</f>
        <v/>
      </c>
      <c r="W330" s="24"/>
      <c r="X330" s="24"/>
      <c r="Y330" s="24"/>
      <c r="Z330" s="24"/>
      <c r="AA330" s="24"/>
      <c r="AC330" s="24"/>
      <c r="AD330" s="47"/>
      <c r="AE330" s="24"/>
      <c r="AF330" s="24"/>
      <c r="AG330" s="24"/>
      <c r="AH330" s="24"/>
      <c r="AI330" s="24"/>
    </row>
    <row r="331" spans="1:35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 t="str">
        <f>IFERROR(IF(ISBLANK(U331),"",INDEX(Gen_Vessels!$A$3:$C$495,MATCH(InspectionSite!$U331,Gen_Vessels!$C$3:$C$495,0),1)),"")</f>
        <v/>
      </c>
      <c r="W331" s="24"/>
      <c r="X331" s="24"/>
      <c r="Y331" s="24"/>
      <c r="Z331" s="24"/>
      <c r="AA331" s="24"/>
      <c r="AC331" s="24"/>
      <c r="AD331" s="47"/>
      <c r="AE331" s="24"/>
      <c r="AF331" s="24"/>
      <c r="AG331" s="24"/>
      <c r="AH331" s="24"/>
      <c r="AI331" s="24"/>
    </row>
    <row r="332" spans="1:35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 t="str">
        <f>IFERROR(IF(ISBLANK(U332),"",INDEX(Gen_Vessels!$A$3:$C$495,MATCH(InspectionSite!$U332,Gen_Vessels!$C$3:$C$495,0),1)),"")</f>
        <v/>
      </c>
      <c r="W332" s="24"/>
      <c r="X332" s="24"/>
      <c r="Y332" s="24"/>
      <c r="Z332" s="24"/>
      <c r="AA332" s="24"/>
      <c r="AC332" s="24"/>
      <c r="AD332" s="47"/>
      <c r="AE332" s="24"/>
      <c r="AF332" s="24"/>
      <c r="AG332" s="24"/>
      <c r="AH332" s="24"/>
      <c r="AI332" s="24"/>
    </row>
    <row r="333" spans="1:35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 t="str">
        <f>IFERROR(IF(ISBLANK(U333),"",INDEX(Gen_Vessels!$A$3:$C$495,MATCH(InspectionSite!$U333,Gen_Vessels!$C$3:$C$495,0),1)),"")</f>
        <v/>
      </c>
      <c r="W333" s="24"/>
      <c r="X333" s="24"/>
      <c r="Y333" s="24"/>
      <c r="Z333" s="24"/>
      <c r="AA333" s="24"/>
      <c r="AC333" s="24"/>
      <c r="AD333" s="47"/>
      <c r="AE333" s="24"/>
      <c r="AF333" s="24"/>
      <c r="AG333" s="24"/>
      <c r="AH333" s="24"/>
      <c r="AI333" s="24"/>
    </row>
    <row r="334" spans="1:35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 t="str">
        <f>IFERROR(IF(ISBLANK(U334),"",INDEX(Gen_Vessels!$A$3:$C$495,MATCH(InspectionSite!$U334,Gen_Vessels!$C$3:$C$495,0),1)),"")</f>
        <v/>
      </c>
      <c r="W334" s="24"/>
      <c r="X334" s="24"/>
      <c r="Y334" s="24"/>
      <c r="Z334" s="24"/>
      <c r="AA334" s="24"/>
      <c r="AC334" s="24"/>
      <c r="AD334" s="47"/>
      <c r="AE334" s="24"/>
      <c r="AF334" s="24"/>
      <c r="AG334" s="24"/>
      <c r="AH334" s="24"/>
      <c r="AI334" s="24"/>
    </row>
    <row r="335" spans="1:35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 t="str">
        <f>IFERROR(IF(ISBLANK(U335),"",INDEX(Gen_Vessels!$A$3:$C$495,MATCH(InspectionSite!$U335,Gen_Vessels!$C$3:$C$495,0),1)),"")</f>
        <v/>
      </c>
      <c r="W335" s="24"/>
      <c r="X335" s="24"/>
      <c r="Y335" s="24"/>
      <c r="Z335" s="24"/>
      <c r="AA335" s="24"/>
      <c r="AC335" s="24"/>
      <c r="AD335" s="47"/>
      <c r="AE335" s="24"/>
      <c r="AF335" s="24"/>
      <c r="AG335" s="24"/>
      <c r="AH335" s="24"/>
      <c r="AI335" s="24"/>
    </row>
    <row r="336" spans="1:35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 t="str">
        <f>IFERROR(IF(ISBLANK(U336),"",INDEX(Gen_Vessels!$A$3:$C$495,MATCH(InspectionSite!$U336,Gen_Vessels!$C$3:$C$495,0),1)),"")</f>
        <v/>
      </c>
      <c r="W336" s="24"/>
      <c r="X336" s="24"/>
      <c r="Y336" s="24"/>
      <c r="Z336" s="24"/>
      <c r="AA336" s="24"/>
      <c r="AC336" s="24"/>
      <c r="AD336" s="47"/>
      <c r="AE336" s="24"/>
      <c r="AF336" s="24"/>
      <c r="AG336" s="24"/>
      <c r="AH336" s="24"/>
      <c r="AI336" s="24"/>
    </row>
    <row r="337" spans="1:35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 t="str">
        <f>IFERROR(IF(ISBLANK(U337),"",INDEX(Gen_Vessels!$A$3:$C$495,MATCH(InspectionSite!$U337,Gen_Vessels!$C$3:$C$495,0),1)),"")</f>
        <v/>
      </c>
      <c r="W337" s="24"/>
      <c r="X337" s="24"/>
      <c r="Y337" s="24"/>
      <c r="Z337" s="24"/>
      <c r="AA337" s="24"/>
      <c r="AC337" s="24"/>
      <c r="AD337" s="47"/>
      <c r="AE337" s="24"/>
      <c r="AF337" s="24"/>
      <c r="AG337" s="24"/>
      <c r="AH337" s="24"/>
      <c r="AI337" s="24"/>
    </row>
    <row r="338" spans="1:35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 t="str">
        <f>IFERROR(IF(ISBLANK(U338),"",INDEX(Gen_Vessels!$A$3:$C$495,MATCH(InspectionSite!$U338,Gen_Vessels!$C$3:$C$495,0),1)),"")</f>
        <v/>
      </c>
      <c r="W338" s="24"/>
      <c r="X338" s="24"/>
      <c r="Y338" s="24"/>
      <c r="Z338" s="24"/>
      <c r="AA338" s="24"/>
      <c r="AC338" s="24"/>
      <c r="AD338" s="47"/>
      <c r="AE338" s="24"/>
      <c r="AF338" s="24"/>
      <c r="AG338" s="24"/>
      <c r="AH338" s="24"/>
      <c r="AI338" s="24"/>
    </row>
    <row r="339" spans="1:35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 t="str">
        <f>IFERROR(IF(ISBLANK(U339),"",INDEX(Gen_Vessels!$A$3:$C$495,MATCH(InspectionSite!$U339,Gen_Vessels!$C$3:$C$495,0),1)),"")</f>
        <v/>
      </c>
      <c r="W339" s="24"/>
      <c r="X339" s="24"/>
      <c r="Y339" s="24"/>
      <c r="Z339" s="24"/>
      <c r="AA339" s="24"/>
      <c r="AC339" s="24"/>
      <c r="AD339" s="47"/>
      <c r="AE339" s="24"/>
      <c r="AF339" s="24"/>
      <c r="AG339" s="24"/>
      <c r="AH339" s="24"/>
      <c r="AI339" s="24"/>
    </row>
    <row r="340" spans="1:35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 t="str">
        <f>IFERROR(IF(ISBLANK(U340),"",INDEX(Gen_Vessels!$A$3:$C$495,MATCH(InspectionSite!$U340,Gen_Vessels!$C$3:$C$495,0),1)),"")</f>
        <v/>
      </c>
      <c r="W340" s="24"/>
      <c r="X340" s="24"/>
      <c r="Y340" s="24"/>
      <c r="Z340" s="24"/>
      <c r="AA340" s="24"/>
      <c r="AC340" s="24"/>
      <c r="AD340" s="47"/>
      <c r="AE340" s="24"/>
      <c r="AF340" s="24"/>
      <c r="AG340" s="24"/>
      <c r="AH340" s="24"/>
      <c r="AI340" s="24"/>
    </row>
    <row r="341" spans="1:35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 t="str">
        <f>IFERROR(IF(ISBLANK(U341),"",INDEX(Gen_Vessels!$A$3:$C$495,MATCH(InspectionSite!$U341,Gen_Vessels!$C$3:$C$495,0),1)),"")</f>
        <v/>
      </c>
      <c r="W341" s="24"/>
      <c r="X341" s="24"/>
      <c r="Y341" s="24"/>
      <c r="Z341" s="24"/>
      <c r="AA341" s="24"/>
      <c r="AC341" s="24"/>
      <c r="AD341" s="47"/>
      <c r="AE341" s="24"/>
      <c r="AF341" s="24"/>
      <c r="AG341" s="24"/>
      <c r="AH341" s="24"/>
      <c r="AI341" s="24"/>
    </row>
    <row r="342" spans="1:35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 t="str">
        <f>IFERROR(IF(ISBLANK(U342),"",INDEX(Gen_Vessels!$A$3:$C$495,MATCH(InspectionSite!$U342,Gen_Vessels!$C$3:$C$495,0),1)),"")</f>
        <v/>
      </c>
      <c r="W342" s="24"/>
      <c r="X342" s="24"/>
      <c r="Y342" s="24"/>
      <c r="Z342" s="24"/>
      <c r="AA342" s="24"/>
      <c r="AC342" s="24"/>
      <c r="AD342" s="47"/>
      <c r="AE342" s="24"/>
      <c r="AF342" s="24"/>
      <c r="AG342" s="24"/>
      <c r="AH342" s="24"/>
      <c r="AI342" s="24"/>
    </row>
    <row r="343" spans="1:35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 t="str">
        <f>IFERROR(IF(ISBLANK(U343),"",INDEX(Gen_Vessels!$A$3:$C$495,MATCH(InspectionSite!$U343,Gen_Vessels!$C$3:$C$495,0),1)),"")</f>
        <v/>
      </c>
      <c r="W343" s="24"/>
      <c r="X343" s="24"/>
      <c r="Y343" s="24"/>
      <c r="Z343" s="24"/>
      <c r="AA343" s="24"/>
      <c r="AC343" s="24"/>
      <c r="AD343" s="47"/>
      <c r="AE343" s="24"/>
      <c r="AF343" s="24"/>
      <c r="AG343" s="24"/>
      <c r="AH343" s="24"/>
      <c r="AI343" s="24"/>
    </row>
    <row r="344" spans="1:35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 t="str">
        <f>IFERROR(IF(ISBLANK(U344),"",INDEX(Gen_Vessels!$A$3:$C$495,MATCH(InspectionSite!$U344,Gen_Vessels!$C$3:$C$495,0),1)),"")</f>
        <v/>
      </c>
      <c r="W344" s="24"/>
      <c r="X344" s="24"/>
      <c r="Y344" s="24"/>
      <c r="Z344" s="24"/>
      <c r="AA344" s="24"/>
      <c r="AC344" s="24"/>
      <c r="AD344" s="47"/>
      <c r="AE344" s="24"/>
      <c r="AF344" s="24"/>
      <c r="AG344" s="24"/>
      <c r="AH344" s="24"/>
      <c r="AI344" s="24"/>
    </row>
    <row r="345" spans="1:35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 t="str">
        <f>IFERROR(IF(ISBLANK(U345),"",INDEX(Gen_Vessels!$A$3:$C$495,MATCH(InspectionSite!$U345,Gen_Vessels!$C$3:$C$495,0),1)),"")</f>
        <v/>
      </c>
      <c r="W345" s="24"/>
      <c r="X345" s="24"/>
      <c r="Y345" s="24"/>
      <c r="Z345" s="24"/>
      <c r="AA345" s="24"/>
      <c r="AC345" s="24"/>
      <c r="AD345" s="47"/>
      <c r="AE345" s="24"/>
      <c r="AF345" s="24"/>
      <c r="AG345" s="24"/>
      <c r="AH345" s="24"/>
      <c r="AI345" s="24"/>
    </row>
    <row r="346" spans="1:35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 t="str">
        <f>IFERROR(IF(ISBLANK(U346),"",INDEX(Gen_Vessels!$A$3:$C$495,MATCH(InspectionSite!$U346,Gen_Vessels!$C$3:$C$495,0),1)),"")</f>
        <v/>
      </c>
      <c r="W346" s="24"/>
      <c r="X346" s="24"/>
      <c r="Y346" s="24"/>
      <c r="Z346" s="24"/>
      <c r="AA346" s="24"/>
      <c r="AC346" s="24"/>
      <c r="AD346" s="47"/>
      <c r="AE346" s="24"/>
      <c r="AF346" s="24"/>
      <c r="AG346" s="24"/>
      <c r="AH346" s="24"/>
      <c r="AI346" s="24"/>
    </row>
    <row r="347" spans="1:35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 t="str">
        <f>IFERROR(IF(ISBLANK(U347),"",INDEX(Gen_Vessels!$A$3:$C$495,MATCH(InspectionSite!$U347,Gen_Vessels!$C$3:$C$495,0),1)),"")</f>
        <v/>
      </c>
      <c r="W347" s="24"/>
      <c r="X347" s="24"/>
      <c r="Y347" s="24"/>
      <c r="Z347" s="24"/>
      <c r="AA347" s="24"/>
      <c r="AC347" s="24"/>
      <c r="AD347" s="47"/>
      <c r="AE347" s="24"/>
      <c r="AF347" s="24"/>
      <c r="AG347" s="24"/>
      <c r="AH347" s="24"/>
      <c r="AI347" s="24"/>
    </row>
    <row r="348" spans="1:35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 t="str">
        <f>IFERROR(IF(ISBLANK(U348),"",INDEX(Gen_Vessels!$A$3:$C$495,MATCH(InspectionSite!$U348,Gen_Vessels!$C$3:$C$495,0),1)),"")</f>
        <v/>
      </c>
      <c r="W348" s="24"/>
      <c r="X348" s="24"/>
      <c r="Y348" s="24"/>
      <c r="Z348" s="24"/>
      <c r="AA348" s="24"/>
      <c r="AC348" s="24"/>
      <c r="AD348" s="47"/>
      <c r="AE348" s="24"/>
      <c r="AF348" s="24"/>
      <c r="AG348" s="24"/>
      <c r="AH348" s="24"/>
      <c r="AI348" s="24"/>
    </row>
    <row r="349" spans="1:35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 t="str">
        <f>IFERROR(IF(ISBLANK(U349),"",INDEX(Gen_Vessels!$A$3:$C$495,MATCH(InspectionSite!$U349,Gen_Vessels!$C$3:$C$495,0),1)),"")</f>
        <v/>
      </c>
      <c r="W349" s="24"/>
      <c r="X349" s="24"/>
      <c r="Y349" s="24"/>
      <c r="Z349" s="24"/>
      <c r="AA349" s="24"/>
      <c r="AC349" s="24"/>
      <c r="AD349" s="47"/>
      <c r="AE349" s="24"/>
      <c r="AF349" s="24"/>
      <c r="AG349" s="24"/>
      <c r="AH349" s="24"/>
      <c r="AI349" s="24"/>
    </row>
    <row r="350" spans="1:35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 t="str">
        <f>IFERROR(IF(ISBLANK(U350),"",INDEX(Gen_Vessels!$A$3:$C$495,MATCH(InspectionSite!$U350,Gen_Vessels!$C$3:$C$495,0),1)),"")</f>
        <v/>
      </c>
      <c r="W350" s="24"/>
      <c r="X350" s="24"/>
      <c r="Y350" s="24"/>
      <c r="Z350" s="24"/>
      <c r="AA350" s="24"/>
      <c r="AC350" s="24"/>
      <c r="AD350" s="47"/>
      <c r="AE350" s="24"/>
      <c r="AF350" s="24"/>
      <c r="AG350" s="24"/>
      <c r="AH350" s="24"/>
      <c r="AI350" s="24"/>
    </row>
    <row r="351" spans="1:35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 t="str">
        <f>IFERROR(IF(ISBLANK(U351),"",INDEX(Gen_Vessels!$A$3:$C$495,MATCH(InspectionSite!$U351,Gen_Vessels!$C$3:$C$495,0),1)),"")</f>
        <v/>
      </c>
      <c r="W351" s="24"/>
      <c r="X351" s="24"/>
      <c r="Y351" s="24"/>
      <c r="Z351" s="24"/>
      <c r="AA351" s="24"/>
      <c r="AC351" s="24"/>
      <c r="AD351" s="47"/>
      <c r="AE351" s="24"/>
      <c r="AF351" s="24"/>
      <c r="AG351" s="24"/>
      <c r="AH351" s="24"/>
      <c r="AI351" s="24"/>
    </row>
    <row r="352" spans="1:35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 t="str">
        <f>IFERROR(IF(ISBLANK(U352),"",INDEX(Gen_Vessels!$A$3:$C$495,MATCH(InspectionSite!$U352,Gen_Vessels!$C$3:$C$495,0),1)),"")</f>
        <v/>
      </c>
      <c r="W352" s="24"/>
      <c r="X352" s="24"/>
      <c r="Y352" s="24"/>
      <c r="Z352" s="24"/>
      <c r="AA352" s="24"/>
      <c r="AC352" s="24"/>
      <c r="AD352" s="47"/>
      <c r="AE352" s="24"/>
      <c r="AF352" s="24"/>
      <c r="AG352" s="24"/>
      <c r="AH352" s="24"/>
      <c r="AI352" s="24"/>
    </row>
    <row r="353" spans="1:35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 t="str">
        <f>IFERROR(IF(ISBLANK(U353),"",INDEX(Gen_Vessels!$A$3:$C$495,MATCH(InspectionSite!$U353,Gen_Vessels!$C$3:$C$495,0),1)),"")</f>
        <v/>
      </c>
      <c r="W353" s="24"/>
      <c r="X353" s="24"/>
      <c r="Y353" s="24"/>
      <c r="Z353" s="24"/>
      <c r="AA353" s="24"/>
      <c r="AC353" s="24"/>
      <c r="AD353" s="47"/>
      <c r="AE353" s="24"/>
      <c r="AF353" s="24"/>
      <c r="AG353" s="24"/>
      <c r="AH353" s="24"/>
      <c r="AI353" s="24"/>
    </row>
    <row r="354" spans="1:35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 t="str">
        <f>IFERROR(IF(ISBLANK(U354),"",INDEX(Gen_Vessels!$A$3:$C$495,MATCH(InspectionSite!$U354,Gen_Vessels!$C$3:$C$495,0),1)),"")</f>
        <v/>
      </c>
      <c r="W354" s="24"/>
      <c r="X354" s="24"/>
      <c r="Y354" s="24"/>
      <c r="Z354" s="24"/>
      <c r="AA354" s="24"/>
      <c r="AC354" s="24"/>
      <c r="AD354" s="47"/>
      <c r="AE354" s="24"/>
      <c r="AF354" s="24"/>
      <c r="AG354" s="24"/>
      <c r="AH354" s="24"/>
      <c r="AI354" s="24"/>
    </row>
    <row r="355" spans="1:35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 t="str">
        <f>IFERROR(IF(ISBLANK(U355),"",INDEX(Gen_Vessels!$A$3:$C$495,MATCH(InspectionSite!$U355,Gen_Vessels!$C$3:$C$495,0),1)),"")</f>
        <v/>
      </c>
      <c r="W355" s="24"/>
      <c r="X355" s="24"/>
      <c r="Y355" s="24"/>
      <c r="Z355" s="24"/>
      <c r="AA355" s="24"/>
      <c r="AC355" s="24"/>
      <c r="AD355" s="47"/>
      <c r="AE355" s="24"/>
      <c r="AF355" s="24"/>
      <c r="AG355" s="24"/>
      <c r="AH355" s="24"/>
      <c r="AI355" s="24"/>
    </row>
    <row r="356" spans="1:35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 t="str">
        <f>IFERROR(IF(ISBLANK(U356),"",INDEX(Gen_Vessels!$A$3:$C$495,MATCH(InspectionSite!$U356,Gen_Vessels!$C$3:$C$495,0),1)),"")</f>
        <v/>
      </c>
      <c r="W356" s="24"/>
      <c r="X356" s="24"/>
      <c r="Y356" s="24"/>
      <c r="Z356" s="24"/>
      <c r="AA356" s="24"/>
      <c r="AC356" s="24"/>
      <c r="AD356" s="47"/>
      <c r="AE356" s="24"/>
      <c r="AF356" s="24"/>
      <c r="AG356" s="24"/>
      <c r="AH356" s="24"/>
      <c r="AI356" s="24"/>
    </row>
    <row r="357" spans="1:35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 t="str">
        <f>IFERROR(IF(ISBLANK(U357),"",INDEX(Gen_Vessels!$A$3:$C$495,MATCH(InspectionSite!$U357,Gen_Vessels!$C$3:$C$495,0),1)),"")</f>
        <v/>
      </c>
      <c r="W357" s="24"/>
      <c r="X357" s="24"/>
      <c r="Y357" s="24"/>
      <c r="Z357" s="24"/>
      <c r="AA357" s="24"/>
      <c r="AC357" s="24"/>
      <c r="AD357" s="47"/>
      <c r="AE357" s="24"/>
      <c r="AF357" s="24"/>
      <c r="AG357" s="24"/>
      <c r="AH357" s="24"/>
      <c r="AI357" s="24"/>
    </row>
    <row r="358" spans="1:35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 t="str">
        <f>IFERROR(IF(ISBLANK(U358),"",INDEX(Gen_Vessels!$A$3:$C$495,MATCH(InspectionSite!$U358,Gen_Vessels!$C$3:$C$495,0),1)),"")</f>
        <v/>
      </c>
      <c r="W358" s="24"/>
      <c r="X358" s="24"/>
      <c r="Y358" s="24"/>
      <c r="Z358" s="24"/>
      <c r="AA358" s="24"/>
      <c r="AC358" s="24"/>
      <c r="AD358" s="47"/>
      <c r="AE358" s="24"/>
      <c r="AF358" s="24"/>
      <c r="AG358" s="24"/>
      <c r="AH358" s="24"/>
      <c r="AI358" s="24"/>
    </row>
    <row r="359" spans="1:35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 t="str">
        <f>IFERROR(IF(ISBLANK(U359),"",INDEX(Gen_Vessels!$A$3:$C$495,MATCH(InspectionSite!$U359,Gen_Vessels!$C$3:$C$495,0),1)),"")</f>
        <v/>
      </c>
      <c r="W359" s="24"/>
      <c r="X359" s="24"/>
      <c r="Y359" s="24"/>
      <c r="Z359" s="24"/>
      <c r="AA359" s="24"/>
      <c r="AC359" s="24"/>
      <c r="AD359" s="47"/>
      <c r="AE359" s="24"/>
      <c r="AF359" s="24"/>
      <c r="AG359" s="24"/>
      <c r="AH359" s="24"/>
      <c r="AI359" s="24"/>
    </row>
    <row r="360" spans="1:35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 t="str">
        <f>IFERROR(IF(ISBLANK(U360),"",INDEX(Gen_Vessels!$A$3:$C$495,MATCH(InspectionSite!$U360,Gen_Vessels!$C$3:$C$495,0),1)),"")</f>
        <v/>
      </c>
      <c r="W360" s="24"/>
      <c r="X360" s="24"/>
      <c r="Y360" s="24"/>
      <c r="Z360" s="24"/>
      <c r="AA360" s="24"/>
      <c r="AC360" s="24"/>
      <c r="AD360" s="47"/>
      <c r="AE360" s="24"/>
      <c r="AF360" s="24"/>
      <c r="AG360" s="24"/>
      <c r="AH360" s="24"/>
      <c r="AI360" s="24"/>
    </row>
    <row r="361" spans="1:35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 t="str">
        <f>IFERROR(IF(ISBLANK(U361),"",INDEX(Gen_Vessels!$A$3:$C$495,MATCH(InspectionSite!$U361,Gen_Vessels!$C$3:$C$495,0),1)),"")</f>
        <v/>
      </c>
      <c r="W361" s="24"/>
      <c r="X361" s="24"/>
      <c r="Y361" s="24"/>
      <c r="Z361" s="24"/>
      <c r="AA361" s="24"/>
      <c r="AC361" s="24"/>
      <c r="AD361" s="47"/>
      <c r="AE361" s="24"/>
      <c r="AF361" s="24"/>
      <c r="AG361" s="24"/>
      <c r="AH361" s="24"/>
      <c r="AI361" s="24"/>
    </row>
    <row r="362" spans="1:35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 t="str">
        <f>IFERROR(IF(ISBLANK(U362),"",INDEX(Gen_Vessels!$A$3:$C$495,MATCH(InspectionSite!$U362,Gen_Vessels!$C$3:$C$495,0),1)),"")</f>
        <v/>
      </c>
      <c r="W362" s="24"/>
      <c r="X362" s="24"/>
      <c r="Y362" s="24"/>
      <c r="Z362" s="24"/>
      <c r="AA362" s="24"/>
      <c r="AC362" s="24"/>
      <c r="AD362" s="47"/>
      <c r="AE362" s="24"/>
      <c r="AF362" s="24"/>
      <c r="AG362" s="24"/>
      <c r="AH362" s="24"/>
      <c r="AI362" s="24"/>
    </row>
    <row r="363" spans="1:35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 t="str">
        <f>IFERROR(IF(ISBLANK(U363),"",INDEX(Gen_Vessels!$A$3:$C$495,MATCH(InspectionSite!$U363,Gen_Vessels!$C$3:$C$495,0),1)),"")</f>
        <v/>
      </c>
      <c r="W363" s="24"/>
      <c r="X363" s="24"/>
      <c r="Y363" s="24"/>
      <c r="Z363" s="24"/>
      <c r="AA363" s="24"/>
      <c r="AC363" s="24"/>
      <c r="AD363" s="47"/>
      <c r="AE363" s="24"/>
      <c r="AF363" s="24"/>
      <c r="AG363" s="24"/>
      <c r="AH363" s="24"/>
      <c r="AI363" s="24"/>
    </row>
    <row r="364" spans="1:35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 t="str">
        <f>IFERROR(IF(ISBLANK(U364),"",INDEX(Gen_Vessels!$A$3:$C$495,MATCH(InspectionSite!$U364,Gen_Vessels!$C$3:$C$495,0),1)),"")</f>
        <v/>
      </c>
      <c r="W364" s="24"/>
      <c r="X364" s="24"/>
      <c r="Y364" s="24"/>
      <c r="Z364" s="24"/>
      <c r="AA364" s="24"/>
      <c r="AC364" s="24"/>
      <c r="AD364" s="47"/>
      <c r="AE364" s="24"/>
      <c r="AF364" s="24"/>
      <c r="AG364" s="24"/>
      <c r="AH364" s="24"/>
      <c r="AI364" s="24"/>
    </row>
    <row r="365" spans="1:35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 t="str">
        <f>IFERROR(IF(ISBLANK(U365),"",INDEX(Gen_Vessels!$A$3:$C$495,MATCH(InspectionSite!$U365,Gen_Vessels!$C$3:$C$495,0),1)),"")</f>
        <v/>
      </c>
      <c r="W365" s="24"/>
      <c r="X365" s="24"/>
      <c r="Y365" s="24"/>
      <c r="Z365" s="24"/>
      <c r="AA365" s="24"/>
      <c r="AC365" s="24"/>
      <c r="AD365" s="47"/>
      <c r="AE365" s="24"/>
      <c r="AF365" s="24"/>
      <c r="AG365" s="24"/>
      <c r="AH365" s="24"/>
      <c r="AI365" s="24"/>
    </row>
    <row r="366" spans="1:35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 t="str">
        <f>IFERROR(IF(ISBLANK(U366),"",INDEX(Gen_Vessels!$A$3:$C$495,MATCH(InspectionSite!$U366,Gen_Vessels!$C$3:$C$495,0),1)),"")</f>
        <v/>
      </c>
      <c r="W366" s="24"/>
      <c r="X366" s="24"/>
      <c r="Y366" s="24"/>
      <c r="Z366" s="24"/>
      <c r="AA366" s="24"/>
      <c r="AC366" s="24"/>
      <c r="AD366" s="47"/>
      <c r="AE366" s="24"/>
      <c r="AF366" s="24"/>
      <c r="AG366" s="24"/>
      <c r="AH366" s="24"/>
      <c r="AI366" s="24"/>
    </row>
    <row r="367" spans="1:35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 t="str">
        <f>IFERROR(IF(ISBLANK(U367),"",INDEX(Gen_Vessels!$A$3:$C$495,MATCH(InspectionSite!$U367,Gen_Vessels!$C$3:$C$495,0),1)),"")</f>
        <v/>
      </c>
      <c r="W367" s="24"/>
      <c r="X367" s="24"/>
      <c r="Y367" s="24"/>
      <c r="Z367" s="24"/>
      <c r="AA367" s="24"/>
      <c r="AC367" s="24"/>
      <c r="AD367" s="47"/>
      <c r="AE367" s="24"/>
      <c r="AF367" s="24"/>
      <c r="AG367" s="24"/>
      <c r="AH367" s="24"/>
      <c r="AI367" s="24"/>
    </row>
    <row r="368" spans="1:35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 t="str">
        <f>IFERROR(IF(ISBLANK(U368),"",INDEX(Gen_Vessels!$A$3:$C$495,MATCH(InspectionSite!$U368,Gen_Vessels!$C$3:$C$495,0),1)),"")</f>
        <v/>
      </c>
      <c r="W368" s="24"/>
      <c r="X368" s="24"/>
      <c r="Y368" s="24"/>
      <c r="Z368" s="24"/>
      <c r="AA368" s="24"/>
      <c r="AC368" s="24"/>
      <c r="AD368" s="47"/>
      <c r="AE368" s="24"/>
      <c r="AF368" s="24"/>
      <c r="AG368" s="24"/>
      <c r="AH368" s="24"/>
      <c r="AI368" s="24"/>
    </row>
    <row r="369" spans="1:35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 t="str">
        <f>IFERROR(IF(ISBLANK(U369),"",INDEX(Gen_Vessels!$A$3:$C$495,MATCH(InspectionSite!$U369,Gen_Vessels!$C$3:$C$495,0),1)),"")</f>
        <v/>
      </c>
      <c r="W369" s="24"/>
      <c r="X369" s="24"/>
      <c r="Y369" s="24"/>
      <c r="Z369" s="24"/>
      <c r="AA369" s="24"/>
      <c r="AC369" s="24"/>
      <c r="AD369" s="47"/>
      <c r="AE369" s="24"/>
      <c r="AF369" s="24"/>
      <c r="AG369" s="24"/>
      <c r="AH369" s="24"/>
      <c r="AI369" s="24"/>
    </row>
    <row r="370" spans="1:35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 t="str">
        <f>IFERROR(IF(ISBLANK(U370),"",INDEX(Gen_Vessels!$A$3:$C$495,MATCH(InspectionSite!$U370,Gen_Vessels!$C$3:$C$495,0),1)),"")</f>
        <v/>
      </c>
      <c r="W370" s="24"/>
      <c r="X370" s="24"/>
      <c r="Y370" s="24"/>
      <c r="Z370" s="24"/>
      <c r="AA370" s="24"/>
      <c r="AC370" s="24"/>
      <c r="AD370" s="47"/>
      <c r="AE370" s="24"/>
      <c r="AF370" s="24"/>
      <c r="AG370" s="24"/>
      <c r="AH370" s="24"/>
      <c r="AI370" s="24"/>
    </row>
    <row r="371" spans="1:35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 t="str">
        <f>IFERROR(IF(ISBLANK(U371),"",INDEX(Gen_Vessels!$A$3:$C$495,MATCH(InspectionSite!$U371,Gen_Vessels!$C$3:$C$495,0),1)),"")</f>
        <v/>
      </c>
      <c r="W371" s="24"/>
      <c r="X371" s="24"/>
      <c r="Y371" s="24"/>
      <c r="Z371" s="24"/>
      <c r="AA371" s="24"/>
      <c r="AC371" s="24"/>
      <c r="AD371" s="47"/>
      <c r="AE371" s="24"/>
      <c r="AF371" s="24"/>
      <c r="AG371" s="24"/>
      <c r="AH371" s="24"/>
      <c r="AI371" s="24"/>
    </row>
    <row r="372" spans="1:35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 t="str">
        <f>IFERROR(IF(ISBLANK(U372),"",INDEX(Gen_Vessels!$A$3:$C$495,MATCH(InspectionSite!$U372,Gen_Vessels!$C$3:$C$495,0),1)),"")</f>
        <v/>
      </c>
      <c r="W372" s="24"/>
      <c r="X372" s="24"/>
      <c r="Y372" s="24"/>
      <c r="Z372" s="24"/>
      <c r="AA372" s="24"/>
      <c r="AC372" s="24"/>
      <c r="AD372" s="47"/>
      <c r="AE372" s="24"/>
      <c r="AF372" s="24"/>
      <c r="AG372" s="24"/>
      <c r="AH372" s="24"/>
      <c r="AI372" s="24"/>
    </row>
    <row r="373" spans="1:35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 t="str">
        <f>IFERROR(IF(ISBLANK(U373),"",INDEX(Gen_Vessels!$A$3:$C$495,MATCH(InspectionSite!$U373,Gen_Vessels!$C$3:$C$495,0),1)),"")</f>
        <v/>
      </c>
      <c r="W373" s="24"/>
      <c r="X373" s="24"/>
      <c r="Y373" s="24"/>
      <c r="Z373" s="24"/>
      <c r="AA373" s="24"/>
      <c r="AC373" s="24"/>
      <c r="AD373" s="47"/>
      <c r="AE373" s="24"/>
      <c r="AF373" s="24"/>
      <c r="AG373" s="24"/>
      <c r="AH373" s="24"/>
      <c r="AI373" s="24"/>
    </row>
    <row r="374" spans="1:35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 t="str">
        <f>IFERROR(IF(ISBLANK(U374),"",INDEX(Gen_Vessels!$A$3:$C$495,MATCH(InspectionSite!$U374,Gen_Vessels!$C$3:$C$495,0),1)),"")</f>
        <v/>
      </c>
      <c r="W374" s="24"/>
      <c r="X374" s="24"/>
      <c r="Y374" s="24"/>
      <c r="Z374" s="24"/>
      <c r="AA374" s="24"/>
      <c r="AC374" s="24"/>
      <c r="AD374" s="47"/>
      <c r="AE374" s="24"/>
      <c r="AF374" s="24"/>
      <c r="AG374" s="24"/>
      <c r="AH374" s="24"/>
      <c r="AI374" s="24"/>
    </row>
    <row r="375" spans="1:35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 t="str">
        <f>IFERROR(IF(ISBLANK(U375),"",INDEX(Gen_Vessels!$A$3:$C$495,MATCH(InspectionSite!$U375,Gen_Vessels!$C$3:$C$495,0),1)),"")</f>
        <v/>
      </c>
      <c r="W375" s="24"/>
      <c r="X375" s="24"/>
      <c r="Y375" s="24"/>
      <c r="Z375" s="24"/>
      <c r="AA375" s="24"/>
      <c r="AC375" s="24"/>
      <c r="AD375" s="47"/>
      <c r="AE375" s="24"/>
      <c r="AF375" s="24"/>
      <c r="AG375" s="24"/>
      <c r="AH375" s="24"/>
      <c r="AI375" s="24"/>
    </row>
    <row r="376" spans="1:35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 t="str">
        <f>IFERROR(IF(ISBLANK(U376),"",INDEX(Gen_Vessels!$A$3:$C$495,MATCH(InspectionSite!$U376,Gen_Vessels!$C$3:$C$495,0),1)),"")</f>
        <v/>
      </c>
      <c r="W376" s="24"/>
      <c r="X376" s="24"/>
      <c r="Y376" s="24"/>
      <c r="Z376" s="24"/>
      <c r="AA376" s="24"/>
      <c r="AC376" s="24"/>
      <c r="AD376" s="47"/>
      <c r="AE376" s="24"/>
      <c r="AF376" s="24"/>
      <c r="AG376" s="24"/>
      <c r="AH376" s="24"/>
      <c r="AI376" s="24"/>
    </row>
    <row r="377" spans="1:35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 t="str">
        <f>IFERROR(IF(ISBLANK(U377),"",INDEX(Gen_Vessels!$A$3:$C$495,MATCH(InspectionSite!$U377,Gen_Vessels!$C$3:$C$495,0),1)),"")</f>
        <v/>
      </c>
      <c r="W377" s="24"/>
      <c r="X377" s="24"/>
      <c r="Y377" s="24"/>
      <c r="Z377" s="24"/>
      <c r="AA377" s="24"/>
      <c r="AC377" s="24"/>
      <c r="AD377" s="47"/>
      <c r="AE377" s="24"/>
      <c r="AF377" s="24"/>
      <c r="AG377" s="24"/>
      <c r="AH377" s="24"/>
      <c r="AI377" s="24"/>
    </row>
    <row r="378" spans="1:35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 t="str">
        <f>IFERROR(IF(ISBLANK(U378),"",INDEX(Gen_Vessels!$A$3:$C$495,MATCH(InspectionSite!$U378,Gen_Vessels!$C$3:$C$495,0),1)),"")</f>
        <v/>
      </c>
      <c r="W378" s="24"/>
      <c r="X378" s="24"/>
      <c r="Y378" s="24"/>
      <c r="Z378" s="24"/>
      <c r="AA378" s="24"/>
      <c r="AC378" s="24"/>
      <c r="AD378" s="47"/>
      <c r="AE378" s="24"/>
      <c r="AF378" s="24"/>
      <c r="AG378" s="24"/>
      <c r="AH378" s="24"/>
      <c r="AI378" s="24"/>
    </row>
    <row r="379" spans="1:35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 t="str">
        <f>IFERROR(IF(ISBLANK(U379),"",INDEX(Gen_Vessels!$A$3:$C$495,MATCH(InspectionSite!$U379,Gen_Vessels!$C$3:$C$495,0),1)),"")</f>
        <v/>
      </c>
      <c r="W379" s="24"/>
      <c r="X379" s="24"/>
      <c r="Y379" s="24"/>
      <c r="Z379" s="24"/>
      <c r="AA379" s="24"/>
      <c r="AC379" s="24"/>
      <c r="AD379" s="47"/>
      <c r="AE379" s="24"/>
      <c r="AF379" s="24"/>
      <c r="AG379" s="24"/>
      <c r="AH379" s="24"/>
      <c r="AI379" s="24"/>
    </row>
    <row r="380" spans="1:35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 t="str">
        <f>IFERROR(IF(ISBLANK(U380),"",INDEX(Gen_Vessels!$A$3:$C$495,MATCH(InspectionSite!$U380,Gen_Vessels!$C$3:$C$495,0),1)),"")</f>
        <v/>
      </c>
      <c r="W380" s="24"/>
      <c r="X380" s="24"/>
      <c r="Y380" s="24"/>
      <c r="Z380" s="24"/>
      <c r="AA380" s="24"/>
      <c r="AC380" s="24"/>
      <c r="AD380" s="47"/>
      <c r="AE380" s="24"/>
      <c r="AF380" s="24"/>
      <c r="AG380" s="24"/>
      <c r="AH380" s="24"/>
      <c r="AI380" s="24"/>
    </row>
    <row r="381" spans="1:35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 t="str">
        <f>IFERROR(IF(ISBLANK(U381),"",INDEX(Gen_Vessels!$A$3:$C$495,MATCH(InspectionSite!$U381,Gen_Vessels!$C$3:$C$495,0),1)),"")</f>
        <v/>
      </c>
      <c r="W381" s="24"/>
      <c r="X381" s="24"/>
      <c r="Y381" s="24"/>
      <c r="Z381" s="24"/>
      <c r="AA381" s="24"/>
      <c r="AC381" s="24"/>
      <c r="AD381" s="47"/>
      <c r="AE381" s="24"/>
      <c r="AF381" s="24"/>
      <c r="AG381" s="24"/>
      <c r="AH381" s="24"/>
      <c r="AI381" s="24"/>
    </row>
    <row r="382" spans="1:35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 t="str">
        <f>IFERROR(IF(ISBLANK(U382),"",INDEX(Gen_Vessels!$A$3:$C$495,MATCH(InspectionSite!$U382,Gen_Vessels!$C$3:$C$495,0),1)),"")</f>
        <v/>
      </c>
      <c r="W382" s="24"/>
      <c r="X382" s="24"/>
      <c r="Y382" s="24"/>
      <c r="Z382" s="24"/>
      <c r="AA382" s="24"/>
      <c r="AC382" s="24"/>
      <c r="AD382" s="47"/>
      <c r="AE382" s="24"/>
      <c r="AF382" s="24"/>
      <c r="AG382" s="24"/>
      <c r="AH382" s="24"/>
      <c r="AI382" s="24"/>
    </row>
    <row r="383" spans="1:35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 t="str">
        <f>IFERROR(IF(ISBLANK(U383),"",INDEX(Gen_Vessels!$A$3:$C$495,MATCH(InspectionSite!$U383,Gen_Vessels!$C$3:$C$495,0),1)),"")</f>
        <v/>
      </c>
      <c r="W383" s="24"/>
      <c r="X383" s="24"/>
      <c r="Y383" s="24"/>
      <c r="Z383" s="24"/>
      <c r="AA383" s="24"/>
      <c r="AC383" s="24"/>
      <c r="AD383" s="47"/>
      <c r="AE383" s="24"/>
      <c r="AF383" s="24"/>
      <c r="AG383" s="24"/>
      <c r="AH383" s="24"/>
      <c r="AI383" s="24"/>
    </row>
    <row r="384" spans="1:35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 t="str">
        <f>IFERROR(IF(ISBLANK(U384),"",INDEX(Gen_Vessels!$A$3:$C$495,MATCH(InspectionSite!$U384,Gen_Vessels!$C$3:$C$495,0),1)),"")</f>
        <v/>
      </c>
      <c r="W384" s="24"/>
      <c r="X384" s="24"/>
      <c r="Y384" s="24"/>
      <c r="Z384" s="24"/>
      <c r="AA384" s="24"/>
      <c r="AC384" s="24"/>
      <c r="AD384" s="47"/>
      <c r="AE384" s="24"/>
      <c r="AF384" s="24"/>
      <c r="AG384" s="24"/>
      <c r="AH384" s="24"/>
      <c r="AI384" s="24"/>
    </row>
    <row r="385" spans="1:35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 t="str">
        <f>IFERROR(IF(ISBLANK(U385),"",INDEX(Gen_Vessels!$A$3:$C$495,MATCH(InspectionSite!$U385,Gen_Vessels!$C$3:$C$495,0),1)),"")</f>
        <v/>
      </c>
      <c r="W385" s="24"/>
      <c r="X385" s="24"/>
      <c r="Y385" s="24"/>
      <c r="Z385" s="24"/>
      <c r="AA385" s="24"/>
      <c r="AC385" s="24"/>
      <c r="AD385" s="47"/>
      <c r="AE385" s="24"/>
      <c r="AF385" s="24"/>
      <c r="AG385" s="24"/>
      <c r="AH385" s="24"/>
      <c r="AI385" s="24"/>
    </row>
    <row r="386" spans="1:35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 t="str">
        <f>IFERROR(IF(ISBLANK(U386),"",INDEX(Gen_Vessels!$A$3:$C$495,MATCH(InspectionSite!$U386,Gen_Vessels!$C$3:$C$495,0),1)),"")</f>
        <v/>
      </c>
      <c r="W386" s="24"/>
      <c r="X386" s="24"/>
      <c r="Y386" s="24"/>
      <c r="Z386" s="24"/>
      <c r="AA386" s="24"/>
      <c r="AC386" s="24"/>
      <c r="AD386" s="47"/>
      <c r="AE386" s="24"/>
      <c r="AF386" s="24"/>
      <c r="AG386" s="24"/>
      <c r="AH386" s="24"/>
      <c r="AI386" s="24"/>
    </row>
    <row r="387" spans="1:35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 t="str">
        <f>IFERROR(IF(ISBLANK(U387),"",INDEX(Gen_Vessels!$A$3:$C$495,MATCH(InspectionSite!$U387,Gen_Vessels!$C$3:$C$495,0),1)),"")</f>
        <v/>
      </c>
      <c r="W387" s="24"/>
      <c r="X387" s="24"/>
      <c r="Y387" s="24"/>
      <c r="Z387" s="24"/>
      <c r="AA387" s="24"/>
      <c r="AC387" s="24"/>
      <c r="AD387" s="47"/>
      <c r="AE387" s="24"/>
      <c r="AF387" s="24"/>
      <c r="AG387" s="24"/>
      <c r="AH387" s="24"/>
      <c r="AI387" s="24"/>
    </row>
    <row r="388" spans="1:35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 t="str">
        <f>IFERROR(IF(ISBLANK(U388),"",INDEX(Gen_Vessels!$A$3:$C$495,MATCH(InspectionSite!$U388,Gen_Vessels!$C$3:$C$495,0),1)),"")</f>
        <v/>
      </c>
      <c r="W388" s="24"/>
      <c r="X388" s="24"/>
      <c r="Y388" s="24"/>
      <c r="Z388" s="24"/>
      <c r="AA388" s="24"/>
      <c r="AC388" s="24"/>
      <c r="AD388" s="47"/>
      <c r="AE388" s="24"/>
      <c r="AF388" s="24"/>
      <c r="AG388" s="24"/>
      <c r="AH388" s="24"/>
      <c r="AI388" s="24"/>
    </row>
    <row r="389" spans="1:35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 t="str">
        <f>IFERROR(IF(ISBLANK(U389),"",INDEX(Gen_Vessels!$A$3:$C$495,MATCH(InspectionSite!$U389,Gen_Vessels!$C$3:$C$495,0),1)),"")</f>
        <v/>
      </c>
      <c r="W389" s="24"/>
      <c r="X389" s="24"/>
      <c r="Y389" s="24"/>
      <c r="Z389" s="24"/>
      <c r="AA389" s="24"/>
      <c r="AC389" s="24"/>
      <c r="AD389" s="47"/>
      <c r="AE389" s="24"/>
      <c r="AF389" s="24"/>
      <c r="AG389" s="24"/>
      <c r="AH389" s="24"/>
      <c r="AI389" s="24"/>
    </row>
    <row r="390" spans="1:35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 t="str">
        <f>IFERROR(IF(ISBLANK(U390),"",INDEX(Gen_Vessels!$A$3:$C$495,MATCH(InspectionSite!$U390,Gen_Vessels!$C$3:$C$495,0),1)),"")</f>
        <v/>
      </c>
      <c r="W390" s="24"/>
      <c r="X390" s="24"/>
      <c r="Y390" s="24"/>
      <c r="Z390" s="24"/>
      <c r="AA390" s="24"/>
      <c r="AC390" s="24"/>
      <c r="AD390" s="47"/>
      <c r="AE390" s="24"/>
      <c r="AF390" s="24"/>
      <c r="AG390" s="24"/>
      <c r="AH390" s="24"/>
      <c r="AI390" s="24"/>
    </row>
    <row r="391" spans="1:35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 t="str">
        <f>IFERROR(IF(ISBLANK(U391),"",INDEX(Gen_Vessels!$A$3:$C$495,MATCH(InspectionSite!$U391,Gen_Vessels!$C$3:$C$495,0),1)),"")</f>
        <v/>
      </c>
      <c r="W391" s="24"/>
      <c r="X391" s="24"/>
      <c r="Y391" s="24"/>
      <c r="Z391" s="24"/>
      <c r="AA391" s="24"/>
      <c r="AC391" s="24"/>
      <c r="AD391" s="47"/>
      <c r="AE391" s="24"/>
      <c r="AF391" s="24"/>
      <c r="AG391" s="24"/>
      <c r="AH391" s="24"/>
      <c r="AI391" s="24"/>
    </row>
    <row r="392" spans="1:35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 t="str">
        <f>IFERROR(IF(ISBLANK(U392),"",INDEX(Gen_Vessels!$A$3:$C$495,MATCH(InspectionSite!$U392,Gen_Vessels!$C$3:$C$495,0),1)),"")</f>
        <v/>
      </c>
      <c r="W392" s="24"/>
      <c r="X392" s="24"/>
      <c r="Y392" s="24"/>
      <c r="Z392" s="24"/>
      <c r="AA392" s="24"/>
      <c r="AC392" s="24"/>
      <c r="AD392" s="47"/>
      <c r="AE392" s="24"/>
      <c r="AF392" s="24"/>
      <c r="AG392" s="24"/>
      <c r="AH392" s="24"/>
      <c r="AI392" s="24"/>
    </row>
    <row r="393" spans="1:35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 t="str">
        <f>IFERROR(IF(ISBLANK(U393),"",INDEX(Gen_Vessels!$A$3:$C$495,MATCH(InspectionSite!$U393,Gen_Vessels!$C$3:$C$495,0),1)),"")</f>
        <v/>
      </c>
      <c r="W393" s="24"/>
      <c r="X393" s="24"/>
      <c r="Y393" s="24"/>
      <c r="Z393" s="24"/>
      <c r="AA393" s="24"/>
      <c r="AC393" s="24"/>
      <c r="AD393" s="47"/>
      <c r="AE393" s="24"/>
      <c r="AF393" s="24"/>
      <c r="AG393" s="24"/>
      <c r="AH393" s="24"/>
      <c r="AI393" s="24"/>
    </row>
    <row r="394" spans="1:35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 t="str">
        <f>IFERROR(IF(ISBLANK(U394),"",INDEX(Gen_Vessels!$A$3:$C$495,MATCH(InspectionSite!$U394,Gen_Vessels!$C$3:$C$495,0),1)),"")</f>
        <v/>
      </c>
      <c r="W394" s="24"/>
      <c r="X394" s="24"/>
      <c r="Y394" s="24"/>
      <c r="Z394" s="24"/>
      <c r="AA394" s="24"/>
      <c r="AC394" s="24"/>
      <c r="AD394" s="47"/>
      <c r="AE394" s="24"/>
      <c r="AF394" s="24"/>
      <c r="AG394" s="24"/>
      <c r="AH394" s="24"/>
      <c r="AI394" s="24"/>
    </row>
    <row r="395" spans="1:35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 t="str">
        <f>IFERROR(IF(ISBLANK(U395),"",INDEX(Gen_Vessels!$A$3:$C$495,MATCH(InspectionSite!$U395,Gen_Vessels!$C$3:$C$495,0),1)),"")</f>
        <v/>
      </c>
      <c r="W395" s="24"/>
      <c r="X395" s="24"/>
      <c r="Y395" s="24"/>
      <c r="Z395" s="24"/>
      <c r="AA395" s="24"/>
      <c r="AC395" s="24"/>
      <c r="AD395" s="47"/>
      <c r="AE395" s="24"/>
      <c r="AF395" s="24"/>
      <c r="AG395" s="24"/>
      <c r="AH395" s="24"/>
      <c r="AI395" s="24"/>
    </row>
    <row r="396" spans="1:35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 t="str">
        <f>IFERROR(IF(ISBLANK(U396),"",INDEX(Gen_Vessels!$A$3:$C$495,MATCH(InspectionSite!$U396,Gen_Vessels!$C$3:$C$495,0),1)),"")</f>
        <v/>
      </c>
      <c r="W396" s="24"/>
      <c r="X396" s="24"/>
      <c r="Y396" s="24"/>
      <c r="Z396" s="24"/>
      <c r="AA396" s="24"/>
      <c r="AC396" s="24"/>
      <c r="AD396" s="47"/>
      <c r="AE396" s="24"/>
      <c r="AF396" s="24"/>
      <c r="AG396" s="24"/>
      <c r="AH396" s="24"/>
      <c r="AI396" s="24"/>
    </row>
    <row r="397" spans="1:35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 t="str">
        <f>IFERROR(IF(ISBLANK(U397),"",INDEX(Gen_Vessels!$A$3:$C$495,MATCH(InspectionSite!$U397,Gen_Vessels!$C$3:$C$495,0),1)),"")</f>
        <v/>
      </c>
      <c r="W397" s="24"/>
      <c r="X397" s="24"/>
      <c r="Y397" s="24"/>
      <c r="Z397" s="24"/>
      <c r="AA397" s="24"/>
      <c r="AC397" s="24"/>
      <c r="AD397" s="47"/>
      <c r="AE397" s="24"/>
      <c r="AF397" s="24"/>
      <c r="AG397" s="24"/>
      <c r="AH397" s="24"/>
      <c r="AI397" s="24"/>
    </row>
    <row r="398" spans="1:35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 t="str">
        <f>IFERROR(IF(ISBLANK(U398),"",INDEX(Gen_Vessels!$A$3:$C$495,MATCH(InspectionSite!$U398,Gen_Vessels!$C$3:$C$495,0),1)),"")</f>
        <v/>
      </c>
      <c r="W398" s="24"/>
      <c r="X398" s="24"/>
      <c r="Y398" s="24"/>
      <c r="Z398" s="24"/>
      <c r="AA398" s="24"/>
      <c r="AC398" s="24"/>
      <c r="AD398" s="47"/>
      <c r="AE398" s="24"/>
      <c r="AF398" s="24"/>
      <c r="AG398" s="24"/>
      <c r="AH398" s="24"/>
      <c r="AI398" s="24"/>
    </row>
    <row r="399" spans="1:35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 t="str">
        <f>IFERROR(IF(ISBLANK(U399),"",INDEX(Gen_Vessels!$A$3:$C$495,MATCH(InspectionSite!$U399,Gen_Vessels!$C$3:$C$495,0),1)),"")</f>
        <v/>
      </c>
      <c r="W399" s="24"/>
      <c r="X399" s="24"/>
      <c r="Y399" s="24"/>
      <c r="Z399" s="24"/>
      <c r="AA399" s="24"/>
      <c r="AC399" s="24"/>
      <c r="AD399" s="47"/>
      <c r="AE399" s="24"/>
      <c r="AF399" s="24"/>
      <c r="AG399" s="24"/>
      <c r="AH399" s="24"/>
      <c r="AI399" s="24"/>
    </row>
    <row r="400" spans="1:35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 t="str">
        <f>IFERROR(IF(ISBLANK(U400),"",INDEX(Gen_Vessels!$A$3:$C$495,MATCH(InspectionSite!$U400,Gen_Vessels!$C$3:$C$495,0),1)),"")</f>
        <v/>
      </c>
      <c r="W400" s="24"/>
      <c r="X400" s="24"/>
      <c r="Y400" s="24"/>
      <c r="Z400" s="24"/>
      <c r="AA400" s="24"/>
      <c r="AC400" s="24"/>
      <c r="AD400" s="47"/>
      <c r="AE400" s="24"/>
      <c r="AF400" s="24"/>
      <c r="AG400" s="24"/>
      <c r="AH400" s="24"/>
      <c r="AI400" s="24"/>
    </row>
    <row r="401" spans="1:35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 t="str">
        <f>IFERROR(IF(ISBLANK(U401),"",INDEX(Gen_Vessels!$A$3:$C$495,MATCH(InspectionSite!$U401,Gen_Vessels!$C$3:$C$495,0),1)),"")</f>
        <v/>
      </c>
      <c r="W401" s="24"/>
      <c r="X401" s="24"/>
      <c r="Y401" s="24"/>
      <c r="Z401" s="24"/>
      <c r="AA401" s="24"/>
      <c r="AC401" s="24"/>
      <c r="AD401" s="47"/>
      <c r="AE401" s="24"/>
      <c r="AF401" s="24"/>
      <c r="AG401" s="24"/>
      <c r="AH401" s="24"/>
      <c r="AI401" s="24"/>
    </row>
    <row r="402" spans="1:35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 t="str">
        <f>IFERROR(IF(ISBLANK(U402),"",INDEX(Gen_Vessels!$A$3:$C$495,MATCH(InspectionSite!$U402,Gen_Vessels!$C$3:$C$495,0),1)),"")</f>
        <v/>
      </c>
      <c r="W402" s="24"/>
      <c r="X402" s="24"/>
      <c r="Y402" s="24"/>
      <c r="Z402" s="24"/>
      <c r="AA402" s="24"/>
      <c r="AC402" s="24"/>
      <c r="AD402" s="47"/>
      <c r="AE402" s="24"/>
      <c r="AF402" s="24"/>
      <c r="AG402" s="24"/>
      <c r="AH402" s="24"/>
      <c r="AI402" s="24"/>
    </row>
    <row r="403" spans="1:35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 t="str">
        <f>IFERROR(IF(ISBLANK(U403),"",INDEX(Gen_Vessels!$A$3:$C$495,MATCH(InspectionSite!$U403,Gen_Vessels!$C$3:$C$495,0),1)),"")</f>
        <v/>
      </c>
      <c r="W403" s="24"/>
      <c r="X403" s="24"/>
      <c r="Y403" s="24"/>
      <c r="Z403" s="24"/>
      <c r="AA403" s="24"/>
      <c r="AC403" s="24"/>
      <c r="AD403" s="47"/>
      <c r="AE403" s="24"/>
      <c r="AF403" s="24"/>
      <c r="AG403" s="24"/>
      <c r="AH403" s="24"/>
      <c r="AI403" s="24"/>
    </row>
    <row r="404" spans="1:35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 t="str">
        <f>IFERROR(IF(ISBLANK(U404),"",INDEX(Gen_Vessels!$A$3:$C$495,MATCH(InspectionSite!$U404,Gen_Vessels!$C$3:$C$495,0),1)),"")</f>
        <v/>
      </c>
      <c r="W404" s="24"/>
      <c r="X404" s="24"/>
      <c r="Y404" s="24"/>
      <c r="Z404" s="24"/>
      <c r="AA404" s="24"/>
      <c r="AC404" s="24"/>
      <c r="AD404" s="47"/>
      <c r="AE404" s="24"/>
      <c r="AF404" s="24"/>
      <c r="AG404" s="24"/>
      <c r="AH404" s="24"/>
      <c r="AI404" s="24"/>
    </row>
    <row r="405" spans="1:35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 t="str">
        <f>IFERROR(IF(ISBLANK(U405),"",INDEX(Gen_Vessels!$A$3:$C$495,MATCH(InspectionSite!$U405,Gen_Vessels!$C$3:$C$495,0),1)),"")</f>
        <v/>
      </c>
      <c r="W405" s="24"/>
      <c r="X405" s="24"/>
      <c r="Y405" s="24"/>
      <c r="Z405" s="24"/>
      <c r="AA405" s="24"/>
      <c r="AC405" s="24"/>
      <c r="AD405" s="47"/>
      <c r="AE405" s="24"/>
      <c r="AF405" s="24"/>
      <c r="AG405" s="24"/>
      <c r="AH405" s="24"/>
      <c r="AI405" s="24"/>
    </row>
    <row r="406" spans="1:35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 t="str">
        <f>IFERROR(IF(ISBLANK(U406),"",INDEX(Gen_Vessels!$A$3:$C$495,MATCH(InspectionSite!$U406,Gen_Vessels!$C$3:$C$495,0),1)),"")</f>
        <v/>
      </c>
      <c r="W406" s="24"/>
      <c r="X406" s="24"/>
      <c r="Y406" s="24"/>
      <c r="Z406" s="24"/>
      <c r="AA406" s="24"/>
      <c r="AC406" s="24"/>
      <c r="AD406" s="47"/>
      <c r="AE406" s="24"/>
      <c r="AF406" s="24"/>
      <c r="AG406" s="24"/>
      <c r="AH406" s="24"/>
      <c r="AI406" s="24"/>
    </row>
    <row r="407" spans="1:35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 t="str">
        <f>IFERROR(IF(ISBLANK(U407),"",INDEX(Gen_Vessels!$A$3:$C$495,MATCH(InspectionSite!$U407,Gen_Vessels!$C$3:$C$495,0),1)),"")</f>
        <v/>
      </c>
      <c r="W407" s="24"/>
      <c r="X407" s="24"/>
      <c r="Y407" s="24"/>
      <c r="Z407" s="24"/>
      <c r="AA407" s="24"/>
      <c r="AC407" s="24"/>
      <c r="AD407" s="47"/>
      <c r="AE407" s="24"/>
      <c r="AF407" s="24"/>
      <c r="AG407" s="24"/>
      <c r="AH407" s="24"/>
      <c r="AI407" s="24"/>
    </row>
    <row r="408" spans="1:35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 t="str">
        <f>IFERROR(IF(ISBLANK(U408),"",INDEX(Gen_Vessels!$A$3:$C$495,MATCH(InspectionSite!$U408,Gen_Vessels!$C$3:$C$495,0),1)),"")</f>
        <v/>
      </c>
      <c r="W408" s="24"/>
      <c r="X408" s="24"/>
      <c r="Y408" s="24"/>
      <c r="Z408" s="24"/>
      <c r="AA408" s="24"/>
      <c r="AC408" s="24"/>
      <c r="AD408" s="47"/>
      <c r="AE408" s="24"/>
      <c r="AF408" s="24"/>
      <c r="AG408" s="24"/>
      <c r="AH408" s="24"/>
      <c r="AI408" s="24"/>
    </row>
    <row r="409" spans="1:35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 t="str">
        <f>IFERROR(IF(ISBLANK(U409),"",INDEX(Gen_Vessels!$A$3:$C$495,MATCH(InspectionSite!$U409,Gen_Vessels!$C$3:$C$495,0),1)),"")</f>
        <v/>
      </c>
      <c r="W409" s="24"/>
      <c r="X409" s="24"/>
      <c r="Y409" s="24"/>
      <c r="Z409" s="24"/>
      <c r="AA409" s="24"/>
      <c r="AC409" s="24"/>
      <c r="AD409" s="47"/>
      <c r="AE409" s="24"/>
      <c r="AF409" s="24"/>
      <c r="AG409" s="24"/>
      <c r="AH409" s="24"/>
      <c r="AI409" s="24"/>
    </row>
    <row r="410" spans="1:35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 t="str">
        <f>IFERROR(IF(ISBLANK(U410),"",INDEX(Gen_Vessels!$A$3:$C$495,MATCH(InspectionSite!$U410,Gen_Vessels!$C$3:$C$495,0),1)),"")</f>
        <v/>
      </c>
      <c r="W410" s="24"/>
      <c r="X410" s="24"/>
      <c r="Y410" s="24"/>
      <c r="Z410" s="24"/>
      <c r="AA410" s="24"/>
      <c r="AC410" s="24"/>
      <c r="AD410" s="47"/>
      <c r="AE410" s="24"/>
      <c r="AF410" s="24"/>
      <c r="AG410" s="24"/>
      <c r="AH410" s="24"/>
      <c r="AI410" s="24"/>
    </row>
    <row r="411" spans="1:35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 t="str">
        <f>IFERROR(IF(ISBLANK(U411),"",INDEX(Gen_Vessels!$A$3:$C$495,MATCH(InspectionSite!$U411,Gen_Vessels!$C$3:$C$495,0),1)),"")</f>
        <v/>
      </c>
      <c r="W411" s="24"/>
      <c r="X411" s="24"/>
      <c r="Y411" s="24"/>
      <c r="Z411" s="24"/>
      <c r="AA411" s="24"/>
      <c r="AC411" s="24"/>
      <c r="AD411" s="47"/>
      <c r="AE411" s="24"/>
      <c r="AF411" s="24"/>
      <c r="AG411" s="24"/>
      <c r="AH411" s="24"/>
      <c r="AI411" s="24"/>
    </row>
    <row r="412" spans="1:35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 t="str">
        <f>IFERROR(IF(ISBLANK(U412),"",INDEX(Gen_Vessels!$A$3:$C$495,MATCH(InspectionSite!$U412,Gen_Vessels!$C$3:$C$495,0),1)),"")</f>
        <v/>
      </c>
      <c r="W412" s="24"/>
      <c r="X412" s="24"/>
      <c r="Y412" s="24"/>
      <c r="Z412" s="24"/>
      <c r="AA412" s="24"/>
      <c r="AC412" s="24"/>
      <c r="AD412" s="47"/>
      <c r="AE412" s="24"/>
      <c r="AF412" s="24"/>
      <c r="AG412" s="24"/>
      <c r="AH412" s="24"/>
      <c r="AI412" s="24"/>
    </row>
    <row r="413" spans="1:35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 t="str">
        <f>IFERROR(IF(ISBLANK(U413),"",INDEX(Gen_Vessels!$A$3:$C$495,MATCH(InspectionSite!$U413,Gen_Vessels!$C$3:$C$495,0),1)),"")</f>
        <v/>
      </c>
      <c r="W413" s="24"/>
      <c r="X413" s="24"/>
      <c r="Y413" s="24"/>
      <c r="Z413" s="24"/>
      <c r="AA413" s="24"/>
      <c r="AC413" s="24"/>
      <c r="AD413" s="47"/>
      <c r="AE413" s="24"/>
      <c r="AF413" s="24"/>
      <c r="AG413" s="24"/>
      <c r="AH413" s="24"/>
      <c r="AI413" s="24"/>
    </row>
    <row r="414" spans="1:35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 t="str">
        <f>IFERROR(IF(ISBLANK(U414),"",INDEX(Gen_Vessels!$A$3:$C$495,MATCH(InspectionSite!$U414,Gen_Vessels!$C$3:$C$495,0),1)),"")</f>
        <v/>
      </c>
      <c r="W414" s="24"/>
      <c r="X414" s="24"/>
      <c r="Y414" s="24"/>
      <c r="Z414" s="24"/>
      <c r="AA414" s="24"/>
      <c r="AC414" s="24"/>
      <c r="AD414" s="47"/>
      <c r="AE414" s="24"/>
      <c r="AF414" s="24"/>
      <c r="AG414" s="24"/>
      <c r="AH414" s="24"/>
      <c r="AI414" s="24"/>
    </row>
    <row r="415" spans="1:35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 t="str">
        <f>IFERROR(IF(ISBLANK(U415),"",INDEX(Gen_Vessels!$A$3:$C$495,MATCH(InspectionSite!$U415,Gen_Vessels!$C$3:$C$495,0),1)),"")</f>
        <v/>
      </c>
      <c r="W415" s="24"/>
      <c r="X415" s="24"/>
      <c r="Y415" s="24"/>
      <c r="Z415" s="24"/>
      <c r="AA415" s="24"/>
      <c r="AC415" s="24"/>
      <c r="AD415" s="47"/>
      <c r="AE415" s="24"/>
      <c r="AF415" s="24"/>
      <c r="AG415" s="24"/>
      <c r="AH415" s="24"/>
      <c r="AI415" s="24"/>
    </row>
    <row r="416" spans="1:35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 t="str">
        <f>IFERROR(IF(ISBLANK(U416),"",INDEX(Gen_Vessels!$A$3:$C$495,MATCH(InspectionSite!$U416,Gen_Vessels!$C$3:$C$495,0),1)),"")</f>
        <v/>
      </c>
      <c r="W416" s="24"/>
      <c r="X416" s="24"/>
      <c r="Y416" s="24"/>
      <c r="Z416" s="24"/>
      <c r="AA416" s="24"/>
      <c r="AC416" s="24"/>
      <c r="AD416" s="47"/>
      <c r="AE416" s="24"/>
      <c r="AF416" s="24"/>
      <c r="AG416" s="24"/>
      <c r="AH416" s="24"/>
      <c r="AI416" s="24"/>
    </row>
    <row r="417" spans="1:35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 t="str">
        <f>IFERROR(IF(ISBLANK(U417),"",INDEX(Gen_Vessels!$A$3:$C$495,MATCH(InspectionSite!$U417,Gen_Vessels!$C$3:$C$495,0),1)),"")</f>
        <v/>
      </c>
      <c r="W417" s="24"/>
      <c r="X417" s="24"/>
      <c r="Y417" s="24"/>
      <c r="Z417" s="24"/>
      <c r="AA417" s="24"/>
      <c r="AC417" s="24"/>
      <c r="AD417" s="47"/>
      <c r="AE417" s="24"/>
      <c r="AF417" s="24"/>
      <c r="AG417" s="24"/>
      <c r="AH417" s="24"/>
      <c r="AI417" s="24"/>
    </row>
    <row r="418" spans="1:35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 t="str">
        <f>IFERROR(IF(ISBLANK(U418),"",INDEX(Gen_Vessels!$A$3:$C$495,MATCH(InspectionSite!$U418,Gen_Vessels!$C$3:$C$495,0),1)),"")</f>
        <v/>
      </c>
      <c r="W418" s="24"/>
      <c r="X418" s="24"/>
      <c r="Y418" s="24"/>
      <c r="Z418" s="24"/>
      <c r="AA418" s="24"/>
      <c r="AC418" s="24"/>
      <c r="AD418" s="47"/>
      <c r="AE418" s="24"/>
      <c r="AF418" s="24"/>
      <c r="AG418" s="24"/>
      <c r="AH418" s="24"/>
      <c r="AI418" s="24"/>
    </row>
    <row r="419" spans="1:35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 t="str">
        <f>IFERROR(IF(ISBLANK(U419),"",INDEX(Gen_Vessels!$A$3:$C$495,MATCH(InspectionSite!$U419,Gen_Vessels!$C$3:$C$495,0),1)),"")</f>
        <v/>
      </c>
      <c r="W419" s="24"/>
      <c r="X419" s="24"/>
      <c r="Y419" s="24"/>
      <c r="Z419" s="24"/>
      <c r="AA419" s="24"/>
      <c r="AC419" s="24"/>
      <c r="AD419" s="47"/>
      <c r="AE419" s="24"/>
      <c r="AF419" s="24"/>
      <c r="AG419" s="24"/>
      <c r="AH419" s="24"/>
      <c r="AI419" s="24"/>
    </row>
    <row r="420" spans="1:35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 t="str">
        <f>IFERROR(IF(ISBLANK(U420),"",INDEX(Gen_Vessels!$A$3:$C$495,MATCH(InspectionSite!$U420,Gen_Vessels!$C$3:$C$495,0),1)),"")</f>
        <v/>
      </c>
      <c r="W420" s="24"/>
      <c r="X420" s="24"/>
      <c r="Y420" s="24"/>
      <c r="Z420" s="24"/>
      <c r="AA420" s="24"/>
      <c r="AC420" s="24"/>
      <c r="AD420" s="47"/>
      <c r="AE420" s="24"/>
      <c r="AF420" s="24"/>
      <c r="AG420" s="24"/>
      <c r="AH420" s="24"/>
      <c r="AI420" s="24"/>
    </row>
    <row r="421" spans="1:35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 t="str">
        <f>IFERROR(IF(ISBLANK(U421),"",INDEX(Gen_Vessels!$A$3:$C$495,MATCH(InspectionSite!$U421,Gen_Vessels!$C$3:$C$495,0),1)),"")</f>
        <v/>
      </c>
      <c r="W421" s="24"/>
      <c r="X421" s="24"/>
      <c r="Y421" s="24"/>
      <c r="Z421" s="24"/>
      <c r="AA421" s="24"/>
      <c r="AC421" s="24"/>
      <c r="AD421" s="47"/>
      <c r="AE421" s="24"/>
      <c r="AF421" s="24"/>
      <c r="AG421" s="24"/>
      <c r="AH421" s="24"/>
      <c r="AI421" s="24"/>
    </row>
    <row r="422" spans="1:35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 t="str">
        <f>IFERROR(IF(ISBLANK(U422),"",INDEX(Gen_Vessels!$A$3:$C$495,MATCH(InspectionSite!$U422,Gen_Vessels!$C$3:$C$495,0),1)),"")</f>
        <v/>
      </c>
      <c r="W422" s="24"/>
      <c r="X422" s="24"/>
      <c r="Y422" s="24"/>
      <c r="Z422" s="24"/>
      <c r="AA422" s="24"/>
      <c r="AC422" s="24"/>
      <c r="AD422" s="47"/>
      <c r="AE422" s="24"/>
      <c r="AF422" s="24"/>
      <c r="AG422" s="24"/>
      <c r="AH422" s="24"/>
      <c r="AI422" s="24"/>
    </row>
    <row r="423" spans="1:35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 t="str">
        <f>IFERROR(IF(ISBLANK(U423),"",INDEX(Gen_Vessels!$A$3:$C$495,MATCH(InspectionSite!$U423,Gen_Vessels!$C$3:$C$495,0),1)),"")</f>
        <v/>
      </c>
      <c r="W423" s="24"/>
      <c r="X423" s="24"/>
      <c r="Y423" s="24"/>
      <c r="Z423" s="24"/>
      <c r="AA423" s="24"/>
      <c r="AC423" s="24"/>
      <c r="AD423" s="47"/>
      <c r="AE423" s="24"/>
      <c r="AF423" s="24"/>
      <c r="AG423" s="24"/>
      <c r="AH423" s="24"/>
      <c r="AI423" s="24"/>
    </row>
    <row r="424" spans="1:35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 t="str">
        <f>IFERROR(IF(ISBLANK(U424),"",INDEX(Gen_Vessels!$A$3:$C$495,MATCH(InspectionSite!$U424,Gen_Vessels!$C$3:$C$495,0),1)),"")</f>
        <v/>
      </c>
      <c r="W424" s="24"/>
      <c r="X424" s="24"/>
      <c r="Y424" s="24"/>
      <c r="Z424" s="24"/>
      <c r="AA424" s="24"/>
      <c r="AC424" s="24"/>
      <c r="AD424" s="47"/>
      <c r="AE424" s="24"/>
      <c r="AF424" s="24"/>
      <c r="AG424" s="24"/>
      <c r="AH424" s="24"/>
      <c r="AI424" s="24"/>
    </row>
    <row r="425" spans="1:35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 t="str">
        <f>IFERROR(IF(ISBLANK(U425),"",INDEX(Gen_Vessels!$A$3:$C$495,MATCH(InspectionSite!$U425,Gen_Vessels!$C$3:$C$495,0),1)),"")</f>
        <v/>
      </c>
      <c r="W425" s="24"/>
      <c r="X425" s="24"/>
      <c r="Y425" s="24"/>
      <c r="Z425" s="24"/>
      <c r="AA425" s="24"/>
      <c r="AC425" s="24"/>
      <c r="AD425" s="47"/>
      <c r="AE425" s="24"/>
      <c r="AF425" s="24"/>
      <c r="AG425" s="24"/>
      <c r="AH425" s="24"/>
      <c r="AI425" s="24"/>
    </row>
    <row r="426" spans="1:35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 t="str">
        <f>IFERROR(IF(ISBLANK(U426),"",INDEX(Gen_Vessels!$A$3:$C$495,MATCH(InspectionSite!$U426,Gen_Vessels!$C$3:$C$495,0),1)),"")</f>
        <v/>
      </c>
      <c r="W426" s="24"/>
      <c r="X426" s="24"/>
      <c r="Y426" s="24"/>
      <c r="Z426" s="24"/>
      <c r="AA426" s="24"/>
      <c r="AC426" s="24"/>
      <c r="AD426" s="47"/>
      <c r="AE426" s="24"/>
      <c r="AF426" s="24"/>
      <c r="AG426" s="24"/>
      <c r="AH426" s="24"/>
      <c r="AI426" s="24"/>
    </row>
    <row r="427" spans="1:35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 t="str">
        <f>IFERROR(IF(ISBLANK(U427),"",INDEX(Gen_Vessels!$A$3:$C$495,MATCH(InspectionSite!$U427,Gen_Vessels!$C$3:$C$495,0),1)),"")</f>
        <v/>
      </c>
      <c r="W427" s="24"/>
      <c r="X427" s="24"/>
      <c r="Y427" s="24"/>
      <c r="Z427" s="24"/>
      <c r="AA427" s="24"/>
      <c r="AC427" s="24"/>
      <c r="AD427" s="47"/>
      <c r="AE427" s="24"/>
      <c r="AF427" s="24"/>
      <c r="AG427" s="24"/>
      <c r="AH427" s="24"/>
      <c r="AI427" s="24"/>
    </row>
    <row r="428" spans="1:35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 t="str">
        <f>IFERROR(IF(ISBLANK(U428),"",INDEX(Gen_Vessels!$A$3:$C$495,MATCH(InspectionSite!$U428,Gen_Vessels!$C$3:$C$495,0),1)),"")</f>
        <v/>
      </c>
      <c r="W428" s="24"/>
      <c r="X428" s="24"/>
      <c r="Y428" s="24"/>
      <c r="Z428" s="24"/>
      <c r="AA428" s="24"/>
      <c r="AC428" s="24"/>
      <c r="AD428" s="47"/>
      <c r="AE428" s="24"/>
      <c r="AF428" s="24"/>
      <c r="AG428" s="24"/>
      <c r="AH428" s="24"/>
      <c r="AI428" s="24"/>
    </row>
    <row r="429" spans="1:35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 t="str">
        <f>IFERROR(IF(ISBLANK(U429),"",INDEX(Gen_Vessels!$A$3:$C$495,MATCH(InspectionSite!$U429,Gen_Vessels!$C$3:$C$495,0),1)),"")</f>
        <v/>
      </c>
      <c r="W429" s="24"/>
      <c r="X429" s="24"/>
      <c r="Y429" s="24"/>
      <c r="Z429" s="24"/>
      <c r="AA429" s="24"/>
      <c r="AC429" s="24"/>
      <c r="AD429" s="47"/>
      <c r="AE429" s="24"/>
      <c r="AF429" s="24"/>
      <c r="AG429" s="24"/>
      <c r="AH429" s="24"/>
      <c r="AI429" s="24"/>
    </row>
    <row r="430" spans="1:35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 t="str">
        <f>IFERROR(IF(ISBLANK(U430),"",INDEX(Gen_Vessels!$A$3:$C$495,MATCH(InspectionSite!$U430,Gen_Vessels!$C$3:$C$495,0),1)),"")</f>
        <v/>
      </c>
      <c r="W430" s="24"/>
      <c r="X430" s="24"/>
      <c r="Y430" s="24"/>
      <c r="Z430" s="24"/>
      <c r="AA430" s="24"/>
      <c r="AC430" s="24"/>
      <c r="AD430" s="47"/>
      <c r="AE430" s="24"/>
      <c r="AF430" s="24"/>
      <c r="AG430" s="24"/>
      <c r="AH430" s="24"/>
      <c r="AI430" s="24"/>
    </row>
    <row r="431" spans="1:35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 t="str">
        <f>IFERROR(IF(ISBLANK(U431),"",INDEX(Gen_Vessels!$A$3:$C$495,MATCH(InspectionSite!$U431,Gen_Vessels!$C$3:$C$495,0),1)),"")</f>
        <v/>
      </c>
      <c r="W431" s="24"/>
      <c r="X431" s="24"/>
      <c r="Y431" s="24"/>
      <c r="Z431" s="24"/>
      <c r="AA431" s="24"/>
      <c r="AC431" s="24"/>
      <c r="AD431" s="47"/>
      <c r="AE431" s="24"/>
      <c r="AF431" s="24"/>
      <c r="AG431" s="24"/>
      <c r="AH431" s="24"/>
      <c r="AI431" s="24"/>
    </row>
    <row r="432" spans="1:35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 t="str">
        <f>IFERROR(IF(ISBLANK(U432),"",INDEX(Gen_Vessels!$A$3:$C$495,MATCH(InspectionSite!$U432,Gen_Vessels!$C$3:$C$495,0),1)),"")</f>
        <v/>
      </c>
      <c r="W432" s="24"/>
      <c r="X432" s="24"/>
      <c r="Y432" s="24"/>
      <c r="Z432" s="24"/>
      <c r="AA432" s="24"/>
      <c r="AC432" s="24"/>
      <c r="AD432" s="47"/>
      <c r="AE432" s="24"/>
      <c r="AF432" s="24"/>
      <c r="AG432" s="24"/>
      <c r="AH432" s="24"/>
      <c r="AI432" s="24"/>
    </row>
    <row r="433" spans="1:35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 t="str">
        <f>IFERROR(IF(ISBLANK(U433),"",INDEX(Gen_Vessels!$A$3:$C$495,MATCH(InspectionSite!$U433,Gen_Vessels!$C$3:$C$495,0),1)),"")</f>
        <v/>
      </c>
      <c r="W433" s="24"/>
      <c r="X433" s="24"/>
      <c r="Y433" s="24"/>
      <c r="Z433" s="24"/>
      <c r="AA433" s="24"/>
      <c r="AC433" s="24"/>
      <c r="AD433" s="47"/>
      <c r="AE433" s="24"/>
      <c r="AF433" s="24"/>
      <c r="AG433" s="24"/>
      <c r="AH433" s="24"/>
      <c r="AI433" s="24"/>
    </row>
    <row r="434" spans="1:35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 t="str">
        <f>IFERROR(IF(ISBLANK(U434),"",INDEX(Gen_Vessels!$A$3:$C$495,MATCH(InspectionSite!$U434,Gen_Vessels!$C$3:$C$495,0),1)),"")</f>
        <v/>
      </c>
      <c r="W434" s="24"/>
      <c r="X434" s="24"/>
      <c r="Y434" s="24"/>
      <c r="Z434" s="24"/>
      <c r="AA434" s="24"/>
      <c r="AC434" s="24"/>
      <c r="AD434" s="47"/>
      <c r="AE434" s="24"/>
      <c r="AF434" s="24"/>
      <c r="AG434" s="24"/>
      <c r="AH434" s="24"/>
      <c r="AI434" s="24"/>
    </row>
    <row r="435" spans="1:35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 t="str">
        <f>IFERROR(IF(ISBLANK(U435),"",INDEX(Gen_Vessels!$A$3:$C$495,MATCH(InspectionSite!$U435,Gen_Vessels!$C$3:$C$495,0),1)),"")</f>
        <v/>
      </c>
      <c r="W435" s="24"/>
      <c r="X435" s="24"/>
      <c r="Y435" s="24"/>
      <c r="Z435" s="24"/>
      <c r="AA435" s="24"/>
      <c r="AC435" s="24"/>
      <c r="AD435" s="47"/>
      <c r="AE435" s="24"/>
      <c r="AF435" s="24"/>
      <c r="AG435" s="24"/>
      <c r="AH435" s="24"/>
      <c r="AI435" s="24"/>
    </row>
    <row r="436" spans="1:35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 t="str">
        <f>IFERROR(IF(ISBLANK(U436),"",INDEX(Gen_Vessels!$A$3:$C$495,MATCH(InspectionSite!$U436,Gen_Vessels!$C$3:$C$495,0),1)),"")</f>
        <v/>
      </c>
      <c r="W436" s="24"/>
      <c r="X436" s="24"/>
      <c r="Y436" s="24"/>
      <c r="Z436" s="24"/>
      <c r="AA436" s="24"/>
      <c r="AC436" s="24"/>
      <c r="AD436" s="47"/>
      <c r="AE436" s="24"/>
      <c r="AF436" s="24"/>
      <c r="AG436" s="24"/>
      <c r="AH436" s="24"/>
      <c r="AI436" s="24"/>
    </row>
    <row r="437" spans="1:35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 t="str">
        <f>IFERROR(IF(ISBLANK(U437),"",INDEX(Gen_Vessels!$A$3:$C$495,MATCH(InspectionSite!$U437,Gen_Vessels!$C$3:$C$495,0),1)),"")</f>
        <v/>
      </c>
      <c r="W437" s="24"/>
      <c r="X437" s="24"/>
      <c r="Y437" s="24"/>
      <c r="Z437" s="24"/>
      <c r="AA437" s="24"/>
      <c r="AC437" s="24"/>
      <c r="AD437" s="47"/>
      <c r="AE437" s="24"/>
      <c r="AF437" s="24"/>
      <c r="AG437" s="24"/>
      <c r="AH437" s="24"/>
      <c r="AI437" s="24"/>
    </row>
    <row r="438" spans="1:35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 t="str">
        <f>IFERROR(IF(ISBLANK(U438),"",INDEX(Gen_Vessels!$A$3:$C$495,MATCH(InspectionSite!$U438,Gen_Vessels!$C$3:$C$495,0),1)),"")</f>
        <v/>
      </c>
      <c r="W438" s="24"/>
      <c r="X438" s="24"/>
      <c r="Y438" s="24"/>
      <c r="Z438" s="24"/>
      <c r="AA438" s="24"/>
      <c r="AC438" s="24"/>
      <c r="AD438" s="47"/>
      <c r="AE438" s="24"/>
      <c r="AF438" s="24"/>
      <c r="AG438" s="24"/>
      <c r="AH438" s="24"/>
      <c r="AI438" s="24"/>
    </row>
    <row r="439" spans="1:35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 t="str">
        <f>IFERROR(IF(ISBLANK(U439),"",INDEX(Gen_Vessels!$A$3:$C$495,MATCH(InspectionSite!$U439,Gen_Vessels!$C$3:$C$495,0),1)),"")</f>
        <v/>
      </c>
      <c r="W439" s="24"/>
      <c r="X439" s="24"/>
      <c r="Y439" s="24"/>
      <c r="Z439" s="24"/>
      <c r="AA439" s="24"/>
      <c r="AC439" s="24"/>
      <c r="AD439" s="47"/>
      <c r="AE439" s="24"/>
      <c r="AF439" s="24"/>
      <c r="AG439" s="24"/>
      <c r="AH439" s="24"/>
      <c r="AI439" s="24"/>
    </row>
    <row r="440" spans="1:35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 t="str">
        <f>IFERROR(IF(ISBLANK(U440),"",INDEX(Gen_Vessels!$A$3:$C$495,MATCH(InspectionSite!$U440,Gen_Vessels!$C$3:$C$495,0),1)),"")</f>
        <v/>
      </c>
      <c r="W440" s="24"/>
      <c r="X440" s="24"/>
      <c r="Y440" s="24"/>
      <c r="Z440" s="24"/>
      <c r="AA440" s="24"/>
      <c r="AC440" s="24"/>
      <c r="AD440" s="47"/>
      <c r="AE440" s="24"/>
      <c r="AF440" s="24"/>
      <c r="AG440" s="24"/>
      <c r="AH440" s="24"/>
      <c r="AI440" s="24"/>
    </row>
    <row r="441" spans="1:35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 t="str">
        <f>IFERROR(IF(ISBLANK(U441),"",INDEX(Gen_Vessels!$A$3:$C$495,MATCH(InspectionSite!$U441,Gen_Vessels!$C$3:$C$495,0),1)),"")</f>
        <v/>
      </c>
      <c r="W441" s="24"/>
      <c r="X441" s="24"/>
      <c r="Y441" s="24"/>
      <c r="Z441" s="24"/>
      <c r="AA441" s="24"/>
      <c r="AC441" s="24"/>
      <c r="AD441" s="47"/>
      <c r="AE441" s="24"/>
      <c r="AF441" s="24"/>
      <c r="AG441" s="24"/>
      <c r="AH441" s="24"/>
      <c r="AI441" s="24"/>
    </row>
    <row r="442" spans="1:35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 t="str">
        <f>IFERROR(IF(ISBLANK(U442),"",INDEX(Gen_Vessels!$A$3:$C$495,MATCH(InspectionSite!$U442,Gen_Vessels!$C$3:$C$495,0),1)),"")</f>
        <v/>
      </c>
      <c r="W442" s="24"/>
      <c r="X442" s="24"/>
      <c r="Y442" s="24"/>
      <c r="Z442" s="24"/>
      <c r="AA442" s="24"/>
      <c r="AC442" s="24"/>
      <c r="AD442" s="47"/>
      <c r="AE442" s="24"/>
      <c r="AF442" s="24"/>
      <c r="AG442" s="24"/>
      <c r="AH442" s="24"/>
      <c r="AI442" s="24"/>
    </row>
    <row r="443" spans="1:35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 t="str">
        <f>IFERROR(IF(ISBLANK(U443),"",INDEX(Gen_Vessels!$A$3:$C$495,MATCH(InspectionSite!$U443,Gen_Vessels!$C$3:$C$495,0),1)),"")</f>
        <v/>
      </c>
      <c r="W443" s="24"/>
      <c r="X443" s="24"/>
      <c r="Y443" s="24"/>
      <c r="Z443" s="24"/>
      <c r="AA443" s="24"/>
      <c r="AC443" s="24"/>
      <c r="AD443" s="47"/>
      <c r="AE443" s="24"/>
      <c r="AF443" s="24"/>
      <c r="AG443" s="24"/>
      <c r="AH443" s="24"/>
      <c r="AI443" s="24"/>
    </row>
    <row r="444" spans="1:35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 t="str">
        <f>IFERROR(IF(ISBLANK(U444),"",INDEX(Gen_Vessels!$A$3:$C$495,MATCH(InspectionSite!$U444,Gen_Vessels!$C$3:$C$495,0),1)),"")</f>
        <v/>
      </c>
      <c r="W444" s="24"/>
      <c r="X444" s="24"/>
      <c r="Y444" s="24"/>
      <c r="Z444" s="24"/>
      <c r="AA444" s="24"/>
      <c r="AC444" s="24"/>
      <c r="AD444" s="47"/>
      <c r="AE444" s="24"/>
      <c r="AF444" s="24"/>
      <c r="AG444" s="24"/>
      <c r="AH444" s="24"/>
      <c r="AI444" s="24"/>
    </row>
    <row r="445" spans="1:35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 t="str">
        <f>IFERROR(IF(ISBLANK(U445),"",INDEX(Gen_Vessels!$A$3:$C$495,MATCH(InspectionSite!$U445,Gen_Vessels!$C$3:$C$495,0),1)),"")</f>
        <v/>
      </c>
      <c r="W445" s="24"/>
      <c r="X445" s="24"/>
      <c r="Y445" s="24"/>
      <c r="Z445" s="24"/>
      <c r="AA445" s="24"/>
      <c r="AC445" s="24"/>
      <c r="AD445" s="47"/>
      <c r="AE445" s="24"/>
      <c r="AF445" s="24"/>
      <c r="AG445" s="24"/>
      <c r="AH445" s="24"/>
      <c r="AI445" s="24"/>
    </row>
    <row r="446" spans="1:35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 t="str">
        <f>IFERROR(IF(ISBLANK(U446),"",INDEX(Gen_Vessels!$A$3:$C$495,MATCH(InspectionSite!$U446,Gen_Vessels!$C$3:$C$495,0),1)),"")</f>
        <v/>
      </c>
      <c r="W446" s="24"/>
      <c r="X446" s="24"/>
      <c r="Y446" s="24"/>
      <c r="Z446" s="24"/>
      <c r="AA446" s="24"/>
      <c r="AC446" s="24"/>
      <c r="AD446" s="47"/>
      <c r="AE446" s="24"/>
      <c r="AF446" s="24"/>
      <c r="AG446" s="24"/>
      <c r="AH446" s="24"/>
      <c r="AI446" s="24"/>
    </row>
    <row r="447" spans="1:35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 t="str">
        <f>IFERROR(IF(ISBLANK(U447),"",INDEX(Gen_Vessels!$A$3:$C$495,MATCH(InspectionSite!$U447,Gen_Vessels!$C$3:$C$495,0),1)),"")</f>
        <v/>
      </c>
      <c r="W447" s="24"/>
      <c r="X447" s="24"/>
      <c r="Y447" s="24"/>
      <c r="Z447" s="24"/>
      <c r="AA447" s="24"/>
      <c r="AC447" s="24"/>
      <c r="AD447" s="47"/>
      <c r="AE447" s="24"/>
      <c r="AF447" s="24"/>
      <c r="AG447" s="24"/>
      <c r="AH447" s="24"/>
      <c r="AI447" s="24"/>
    </row>
    <row r="448" spans="1:35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 t="str">
        <f>IFERROR(IF(ISBLANK(U448),"",INDEX(Gen_Vessels!$A$3:$C$495,MATCH(InspectionSite!$U448,Gen_Vessels!$C$3:$C$495,0),1)),"")</f>
        <v/>
      </c>
      <c r="W448" s="24"/>
      <c r="X448" s="24"/>
      <c r="Y448" s="24"/>
      <c r="Z448" s="24"/>
      <c r="AA448" s="24"/>
      <c r="AC448" s="24"/>
      <c r="AD448" s="47"/>
      <c r="AE448" s="24"/>
      <c r="AF448" s="24"/>
      <c r="AG448" s="24"/>
      <c r="AH448" s="24"/>
      <c r="AI448" s="24"/>
    </row>
    <row r="449" spans="1:35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 t="str">
        <f>IFERROR(IF(ISBLANK(U449),"",INDEX(Gen_Vessels!$A$3:$C$495,MATCH(InspectionSite!$U449,Gen_Vessels!$C$3:$C$495,0),1)),"")</f>
        <v/>
      </c>
      <c r="W449" s="24"/>
      <c r="X449" s="24"/>
      <c r="Y449" s="24"/>
      <c r="Z449" s="24"/>
      <c r="AA449" s="24"/>
      <c r="AC449" s="24"/>
      <c r="AD449" s="47"/>
      <c r="AE449" s="24"/>
      <c r="AF449" s="24"/>
      <c r="AG449" s="24"/>
      <c r="AH449" s="24"/>
      <c r="AI449" s="24"/>
    </row>
    <row r="450" spans="1:35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 t="str">
        <f>IFERROR(IF(ISBLANK(U450),"",INDEX(Gen_Vessels!$A$3:$C$495,MATCH(InspectionSite!$U450,Gen_Vessels!$C$3:$C$495,0),1)),"")</f>
        <v/>
      </c>
      <c r="W450" s="24"/>
      <c r="X450" s="24"/>
      <c r="Y450" s="24"/>
      <c r="Z450" s="24"/>
      <c r="AA450" s="24"/>
      <c r="AC450" s="24"/>
      <c r="AD450" s="47"/>
      <c r="AE450" s="24"/>
      <c r="AF450" s="24"/>
      <c r="AG450" s="24"/>
      <c r="AH450" s="24"/>
      <c r="AI450" s="24"/>
    </row>
    <row r="451" spans="1:35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 t="str">
        <f>IFERROR(IF(ISBLANK(U451),"",INDEX(Gen_Vessels!$A$3:$C$495,MATCH(InspectionSite!$U451,Gen_Vessels!$C$3:$C$495,0),1)),"")</f>
        <v/>
      </c>
      <c r="W451" s="24"/>
      <c r="X451" s="24"/>
      <c r="Y451" s="24"/>
      <c r="Z451" s="24"/>
      <c r="AA451" s="24"/>
      <c r="AC451" s="24"/>
      <c r="AD451" s="47"/>
      <c r="AE451" s="24"/>
      <c r="AF451" s="24"/>
      <c r="AG451" s="24"/>
      <c r="AH451" s="24"/>
      <c r="AI451" s="24"/>
    </row>
    <row r="452" spans="1:35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 t="str">
        <f>IFERROR(IF(ISBLANK(U452),"",INDEX(Gen_Vessels!$A$3:$C$495,MATCH(InspectionSite!$U452,Gen_Vessels!$C$3:$C$495,0),1)),"")</f>
        <v/>
      </c>
      <c r="W452" s="24"/>
      <c r="X452" s="24"/>
      <c r="Y452" s="24"/>
      <c r="Z452" s="24"/>
      <c r="AA452" s="24"/>
      <c r="AC452" s="24"/>
      <c r="AD452" s="47"/>
      <c r="AE452" s="24"/>
      <c r="AF452" s="24"/>
      <c r="AG452" s="24"/>
      <c r="AH452" s="24"/>
      <c r="AI452" s="24"/>
    </row>
    <row r="453" spans="1:35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 t="str">
        <f>IFERROR(IF(ISBLANK(U453),"",INDEX(Gen_Vessels!$A$3:$C$495,MATCH(InspectionSite!$U453,Gen_Vessels!$C$3:$C$495,0),1)),"")</f>
        <v/>
      </c>
      <c r="W453" s="24"/>
      <c r="X453" s="24"/>
      <c r="Y453" s="24"/>
      <c r="Z453" s="24"/>
      <c r="AA453" s="24"/>
      <c r="AC453" s="24"/>
      <c r="AD453" s="47"/>
      <c r="AE453" s="24"/>
      <c r="AF453" s="24"/>
      <c r="AG453" s="24"/>
      <c r="AH453" s="24"/>
      <c r="AI453" s="24"/>
    </row>
    <row r="454" spans="1:35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 t="str">
        <f>IFERROR(IF(ISBLANK(U454),"",INDEX(Gen_Vessels!$A$3:$C$495,MATCH(InspectionSite!$U454,Gen_Vessels!$C$3:$C$495,0),1)),"")</f>
        <v/>
      </c>
      <c r="W454" s="24"/>
      <c r="X454" s="24"/>
      <c r="Y454" s="24"/>
      <c r="Z454" s="24"/>
      <c r="AA454" s="24"/>
      <c r="AC454" s="24"/>
      <c r="AD454" s="47"/>
      <c r="AE454" s="24"/>
      <c r="AF454" s="24"/>
      <c r="AG454" s="24"/>
      <c r="AH454" s="24"/>
      <c r="AI454" s="24"/>
    </row>
    <row r="455" spans="1:35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 t="str">
        <f>IFERROR(IF(ISBLANK(U455),"",INDEX(Gen_Vessels!$A$3:$C$495,MATCH(InspectionSite!$U455,Gen_Vessels!$C$3:$C$495,0),1)),"")</f>
        <v/>
      </c>
      <c r="W455" s="24"/>
      <c r="X455" s="24"/>
      <c r="Y455" s="24"/>
      <c r="Z455" s="24"/>
      <c r="AA455" s="24"/>
      <c r="AC455" s="24"/>
      <c r="AD455" s="47"/>
      <c r="AE455" s="24"/>
      <c r="AF455" s="24"/>
      <c r="AG455" s="24"/>
      <c r="AH455" s="24"/>
      <c r="AI455" s="24"/>
    </row>
    <row r="456" spans="1:35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 t="str">
        <f>IFERROR(IF(ISBLANK(U456),"",INDEX(Gen_Vessels!$A$3:$C$495,MATCH(InspectionSite!$U456,Gen_Vessels!$C$3:$C$495,0),1)),"")</f>
        <v/>
      </c>
      <c r="W456" s="24"/>
      <c r="X456" s="24"/>
      <c r="Y456" s="24"/>
      <c r="Z456" s="24"/>
      <c r="AA456" s="24"/>
      <c r="AC456" s="24"/>
      <c r="AD456" s="47"/>
      <c r="AE456" s="24"/>
      <c r="AF456" s="24"/>
      <c r="AG456" s="24"/>
      <c r="AH456" s="24"/>
      <c r="AI456" s="24"/>
    </row>
    <row r="457" spans="1:35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 t="str">
        <f>IFERROR(IF(ISBLANK(U457),"",INDEX(Gen_Vessels!$A$3:$C$495,MATCH(InspectionSite!$U457,Gen_Vessels!$C$3:$C$495,0),1)),"")</f>
        <v/>
      </c>
      <c r="W457" s="24"/>
      <c r="X457" s="24"/>
      <c r="Y457" s="24"/>
      <c r="Z457" s="24"/>
      <c r="AA457" s="24"/>
      <c r="AC457" s="24"/>
      <c r="AD457" s="47"/>
      <c r="AE457" s="24"/>
      <c r="AF457" s="24"/>
      <c r="AG457" s="24"/>
      <c r="AH457" s="24"/>
      <c r="AI457" s="24"/>
    </row>
    <row r="458" spans="1:35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 t="str">
        <f>IFERROR(IF(ISBLANK(U458),"",INDEX(Gen_Vessels!$A$3:$C$495,MATCH(InspectionSite!$U458,Gen_Vessels!$C$3:$C$495,0),1)),"")</f>
        <v/>
      </c>
      <c r="W458" s="24"/>
      <c r="X458" s="24"/>
      <c r="Y458" s="24"/>
      <c r="Z458" s="24"/>
      <c r="AA458" s="24"/>
      <c r="AC458" s="24"/>
      <c r="AD458" s="47"/>
      <c r="AE458" s="24"/>
      <c r="AF458" s="24"/>
      <c r="AG458" s="24"/>
      <c r="AH458" s="24"/>
      <c r="AI458" s="24"/>
    </row>
    <row r="459" spans="1:35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 t="str">
        <f>IFERROR(IF(ISBLANK(U459),"",INDEX(Gen_Vessels!$A$3:$C$495,MATCH(InspectionSite!$U459,Gen_Vessels!$C$3:$C$495,0),1)),"")</f>
        <v/>
      </c>
      <c r="W459" s="24"/>
      <c r="X459" s="24"/>
      <c r="Y459" s="24"/>
      <c r="Z459" s="24"/>
      <c r="AA459" s="24"/>
      <c r="AC459" s="24"/>
      <c r="AD459" s="47"/>
      <c r="AE459" s="24"/>
      <c r="AF459" s="24"/>
      <c r="AG459" s="24"/>
      <c r="AH459" s="24"/>
      <c r="AI459" s="24"/>
    </row>
    <row r="460" spans="1:35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 t="str">
        <f>IFERROR(IF(ISBLANK(U460),"",INDEX(Gen_Vessels!$A$3:$C$495,MATCH(InspectionSite!$U460,Gen_Vessels!$C$3:$C$495,0),1)),"")</f>
        <v/>
      </c>
      <c r="W460" s="24"/>
      <c r="X460" s="24"/>
      <c r="Y460" s="24"/>
      <c r="Z460" s="24"/>
      <c r="AA460" s="24"/>
      <c r="AC460" s="24"/>
      <c r="AD460" s="47"/>
      <c r="AE460" s="24"/>
      <c r="AF460" s="24"/>
      <c r="AG460" s="24"/>
      <c r="AH460" s="24"/>
      <c r="AI460" s="24"/>
    </row>
    <row r="461" spans="1:35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 t="str">
        <f>IFERROR(IF(ISBLANK(U461),"",INDEX(Gen_Vessels!$A$3:$C$495,MATCH(InspectionSite!$U461,Gen_Vessels!$C$3:$C$495,0),1)),"")</f>
        <v/>
      </c>
      <c r="W461" s="24"/>
      <c r="X461" s="24"/>
      <c r="Y461" s="24"/>
      <c r="Z461" s="24"/>
      <c r="AA461" s="24"/>
      <c r="AC461" s="24"/>
      <c r="AD461" s="47"/>
      <c r="AE461" s="24"/>
      <c r="AF461" s="24"/>
      <c r="AG461" s="24"/>
      <c r="AH461" s="24"/>
      <c r="AI461" s="24"/>
    </row>
    <row r="462" spans="1:35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 t="str">
        <f>IFERROR(IF(ISBLANK(U462),"",INDEX(Gen_Vessels!$A$3:$C$495,MATCH(InspectionSite!$U462,Gen_Vessels!$C$3:$C$495,0),1)),"")</f>
        <v/>
      </c>
      <c r="W462" s="24"/>
      <c r="X462" s="24"/>
      <c r="Y462" s="24"/>
      <c r="Z462" s="24"/>
      <c r="AA462" s="24"/>
      <c r="AC462" s="24"/>
      <c r="AD462" s="47"/>
      <c r="AE462" s="24"/>
      <c r="AF462" s="24"/>
      <c r="AG462" s="24"/>
      <c r="AH462" s="24"/>
      <c r="AI462" s="24"/>
    </row>
    <row r="463" spans="1:35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 t="str">
        <f>IFERROR(IF(ISBLANK(U463),"",INDEX(Gen_Vessels!$A$3:$C$495,MATCH(InspectionSite!$U463,Gen_Vessels!$C$3:$C$495,0),1)),"")</f>
        <v/>
      </c>
      <c r="W463" s="24"/>
      <c r="X463" s="24"/>
      <c r="Y463" s="24"/>
      <c r="Z463" s="24"/>
      <c r="AA463" s="24"/>
      <c r="AC463" s="24"/>
      <c r="AD463" s="47"/>
      <c r="AE463" s="24"/>
      <c r="AF463" s="24"/>
      <c r="AG463" s="24"/>
      <c r="AH463" s="24"/>
      <c r="AI463" s="24"/>
    </row>
    <row r="464" spans="1:35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 t="str">
        <f>IFERROR(IF(ISBLANK(U464),"",INDEX(Gen_Vessels!$A$3:$C$495,MATCH(InspectionSite!$U464,Gen_Vessels!$C$3:$C$495,0),1)),"")</f>
        <v/>
      </c>
      <c r="W464" s="24"/>
      <c r="X464" s="24"/>
      <c r="Y464" s="24"/>
      <c r="Z464" s="24"/>
      <c r="AA464" s="24"/>
      <c r="AC464" s="24"/>
      <c r="AD464" s="47"/>
      <c r="AE464" s="24"/>
      <c r="AF464" s="24"/>
      <c r="AG464" s="24"/>
      <c r="AH464" s="24"/>
      <c r="AI464" s="24"/>
    </row>
    <row r="465" spans="1:35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 t="str">
        <f>IFERROR(IF(ISBLANK(U465),"",INDEX(Gen_Vessels!$A$3:$C$495,MATCH(InspectionSite!$U465,Gen_Vessels!$C$3:$C$495,0),1)),"")</f>
        <v/>
      </c>
      <c r="W465" s="24"/>
      <c r="X465" s="24"/>
      <c r="Y465" s="24"/>
      <c r="Z465" s="24"/>
      <c r="AA465" s="24"/>
      <c r="AC465" s="24"/>
      <c r="AD465" s="47"/>
      <c r="AE465" s="24"/>
      <c r="AF465" s="24"/>
      <c r="AG465" s="24"/>
      <c r="AH465" s="24"/>
      <c r="AI465" s="24"/>
    </row>
    <row r="466" spans="1:35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 t="str">
        <f>IFERROR(IF(ISBLANK(U466),"",INDEX(Gen_Vessels!$A$3:$C$495,MATCH(InspectionSite!$U466,Gen_Vessels!$C$3:$C$495,0),1)),"")</f>
        <v/>
      </c>
      <c r="W466" s="24"/>
      <c r="X466" s="24"/>
      <c r="Y466" s="24"/>
      <c r="Z466" s="24"/>
      <c r="AA466" s="24"/>
      <c r="AC466" s="24"/>
      <c r="AD466" s="47"/>
      <c r="AE466" s="24"/>
      <c r="AF466" s="24"/>
      <c r="AG466" s="24"/>
      <c r="AH466" s="24"/>
      <c r="AI466" s="24"/>
    </row>
    <row r="467" spans="1:35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 t="str">
        <f>IFERROR(IF(ISBLANK(U467),"",INDEX(Gen_Vessels!$A$3:$C$495,MATCH(InspectionSite!$U467,Gen_Vessels!$C$3:$C$495,0),1)),"")</f>
        <v/>
      </c>
      <c r="W467" s="24"/>
      <c r="X467" s="24"/>
      <c r="Y467" s="24"/>
      <c r="Z467" s="24"/>
      <c r="AA467" s="24"/>
      <c r="AC467" s="24"/>
      <c r="AD467" s="47"/>
      <c r="AE467" s="24"/>
      <c r="AF467" s="24"/>
      <c r="AG467" s="24"/>
      <c r="AH467" s="24"/>
      <c r="AI467" s="24"/>
    </row>
    <row r="468" spans="1:35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 t="str">
        <f>IFERROR(IF(ISBLANK(U468),"",INDEX(Gen_Vessels!$A$3:$C$495,MATCH(InspectionSite!$U468,Gen_Vessels!$C$3:$C$495,0),1)),"")</f>
        <v/>
      </c>
      <c r="W468" s="24"/>
      <c r="X468" s="24"/>
      <c r="Y468" s="24"/>
      <c r="Z468" s="24"/>
      <c r="AA468" s="24"/>
      <c r="AC468" s="24"/>
      <c r="AD468" s="47"/>
      <c r="AE468" s="24"/>
      <c r="AF468" s="24"/>
      <c r="AG468" s="24"/>
      <c r="AH468" s="24"/>
      <c r="AI468" s="24"/>
    </row>
    <row r="469" spans="1:35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 t="str">
        <f>IFERROR(IF(ISBLANK(U469),"",INDEX(Gen_Vessels!$A$3:$C$495,MATCH(InspectionSite!$U469,Gen_Vessels!$C$3:$C$495,0),1)),"")</f>
        <v/>
      </c>
      <c r="W469" s="24"/>
      <c r="X469" s="24"/>
      <c r="Y469" s="24"/>
      <c r="Z469" s="24"/>
      <c r="AA469" s="24"/>
      <c r="AC469" s="24"/>
      <c r="AD469" s="47"/>
      <c r="AE469" s="24"/>
      <c r="AF469" s="24"/>
      <c r="AG469" s="24"/>
      <c r="AH469" s="24"/>
      <c r="AI469" s="24"/>
    </row>
    <row r="470" spans="1:35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 t="str">
        <f>IFERROR(IF(ISBLANK(U470),"",INDEX(Gen_Vessels!$A$3:$C$495,MATCH(InspectionSite!$U470,Gen_Vessels!$C$3:$C$495,0),1)),"")</f>
        <v/>
      </c>
      <c r="W470" s="24"/>
      <c r="X470" s="24"/>
      <c r="Y470" s="24"/>
      <c r="Z470" s="24"/>
      <c r="AA470" s="24"/>
      <c r="AC470" s="24"/>
      <c r="AD470" s="47"/>
      <c r="AE470" s="24"/>
      <c r="AF470" s="24"/>
      <c r="AG470" s="24"/>
      <c r="AH470" s="24"/>
      <c r="AI470" s="24"/>
    </row>
    <row r="471" spans="1:35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 t="str">
        <f>IFERROR(IF(ISBLANK(U471),"",INDEX(Gen_Vessels!$A$3:$C$495,MATCH(InspectionSite!$U471,Gen_Vessels!$C$3:$C$495,0),1)),"")</f>
        <v/>
      </c>
      <c r="W471" s="24"/>
      <c r="X471" s="24"/>
      <c r="Y471" s="24"/>
      <c r="Z471" s="24"/>
      <c r="AA471" s="24"/>
      <c r="AC471" s="24"/>
      <c r="AD471" s="47"/>
      <c r="AE471" s="24"/>
      <c r="AF471" s="24"/>
      <c r="AG471" s="24"/>
      <c r="AH471" s="24"/>
      <c r="AI471" s="24"/>
    </row>
    <row r="472" spans="1:35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 t="str">
        <f>IFERROR(IF(ISBLANK(U472),"",INDEX(Gen_Vessels!$A$3:$C$495,MATCH(InspectionSite!$U472,Gen_Vessels!$C$3:$C$495,0),1)),"")</f>
        <v/>
      </c>
      <c r="W472" s="24"/>
      <c r="X472" s="24"/>
      <c r="Y472" s="24"/>
      <c r="Z472" s="24"/>
      <c r="AA472" s="24"/>
      <c r="AC472" s="24"/>
      <c r="AD472" s="47"/>
      <c r="AE472" s="24"/>
      <c r="AF472" s="24"/>
      <c r="AG472" s="24"/>
      <c r="AH472" s="24"/>
      <c r="AI472" s="24"/>
    </row>
    <row r="473" spans="1:35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 t="str">
        <f>IFERROR(IF(ISBLANK(U473),"",INDEX(Gen_Vessels!$A$3:$C$495,MATCH(InspectionSite!$U473,Gen_Vessels!$C$3:$C$495,0),1)),"")</f>
        <v/>
      </c>
      <c r="W473" s="24"/>
      <c r="X473" s="24"/>
      <c r="Y473" s="24"/>
      <c r="Z473" s="24"/>
      <c r="AA473" s="24"/>
      <c r="AC473" s="24"/>
      <c r="AD473" s="47"/>
      <c r="AE473" s="24"/>
      <c r="AF473" s="24"/>
      <c r="AG473" s="24"/>
      <c r="AH473" s="24"/>
      <c r="AI473" s="24"/>
    </row>
    <row r="474" spans="1:35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 t="str">
        <f>IFERROR(IF(ISBLANK(U474),"",INDEX(Gen_Vessels!$A$3:$C$495,MATCH(InspectionSite!$U474,Gen_Vessels!$C$3:$C$495,0),1)),"")</f>
        <v/>
      </c>
      <c r="W474" s="24"/>
      <c r="X474" s="24"/>
      <c r="Y474" s="24"/>
      <c r="Z474" s="24"/>
      <c r="AA474" s="24"/>
      <c r="AC474" s="24"/>
      <c r="AD474" s="47"/>
      <c r="AE474" s="24"/>
      <c r="AF474" s="24"/>
      <c r="AG474" s="24"/>
      <c r="AH474" s="24"/>
      <c r="AI474" s="24"/>
    </row>
    <row r="475" spans="1:35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 t="str">
        <f>IFERROR(IF(ISBLANK(U475),"",INDEX(Gen_Vessels!$A$3:$C$495,MATCH(InspectionSite!$U475,Gen_Vessels!$C$3:$C$495,0),1)),"")</f>
        <v/>
      </c>
      <c r="W475" s="24"/>
      <c r="X475" s="24"/>
      <c r="Y475" s="24"/>
      <c r="Z475" s="24"/>
      <c r="AA475" s="24"/>
      <c r="AC475" s="24"/>
      <c r="AD475" s="47"/>
      <c r="AE475" s="24"/>
      <c r="AF475" s="24"/>
      <c r="AG475" s="24"/>
      <c r="AH475" s="24"/>
      <c r="AI475" s="24"/>
    </row>
    <row r="476" spans="1:35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 t="str">
        <f>IFERROR(IF(ISBLANK(U476),"",INDEX(Gen_Vessels!$A$3:$C$495,MATCH(InspectionSite!$U476,Gen_Vessels!$C$3:$C$495,0),1)),"")</f>
        <v/>
      </c>
      <c r="W476" s="24"/>
      <c r="X476" s="24"/>
      <c r="Y476" s="24"/>
      <c r="Z476" s="24"/>
      <c r="AA476" s="24"/>
      <c r="AC476" s="24"/>
      <c r="AD476" s="47"/>
      <c r="AE476" s="24"/>
      <c r="AF476" s="24"/>
      <c r="AG476" s="24"/>
      <c r="AH476" s="24"/>
      <c r="AI476" s="24"/>
    </row>
    <row r="477" spans="1:35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 t="str">
        <f>IFERROR(IF(ISBLANK(U477),"",INDEX(Gen_Vessels!$A$3:$C$495,MATCH(InspectionSite!$U477,Gen_Vessels!$C$3:$C$495,0),1)),"")</f>
        <v/>
      </c>
      <c r="W477" s="24"/>
      <c r="X477" s="24"/>
      <c r="Y477" s="24"/>
      <c r="Z477" s="24"/>
      <c r="AA477" s="24"/>
      <c r="AC477" s="24"/>
      <c r="AD477" s="47"/>
      <c r="AE477" s="24"/>
      <c r="AF477" s="24"/>
      <c r="AG477" s="24"/>
      <c r="AH477" s="24"/>
      <c r="AI477" s="24"/>
    </row>
    <row r="478" spans="1:35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 t="str">
        <f>IFERROR(IF(ISBLANK(U478),"",INDEX(Gen_Vessels!$A$3:$C$495,MATCH(InspectionSite!$U478,Gen_Vessels!$C$3:$C$495,0),1)),"")</f>
        <v/>
      </c>
      <c r="W478" s="24"/>
      <c r="X478" s="24"/>
      <c r="Y478" s="24"/>
      <c r="Z478" s="24"/>
      <c r="AA478" s="24"/>
      <c r="AC478" s="24"/>
      <c r="AD478" s="47"/>
      <c r="AE478" s="24"/>
      <c r="AF478" s="24"/>
      <c r="AG478" s="24"/>
      <c r="AH478" s="24"/>
      <c r="AI478" s="24"/>
    </row>
    <row r="479" spans="1:35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 t="str">
        <f>IFERROR(IF(ISBLANK(U479),"",INDEX(Gen_Vessels!$A$3:$C$495,MATCH(InspectionSite!$U479,Gen_Vessels!$C$3:$C$495,0),1)),"")</f>
        <v/>
      </c>
      <c r="W479" s="24"/>
      <c r="X479" s="24"/>
      <c r="Y479" s="24"/>
      <c r="Z479" s="24"/>
      <c r="AA479" s="24"/>
      <c r="AC479" s="24"/>
      <c r="AD479" s="47"/>
      <c r="AE479" s="24"/>
      <c r="AF479" s="24"/>
      <c r="AG479" s="24"/>
      <c r="AH479" s="24"/>
      <c r="AI479" s="24"/>
    </row>
    <row r="480" spans="1:35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 t="str">
        <f>IFERROR(IF(ISBLANK(U480),"",INDEX(Gen_Vessels!$A$3:$C$495,MATCH(InspectionSite!$U480,Gen_Vessels!$C$3:$C$495,0),1)),"")</f>
        <v/>
      </c>
      <c r="W480" s="24"/>
      <c r="X480" s="24"/>
      <c r="Y480" s="24"/>
      <c r="Z480" s="24"/>
      <c r="AA480" s="24"/>
      <c r="AC480" s="24"/>
      <c r="AD480" s="47"/>
      <c r="AE480" s="24"/>
      <c r="AF480" s="24"/>
      <c r="AG480" s="24"/>
      <c r="AH480" s="24"/>
      <c r="AI480" s="24"/>
    </row>
    <row r="481" spans="1:35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 t="str">
        <f>IFERROR(IF(ISBLANK(U481),"",INDEX(Gen_Vessels!$A$3:$C$495,MATCH(InspectionSite!$U481,Gen_Vessels!$C$3:$C$495,0),1)),"")</f>
        <v/>
      </c>
      <c r="W481" s="24"/>
      <c r="X481" s="24"/>
      <c r="Y481" s="24"/>
      <c r="Z481" s="24"/>
      <c r="AA481" s="24"/>
      <c r="AC481" s="24"/>
      <c r="AD481" s="47"/>
      <c r="AE481" s="24"/>
      <c r="AF481" s="24"/>
      <c r="AG481" s="24"/>
      <c r="AH481" s="24"/>
      <c r="AI481" s="24"/>
    </row>
    <row r="482" spans="1:35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 t="str">
        <f>IFERROR(IF(ISBLANK(U482),"",INDEX(Gen_Vessels!$A$3:$C$495,MATCH(InspectionSite!$U482,Gen_Vessels!$C$3:$C$495,0),1)),"")</f>
        <v/>
      </c>
      <c r="W482" s="24"/>
      <c r="X482" s="24"/>
      <c r="Y482" s="24"/>
      <c r="Z482" s="24"/>
      <c r="AA482" s="24"/>
      <c r="AC482" s="24"/>
      <c r="AD482" s="47"/>
      <c r="AE482" s="24"/>
      <c r="AF482" s="24"/>
      <c r="AG482" s="24"/>
      <c r="AH482" s="24"/>
      <c r="AI482" s="24"/>
    </row>
    <row r="483" spans="1:35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 t="str">
        <f>IFERROR(IF(ISBLANK(U483),"",INDEX(Gen_Vessels!$A$3:$C$495,MATCH(InspectionSite!$U483,Gen_Vessels!$C$3:$C$495,0),1)),"")</f>
        <v/>
      </c>
      <c r="W483" s="24"/>
      <c r="X483" s="24"/>
      <c r="Y483" s="24"/>
      <c r="Z483" s="24"/>
      <c r="AA483" s="24"/>
      <c r="AC483" s="24"/>
      <c r="AD483" s="47"/>
      <c r="AE483" s="24"/>
      <c r="AF483" s="24"/>
      <c r="AG483" s="24"/>
      <c r="AH483" s="24"/>
      <c r="AI483" s="24"/>
    </row>
    <row r="484" spans="1:35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 t="str">
        <f>IFERROR(IF(ISBLANK(U484),"",INDEX(Gen_Vessels!$A$3:$C$495,MATCH(InspectionSite!$U484,Gen_Vessels!$C$3:$C$495,0),1)),"")</f>
        <v/>
      </c>
      <c r="W484" s="24"/>
      <c r="X484" s="24"/>
      <c r="Y484" s="24"/>
      <c r="Z484" s="24"/>
      <c r="AA484" s="24"/>
      <c r="AC484" s="24"/>
      <c r="AD484" s="47"/>
      <c r="AE484" s="24"/>
      <c r="AF484" s="24"/>
      <c r="AG484" s="24"/>
      <c r="AH484" s="24"/>
      <c r="AI484" s="24"/>
    </row>
    <row r="485" spans="1:35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 t="str">
        <f>IFERROR(IF(ISBLANK(U485),"",INDEX(Gen_Vessels!$A$3:$C$495,MATCH(InspectionSite!$U485,Gen_Vessels!$C$3:$C$495,0),1)),"")</f>
        <v/>
      </c>
      <c r="W485" s="24"/>
      <c r="X485" s="24"/>
      <c r="Y485" s="24"/>
      <c r="Z485" s="24"/>
      <c r="AA485" s="24"/>
      <c r="AC485" s="24"/>
      <c r="AD485" s="47"/>
      <c r="AE485" s="24"/>
      <c r="AF485" s="24"/>
      <c r="AG485" s="24"/>
      <c r="AH485" s="24"/>
      <c r="AI485" s="24"/>
    </row>
    <row r="486" spans="1:35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 t="str">
        <f>IFERROR(IF(ISBLANK(U486),"",INDEX(Gen_Vessels!$A$3:$C$495,MATCH(InspectionSite!$U486,Gen_Vessels!$C$3:$C$495,0),1)),"")</f>
        <v/>
      </c>
      <c r="W486" s="24"/>
      <c r="X486" s="24"/>
      <c r="Y486" s="24"/>
      <c r="Z486" s="24"/>
      <c r="AA486" s="24"/>
      <c r="AC486" s="24"/>
      <c r="AD486" s="47"/>
      <c r="AE486" s="24"/>
      <c r="AF486" s="24"/>
      <c r="AG486" s="24"/>
      <c r="AH486" s="24"/>
      <c r="AI486" s="24"/>
    </row>
    <row r="487" spans="1:35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 t="str">
        <f>IFERROR(IF(ISBLANK(U487),"",INDEX(Gen_Vessels!$A$3:$C$495,MATCH(InspectionSite!$U487,Gen_Vessels!$C$3:$C$495,0),1)),"")</f>
        <v/>
      </c>
      <c r="W487" s="24"/>
      <c r="X487" s="24"/>
      <c r="Y487" s="24"/>
      <c r="Z487" s="24"/>
      <c r="AA487" s="24"/>
      <c r="AC487" s="24"/>
      <c r="AD487" s="47"/>
      <c r="AE487" s="24"/>
      <c r="AF487" s="24"/>
      <c r="AG487" s="24"/>
      <c r="AH487" s="24"/>
      <c r="AI487" s="24"/>
    </row>
    <row r="488" spans="1:35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 t="str">
        <f>IFERROR(IF(ISBLANK(U488),"",INDEX(Gen_Vessels!$A$3:$C$495,MATCH(InspectionSite!$U488,Gen_Vessels!$C$3:$C$495,0),1)),"")</f>
        <v/>
      </c>
      <c r="W488" s="24"/>
      <c r="X488" s="24"/>
      <c r="Y488" s="24"/>
      <c r="Z488" s="24"/>
      <c r="AA488" s="24"/>
      <c r="AC488" s="24"/>
      <c r="AD488" s="47"/>
      <c r="AE488" s="24"/>
      <c r="AF488" s="24"/>
      <c r="AG488" s="24"/>
      <c r="AH488" s="24"/>
      <c r="AI488" s="24"/>
    </row>
    <row r="489" spans="1:35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 t="str">
        <f>IFERROR(IF(ISBLANK(U489),"",INDEX(Gen_Vessels!$A$3:$C$495,MATCH(InspectionSite!$U489,Gen_Vessels!$C$3:$C$495,0),1)),"")</f>
        <v/>
      </c>
      <c r="W489" s="24"/>
      <c r="X489" s="24"/>
      <c r="Y489" s="24"/>
      <c r="Z489" s="24"/>
      <c r="AA489" s="24"/>
      <c r="AC489" s="24"/>
      <c r="AD489" s="47"/>
      <c r="AE489" s="24"/>
      <c r="AF489" s="24"/>
      <c r="AG489" s="24"/>
      <c r="AH489" s="24"/>
      <c r="AI489" s="24"/>
    </row>
    <row r="490" spans="1:35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 t="str">
        <f>IFERROR(IF(ISBLANK(U490),"",INDEX(Gen_Vessels!$A$3:$C$495,MATCH(InspectionSite!$U490,Gen_Vessels!$C$3:$C$495,0),1)),"")</f>
        <v/>
      </c>
      <c r="W490" s="24"/>
      <c r="X490" s="24"/>
      <c r="Y490" s="24"/>
      <c r="Z490" s="24"/>
      <c r="AA490" s="24"/>
      <c r="AC490" s="24"/>
      <c r="AD490" s="47"/>
      <c r="AE490" s="24"/>
      <c r="AF490" s="24"/>
      <c r="AG490" s="24"/>
      <c r="AH490" s="24"/>
      <c r="AI490" s="24"/>
    </row>
    <row r="491" spans="1:35" x14ac:dyDescent="0.25">
      <c r="T491" s="24" t="str">
        <f>IFERROR(IF(ISBLANK(S491),"",INDEX(Gen_Vessels!$A$3:$C$495,MATCH(InspectionSite!$S491,Gen_Vessels!$C$3:$C$495,0),1)),"")</f>
        <v/>
      </c>
      <c r="V491" s="24" t="str">
        <f>IFERROR(IF(ISBLANK(U491),"",INDEX(Gen_Vessels!$A$3:$C$495,MATCH(InspectionSite!$U491,Gen_Vessels!$C$3:$C$495,0),1)),"")</f>
        <v/>
      </c>
      <c r="AD491" s="47"/>
    </row>
    <row r="492" spans="1:35" x14ac:dyDescent="0.25">
      <c r="T492" s="24" t="str">
        <f>IFERROR(IF(ISBLANK(S492),"",INDEX(Gen_Vessels!$A$3:$C$495,MATCH(InspectionSite!$S492,Gen_Vessels!$C$3:$C$495,0),1)),"")</f>
        <v/>
      </c>
      <c r="V492" s="24" t="str">
        <f>IFERROR(IF(ISBLANK(U492),"",INDEX(Gen_Vessels!$A$3:$C$495,MATCH(InspectionSite!$U492,Gen_Vessels!$C$3:$C$495,0),1)),"")</f>
        <v/>
      </c>
      <c r="AD492" s="47"/>
    </row>
    <row r="493" spans="1:35" x14ac:dyDescent="0.25">
      <c r="T493" s="24" t="str">
        <f>IFERROR(IF(ISBLANK(S493),"",INDEX(Gen_Vessels!$A$3:$C$495,MATCH(InspectionSite!$S493,Gen_Vessels!$C$3:$C$495,0),1)),"")</f>
        <v/>
      </c>
      <c r="V493" s="24" t="str">
        <f>IFERROR(IF(ISBLANK(U493),"",INDEX(Gen_Vessels!$A$3:$C$495,MATCH(InspectionSite!$U493,Gen_Vessels!$C$3:$C$495,0),1)),"")</f>
        <v/>
      </c>
      <c r="AD493" s="47"/>
    </row>
    <row r="494" spans="1:35" x14ac:dyDescent="0.25">
      <c r="T494" s="24" t="str">
        <f>IFERROR(IF(ISBLANK(S494),"",INDEX(Gen_Vessels!$A$3:$C$495,MATCH(InspectionSite!$S494,Gen_Vessels!$C$3:$C$495,0),1)),"")</f>
        <v/>
      </c>
      <c r="V494" s="24" t="str">
        <f>IFERROR(IF(ISBLANK(U494),"",INDEX(Gen_Vessels!$A$3:$C$495,MATCH(InspectionSite!$U494,Gen_Vessels!$C$3:$C$495,0),1)),"")</f>
        <v/>
      </c>
      <c r="AD494" s="47"/>
    </row>
    <row r="495" spans="1:35" x14ac:dyDescent="0.25">
      <c r="T495" s="24" t="str">
        <f>IFERROR(IF(ISBLANK(S495),"",INDEX(Gen_Vessels!$A$3:$C$495,MATCH(InspectionSite!$S495,Gen_Vessels!$C$3:$C$495,0),1)),"")</f>
        <v/>
      </c>
      <c r="V495" s="24" t="str">
        <f>IFERROR(IF(ISBLANK(U495),"",INDEX(Gen_Vessels!$A$3:$C$495,MATCH(InspectionSite!$U495,Gen_Vessels!$C$3:$C$495,0),1)),"")</f>
        <v/>
      </c>
      <c r="AD495" s="47"/>
    </row>
    <row r="496" spans="1:35" x14ac:dyDescent="0.25">
      <c r="T496" s="24" t="str">
        <f>IFERROR(IF(ISBLANK(S496),"",INDEX(Gen_Vessels!$A$3:$C$495,MATCH(InspectionSite!$S496,Gen_Vessels!$C$3:$C$495,0),1)),"")</f>
        <v/>
      </c>
      <c r="V496" s="24" t="str">
        <f>IFERROR(IF(ISBLANK(U496),"",INDEX(Gen_Vessels!$A$3:$C$495,MATCH(InspectionSite!$U496,Gen_Vessels!$C$3:$C$495,0),1)),"")</f>
        <v/>
      </c>
      <c r="AD496" s="47"/>
    </row>
    <row r="497" spans="20:30" x14ac:dyDescent="0.25">
      <c r="T497" s="24" t="str">
        <f>IFERROR(IF(ISBLANK(S497),"",INDEX(Gen_Vessels!$A$3:$C$495,MATCH(InspectionSite!$S497,Gen_Vessels!$C$3:$C$495,0),1)),"")</f>
        <v/>
      </c>
      <c r="V497" s="24" t="str">
        <f>IFERROR(IF(ISBLANK(U497),"",INDEX(Gen_Vessels!$A$3:$C$495,MATCH(InspectionSite!$U497,Gen_Vessels!$C$3:$C$495,0),1)),"")</f>
        <v/>
      </c>
      <c r="AD497" s="47"/>
    </row>
    <row r="498" spans="20:30" x14ac:dyDescent="0.25">
      <c r="T498" s="24" t="str">
        <f>IFERROR(IF(ISBLANK(S498),"",INDEX(Gen_Vessels!$A$3:$C$495,MATCH(InspectionSite!$S498,Gen_Vessels!$C$3:$C$495,0),1)),"")</f>
        <v/>
      </c>
      <c r="V498" s="24" t="str">
        <f>IFERROR(IF(ISBLANK(U498),"",INDEX(Gen_Vessels!$A$3:$C$495,MATCH(InspectionSite!$U498,Gen_Vessels!$C$3:$C$495,0),1)),"")</f>
        <v/>
      </c>
      <c r="AD498" s="47"/>
    </row>
  </sheetData>
  <conditionalFormatting sqref="A1:B2 A6:B1048576">
    <cfRule type="expression" dxfId="52" priority="6">
      <formula>AND(COUNTIF(A:A,$A1)&gt;1,$A1&lt;&gt;"")</formula>
    </cfRule>
  </conditionalFormatting>
  <conditionalFormatting sqref="D6:D500 L6:L500">
    <cfRule type="expression" dxfId="51" priority="8">
      <formula>AND(NOT(ISBLANK(D6)),D6=$A6)</formula>
    </cfRule>
  </conditionalFormatting>
  <conditionalFormatting sqref="H6:J500">
    <cfRule type="expression" dxfId="50" priority="76">
      <formula>AND(NOT(ISBLANK($B6)),$H6=0,$I6=0,$J6=0)</formula>
    </cfRule>
  </conditionalFormatting>
  <conditionalFormatting sqref="O6:Q500">
    <cfRule type="expression" dxfId="49" priority="9">
      <formula>AND(NOT(ISBLANK($O6)),NOT(ISBLANK($Q6)))</formula>
    </cfRule>
  </conditionalFormatting>
  <conditionalFormatting sqref="R6:R48">
    <cfRule type="expression" dxfId="48" priority="2">
      <formula>AND(NOT(ISBLANK(R6)),R6=$A6)</formula>
    </cfRule>
  </conditionalFormatting>
  <conditionalFormatting sqref="AB1:AB2 AC6 AB7:AB1048576">
    <cfRule type="expression" dxfId="47" priority="4">
      <formula>AND(NOT(ISBLANK($B1)),IF(AND(NOT(ISBLANK($A1)),ISBLANK(AB1)),TRUE,FALSE))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E7:AE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X7:X486 Y6" xr:uid="{9E1BCBDF-B9C1-46B7-840B-268AB308A197}">
      <formula1>1</formula1>
    </dataValidation>
    <dataValidation type="decimal" operator="greaterThanOrEqual" allowBlank="1" showInputMessage="1" showErrorMessage="1" sqref="Y7:AA486 Z6:AB6" xr:uid="{F6E3778A-B097-46F8-AC80-13E0347033D0}">
      <formula1>0</formula1>
    </dataValidation>
    <dataValidation type="list" allowBlank="1" showInputMessage="1" showErrorMessage="1" sqref="AB7:AB1048576 AC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U6:U498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W16:W486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W7:W15 X6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56</v>
      </c>
      <c r="B1" s="17" t="s">
        <v>124</v>
      </c>
      <c r="C1" s="17" t="s">
        <v>125</v>
      </c>
      <c r="D1" s="33" t="s">
        <v>157</v>
      </c>
      <c r="E1" s="17" t="s">
        <v>158</v>
      </c>
      <c r="F1" s="17" t="s">
        <v>127</v>
      </c>
      <c r="G1" s="34" t="s">
        <v>128</v>
      </c>
      <c r="H1" s="33" t="s">
        <v>130</v>
      </c>
      <c r="I1" s="17" t="s">
        <v>131</v>
      </c>
      <c r="J1" s="34" t="s">
        <v>132</v>
      </c>
      <c r="K1" s="17" t="s">
        <v>135</v>
      </c>
      <c r="L1" s="17" t="s">
        <v>136</v>
      </c>
      <c r="M1" s="17" t="s">
        <v>137</v>
      </c>
      <c r="N1" s="17" t="s">
        <v>139</v>
      </c>
      <c r="O1" s="33" t="s">
        <v>141</v>
      </c>
      <c r="P1" s="17" t="s">
        <v>143</v>
      </c>
      <c r="Q1" s="34" t="s">
        <v>145</v>
      </c>
      <c r="R1" s="33" t="s">
        <v>146</v>
      </c>
      <c r="S1" s="17" t="s">
        <v>147</v>
      </c>
      <c r="T1" s="17" t="s">
        <v>148</v>
      </c>
      <c r="U1" s="34" t="s">
        <v>149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154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155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156</v>
      </c>
      <c r="T2" s="17" t="s">
        <v>80</v>
      </c>
      <c r="U2" s="34" t="s">
        <v>80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159</v>
      </c>
      <c r="C3" s="24" t="s">
        <v>160</v>
      </c>
      <c r="D3" s="35"/>
      <c r="E3" s="24"/>
      <c r="F3" s="24">
        <v>0.5</v>
      </c>
      <c r="G3" s="36" t="s">
        <v>161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162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163</v>
      </c>
      <c r="C4" s="24" t="s">
        <v>164</v>
      </c>
      <c r="D4" s="35"/>
      <c r="E4" s="24"/>
      <c r="F4" s="24">
        <v>1</v>
      </c>
      <c r="G4" s="36" t="s">
        <v>165</v>
      </c>
      <c r="H4" s="35">
        <v>0</v>
      </c>
      <c r="I4" s="24">
        <f t="shared" si="1"/>
        <v>0</v>
      </c>
      <c r="J4" s="36">
        <v>0</v>
      </c>
      <c r="N4" s="28"/>
      <c r="O4" s="35" t="s">
        <v>162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166</v>
      </c>
      <c r="C5" s="24" t="s">
        <v>167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168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169</v>
      </c>
      <c r="C6" s="24" t="s">
        <v>170</v>
      </c>
      <c r="D6" s="35" t="s">
        <v>171</v>
      </c>
      <c r="E6" s="24" t="s">
        <v>172</v>
      </c>
      <c r="F6" s="24">
        <v>5</v>
      </c>
      <c r="G6" s="36" t="s">
        <v>165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173</v>
      </c>
      <c r="C7" s="24" t="s">
        <v>174</v>
      </c>
      <c r="D7" s="35" t="s">
        <v>171</v>
      </c>
      <c r="E7" s="24" t="s">
        <v>172</v>
      </c>
      <c r="F7" s="24">
        <v>5</v>
      </c>
      <c r="G7" s="36" t="s">
        <v>165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175</v>
      </c>
      <c r="C8" s="24" t="s">
        <v>176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168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177</v>
      </c>
      <c r="C9" s="24" t="s">
        <v>178</v>
      </c>
      <c r="D9" s="35"/>
      <c r="E9" s="24"/>
      <c r="F9" s="24">
        <v>1</v>
      </c>
      <c r="G9" s="36" t="s">
        <v>179</v>
      </c>
      <c r="H9" s="35">
        <f t="shared" ref="H9:H14" si="2">wtg_devices</f>
        <v>5</v>
      </c>
      <c r="I9" s="24">
        <v>0</v>
      </c>
      <c r="J9" s="36">
        <v>0</v>
      </c>
      <c r="O9" s="35" t="s">
        <v>180</v>
      </c>
      <c r="P9" s="24"/>
      <c r="Q9" s="36" t="s">
        <v>181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182</v>
      </c>
      <c r="C10" s="24" t="s">
        <v>183</v>
      </c>
      <c r="D10" s="35"/>
      <c r="E10" s="24"/>
      <c r="F10" s="24">
        <v>1</v>
      </c>
      <c r="G10" s="36" t="s">
        <v>179</v>
      </c>
      <c r="H10" s="35">
        <f t="shared" si="2"/>
        <v>5</v>
      </c>
      <c r="I10" s="24">
        <v>0</v>
      </c>
      <c r="J10" s="36">
        <v>0</v>
      </c>
      <c r="O10" s="35" t="s">
        <v>162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184</v>
      </c>
      <c r="C11" s="24" t="s">
        <v>185</v>
      </c>
      <c r="D11" s="35"/>
      <c r="E11" s="24"/>
      <c r="F11" s="24">
        <v>1</v>
      </c>
      <c r="G11" s="36" t="s">
        <v>179</v>
      </c>
      <c r="H11" s="35">
        <f t="shared" si="2"/>
        <v>5</v>
      </c>
      <c r="I11" s="24">
        <v>0</v>
      </c>
      <c r="J11" s="36">
        <v>0</v>
      </c>
      <c r="O11" s="35" t="s">
        <v>180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186</v>
      </c>
      <c r="C12" s="24" t="s">
        <v>187</v>
      </c>
      <c r="D12" s="35"/>
      <c r="E12" s="24"/>
      <c r="F12" s="24">
        <v>1</v>
      </c>
      <c r="G12" s="36" t="s">
        <v>179</v>
      </c>
      <c r="H12" s="35">
        <f t="shared" si="2"/>
        <v>5</v>
      </c>
      <c r="I12" s="24">
        <v>0</v>
      </c>
      <c r="J12" s="36">
        <v>0</v>
      </c>
      <c r="O12" s="35" t="s">
        <v>180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188</v>
      </c>
      <c r="C13" s="24" t="s">
        <v>189</v>
      </c>
      <c r="D13" s="35"/>
      <c r="E13" s="24"/>
      <c r="F13" s="24">
        <v>1</v>
      </c>
      <c r="G13" s="36" t="s">
        <v>179</v>
      </c>
      <c r="H13" s="35">
        <f t="shared" si="2"/>
        <v>5</v>
      </c>
      <c r="I13" s="24">
        <v>0</v>
      </c>
      <c r="J13" s="36">
        <v>0</v>
      </c>
      <c r="O13" s="35" t="s">
        <v>180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190</v>
      </c>
      <c r="C14" s="24" t="s">
        <v>191</v>
      </c>
      <c r="D14" s="35"/>
      <c r="E14" s="24"/>
      <c r="F14" s="24">
        <v>1</v>
      </c>
      <c r="G14" s="36" t="s">
        <v>179</v>
      </c>
      <c r="H14" s="35">
        <f t="shared" si="2"/>
        <v>5</v>
      </c>
      <c r="I14" s="24">
        <v>0</v>
      </c>
      <c r="J14" s="36">
        <v>0</v>
      </c>
      <c r="O14" s="35" t="s">
        <v>192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193</v>
      </c>
      <c r="C15" s="24" t="s">
        <v>194</v>
      </c>
      <c r="D15" s="35"/>
      <c r="E15" s="24"/>
      <c r="F15" s="24">
        <v>2</v>
      </c>
      <c r="G15" s="36" t="s">
        <v>179</v>
      </c>
      <c r="H15" s="35">
        <f>wtg_devices</f>
        <v>5</v>
      </c>
      <c r="I15" s="24">
        <v>0</v>
      </c>
      <c r="J15" s="36">
        <v>0</v>
      </c>
      <c r="O15" s="35" t="s">
        <v>192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195</v>
      </c>
      <c r="C16" s="24" t="s">
        <v>196</v>
      </c>
      <c r="D16" s="35"/>
      <c r="E16" s="24"/>
      <c r="F16" s="24">
        <v>2</v>
      </c>
      <c r="G16" s="36" t="s">
        <v>179</v>
      </c>
      <c r="H16" s="35">
        <v>0</v>
      </c>
      <c r="I16" s="24">
        <v>0</v>
      </c>
      <c r="J16" s="36">
        <v>0</v>
      </c>
      <c r="O16" s="35" t="s">
        <v>192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197</v>
      </c>
      <c r="C17" s="24" t="s">
        <v>198</v>
      </c>
      <c r="D17" s="35"/>
      <c r="E17" s="24"/>
      <c r="F17" s="24">
        <v>1</v>
      </c>
      <c r="G17" s="36" t="s">
        <v>165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162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199</v>
      </c>
      <c r="C18" s="24" t="s">
        <v>200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192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201</v>
      </c>
      <c r="C19" s="24" t="s">
        <v>202</v>
      </c>
      <c r="D19" s="35"/>
      <c r="E19" s="24"/>
      <c r="F19" s="24">
        <v>1</v>
      </c>
      <c r="G19" s="36" t="s">
        <v>165</v>
      </c>
      <c r="H19" s="35">
        <f>wtg_devices</f>
        <v>5</v>
      </c>
      <c r="I19" s="24"/>
      <c r="J19" s="36">
        <f>pv_islands</f>
        <v>0</v>
      </c>
      <c r="O19" s="35" t="s">
        <v>162</v>
      </c>
      <c r="P19" s="24"/>
      <c r="Q19" s="36" t="s">
        <v>181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6" priority="5">
      <formula>AND(COUNTIF(A:A,$A1)&gt;1,$A1&lt;&gt;"")</formula>
    </cfRule>
  </conditionalFormatting>
  <conditionalFormatting sqref="D3:E496">
    <cfRule type="expression" dxfId="45" priority="7">
      <formula>AND(NOT(ISBLANK(D3)),D3=$A3)</formula>
    </cfRule>
  </conditionalFormatting>
  <conditionalFormatting sqref="H3:J496">
    <cfRule type="expression" dxfId="44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56</v>
      </c>
      <c r="B1" s="17" t="s">
        <v>124</v>
      </c>
      <c r="C1" s="17" t="s">
        <v>125</v>
      </c>
      <c r="D1" s="17" t="s">
        <v>127</v>
      </c>
      <c r="E1" s="17" t="s">
        <v>128</v>
      </c>
      <c r="F1" s="47" t="s">
        <v>129</v>
      </c>
      <c r="G1" s="17" t="s">
        <v>203</v>
      </c>
      <c r="H1" s="17" t="s">
        <v>133</v>
      </c>
      <c r="I1" s="17" t="s">
        <v>137</v>
      </c>
      <c r="J1" s="34" t="s">
        <v>140</v>
      </c>
      <c r="K1" s="17" t="s">
        <v>146</v>
      </c>
      <c r="L1" s="17" t="s">
        <v>147</v>
      </c>
      <c r="M1" s="17" t="s">
        <v>148</v>
      </c>
      <c r="N1" s="17" t="s">
        <v>149</v>
      </c>
      <c r="O1" s="17" t="s">
        <v>204</v>
      </c>
      <c r="P1" s="17" t="s">
        <v>153</v>
      </c>
      <c r="Q1" s="17" t="s">
        <v>150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154</v>
      </c>
      <c r="E2" s="17" t="s">
        <v>13</v>
      </c>
      <c r="F2" s="48" t="s">
        <v>13</v>
      </c>
      <c r="G2" s="17" t="s">
        <v>13</v>
      </c>
      <c r="H2" s="17" t="s">
        <v>81</v>
      </c>
      <c r="I2" s="17" t="s">
        <v>27</v>
      </c>
      <c r="J2" s="34" t="s">
        <v>13</v>
      </c>
      <c r="K2" s="17" t="s">
        <v>13</v>
      </c>
      <c r="L2" s="17" t="s">
        <v>156</v>
      </c>
      <c r="M2" s="17" t="s">
        <v>80</v>
      </c>
      <c r="N2" s="17" t="s">
        <v>80</v>
      </c>
      <c r="O2" s="17" t="s">
        <v>205</v>
      </c>
      <c r="P2" s="17" t="s">
        <v>13</v>
      </c>
      <c r="Q2" s="17" t="s">
        <v>13</v>
      </c>
    </row>
    <row r="3" spans="1:22" x14ac:dyDescent="0.25">
      <c r="A3" s="59" t="s">
        <v>345</v>
      </c>
      <c r="B3" s="59" t="s">
        <v>346</v>
      </c>
      <c r="C3" s="59" t="s">
        <v>344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294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3" priority="6">
      <formula>AND(COUNTIF(A:A,$A1)&gt;1,$A1&lt;&gt;"")</formula>
    </cfRule>
  </conditionalFormatting>
  <conditionalFormatting sqref="G1:G2 G4:G1048576">
    <cfRule type="expression" dxfId="42" priority="78">
      <formula>AND(NOT(ISBLANK($B1)),#REF!=0,$G1=0,#REF!=0)</formula>
    </cfRule>
  </conditionalFormatting>
  <conditionalFormatting sqref="J3:J8">
    <cfRule type="expression" dxfId="41" priority="2">
      <formula>AND(NOT(ISBLANK(J3)),J3=$A3)</formula>
    </cfRule>
  </conditionalFormatting>
  <conditionalFormatting sqref="Q3:Q496">
    <cfRule type="expression" dxfId="40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P23" sqref="P23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56</v>
      </c>
      <c r="B1" s="17" t="s">
        <v>124</v>
      </c>
      <c r="C1" s="17" t="s">
        <v>125</v>
      </c>
      <c r="D1" s="33" t="s">
        <v>206</v>
      </c>
      <c r="E1" s="17" t="s">
        <v>207</v>
      </c>
      <c r="F1" s="34" t="s">
        <v>208</v>
      </c>
      <c r="G1" s="17" t="s">
        <v>209</v>
      </c>
      <c r="H1" s="50" t="s">
        <v>134</v>
      </c>
      <c r="I1" s="33" t="s">
        <v>135</v>
      </c>
      <c r="J1" s="17" t="s">
        <v>136</v>
      </c>
      <c r="K1" s="17" t="s">
        <v>137</v>
      </c>
      <c r="L1" s="17" t="s">
        <v>138</v>
      </c>
      <c r="M1" s="17" t="s">
        <v>139</v>
      </c>
      <c r="N1" s="56" t="s">
        <v>140</v>
      </c>
      <c r="O1" s="17" t="s">
        <v>141</v>
      </c>
      <c r="P1" s="17" t="s">
        <v>142</v>
      </c>
      <c r="Q1" s="17" t="s">
        <v>215</v>
      </c>
      <c r="R1" s="17" t="s">
        <v>143</v>
      </c>
      <c r="S1" s="17" t="s">
        <v>144</v>
      </c>
      <c r="T1" s="17" t="s">
        <v>413</v>
      </c>
      <c r="U1" s="17" t="s">
        <v>145</v>
      </c>
      <c r="V1" s="17" t="s">
        <v>210</v>
      </c>
      <c r="W1" s="17" t="s">
        <v>147</v>
      </c>
      <c r="Y1" s="17" t="s">
        <v>149</v>
      </c>
      <c r="Z1" s="17" t="s">
        <v>150</v>
      </c>
      <c r="AA1" s="17" t="s">
        <v>153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81</v>
      </c>
      <c r="H2" s="51" t="s">
        <v>13</v>
      </c>
      <c r="I2" s="33" t="s">
        <v>30</v>
      </c>
      <c r="J2" s="17" t="s">
        <v>155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156</v>
      </c>
      <c r="Y2" s="17" t="s">
        <v>80</v>
      </c>
      <c r="Z2" s="17" t="s">
        <v>13</v>
      </c>
      <c r="AA2" s="17" t="s">
        <v>13</v>
      </c>
    </row>
    <row r="3" spans="1:33" ht="16.5" customHeight="1" x14ac:dyDescent="0.25">
      <c r="A3" s="59" t="s">
        <v>347</v>
      </c>
      <c r="B3" s="59" t="s">
        <v>197</v>
      </c>
      <c r="C3" s="59" t="s">
        <v>348</v>
      </c>
      <c r="D3" s="66" t="s">
        <v>211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337</v>
      </c>
      <c r="P3" s="59" t="s">
        <v>86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294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349</v>
      </c>
      <c r="B4" s="59" t="s">
        <v>199</v>
      </c>
      <c r="C4" s="59" t="s">
        <v>400</v>
      </c>
      <c r="D4" s="66" t="s">
        <v>211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337</v>
      </c>
      <c r="P4" s="59" t="s">
        <v>86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294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212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212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212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212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212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212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212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212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212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212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212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212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212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212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212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212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212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212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212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212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212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212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212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212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212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212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212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212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212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212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212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212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212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212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212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212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212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212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212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212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212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212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212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212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212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212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212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212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212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212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212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212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212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212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212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212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212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212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212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212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212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212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212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212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212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212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212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212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212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212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212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212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212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212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212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212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212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212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212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212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212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212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212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212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212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212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212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212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212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212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212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212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212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212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212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212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212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212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212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212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212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212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212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212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212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212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212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212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212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212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212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212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212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212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212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212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212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212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212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212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212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212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212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212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212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212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212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212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212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212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212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212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212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212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212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212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212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212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212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212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212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212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212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212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212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212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212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212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212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212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212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212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212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212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212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212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212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212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212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212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212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212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212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212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212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212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212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212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212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212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212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212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212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212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212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212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212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212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212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212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212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212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212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212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212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212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212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212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212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212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212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212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212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212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212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212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212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212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212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212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212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212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212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212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212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212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212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212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212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212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212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212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212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212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212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212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212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212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212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212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212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212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212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212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212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212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212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212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212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212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212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212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212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212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212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212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212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212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212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212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212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212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212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212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212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212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212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212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212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212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212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212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212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212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212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212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212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212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212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212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212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212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212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212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212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212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212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212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212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212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212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212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212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212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212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212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212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212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212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212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212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212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212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212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212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212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212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212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212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212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212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212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212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212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212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212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212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212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212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212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212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212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212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212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212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212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212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212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212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212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212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212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212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212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212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212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212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212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212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212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212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212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212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212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212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212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212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212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212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212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212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212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212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212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212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212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212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212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212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212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212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212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212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212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212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212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212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212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212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212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212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212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212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212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212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212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212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212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212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212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212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212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212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212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212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212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212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212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212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212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212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212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212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212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212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212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212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212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212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212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212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212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212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212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212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212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212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212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212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212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212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212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212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212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212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212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212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212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212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212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212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212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212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212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212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212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212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212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212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212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212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212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212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212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212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212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212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212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212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212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212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212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212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212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212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212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212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212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212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212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212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212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212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212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212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212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212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212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212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212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212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212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212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212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212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212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212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212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212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212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212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212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212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212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212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212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212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212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212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212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212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212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212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212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212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212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212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212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212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9" priority="8">
      <formula>AND(COUNTIF(A:A,$A1)&gt;1,$A1&lt;&gt;"")</formula>
    </cfRule>
  </conditionalFormatting>
  <conditionalFormatting sqref="D5:F500">
    <cfRule type="expression" dxfId="38" priority="4">
      <formula>AND(NOT(ISBLANK($B5)),COUNTBLANK($D5:$F5)&lt;2)</formula>
    </cfRule>
    <cfRule type="expression" dxfId="37" priority="5">
      <formula>AND(NOT(ISBLANK($B5)),COUNTBLANK($D5:$F5)&gt;2)</formula>
    </cfRule>
  </conditionalFormatting>
  <conditionalFormatting sqref="J5:K500">
    <cfRule type="expression" dxfId="36" priority="1">
      <formula>AND(NOT(ISBLANK($K5)),NOT(ISBLANK($L5)))</formula>
    </cfRule>
  </conditionalFormatting>
  <conditionalFormatting sqref="Z5:Z500">
    <cfRule type="expression" dxfId="35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56</v>
      </c>
      <c r="B1" s="17" t="s">
        <v>124</v>
      </c>
      <c r="C1" s="17" t="s">
        <v>125</v>
      </c>
      <c r="D1" s="17" t="s">
        <v>213</v>
      </c>
      <c r="E1" s="17" t="s">
        <v>141</v>
      </c>
      <c r="F1" s="17" t="s">
        <v>142</v>
      </c>
      <c r="G1" s="17" t="s">
        <v>215</v>
      </c>
      <c r="H1" s="17" t="s">
        <v>143</v>
      </c>
      <c r="I1" s="17" t="s">
        <v>144</v>
      </c>
      <c r="J1" s="17" t="s">
        <v>413</v>
      </c>
      <c r="K1" s="17" t="s">
        <v>145</v>
      </c>
      <c r="L1" s="17" t="s">
        <v>214</v>
      </c>
      <c r="M1" s="17" t="s">
        <v>147</v>
      </c>
      <c r="N1" s="17" t="s">
        <v>149</v>
      </c>
      <c r="O1" s="17" t="s">
        <v>204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156</v>
      </c>
      <c r="N2" s="17" t="s">
        <v>80</v>
      </c>
      <c r="O2" s="17" t="s">
        <v>205</v>
      </c>
    </row>
    <row r="3" spans="1:24" x14ac:dyDescent="0.25">
      <c r="A3" s="59" t="s">
        <v>351</v>
      </c>
      <c r="B3" s="17" t="s">
        <v>201</v>
      </c>
      <c r="C3" s="59" t="s">
        <v>350</v>
      </c>
      <c r="D3" s="59" t="b">
        <v>0</v>
      </c>
      <c r="E3" s="59" t="s">
        <v>337</v>
      </c>
      <c r="F3" s="59" t="s">
        <v>86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410</v>
      </c>
      <c r="B4" s="17" t="s">
        <v>409</v>
      </c>
      <c r="C4" s="59" t="s">
        <v>352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419</v>
      </c>
      <c r="B5" s="17" t="s">
        <v>420</v>
      </c>
      <c r="C5" s="59" t="s">
        <v>350</v>
      </c>
      <c r="D5" s="59" t="b">
        <v>0</v>
      </c>
      <c r="E5" s="59" t="s">
        <v>337</v>
      </c>
      <c r="F5" s="59" t="s">
        <v>86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4" priority="2">
      <formula>COUNTIF(B:B,$B1)&gt;1</formula>
    </cfRule>
  </conditionalFormatting>
  <conditionalFormatting sqref="B3:B498">
    <cfRule type="expression" dxfId="33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0" width="15.5703125" style="17" customWidth="1"/>
    <col min="11" max="11" width="20.7109375" style="17" bestFit="1" customWidth="1"/>
    <col min="12" max="12" width="21.42578125" bestFit="1" customWidth="1"/>
    <col min="13" max="13" width="15.5703125" style="17" customWidth="1"/>
    <col min="14" max="15" width="21.42578125" style="17" customWidth="1"/>
    <col min="16" max="16" width="12.7109375" style="17" customWidth="1"/>
    <col min="17" max="16384" width="9.28515625" style="17"/>
  </cols>
  <sheetData>
    <row r="1" spans="1:27" x14ac:dyDescent="0.25">
      <c r="A1" s="17" t="s">
        <v>56</v>
      </c>
      <c r="B1" s="17" t="s">
        <v>124</v>
      </c>
      <c r="C1" s="17" t="s">
        <v>125</v>
      </c>
      <c r="D1" s="17" t="s">
        <v>141</v>
      </c>
      <c r="E1" s="17" t="s">
        <v>142</v>
      </c>
      <c r="F1" s="17" t="s">
        <v>215</v>
      </c>
      <c r="G1" s="17" t="s">
        <v>143</v>
      </c>
      <c r="H1" s="17" t="s">
        <v>144</v>
      </c>
      <c r="I1" s="17" t="s">
        <v>413</v>
      </c>
      <c r="J1" s="17" t="s">
        <v>417</v>
      </c>
      <c r="K1" s="17" t="s">
        <v>418</v>
      </c>
      <c r="L1" s="17" t="s">
        <v>421</v>
      </c>
      <c r="M1" s="17" t="s">
        <v>145</v>
      </c>
      <c r="N1" s="17" t="s">
        <v>214</v>
      </c>
      <c r="O1" s="17" t="s">
        <v>147</v>
      </c>
      <c r="P1" s="17" t="s">
        <v>149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223</v>
      </c>
      <c r="M2" s="17" t="s">
        <v>13</v>
      </c>
      <c r="N2" s="17" t="s">
        <v>13</v>
      </c>
      <c r="O2" s="17" t="s">
        <v>156</v>
      </c>
      <c r="P2" s="17" t="s">
        <v>80</v>
      </c>
    </row>
    <row r="3" spans="1:27" x14ac:dyDescent="0.25">
      <c r="A3" s="59" t="s">
        <v>353</v>
      </c>
      <c r="B3" s="59" t="s">
        <v>356</v>
      </c>
      <c r="C3" s="59" t="s">
        <v>360</v>
      </c>
      <c r="D3" s="17" t="s">
        <v>414</v>
      </c>
      <c r="E3" s="59" t="s">
        <v>88</v>
      </c>
      <c r="F3" s="59">
        <v>2</v>
      </c>
      <c r="G3" s="17" t="s">
        <v>337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419</v>
      </c>
      <c r="K3" s="59" t="b">
        <v>1</v>
      </c>
      <c r="N3" s="59">
        <v>4</v>
      </c>
      <c r="O3" s="59">
        <v>300</v>
      </c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354</v>
      </c>
      <c r="B4" s="59" t="s">
        <v>357</v>
      </c>
      <c r="C4" s="59" t="s">
        <v>359</v>
      </c>
      <c r="D4" s="17" t="s">
        <v>414</v>
      </c>
      <c r="E4" s="59" t="s">
        <v>88</v>
      </c>
      <c r="F4" s="59">
        <v>1</v>
      </c>
      <c r="G4" s="17" t="s">
        <v>337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N4" s="59">
        <v>4</v>
      </c>
      <c r="O4" s="59">
        <v>300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355</v>
      </c>
      <c r="B5" s="59" t="s">
        <v>358</v>
      </c>
      <c r="C5" s="59" t="s">
        <v>361</v>
      </c>
      <c r="D5" s="17" t="s">
        <v>414</v>
      </c>
      <c r="E5" s="59" t="s">
        <v>88</v>
      </c>
      <c r="F5" s="59">
        <v>1</v>
      </c>
      <c r="G5" s="17" t="s">
        <v>337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419</v>
      </c>
      <c r="K5" s="59" t="b">
        <v>1</v>
      </c>
      <c r="L5">
        <v>24</v>
      </c>
      <c r="N5" s="59">
        <v>4</v>
      </c>
      <c r="O5" s="59">
        <v>300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N6" s="24"/>
      <c r="O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M7" s="24"/>
      <c r="N7" s="24"/>
      <c r="O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M8" s="24"/>
      <c r="N8" s="24"/>
      <c r="O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M9" s="24"/>
      <c r="N9" s="24"/>
      <c r="O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M10" s="24"/>
      <c r="N10" s="24"/>
      <c r="O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M11" s="24"/>
      <c r="N11" s="24"/>
      <c r="O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M12" s="24"/>
      <c r="N12" s="24"/>
      <c r="O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M13" s="24"/>
      <c r="N13" s="24"/>
      <c r="O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M14" s="24"/>
      <c r="N14" s="24"/>
      <c r="O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M15" s="24"/>
      <c r="N15" s="24"/>
      <c r="O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M16" s="24"/>
      <c r="N16" s="24"/>
      <c r="O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M17" s="24"/>
      <c r="N17" s="24"/>
      <c r="O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M18" s="24"/>
      <c r="N18" s="24"/>
      <c r="O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M19" s="24"/>
      <c r="N19" s="24"/>
      <c r="O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M20" s="24"/>
      <c r="N20" s="24"/>
      <c r="O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M21" s="24"/>
      <c r="N21" s="24"/>
      <c r="O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M22" s="24"/>
      <c r="N22" s="24"/>
      <c r="O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M23" s="24"/>
      <c r="N23" s="24"/>
      <c r="O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M24" s="24"/>
      <c r="N24" s="24"/>
      <c r="O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M25" s="24"/>
      <c r="N25" s="24"/>
      <c r="O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M26" s="24"/>
      <c r="N26" s="24"/>
      <c r="O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M27" s="24"/>
      <c r="N27" s="24"/>
      <c r="O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M28" s="24"/>
      <c r="N28" s="24"/>
      <c r="O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M29" s="24"/>
      <c r="N29" s="24"/>
      <c r="O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M30" s="24"/>
      <c r="N30" s="24"/>
      <c r="O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M31" s="24"/>
      <c r="N31" s="24"/>
      <c r="O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M32" s="24"/>
      <c r="N32" s="24"/>
      <c r="O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M33" s="24"/>
      <c r="N33" s="24"/>
      <c r="O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M34" s="24"/>
      <c r="N34" s="24"/>
      <c r="O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M35" s="24"/>
      <c r="N35" s="24"/>
      <c r="O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M36" s="24"/>
      <c r="N36" s="24"/>
      <c r="O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M37" s="24"/>
      <c r="N37" s="24"/>
      <c r="O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M38" s="24"/>
      <c r="N38" s="24"/>
      <c r="O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M39" s="24"/>
      <c r="N39" s="24"/>
      <c r="O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M40" s="24"/>
      <c r="N40" s="24"/>
      <c r="O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M41" s="24"/>
      <c r="N41" s="24"/>
      <c r="O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M42" s="24"/>
      <c r="N42" s="24"/>
      <c r="O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M43" s="24"/>
      <c r="N43" s="24"/>
      <c r="O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M44" s="24"/>
      <c r="N44" s="24"/>
      <c r="O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M45" s="24"/>
      <c r="N45" s="24"/>
      <c r="O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M46" s="24"/>
      <c r="N46" s="24"/>
      <c r="O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M47" s="24"/>
      <c r="N47" s="24"/>
      <c r="O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M48" s="24"/>
      <c r="N48" s="24"/>
      <c r="O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M49" s="24"/>
      <c r="N49" s="24"/>
      <c r="O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M50" s="24"/>
      <c r="N50" s="24"/>
      <c r="O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M51" s="24"/>
      <c r="N51" s="24"/>
      <c r="O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M52" s="24"/>
      <c r="N52" s="24"/>
      <c r="O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M53" s="24"/>
      <c r="N53" s="24"/>
      <c r="O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M54" s="24"/>
      <c r="N54" s="24"/>
      <c r="O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M55" s="24"/>
      <c r="N55" s="24"/>
      <c r="O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M56" s="24"/>
      <c r="N56" s="24"/>
      <c r="O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M57" s="24"/>
      <c r="N57" s="24"/>
      <c r="O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M58" s="24"/>
      <c r="N58" s="24"/>
      <c r="O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M59" s="24"/>
      <c r="N59" s="24"/>
      <c r="O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M60" s="24"/>
      <c r="N60" s="24"/>
      <c r="O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M61" s="24"/>
      <c r="N61" s="24"/>
      <c r="O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M62" s="24"/>
      <c r="N62" s="24"/>
      <c r="O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M63" s="24"/>
      <c r="N63" s="24"/>
      <c r="O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M64" s="24"/>
      <c r="N64" s="24"/>
      <c r="O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M65" s="24"/>
      <c r="N65" s="24"/>
      <c r="O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M66" s="24"/>
      <c r="N66" s="24"/>
      <c r="O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M67" s="24"/>
      <c r="N67" s="24"/>
      <c r="O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M68" s="24"/>
      <c r="N68" s="24"/>
      <c r="O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M69" s="24"/>
      <c r="N69" s="24"/>
      <c r="O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M70" s="24"/>
      <c r="N70" s="24"/>
      <c r="O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M71" s="24"/>
      <c r="N71" s="24"/>
      <c r="O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M72" s="24"/>
      <c r="N72" s="24"/>
      <c r="O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M73" s="24"/>
      <c r="N73" s="24"/>
      <c r="O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M74" s="24"/>
      <c r="N74" s="24"/>
      <c r="O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M75" s="24"/>
      <c r="N75" s="24"/>
      <c r="O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M76" s="24"/>
      <c r="N76" s="24"/>
      <c r="O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M77" s="24"/>
      <c r="N77" s="24"/>
      <c r="O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M78" s="24"/>
      <c r="N78" s="24"/>
      <c r="O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M79" s="24"/>
      <c r="N79" s="24"/>
      <c r="O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M80" s="24"/>
      <c r="N80" s="24"/>
      <c r="O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M81" s="24"/>
      <c r="N81" s="24"/>
      <c r="O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M82" s="24"/>
      <c r="N82" s="24"/>
      <c r="O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M83" s="24"/>
      <c r="N83" s="24"/>
      <c r="O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M84" s="24"/>
      <c r="N84" s="24"/>
      <c r="O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M85" s="24"/>
      <c r="N85" s="24"/>
      <c r="O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M86" s="24"/>
      <c r="N86" s="24"/>
      <c r="O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M87" s="24"/>
      <c r="N87" s="24"/>
      <c r="O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M88" s="24"/>
      <c r="N88" s="24"/>
      <c r="O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M89" s="24"/>
      <c r="N89" s="24"/>
      <c r="O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M90" s="24"/>
      <c r="N90" s="24"/>
      <c r="O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M91" s="24"/>
      <c r="N91" s="24"/>
      <c r="O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M92" s="24"/>
      <c r="N92" s="24"/>
      <c r="O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M93" s="24"/>
      <c r="N93" s="24"/>
      <c r="O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M94" s="24"/>
      <c r="N94" s="24"/>
      <c r="O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M95" s="24"/>
      <c r="N95" s="24"/>
      <c r="O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M96" s="24"/>
      <c r="N96" s="24"/>
      <c r="O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M97" s="24"/>
      <c r="N97" s="24"/>
      <c r="O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M98" s="24"/>
      <c r="N98" s="24"/>
      <c r="O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M99" s="24"/>
      <c r="N99" s="24"/>
      <c r="O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M100" s="24"/>
      <c r="N100" s="24"/>
      <c r="O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M101" s="24"/>
      <c r="N101" s="24"/>
      <c r="O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M102" s="24"/>
      <c r="N102" s="24"/>
      <c r="O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M103" s="24"/>
      <c r="N103" s="24"/>
      <c r="O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M104" s="24"/>
      <c r="N104" s="24"/>
      <c r="O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M105" s="24"/>
      <c r="N105" s="24"/>
      <c r="O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M106" s="24"/>
      <c r="N106" s="24"/>
      <c r="O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M107" s="24"/>
      <c r="N107" s="24"/>
      <c r="O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M108" s="24"/>
      <c r="N108" s="24"/>
      <c r="O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M109" s="24"/>
      <c r="N109" s="24"/>
      <c r="O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M110" s="24"/>
      <c r="N110" s="24"/>
      <c r="O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M111" s="24"/>
      <c r="N111" s="24"/>
      <c r="O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M112" s="24"/>
      <c r="N112" s="24"/>
      <c r="O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M113" s="24"/>
      <c r="N113" s="24"/>
      <c r="O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M114" s="24"/>
      <c r="N114" s="24"/>
      <c r="O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M115" s="24"/>
      <c r="N115" s="24"/>
      <c r="O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M116" s="24"/>
      <c r="N116" s="24"/>
      <c r="O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M117" s="24"/>
      <c r="N117" s="24"/>
      <c r="O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M118" s="24"/>
      <c r="N118" s="24"/>
      <c r="O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M119" s="24"/>
      <c r="N119" s="24"/>
      <c r="O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M120" s="24"/>
      <c r="N120" s="24"/>
      <c r="O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M121" s="24"/>
      <c r="N121" s="24"/>
      <c r="O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M122" s="24"/>
      <c r="N122" s="24"/>
      <c r="O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M123" s="24"/>
      <c r="N123" s="24"/>
      <c r="O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M124" s="24"/>
      <c r="N124" s="24"/>
      <c r="O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M125" s="24"/>
      <c r="N125" s="24"/>
      <c r="O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M126" s="24"/>
      <c r="N126" s="24"/>
      <c r="O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M127" s="24"/>
      <c r="N127" s="24"/>
      <c r="O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M128" s="24"/>
      <c r="N128" s="24"/>
      <c r="O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M129" s="24"/>
      <c r="N129" s="24"/>
      <c r="O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M130" s="24"/>
      <c r="N130" s="24"/>
      <c r="O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M131" s="24"/>
      <c r="N131" s="24"/>
      <c r="O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M132" s="24"/>
      <c r="N132" s="24"/>
      <c r="O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M133" s="24"/>
      <c r="N133" s="24"/>
      <c r="O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M134" s="24"/>
      <c r="N134" s="24"/>
      <c r="O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M135" s="24"/>
      <c r="N135" s="24"/>
      <c r="O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M136" s="24"/>
      <c r="N136" s="24"/>
      <c r="O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M137" s="24"/>
      <c r="N137" s="24"/>
      <c r="O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M138" s="24"/>
      <c r="N138" s="24"/>
      <c r="O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M139" s="24"/>
      <c r="N139" s="24"/>
      <c r="O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M140" s="24"/>
      <c r="N140" s="24"/>
      <c r="O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M141" s="24"/>
      <c r="N141" s="24"/>
      <c r="O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M142" s="24"/>
      <c r="N142" s="24"/>
      <c r="O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M143" s="24"/>
      <c r="N143" s="24"/>
      <c r="O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M144" s="24"/>
      <c r="N144" s="24"/>
      <c r="O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M145" s="24"/>
      <c r="N145" s="24"/>
      <c r="O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M146" s="24"/>
      <c r="N146" s="24"/>
      <c r="O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M147" s="24"/>
      <c r="N147" s="24"/>
      <c r="O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M148" s="24"/>
      <c r="N148" s="24"/>
      <c r="O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M149" s="24"/>
      <c r="N149" s="24"/>
      <c r="O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M150" s="24"/>
      <c r="N150" s="24"/>
      <c r="O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M151" s="24"/>
      <c r="N151" s="24"/>
      <c r="O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M152" s="24"/>
      <c r="N152" s="24"/>
      <c r="O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M153" s="24"/>
      <c r="N153" s="24"/>
      <c r="O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M154" s="24"/>
      <c r="N154" s="24"/>
      <c r="O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M155" s="24"/>
      <c r="N155" s="24"/>
      <c r="O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M156" s="24"/>
      <c r="N156" s="24"/>
      <c r="O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M157" s="24"/>
      <c r="N157" s="24"/>
      <c r="O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M158" s="24"/>
      <c r="N158" s="24"/>
      <c r="O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M159" s="24"/>
      <c r="N159" s="24"/>
      <c r="O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M160" s="24"/>
      <c r="N160" s="24"/>
      <c r="O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M161" s="24"/>
      <c r="N161" s="24"/>
      <c r="O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M162" s="24"/>
      <c r="N162" s="24"/>
      <c r="O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M163" s="24"/>
      <c r="N163" s="24"/>
      <c r="O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M164" s="24"/>
      <c r="N164" s="24"/>
      <c r="O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M165" s="24"/>
      <c r="N165" s="24"/>
      <c r="O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M166" s="24"/>
      <c r="N166" s="24"/>
      <c r="O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M167" s="24"/>
      <c r="N167" s="24"/>
      <c r="O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M168" s="24"/>
      <c r="N168" s="24"/>
      <c r="O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M169" s="24"/>
      <c r="N169" s="24"/>
      <c r="O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M170" s="24"/>
      <c r="N170" s="24"/>
      <c r="O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M171" s="24"/>
      <c r="N171" s="24"/>
      <c r="O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M172" s="24"/>
      <c r="N172" s="24"/>
      <c r="O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M173" s="24"/>
      <c r="N173" s="24"/>
      <c r="O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M174" s="24"/>
      <c r="N174" s="24"/>
      <c r="O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M175" s="24"/>
      <c r="N175" s="24"/>
      <c r="O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M176" s="24"/>
      <c r="N176" s="24"/>
      <c r="O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M177" s="24"/>
      <c r="N177" s="24"/>
      <c r="O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M178" s="24"/>
      <c r="N178" s="24"/>
      <c r="O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M179" s="24"/>
      <c r="N179" s="24"/>
      <c r="O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M180" s="24"/>
      <c r="N180" s="24"/>
      <c r="O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M181" s="24"/>
      <c r="N181" s="24"/>
      <c r="O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M182" s="24"/>
      <c r="N182" s="24"/>
      <c r="O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M183" s="24"/>
      <c r="N183" s="24"/>
      <c r="O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M184" s="24"/>
      <c r="N184" s="24"/>
      <c r="O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M185" s="24"/>
      <c r="N185" s="24"/>
      <c r="O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M186" s="24"/>
      <c r="N186" s="24"/>
      <c r="O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M187" s="24"/>
      <c r="N187" s="24"/>
      <c r="O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M188" s="24"/>
      <c r="N188" s="24"/>
      <c r="O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M189" s="24"/>
      <c r="N189" s="24"/>
      <c r="O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M190" s="24"/>
      <c r="N190" s="24"/>
      <c r="O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M191" s="24"/>
      <c r="N191" s="24"/>
      <c r="O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M192" s="24"/>
      <c r="N192" s="24"/>
      <c r="O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M193" s="24"/>
      <c r="N193" s="24"/>
      <c r="O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M194" s="24"/>
      <c r="N194" s="24"/>
      <c r="O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M195" s="24"/>
      <c r="N195" s="24"/>
      <c r="O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M196" s="24"/>
      <c r="N196" s="24"/>
      <c r="O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M197" s="24"/>
      <c r="N197" s="24"/>
      <c r="O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M198" s="24"/>
      <c r="N198" s="24"/>
      <c r="O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M199" s="24"/>
      <c r="N199" s="24"/>
      <c r="O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M200" s="24"/>
      <c r="N200" s="24"/>
      <c r="O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M201" s="24"/>
      <c r="N201" s="24"/>
      <c r="O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M202" s="24"/>
      <c r="N202" s="24"/>
      <c r="O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M203" s="24"/>
      <c r="N203" s="24"/>
      <c r="O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M204" s="24"/>
      <c r="N204" s="24"/>
      <c r="O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M205" s="24"/>
      <c r="N205" s="24"/>
      <c r="O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M206" s="24"/>
      <c r="N206" s="24"/>
      <c r="O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M207" s="24"/>
      <c r="N207" s="24"/>
      <c r="O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M208" s="24"/>
      <c r="N208" s="24"/>
      <c r="O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M209" s="24"/>
      <c r="N209" s="24"/>
      <c r="O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M210" s="24"/>
      <c r="N210" s="24"/>
      <c r="O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M211" s="24"/>
      <c r="N211" s="24"/>
      <c r="O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M212" s="24"/>
      <c r="N212" s="24"/>
      <c r="O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M213" s="24"/>
      <c r="N213" s="24"/>
      <c r="O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M214" s="24"/>
      <c r="N214" s="24"/>
      <c r="O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M215" s="24"/>
      <c r="N215" s="24"/>
      <c r="O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M216" s="24"/>
      <c r="N216" s="24"/>
      <c r="O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M217" s="24"/>
      <c r="N217" s="24"/>
      <c r="O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M218" s="24"/>
      <c r="N218" s="24"/>
      <c r="O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M219" s="24"/>
      <c r="N219" s="24"/>
      <c r="O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M220" s="24"/>
      <c r="N220" s="24"/>
      <c r="O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M221" s="24"/>
      <c r="N221" s="24"/>
      <c r="O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M222" s="24"/>
      <c r="N222" s="24"/>
      <c r="O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M223" s="24"/>
      <c r="N223" s="24"/>
      <c r="O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M224" s="24"/>
      <c r="N224" s="24"/>
      <c r="O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M225" s="24"/>
      <c r="N225" s="24"/>
      <c r="O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M226" s="24"/>
      <c r="N226" s="24"/>
      <c r="O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M227" s="24"/>
      <c r="N227" s="24"/>
      <c r="O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M228" s="24"/>
      <c r="N228" s="24"/>
      <c r="O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M229" s="24"/>
      <c r="N229" s="24"/>
      <c r="O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M230" s="24"/>
      <c r="N230" s="24"/>
      <c r="O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M231" s="24"/>
      <c r="N231" s="24"/>
      <c r="O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M232" s="24"/>
      <c r="N232" s="24"/>
      <c r="O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M233" s="24"/>
      <c r="N233" s="24"/>
      <c r="O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M234" s="24"/>
      <c r="N234" s="24"/>
      <c r="O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M235" s="24"/>
      <c r="N235" s="24"/>
      <c r="O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M236" s="24"/>
      <c r="N236" s="24"/>
      <c r="O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M237" s="24"/>
      <c r="N237" s="24"/>
      <c r="O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M238" s="24"/>
      <c r="N238" s="24"/>
      <c r="O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M239" s="24"/>
      <c r="N239" s="24"/>
      <c r="O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M240" s="24"/>
      <c r="N240" s="24"/>
      <c r="O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M241" s="24"/>
      <c r="N241" s="24"/>
      <c r="O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M242" s="24"/>
      <c r="N242" s="24"/>
      <c r="O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M243" s="24"/>
      <c r="N243" s="24"/>
      <c r="O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M244" s="24"/>
      <c r="N244" s="24"/>
      <c r="O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M245" s="24"/>
      <c r="N245" s="24"/>
      <c r="O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M246" s="24"/>
      <c r="N246" s="24"/>
      <c r="O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M247" s="24"/>
      <c r="N247" s="24"/>
      <c r="O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M248" s="24"/>
      <c r="N248" s="24"/>
      <c r="O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M249" s="24"/>
      <c r="N249" s="24"/>
      <c r="O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M250" s="24"/>
      <c r="N250" s="24"/>
      <c r="O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M251" s="24"/>
      <c r="N251" s="24"/>
      <c r="O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M252" s="24"/>
      <c r="N252" s="24"/>
      <c r="O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M253" s="24"/>
      <c r="N253" s="24"/>
      <c r="O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M254" s="24"/>
      <c r="N254" s="24"/>
      <c r="O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M255" s="24"/>
      <c r="N255" s="24"/>
      <c r="O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M256" s="24"/>
      <c r="N256" s="24"/>
      <c r="O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M257" s="24"/>
      <c r="N257" s="24"/>
      <c r="O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M258" s="24"/>
      <c r="N258" s="24"/>
      <c r="O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M259" s="24"/>
      <c r="N259" s="24"/>
      <c r="O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M260" s="24"/>
      <c r="N260" s="24"/>
      <c r="O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M261" s="24"/>
      <c r="N261" s="24"/>
      <c r="O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M262" s="24"/>
      <c r="N262" s="24"/>
      <c r="O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M263" s="24"/>
      <c r="N263" s="24"/>
      <c r="O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M264" s="24"/>
      <c r="N264" s="24"/>
      <c r="O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M265" s="24"/>
      <c r="N265" s="24"/>
      <c r="O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M266" s="24"/>
      <c r="N266" s="24"/>
      <c r="O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M267" s="24"/>
      <c r="N267" s="24"/>
      <c r="O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M268" s="24"/>
      <c r="N268" s="24"/>
      <c r="O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M269" s="24"/>
      <c r="N269" s="24"/>
      <c r="O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M270" s="24"/>
      <c r="N270" s="24"/>
      <c r="O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M271" s="24"/>
      <c r="N271" s="24"/>
      <c r="O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M272" s="24"/>
      <c r="N272" s="24"/>
      <c r="O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M273" s="24"/>
      <c r="N273" s="24"/>
      <c r="O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M274" s="24"/>
      <c r="N274" s="24"/>
      <c r="O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M275" s="24"/>
      <c r="N275" s="24"/>
      <c r="O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M276" s="24"/>
      <c r="N276" s="24"/>
      <c r="O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M277" s="24"/>
      <c r="N277" s="24"/>
      <c r="O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M278" s="24"/>
      <c r="N278" s="24"/>
      <c r="O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M279" s="24"/>
      <c r="N279" s="24"/>
      <c r="O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M280" s="24"/>
      <c r="N280" s="24"/>
      <c r="O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M281" s="24"/>
      <c r="N281" s="24"/>
      <c r="O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M282" s="24"/>
      <c r="N282" s="24"/>
      <c r="O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M283" s="24"/>
      <c r="N283" s="24"/>
      <c r="O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M284" s="24"/>
      <c r="N284" s="24"/>
      <c r="O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M285" s="24"/>
      <c r="N285" s="24"/>
      <c r="O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M286" s="24"/>
      <c r="N286" s="24"/>
      <c r="O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M287" s="24"/>
      <c r="N287" s="24"/>
      <c r="O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M288" s="24"/>
      <c r="N288" s="24"/>
      <c r="O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M289" s="24"/>
      <c r="N289" s="24"/>
      <c r="O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M290" s="24"/>
      <c r="N290" s="24"/>
      <c r="O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M291" s="24"/>
      <c r="N291" s="24"/>
      <c r="O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M292" s="24"/>
      <c r="N292" s="24"/>
      <c r="O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M293" s="24"/>
      <c r="N293" s="24"/>
      <c r="O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M294" s="24"/>
      <c r="N294" s="24"/>
      <c r="O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M295" s="24"/>
      <c r="N295" s="24"/>
      <c r="O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M296" s="24"/>
      <c r="N296" s="24"/>
      <c r="O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M297" s="24"/>
      <c r="N297" s="24"/>
      <c r="O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M298" s="24"/>
      <c r="N298" s="24"/>
      <c r="O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M299" s="24"/>
      <c r="N299" s="24"/>
      <c r="O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M300" s="24"/>
      <c r="N300" s="24"/>
      <c r="O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M301" s="24"/>
      <c r="N301" s="24"/>
      <c r="O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M302" s="24"/>
      <c r="N302" s="24"/>
      <c r="O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M303" s="24"/>
      <c r="N303" s="24"/>
      <c r="O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M304" s="24"/>
      <c r="N304" s="24"/>
      <c r="O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M305" s="24"/>
      <c r="N305" s="24"/>
      <c r="O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M306" s="24"/>
      <c r="N306" s="24"/>
      <c r="O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M307" s="24"/>
      <c r="N307" s="24"/>
      <c r="O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M308" s="24"/>
      <c r="N308" s="24"/>
      <c r="O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M309" s="24"/>
      <c r="N309" s="24"/>
      <c r="O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M310" s="24"/>
      <c r="N310" s="24"/>
      <c r="O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M311" s="24"/>
      <c r="N311" s="24"/>
      <c r="O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M312" s="24"/>
      <c r="N312" s="24"/>
      <c r="O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M313" s="24"/>
      <c r="N313" s="24"/>
      <c r="O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M314" s="24"/>
      <c r="N314" s="24"/>
      <c r="O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M315" s="24"/>
      <c r="N315" s="24"/>
      <c r="O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M316" s="24"/>
      <c r="N316" s="24"/>
      <c r="O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M317" s="24"/>
      <c r="N317" s="24"/>
      <c r="O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M318" s="24"/>
      <c r="N318" s="24"/>
      <c r="O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M319" s="24"/>
      <c r="N319" s="24"/>
      <c r="O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M320" s="24"/>
      <c r="N320" s="24"/>
      <c r="O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M321" s="24"/>
      <c r="N321" s="24"/>
      <c r="O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M322" s="24"/>
      <c r="N322" s="24"/>
      <c r="O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M323" s="24"/>
      <c r="N323" s="24"/>
      <c r="O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M324" s="24"/>
      <c r="N324" s="24"/>
      <c r="O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M325" s="24"/>
      <c r="N325" s="24"/>
      <c r="O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M326" s="24"/>
      <c r="N326" s="24"/>
      <c r="O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M327" s="24"/>
      <c r="N327" s="24"/>
      <c r="O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M328" s="24"/>
      <c r="N328" s="24"/>
      <c r="O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M329" s="24"/>
      <c r="N329" s="24"/>
      <c r="O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M330" s="24"/>
      <c r="N330" s="24"/>
      <c r="O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M331" s="24"/>
      <c r="N331" s="24"/>
      <c r="O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M332" s="24"/>
      <c r="N332" s="24"/>
      <c r="O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M333" s="24"/>
      <c r="N333" s="24"/>
      <c r="O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M334" s="24"/>
      <c r="N334" s="24"/>
      <c r="O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M335" s="24"/>
      <c r="N335" s="24"/>
      <c r="O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M336" s="24"/>
      <c r="N336" s="24"/>
      <c r="O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M337" s="24"/>
      <c r="N337" s="24"/>
      <c r="O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M338" s="24"/>
      <c r="N338" s="24"/>
      <c r="O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M339" s="24"/>
      <c r="N339" s="24"/>
      <c r="O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M340" s="24"/>
      <c r="N340" s="24"/>
      <c r="O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M341" s="24"/>
      <c r="N341" s="24"/>
      <c r="O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M342" s="24"/>
      <c r="N342" s="24"/>
      <c r="O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M343" s="24"/>
      <c r="N343" s="24"/>
      <c r="O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M344" s="24"/>
      <c r="N344" s="24"/>
      <c r="O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M345" s="24"/>
      <c r="N345" s="24"/>
      <c r="O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M346" s="24"/>
      <c r="N346" s="24"/>
      <c r="O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M347" s="24"/>
      <c r="N347" s="24"/>
      <c r="O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M348" s="24"/>
      <c r="N348" s="24"/>
      <c r="O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M349" s="24"/>
      <c r="N349" s="24"/>
      <c r="O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M350" s="24"/>
      <c r="N350" s="24"/>
      <c r="O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M351" s="24"/>
      <c r="N351" s="24"/>
      <c r="O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M352" s="24"/>
      <c r="N352" s="24"/>
      <c r="O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M353" s="24"/>
      <c r="N353" s="24"/>
      <c r="O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M354" s="24"/>
      <c r="N354" s="24"/>
      <c r="O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M355" s="24"/>
      <c r="N355" s="24"/>
      <c r="O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M356" s="24"/>
      <c r="N356" s="24"/>
      <c r="O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M357" s="24"/>
      <c r="N357" s="24"/>
      <c r="O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M358" s="24"/>
      <c r="N358" s="24"/>
      <c r="O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M359" s="24"/>
      <c r="N359" s="24"/>
      <c r="O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M360" s="24"/>
      <c r="N360" s="24"/>
      <c r="O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M361" s="24"/>
      <c r="N361" s="24"/>
      <c r="O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M362" s="24"/>
      <c r="N362" s="24"/>
      <c r="O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M363" s="24"/>
      <c r="N363" s="24"/>
      <c r="O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M364" s="24"/>
      <c r="N364" s="24"/>
      <c r="O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M365" s="24"/>
      <c r="N365" s="24"/>
      <c r="O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M366" s="24"/>
      <c r="N366" s="24"/>
      <c r="O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M367" s="24"/>
      <c r="N367" s="24"/>
      <c r="O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M368" s="24"/>
      <c r="N368" s="24"/>
      <c r="O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M369" s="24"/>
      <c r="N369" s="24"/>
      <c r="O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M370" s="24"/>
      <c r="N370" s="24"/>
      <c r="O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M371" s="24"/>
      <c r="N371" s="24"/>
      <c r="O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M372" s="24"/>
      <c r="N372" s="24"/>
      <c r="O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M373" s="24"/>
      <c r="N373" s="24"/>
      <c r="O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M374" s="24"/>
      <c r="N374" s="24"/>
      <c r="O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M375" s="24"/>
      <c r="N375" s="24"/>
      <c r="O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M376" s="24"/>
      <c r="N376" s="24"/>
      <c r="O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M377" s="24"/>
      <c r="N377" s="24"/>
      <c r="O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M378" s="24"/>
      <c r="N378" s="24"/>
      <c r="O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M379" s="24"/>
      <c r="N379" s="24"/>
      <c r="O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M380" s="24"/>
      <c r="N380" s="24"/>
      <c r="O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M381" s="24"/>
      <c r="N381" s="24"/>
      <c r="O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M382" s="24"/>
      <c r="N382" s="24"/>
      <c r="O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M383" s="24"/>
      <c r="N383" s="24"/>
      <c r="O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M384" s="24"/>
      <c r="N384" s="24"/>
      <c r="O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M385" s="24"/>
      <c r="N385" s="24"/>
      <c r="O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M386" s="24"/>
      <c r="N386" s="24"/>
      <c r="O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M387" s="24"/>
      <c r="N387" s="24"/>
      <c r="O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M388" s="24"/>
      <c r="N388" s="24"/>
      <c r="O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M389" s="24"/>
      <c r="N389" s="24"/>
      <c r="O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M390" s="24"/>
      <c r="N390" s="24"/>
      <c r="O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M391" s="24"/>
      <c r="N391" s="24"/>
      <c r="O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M392" s="24"/>
      <c r="N392" s="24"/>
      <c r="O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M393" s="24"/>
      <c r="N393" s="24"/>
      <c r="O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M394" s="24"/>
      <c r="N394" s="24"/>
      <c r="O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M395" s="24"/>
      <c r="N395" s="24"/>
      <c r="O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M396" s="24"/>
      <c r="N396" s="24"/>
      <c r="O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M397" s="24"/>
      <c r="N397" s="24"/>
      <c r="O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M398" s="24"/>
      <c r="N398" s="24"/>
      <c r="O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M399" s="24"/>
      <c r="N399" s="24"/>
      <c r="O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M400" s="24"/>
      <c r="N400" s="24"/>
      <c r="O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M401" s="24"/>
      <c r="N401" s="24"/>
      <c r="O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M402" s="24"/>
      <c r="N402" s="24"/>
      <c r="O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M403" s="24"/>
      <c r="N403" s="24"/>
      <c r="O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M404" s="24"/>
      <c r="N404" s="24"/>
      <c r="O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M405" s="24"/>
      <c r="N405" s="24"/>
      <c r="O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M406" s="24"/>
      <c r="N406" s="24"/>
      <c r="O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M407" s="24"/>
      <c r="N407" s="24"/>
      <c r="O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M408" s="24"/>
      <c r="N408" s="24"/>
      <c r="O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M409" s="24"/>
      <c r="N409" s="24"/>
      <c r="O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M410" s="24"/>
      <c r="N410" s="24"/>
      <c r="O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M411" s="24"/>
      <c r="N411" s="24"/>
      <c r="O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M412" s="24"/>
      <c r="N412" s="24"/>
      <c r="O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M413" s="24"/>
      <c r="N413" s="24"/>
      <c r="O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M414" s="24"/>
      <c r="N414" s="24"/>
      <c r="O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M415" s="24"/>
      <c r="N415" s="24"/>
      <c r="O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M416" s="24"/>
      <c r="N416" s="24"/>
      <c r="O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M417" s="24"/>
      <c r="N417" s="24"/>
      <c r="O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M418" s="24"/>
      <c r="N418" s="24"/>
      <c r="O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M419" s="24"/>
      <c r="N419" s="24"/>
      <c r="O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M420" s="24"/>
      <c r="N420" s="24"/>
      <c r="O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M421" s="24"/>
      <c r="N421" s="24"/>
      <c r="O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M422" s="24"/>
      <c r="N422" s="24"/>
      <c r="O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M423" s="24"/>
      <c r="N423" s="24"/>
      <c r="O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M424" s="24"/>
      <c r="N424" s="24"/>
      <c r="O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M425" s="24"/>
      <c r="N425" s="24"/>
      <c r="O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M426" s="24"/>
      <c r="N426" s="24"/>
      <c r="O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M427" s="24"/>
      <c r="N427" s="24"/>
      <c r="O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M428" s="24"/>
      <c r="N428" s="24"/>
      <c r="O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M429" s="24"/>
      <c r="N429" s="24"/>
      <c r="O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M430" s="24"/>
      <c r="N430" s="24"/>
      <c r="O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M431" s="24"/>
      <c r="N431" s="24"/>
      <c r="O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M432" s="24"/>
      <c r="N432" s="24"/>
      <c r="O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M433" s="24"/>
      <c r="N433" s="24"/>
      <c r="O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M434" s="24"/>
      <c r="N434" s="24"/>
      <c r="O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M435" s="24"/>
      <c r="N435" s="24"/>
      <c r="O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M436" s="24"/>
      <c r="N436" s="24"/>
      <c r="O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M437" s="24"/>
      <c r="N437" s="24"/>
      <c r="O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M438" s="24"/>
      <c r="N438" s="24"/>
      <c r="O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M439" s="24"/>
      <c r="N439" s="24"/>
      <c r="O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M440" s="24"/>
      <c r="N440" s="24"/>
      <c r="O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M441" s="24"/>
      <c r="N441" s="24"/>
      <c r="O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M442" s="24"/>
      <c r="N442" s="24"/>
      <c r="O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M443" s="24"/>
      <c r="N443" s="24"/>
      <c r="O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M444" s="24"/>
      <c r="N444" s="24"/>
      <c r="O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M445" s="24"/>
      <c r="N445" s="24"/>
      <c r="O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M446" s="24"/>
      <c r="N446" s="24"/>
      <c r="O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M447" s="24"/>
      <c r="N447" s="24"/>
      <c r="O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M448" s="24"/>
      <c r="N448" s="24"/>
      <c r="O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M449" s="24"/>
      <c r="N449" s="24"/>
      <c r="O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M450" s="24"/>
      <c r="N450" s="24"/>
      <c r="O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M451" s="24"/>
      <c r="N451" s="24"/>
      <c r="O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M452" s="24"/>
      <c r="N452" s="24"/>
      <c r="O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M453" s="24"/>
      <c r="N453" s="24"/>
      <c r="O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M454" s="24"/>
      <c r="N454" s="24"/>
      <c r="O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M455" s="24"/>
      <c r="N455" s="24"/>
      <c r="O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M456" s="24"/>
      <c r="N456" s="24"/>
      <c r="O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M457" s="24"/>
      <c r="N457" s="24"/>
      <c r="O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M458" s="24"/>
      <c r="N458" s="24"/>
      <c r="O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M459" s="24"/>
      <c r="N459" s="24"/>
      <c r="O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M460" s="24"/>
      <c r="N460" s="24"/>
      <c r="O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M461" s="24"/>
      <c r="N461" s="24"/>
      <c r="O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M462" s="24"/>
      <c r="N462" s="24"/>
      <c r="O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M463" s="24"/>
      <c r="N463" s="24"/>
      <c r="O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M464" s="24"/>
      <c r="N464" s="24"/>
      <c r="O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M465" s="24"/>
      <c r="N465" s="24"/>
      <c r="O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M466" s="24"/>
      <c r="N466" s="24"/>
      <c r="O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M467" s="24"/>
      <c r="N467" s="24"/>
      <c r="O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M468" s="24"/>
      <c r="N468" s="24"/>
      <c r="O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M469" s="24"/>
      <c r="N469" s="24"/>
      <c r="O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M470" s="24"/>
      <c r="N470" s="24"/>
      <c r="O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M471" s="24"/>
      <c r="N471" s="24"/>
      <c r="O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M472" s="24"/>
      <c r="N472" s="24"/>
      <c r="O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M473" s="24"/>
      <c r="N473" s="24"/>
      <c r="O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M474" s="24"/>
      <c r="N474" s="24"/>
      <c r="O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M475" s="24"/>
      <c r="N475" s="24"/>
      <c r="O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M476" s="24"/>
      <c r="N476" s="24"/>
      <c r="O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M477" s="24"/>
      <c r="N477" s="24"/>
      <c r="O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M478" s="24"/>
      <c r="N478" s="24"/>
      <c r="O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M479" s="24"/>
      <c r="N479" s="24"/>
      <c r="O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M480" s="24"/>
      <c r="N480" s="24"/>
      <c r="O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M481" s="24"/>
      <c r="N481" s="24"/>
      <c r="O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M482" s="24"/>
      <c r="N482" s="24"/>
      <c r="O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M483" s="24"/>
      <c r="N483" s="24"/>
      <c r="O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M484" s="24"/>
      <c r="N484" s="24"/>
      <c r="O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M485" s="24"/>
      <c r="N485" s="24"/>
      <c r="O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M486" s="24"/>
      <c r="N486" s="24"/>
      <c r="O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M487" s="24"/>
      <c r="N487" s="24"/>
      <c r="O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M488" s="24"/>
      <c r="N488" s="24"/>
      <c r="O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M489" s="24"/>
      <c r="N489" s="24"/>
      <c r="O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M490" s="24"/>
      <c r="N490" s="24"/>
      <c r="O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M491" s="24"/>
      <c r="N491" s="24"/>
      <c r="O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M492" s="24"/>
      <c r="N492" s="24"/>
      <c r="O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N493" s="24"/>
      <c r="O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N494" s="24"/>
      <c r="O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N495" s="24"/>
      <c r="O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N496" s="24"/>
      <c r="O496" s="24"/>
    </row>
    <row r="497" spans="1:15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N497" s="24"/>
      <c r="O497" s="24"/>
    </row>
    <row r="498" spans="1:15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N498" s="24"/>
      <c r="O498" s="24"/>
    </row>
    <row r="499" spans="1:15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N499" s="24"/>
      <c r="O499" s="24"/>
    </row>
    <row r="500" spans="1:15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N500" s="24"/>
      <c r="O500" s="24"/>
    </row>
  </sheetData>
  <conditionalFormatting sqref="A1:B2 A6:B1048576">
    <cfRule type="expression" dxfId="32" priority="3">
      <formula>AND(COUNTIF(A:A,$A1)&gt;1,$A1&lt;&gt;"")</formula>
    </cfRule>
  </conditionalFormatting>
  <conditionalFormatting sqref="J3">
    <cfRule type="expression" dxfId="31" priority="2">
      <formula>AND(J3&lt;&gt;"",I3=FALSE)</formula>
    </cfRule>
  </conditionalFormatting>
  <conditionalFormatting sqref="J5">
    <cfRule type="expression" dxfId="30" priority="1">
      <formula>AND(J5&lt;&gt;"",I5=FALSE)</formula>
    </cfRule>
  </conditionalFormatting>
  <dataValidations count="2">
    <dataValidation type="decimal" operator="greaterThanOrEqual" allowBlank="1" showInputMessage="1" showErrorMessage="1" sqref="O6:O500 Q6:R6" xr:uid="{45FAB3B6-B821-44F4-AAC9-749C653E87C3}">
      <formula1>0</formula1>
    </dataValidation>
    <dataValidation type="whole" operator="greaterThanOrEqual" allowBlank="1" showInputMessage="1" showErrorMessage="1" sqref="N6:N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M6:M500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K15" sqref="K15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56</v>
      </c>
      <c r="B1" s="17" t="s">
        <v>216</v>
      </c>
      <c r="C1" s="17" t="s">
        <v>217</v>
      </c>
      <c r="D1" s="17" t="s">
        <v>125</v>
      </c>
      <c r="E1" s="17" t="s">
        <v>218</v>
      </c>
      <c r="F1" s="14" t="s">
        <v>219</v>
      </c>
      <c r="G1" s="14" t="s">
        <v>220</v>
      </c>
      <c r="H1" s="14" t="s">
        <v>221</v>
      </c>
      <c r="I1" s="17" t="s">
        <v>222</v>
      </c>
      <c r="J1" s="17" t="s">
        <v>135</v>
      </c>
      <c r="K1" s="17" t="s">
        <v>136</v>
      </c>
      <c r="L1" s="17" t="s">
        <v>137</v>
      </c>
      <c r="M1" s="17" t="s">
        <v>138</v>
      </c>
      <c r="N1" s="17" t="s">
        <v>139</v>
      </c>
      <c r="O1" s="17" t="s">
        <v>140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223</v>
      </c>
      <c r="J2" s="17" t="s">
        <v>30</v>
      </c>
      <c r="K2" s="17" t="s">
        <v>155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362</v>
      </c>
      <c r="B3" s="17" t="s">
        <v>224</v>
      </c>
      <c r="C3" s="17" t="s">
        <v>351</v>
      </c>
      <c r="D3" s="59" t="s">
        <v>363</v>
      </c>
      <c r="E3" s="59" t="s">
        <v>225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364</v>
      </c>
      <c r="B4" s="17" t="s">
        <v>224</v>
      </c>
      <c r="C4" s="17" t="s">
        <v>351</v>
      </c>
      <c r="D4" s="59" t="s">
        <v>350</v>
      </c>
      <c r="E4" s="59" t="s">
        <v>226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365</v>
      </c>
      <c r="B5" s="17" t="s">
        <v>224</v>
      </c>
      <c r="C5" s="17" t="s">
        <v>351</v>
      </c>
      <c r="D5" s="59" t="s">
        <v>366</v>
      </c>
      <c r="E5" s="59" t="s">
        <v>225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364</v>
      </c>
      <c r="B6" s="17" t="s">
        <v>224</v>
      </c>
      <c r="C6" s="17" t="s">
        <v>410</v>
      </c>
      <c r="D6" s="59" t="s">
        <v>352</v>
      </c>
      <c r="E6" s="17" t="s">
        <v>398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370</v>
      </c>
      <c r="B7" s="17" t="s">
        <v>383</v>
      </c>
      <c r="C7" s="17" t="s">
        <v>353</v>
      </c>
      <c r="D7" s="59" t="s">
        <v>363</v>
      </c>
      <c r="E7" s="59" t="s">
        <v>225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371</v>
      </c>
      <c r="B8" s="17" t="s">
        <v>383</v>
      </c>
      <c r="C8" s="17" t="s">
        <v>353</v>
      </c>
      <c r="D8" s="59" t="s">
        <v>382</v>
      </c>
      <c r="E8" s="59" t="s">
        <v>226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372</v>
      </c>
      <c r="B9" s="17" t="s">
        <v>383</v>
      </c>
      <c r="C9" s="17" t="s">
        <v>353</v>
      </c>
      <c r="D9" s="59" t="s">
        <v>367</v>
      </c>
      <c r="E9" s="59" t="s">
        <v>225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373</v>
      </c>
      <c r="B10" s="17" t="s">
        <v>383</v>
      </c>
      <c r="C10" s="17" t="s">
        <v>354</v>
      </c>
      <c r="D10" s="59" t="s">
        <v>368</v>
      </c>
      <c r="E10" s="59" t="s">
        <v>225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374</v>
      </c>
      <c r="B11" s="17" t="s">
        <v>383</v>
      </c>
      <c r="C11" s="17" t="s">
        <v>354</v>
      </c>
      <c r="D11" s="59" t="s">
        <v>381</v>
      </c>
      <c r="E11" s="59" t="s">
        <v>226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375</v>
      </c>
      <c r="B12" s="17" t="s">
        <v>383</v>
      </c>
      <c r="C12" s="17" t="s">
        <v>354</v>
      </c>
      <c r="D12" s="59" t="s">
        <v>369</v>
      </c>
      <c r="E12" s="59" t="s">
        <v>226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376</v>
      </c>
      <c r="B13" s="17" t="s">
        <v>383</v>
      </c>
      <c r="C13" s="17" t="s">
        <v>354</v>
      </c>
      <c r="D13" s="59" t="s">
        <v>382</v>
      </c>
      <c r="E13" s="59" t="s">
        <v>226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377</v>
      </c>
      <c r="B14" s="17" t="s">
        <v>383</v>
      </c>
      <c r="C14" s="17" t="s">
        <v>354</v>
      </c>
      <c r="D14" s="59" t="s">
        <v>367</v>
      </c>
      <c r="E14" s="59" t="s">
        <v>225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378</v>
      </c>
      <c r="B15" s="17" t="s">
        <v>383</v>
      </c>
      <c r="C15" s="17" t="s">
        <v>355</v>
      </c>
      <c r="D15" s="59" t="s">
        <v>368</v>
      </c>
      <c r="E15" s="59" t="s">
        <v>225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379</v>
      </c>
      <c r="B16" s="17" t="s">
        <v>383</v>
      </c>
      <c r="C16" s="17" t="s">
        <v>355</v>
      </c>
      <c r="D16" s="59" t="s">
        <v>381</v>
      </c>
      <c r="E16" s="59" t="s">
        <v>226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380</v>
      </c>
      <c r="B17" s="17" t="s">
        <v>383</v>
      </c>
      <c r="C17" s="17" t="s">
        <v>355</v>
      </c>
      <c r="D17" s="59" t="s">
        <v>366</v>
      </c>
      <c r="E17" s="59" t="s">
        <v>225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362</v>
      </c>
      <c r="B18" s="17" t="s">
        <v>224</v>
      </c>
      <c r="C18" s="17" t="s">
        <v>419</v>
      </c>
      <c r="D18" s="59" t="s">
        <v>363</v>
      </c>
      <c r="E18" s="59" t="s">
        <v>225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364</v>
      </c>
      <c r="B19" s="17" t="s">
        <v>224</v>
      </c>
      <c r="C19" s="17" t="s">
        <v>419</v>
      </c>
      <c r="D19" s="59" t="s">
        <v>350</v>
      </c>
      <c r="E19" s="59" t="s">
        <v>226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365</v>
      </c>
      <c r="B20" s="17" t="s">
        <v>224</v>
      </c>
      <c r="C20" s="17" t="s">
        <v>419</v>
      </c>
      <c r="D20" s="59" t="s">
        <v>366</v>
      </c>
      <c r="E20" s="59" t="s">
        <v>225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29" priority="101">
      <formula>#REF!=TRUE</formula>
    </cfRule>
  </conditionalFormatting>
  <conditionalFormatting sqref="B3:C4 A21:O496">
    <cfRule type="expression" dxfId="28" priority="27">
      <formula>$C3&lt;&gt;$C4</formula>
    </cfRule>
  </conditionalFormatting>
  <conditionalFormatting sqref="B5:C5">
    <cfRule type="expression" dxfId="27" priority="109">
      <formula>$C5&lt;&gt;$C7</formula>
    </cfRule>
  </conditionalFormatting>
  <conditionalFormatting sqref="B6:C19">
    <cfRule type="expression" dxfId="26" priority="5">
      <formula>$C6&lt;&gt;$C7</formula>
    </cfRule>
  </conditionalFormatting>
  <conditionalFormatting sqref="B20:C20">
    <cfRule type="expression" dxfId="25" priority="3">
      <formula>$C20&lt;&gt;$C22</formula>
    </cfRule>
  </conditionalFormatting>
  <conditionalFormatting sqref="E6">
    <cfRule type="expression" dxfId="24" priority="6">
      <formula>$C6&lt;&gt;$C7</formula>
    </cfRule>
  </conditionalFormatting>
  <conditionalFormatting sqref="E494:G495">
    <cfRule type="expression" dxfId="23" priority="31">
      <formula>AND(NOT(ISBLANK($E494)),$E494&gt;$H494)</formula>
    </cfRule>
  </conditionalFormatting>
  <conditionalFormatting sqref="F3:H4">
    <cfRule type="expression" dxfId="21" priority="104">
      <formula>$D3&lt;&gt;$D4</formula>
    </cfRule>
  </conditionalFormatting>
  <conditionalFormatting sqref="F3:H6">
    <cfRule type="expression" dxfId="20" priority="9">
      <formula>AND(NOT(ISBLANK($F3)),$F3&gt;$J3)</formula>
    </cfRule>
  </conditionalFormatting>
  <conditionalFormatting sqref="F5:H5">
    <cfRule type="expression" dxfId="19" priority="112">
      <formula>$D5&lt;&gt;$D7</formula>
    </cfRule>
  </conditionalFormatting>
  <conditionalFormatting sqref="F6:H6">
    <cfRule type="expression" dxfId="18" priority="8">
      <formula>$D6&lt;&gt;$D7</formula>
    </cfRule>
  </conditionalFormatting>
  <conditionalFormatting sqref="F18:H19">
    <cfRule type="expression" dxfId="17" priority="2">
      <formula>$D18&lt;&gt;$D19</formula>
    </cfRule>
  </conditionalFormatting>
  <conditionalFormatting sqref="F18:H20">
    <cfRule type="expression" dxfId="16" priority="1">
      <formula>AND(NOT(ISBLANK($F18)),$F18&gt;$J18)</formula>
    </cfRule>
  </conditionalFormatting>
  <conditionalFormatting sqref="F20:H20">
    <cfRule type="expression" dxfId="15" priority="4">
      <formula>$D20&lt;&gt;$D22</formula>
    </cfRule>
  </conditionalFormatting>
  <conditionalFormatting sqref="F21:H492">
    <cfRule type="expression" dxfId="14" priority="22">
      <formula>AND(NOT(ISBLANK($F21)),$F21&gt;$I21)</formula>
    </cfRule>
  </conditionalFormatting>
  <conditionalFormatting sqref="H494:H495">
    <cfRule type="expression" dxfId="13" priority="99">
      <formula>AND($N494,$H494&gt;10)</formula>
    </cfRule>
    <cfRule type="expression" dxfId="12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1" priority="16">
      <formula>AND($O21,$I21&gt;10)</formula>
    </cfRule>
  </conditionalFormatting>
  <conditionalFormatting sqref="I21:I496">
    <cfRule type="expression" dxfId="10" priority="102">
      <formula>OR(#REF!,#REF!)</formula>
    </cfRule>
  </conditionalFormatting>
  <conditionalFormatting sqref="K494:L495">
    <cfRule type="expression" dxfId="9" priority="37">
      <formula>AND(NOT(ISBLANK($K494)),NOT(ISBLANK($L494)))</formula>
    </cfRule>
  </conditionalFormatting>
  <conditionalFormatting sqref="L21:M492">
    <cfRule type="expression" dxfId="8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2"/>
  <sheetViews>
    <sheetView workbookViewId="0">
      <selection activeCell="G5" sqref="G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227</v>
      </c>
      <c r="B2" t="s">
        <v>228</v>
      </c>
      <c r="C2" s="20">
        <v>54.036999999999999</v>
      </c>
    </row>
    <row r="3" spans="1:3" x14ac:dyDescent="0.25">
      <c r="A3" t="s">
        <v>229</v>
      </c>
      <c r="B3" t="s">
        <v>228</v>
      </c>
      <c r="C3" s="20">
        <v>5.9649999999999999</v>
      </c>
    </row>
    <row r="4" spans="1:3" x14ac:dyDescent="0.25">
      <c r="A4" t="s">
        <v>230</v>
      </c>
      <c r="B4" t="s">
        <v>13</v>
      </c>
      <c r="C4" t="s">
        <v>399</v>
      </c>
    </row>
    <row r="5" spans="1:3" x14ac:dyDescent="0.25">
      <c r="A5" t="s">
        <v>231</v>
      </c>
      <c r="B5" t="s">
        <v>30</v>
      </c>
      <c r="C5" s="20">
        <v>10</v>
      </c>
    </row>
    <row r="6" spans="1:3" x14ac:dyDescent="0.25">
      <c r="A6" t="s">
        <v>232</v>
      </c>
      <c r="B6" t="s">
        <v>30</v>
      </c>
      <c r="C6" s="20">
        <v>2.0000000000000001E-4</v>
      </c>
    </row>
    <row r="7" spans="1:3" x14ac:dyDescent="0.25">
      <c r="A7" t="s">
        <v>233</v>
      </c>
      <c r="B7" t="s">
        <v>234</v>
      </c>
      <c r="C7" s="21">
        <v>10</v>
      </c>
    </row>
    <row r="8" spans="1:3" x14ac:dyDescent="0.25">
      <c r="A8" t="s">
        <v>235</v>
      </c>
      <c r="B8" t="s">
        <v>223</v>
      </c>
      <c r="C8" s="47"/>
    </row>
    <row r="9" spans="1:3" x14ac:dyDescent="0.25">
      <c r="A9" t="s">
        <v>236</v>
      </c>
      <c r="B9" t="s">
        <v>223</v>
      </c>
    </row>
    <row r="10" spans="1:3" x14ac:dyDescent="0.25">
      <c r="A10" t="s">
        <v>237</v>
      </c>
      <c r="B10" t="s">
        <v>223</v>
      </c>
      <c r="C10">
        <v>0.1</v>
      </c>
    </row>
    <row r="11" spans="1:3" x14ac:dyDescent="0.25">
      <c r="A11" t="s">
        <v>238</v>
      </c>
      <c r="B11" t="s">
        <v>223</v>
      </c>
      <c r="C11" s="20">
        <v>4</v>
      </c>
    </row>
    <row r="12" spans="1:3" x14ac:dyDescent="0.25">
      <c r="A12" t="s">
        <v>239</v>
      </c>
      <c r="B12" t="s">
        <v>13</v>
      </c>
      <c r="C12" s="20">
        <v>0.3</v>
      </c>
    </row>
    <row r="13" spans="1:3" x14ac:dyDescent="0.25">
      <c r="A13" t="s">
        <v>240</v>
      </c>
      <c r="B13" t="s">
        <v>234</v>
      </c>
      <c r="C13" s="54"/>
    </row>
    <row r="14" spans="1:3" x14ac:dyDescent="0.25">
      <c r="A14" t="s">
        <v>241</v>
      </c>
      <c r="B14" t="s">
        <v>223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242</v>
      </c>
      <c r="B16" t="s">
        <v>13</v>
      </c>
      <c r="C16">
        <v>0</v>
      </c>
    </row>
    <row r="17" spans="1:3" x14ac:dyDescent="0.25">
      <c r="A17" t="s">
        <v>243</v>
      </c>
      <c r="B17" t="s">
        <v>13</v>
      </c>
      <c r="C17" s="60" t="s">
        <v>86</v>
      </c>
    </row>
    <row r="18" spans="1:3" x14ac:dyDescent="0.25">
      <c r="A18" t="s">
        <v>244</v>
      </c>
      <c r="B18" t="s">
        <v>13</v>
      </c>
      <c r="C18">
        <v>2</v>
      </c>
    </row>
    <row r="19" spans="1:3" x14ac:dyDescent="0.25">
      <c r="A19" t="s">
        <v>245</v>
      </c>
      <c r="B19" t="s">
        <v>13</v>
      </c>
      <c r="C19" t="s">
        <v>399</v>
      </c>
    </row>
    <row r="20" spans="1:3" x14ac:dyDescent="0.25">
      <c r="A20" t="s">
        <v>246</v>
      </c>
      <c r="B20" t="s">
        <v>13</v>
      </c>
      <c r="C20" t="s">
        <v>399</v>
      </c>
    </row>
    <row r="21" spans="1:3" x14ac:dyDescent="0.25">
      <c r="A21" t="s">
        <v>247</v>
      </c>
      <c r="B21" t="s">
        <v>13</v>
      </c>
    </row>
    <row r="22" spans="1:3" x14ac:dyDescent="0.25">
      <c r="A22" t="s">
        <v>248</v>
      </c>
      <c r="B22" t="s">
        <v>13</v>
      </c>
    </row>
  </sheetData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249</v>
      </c>
      <c r="B2" t="s">
        <v>250</v>
      </c>
      <c r="C2" s="20">
        <v>2</v>
      </c>
    </row>
    <row r="3" spans="1:34" x14ac:dyDescent="0.25">
      <c r="A3" t="s">
        <v>251</v>
      </c>
      <c r="B3" t="s">
        <v>13</v>
      </c>
      <c r="C3" s="23">
        <v>2010</v>
      </c>
    </row>
    <row r="4" spans="1:34" x14ac:dyDescent="0.25">
      <c r="A4" t="s">
        <v>252</v>
      </c>
      <c r="B4" t="s">
        <v>13</v>
      </c>
      <c r="C4" s="23">
        <v>1</v>
      </c>
    </row>
    <row r="5" spans="1:34" x14ac:dyDescent="0.25">
      <c r="A5" t="s">
        <v>253</v>
      </c>
      <c r="B5" t="s">
        <v>13</v>
      </c>
      <c r="C5" s="23">
        <v>50</v>
      </c>
    </row>
    <row r="6" spans="1:34" x14ac:dyDescent="0.25">
      <c r="A6" t="s">
        <v>254</v>
      </c>
      <c r="B6" t="s">
        <v>13</v>
      </c>
      <c r="C6" s="23">
        <v>10</v>
      </c>
    </row>
    <row r="7" spans="1:34" x14ac:dyDescent="0.25">
      <c r="A7" t="s">
        <v>255</v>
      </c>
      <c r="B7" t="s">
        <v>13</v>
      </c>
      <c r="C7" s="23">
        <v>90</v>
      </c>
    </row>
    <row r="8" spans="1:34" x14ac:dyDescent="0.25">
      <c r="A8" t="s">
        <v>257</v>
      </c>
      <c r="B8" t="s">
        <v>13</v>
      </c>
      <c r="C8" s="23">
        <v>28</v>
      </c>
    </row>
    <row r="9" spans="1:34" x14ac:dyDescent="0.25">
      <c r="A9" t="s">
        <v>258</v>
      </c>
      <c r="B9" t="s">
        <v>250</v>
      </c>
      <c r="C9" s="23">
        <v>1</v>
      </c>
    </row>
    <row r="10" spans="1:34" x14ac:dyDescent="0.25">
      <c r="A10" t="s">
        <v>259</v>
      </c>
      <c r="B10" t="s">
        <v>250</v>
      </c>
      <c r="C10" s="23">
        <v>0</v>
      </c>
    </row>
    <row r="11" spans="1:34" x14ac:dyDescent="0.25">
      <c r="A11" t="s">
        <v>260</v>
      </c>
      <c r="B11" t="s">
        <v>13</v>
      </c>
      <c r="C11" s="21">
        <v>1.5</v>
      </c>
    </row>
    <row r="12" spans="1:34" x14ac:dyDescent="0.25">
      <c r="A12" t="s">
        <v>261</v>
      </c>
      <c r="B12" t="s">
        <v>262</v>
      </c>
      <c r="C12" s="23">
        <v>100</v>
      </c>
    </row>
    <row r="13" spans="1:34" x14ac:dyDescent="0.25">
      <c r="A13" s="47" t="s">
        <v>263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264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265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266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 t="s">
        <v>280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 t="s">
        <v>281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O500"/>
  <sheetViews>
    <sheetView tabSelected="1" zoomScaleNormal="100" workbookViewId="0">
      <selection activeCell="I13" sqref="I13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9" width="20.42578125" customWidth="1"/>
    <col min="10" max="10" width="12.7109375" customWidth="1"/>
    <col min="11" max="11" width="13.5703125" style="17" customWidth="1"/>
    <col min="12" max="12" width="9" bestFit="1" customWidth="1"/>
    <col min="13" max="13" width="17.5703125" bestFit="1" customWidth="1"/>
    <col min="14" max="14" width="14.85546875" bestFit="1" customWidth="1"/>
  </cols>
  <sheetData>
    <row r="1" spans="1:15" ht="30" x14ac:dyDescent="0.25">
      <c r="A1" t="s">
        <v>56</v>
      </c>
      <c r="B1" s="17" t="s">
        <v>125</v>
      </c>
      <c r="C1" s="17" t="s">
        <v>282</v>
      </c>
      <c r="D1" s="17" t="s">
        <v>283</v>
      </c>
      <c r="E1" s="17" t="s">
        <v>284</v>
      </c>
      <c r="F1" s="17" t="s">
        <v>285</v>
      </c>
      <c r="G1" s="17" t="s">
        <v>286</v>
      </c>
      <c r="H1" t="s">
        <v>287</v>
      </c>
      <c r="I1" s="77" t="s">
        <v>422</v>
      </c>
      <c r="J1" s="17" t="s">
        <v>288</v>
      </c>
      <c r="K1" s="17" t="s">
        <v>148</v>
      </c>
      <c r="L1" s="17" t="s">
        <v>289</v>
      </c>
      <c r="M1" s="17" t="s">
        <v>290</v>
      </c>
      <c r="N1" s="47" t="s">
        <v>291</v>
      </c>
      <c r="O1" s="55" t="s">
        <v>292</v>
      </c>
    </row>
    <row r="2" spans="1:15" x14ac:dyDescent="0.25">
      <c r="A2" t="s">
        <v>13</v>
      </c>
      <c r="B2" s="17" t="s">
        <v>13</v>
      </c>
      <c r="C2" s="17" t="s">
        <v>13</v>
      </c>
      <c r="D2" s="17" t="s">
        <v>293</v>
      </c>
      <c r="E2" s="17" t="s">
        <v>13</v>
      </c>
      <c r="F2" s="17" t="s">
        <v>13</v>
      </c>
      <c r="G2" s="17" t="s">
        <v>13</v>
      </c>
      <c r="H2" t="s">
        <v>13</v>
      </c>
      <c r="I2" s="78" t="s">
        <v>13</v>
      </c>
      <c r="J2" s="17" t="s">
        <v>223</v>
      </c>
      <c r="K2" s="17" t="s">
        <v>80</v>
      </c>
      <c r="L2" s="17" t="s">
        <v>13</v>
      </c>
      <c r="M2" s="17" t="s">
        <v>13</v>
      </c>
      <c r="N2" s="48" t="s">
        <v>262</v>
      </c>
      <c r="O2" s="17" t="s">
        <v>13</v>
      </c>
    </row>
    <row r="3" spans="1:15" x14ac:dyDescent="0.25">
      <c r="A3" s="60" t="s">
        <v>401</v>
      </c>
      <c r="B3" s="59" t="s">
        <v>405</v>
      </c>
      <c r="C3" s="59">
        <v>5</v>
      </c>
      <c r="D3" s="75">
        <v>0.3</v>
      </c>
      <c r="E3" s="19" t="s">
        <v>397</v>
      </c>
      <c r="F3" s="60" t="s">
        <v>294</v>
      </c>
      <c r="G3" s="59" t="s">
        <v>347</v>
      </c>
      <c r="H3" s="76">
        <v>5</v>
      </c>
      <c r="I3" s="76"/>
      <c r="J3" s="76">
        <v>0</v>
      </c>
      <c r="K3" s="59">
        <v>1200</v>
      </c>
      <c r="L3" s="60" t="b">
        <v>0</v>
      </c>
      <c r="M3" s="60" t="b">
        <v>0</v>
      </c>
      <c r="N3" s="60">
        <v>100</v>
      </c>
    </row>
    <row r="4" spans="1:15" x14ac:dyDescent="0.25">
      <c r="A4" s="60" t="s">
        <v>402</v>
      </c>
      <c r="B4" s="59" t="s">
        <v>406</v>
      </c>
      <c r="C4" s="59">
        <v>5</v>
      </c>
      <c r="D4" s="75">
        <v>0.127</v>
      </c>
      <c r="E4" s="65" t="s">
        <v>396</v>
      </c>
      <c r="F4" s="60" t="s">
        <v>294</v>
      </c>
      <c r="G4" s="59" t="s">
        <v>347</v>
      </c>
      <c r="H4" s="76"/>
      <c r="I4" s="76"/>
      <c r="J4" s="76">
        <v>0</v>
      </c>
      <c r="K4" s="59">
        <v>1200</v>
      </c>
      <c r="L4" s="60" t="b">
        <v>0</v>
      </c>
      <c r="M4" s="60" t="b">
        <v>0</v>
      </c>
      <c r="N4" s="60">
        <v>100</v>
      </c>
    </row>
    <row r="5" spans="1:15" x14ac:dyDescent="0.25">
      <c r="A5" s="60" t="s">
        <v>403</v>
      </c>
      <c r="B5" s="59" t="s">
        <v>407</v>
      </c>
      <c r="C5" s="59">
        <v>5</v>
      </c>
      <c r="D5" s="75">
        <v>0.223</v>
      </c>
      <c r="E5" s="65" t="s">
        <v>396</v>
      </c>
      <c r="F5" s="60" t="s">
        <v>294</v>
      </c>
      <c r="G5" s="59" t="s">
        <v>349</v>
      </c>
      <c r="H5" s="76"/>
      <c r="I5" s="76"/>
      <c r="J5" s="76">
        <v>168</v>
      </c>
      <c r="K5" s="59">
        <v>10000</v>
      </c>
      <c r="L5" s="60" t="b">
        <v>0</v>
      </c>
      <c r="M5" s="60" t="b">
        <v>1</v>
      </c>
      <c r="N5" s="60">
        <v>100</v>
      </c>
    </row>
    <row r="6" spans="1:15" x14ac:dyDescent="0.25">
      <c r="A6" s="60" t="s">
        <v>404</v>
      </c>
      <c r="B6" s="59" t="s">
        <v>408</v>
      </c>
      <c r="C6" s="59">
        <v>5</v>
      </c>
      <c r="D6" s="75">
        <v>0.1</v>
      </c>
      <c r="E6" s="65" t="s">
        <v>396</v>
      </c>
      <c r="F6" s="60" t="s">
        <v>294</v>
      </c>
      <c r="G6" s="59" t="s">
        <v>351</v>
      </c>
      <c r="H6" s="76"/>
      <c r="I6" s="76"/>
      <c r="J6" s="76">
        <v>168</v>
      </c>
      <c r="K6" s="24">
        <v>10000</v>
      </c>
      <c r="L6" s="60" t="b">
        <v>0</v>
      </c>
      <c r="M6" s="60" t="b">
        <v>1</v>
      </c>
      <c r="N6" s="60">
        <v>100</v>
      </c>
    </row>
    <row r="7" spans="1:15" x14ac:dyDescent="0.25">
      <c r="A7" s="60" t="s">
        <v>411</v>
      </c>
      <c r="B7" s="59" t="s">
        <v>412</v>
      </c>
      <c r="C7" s="59">
        <v>5</v>
      </c>
      <c r="D7" s="75">
        <v>0.1</v>
      </c>
      <c r="E7" s="65" t="s">
        <v>396</v>
      </c>
      <c r="F7" s="60" t="s">
        <v>294</v>
      </c>
      <c r="G7" s="59" t="s">
        <v>410</v>
      </c>
      <c r="H7" s="76"/>
      <c r="I7" s="76"/>
      <c r="J7" s="76">
        <v>168</v>
      </c>
      <c r="K7" s="24">
        <v>7000</v>
      </c>
      <c r="L7" s="60" t="b">
        <v>0</v>
      </c>
      <c r="M7" s="60" t="b">
        <v>1</v>
      </c>
      <c r="N7" s="60">
        <v>100</v>
      </c>
    </row>
    <row r="8" spans="1:15" x14ac:dyDescent="0.25">
      <c r="C8" s="18"/>
      <c r="D8" s="18"/>
      <c r="E8" s="19"/>
      <c r="G8" s="20"/>
      <c r="H8" s="20"/>
      <c r="I8" s="20"/>
      <c r="J8" s="23"/>
      <c r="K8" s="24"/>
      <c r="L8" s="30"/>
      <c r="M8" s="30"/>
      <c r="O8" s="30"/>
    </row>
    <row r="9" spans="1:15" x14ac:dyDescent="0.25">
      <c r="C9" s="18"/>
      <c r="D9" s="18"/>
      <c r="E9" s="19"/>
      <c r="G9" s="20"/>
      <c r="H9" s="20"/>
      <c r="I9" s="20"/>
      <c r="J9" s="23"/>
      <c r="K9" s="24"/>
      <c r="L9" s="30"/>
      <c r="M9" s="30"/>
      <c r="O9" s="30"/>
    </row>
    <row r="10" spans="1:15" x14ac:dyDescent="0.25">
      <c r="C10" s="18"/>
      <c r="D10" s="18"/>
      <c r="E10" s="19"/>
      <c r="G10" s="20"/>
      <c r="H10" s="20"/>
      <c r="I10" s="20"/>
      <c r="J10" s="23"/>
      <c r="K10" s="24"/>
      <c r="L10" s="30"/>
      <c r="M10" s="30"/>
      <c r="O10" s="30"/>
    </row>
    <row r="11" spans="1:15" x14ac:dyDescent="0.25">
      <c r="C11" s="18"/>
      <c r="D11" s="18"/>
      <c r="E11" s="19"/>
      <c r="G11" s="20"/>
      <c r="H11" s="20"/>
      <c r="I11" s="20"/>
      <c r="J11" s="23"/>
      <c r="K11" s="24"/>
      <c r="L11" s="30"/>
      <c r="M11" s="30"/>
      <c r="O11" s="30"/>
    </row>
    <row r="12" spans="1:15" x14ac:dyDescent="0.25">
      <c r="C12" s="18"/>
      <c r="D12" s="18"/>
      <c r="E12" s="19"/>
      <c r="G12" s="20"/>
      <c r="H12" s="20"/>
      <c r="I12" s="20"/>
      <c r="J12" s="23"/>
      <c r="K12" s="24"/>
      <c r="L12" s="30"/>
      <c r="M12" s="30"/>
      <c r="O12" s="30"/>
    </row>
    <row r="13" spans="1:15" x14ac:dyDescent="0.25">
      <c r="C13" s="18"/>
      <c r="D13" s="18"/>
      <c r="E13" s="19"/>
      <c r="G13" s="20"/>
      <c r="H13" s="20"/>
      <c r="I13" s="20"/>
      <c r="J13" s="23"/>
      <c r="K13" s="24"/>
      <c r="L13" s="30"/>
      <c r="M13" s="30"/>
      <c r="O13" s="30"/>
    </row>
    <row r="14" spans="1:15" x14ac:dyDescent="0.25">
      <c r="C14" s="18"/>
      <c r="D14" s="18"/>
      <c r="E14" s="19"/>
      <c r="G14" s="19"/>
      <c r="H14" s="20"/>
      <c r="I14" s="20"/>
      <c r="J14" s="23"/>
      <c r="K14" s="24"/>
      <c r="L14" s="30"/>
      <c r="M14" s="30"/>
      <c r="O14" s="30"/>
    </row>
    <row r="15" spans="1:15" x14ac:dyDescent="0.25">
      <c r="C15" s="18"/>
      <c r="D15" s="18"/>
      <c r="E15" s="19"/>
      <c r="G15" s="19"/>
      <c r="H15" s="20"/>
      <c r="I15" s="20"/>
      <c r="J15" s="23"/>
      <c r="K15" s="24"/>
      <c r="L15" s="30"/>
      <c r="M15" s="30"/>
      <c r="O15" s="30"/>
    </row>
    <row r="16" spans="1:15" x14ac:dyDescent="0.25">
      <c r="C16" s="18"/>
      <c r="D16" s="18"/>
      <c r="E16" s="19"/>
      <c r="G16" s="19"/>
      <c r="H16" s="20"/>
      <c r="I16" s="20"/>
      <c r="J16" s="23"/>
      <c r="K16" s="24"/>
      <c r="L16" s="30"/>
      <c r="M16" s="30"/>
      <c r="O16" s="30"/>
    </row>
    <row r="17" spans="3:15" x14ac:dyDescent="0.25">
      <c r="C17" s="18"/>
      <c r="D17" s="18"/>
      <c r="E17" s="19"/>
      <c r="G17" s="19"/>
      <c r="H17" s="20"/>
      <c r="I17" s="20"/>
      <c r="J17" s="23"/>
      <c r="K17" s="24"/>
      <c r="L17" s="30"/>
      <c r="M17" s="30"/>
      <c r="O17" s="30"/>
    </row>
    <row r="18" spans="3:15" x14ac:dyDescent="0.25">
      <c r="C18" s="18"/>
      <c r="D18" s="18"/>
      <c r="E18" s="19"/>
      <c r="G18" s="19"/>
      <c r="H18" s="20"/>
      <c r="I18" s="20"/>
      <c r="J18" s="23"/>
      <c r="K18" s="24"/>
      <c r="L18" s="30"/>
      <c r="M18" s="30"/>
      <c r="O18" s="30"/>
    </row>
    <row r="19" spans="3:15" x14ac:dyDescent="0.25">
      <c r="C19" s="18"/>
      <c r="D19" s="18"/>
      <c r="E19" s="19"/>
      <c r="G19" s="19"/>
      <c r="H19" s="20"/>
      <c r="I19" s="20"/>
      <c r="J19" s="23"/>
      <c r="K19" s="24"/>
      <c r="L19" s="30"/>
      <c r="M19" s="30"/>
      <c r="O19" s="30"/>
    </row>
    <row r="20" spans="3:15" x14ac:dyDescent="0.25">
      <c r="C20" s="18"/>
      <c r="D20" s="18"/>
      <c r="E20" s="19"/>
      <c r="G20" s="19"/>
      <c r="H20" s="20"/>
      <c r="I20" s="20"/>
      <c r="J20" s="23"/>
      <c r="K20" s="24"/>
      <c r="L20" s="30"/>
      <c r="M20" s="30"/>
      <c r="O20" s="30"/>
    </row>
    <row r="21" spans="3:15" x14ac:dyDescent="0.25">
      <c r="C21" s="18"/>
      <c r="D21" s="18"/>
      <c r="E21" s="19"/>
      <c r="G21" s="19"/>
      <c r="H21" s="20"/>
      <c r="I21" s="20"/>
      <c r="J21" s="23"/>
      <c r="K21" s="24"/>
      <c r="L21" s="30"/>
      <c r="M21" s="30"/>
      <c r="O21" s="30"/>
    </row>
    <row r="22" spans="3:15" x14ac:dyDescent="0.25">
      <c r="C22" s="18"/>
      <c r="D22" s="18"/>
      <c r="E22" s="19"/>
      <c r="G22" s="19"/>
      <c r="H22" s="20"/>
      <c r="I22" s="20"/>
      <c r="J22" s="23"/>
      <c r="K22" s="24"/>
      <c r="L22" s="30"/>
      <c r="M22" s="30"/>
      <c r="O22" s="30"/>
    </row>
    <row r="23" spans="3:15" x14ac:dyDescent="0.25">
      <c r="C23" s="18"/>
      <c r="D23" s="18"/>
      <c r="E23" s="19"/>
      <c r="G23" s="19"/>
      <c r="H23" s="20"/>
      <c r="I23" s="20"/>
      <c r="J23" s="23"/>
      <c r="K23" s="24"/>
      <c r="L23" s="30"/>
      <c r="M23" s="30"/>
      <c r="O23" s="30"/>
    </row>
    <row r="24" spans="3:15" x14ac:dyDescent="0.25">
      <c r="C24" s="18"/>
      <c r="D24" s="18"/>
      <c r="E24" s="19"/>
      <c r="G24" s="19"/>
      <c r="H24" s="20"/>
      <c r="I24" s="20"/>
      <c r="J24" s="23"/>
      <c r="K24" s="24"/>
      <c r="L24" s="30"/>
      <c r="M24" s="30"/>
      <c r="O24" s="30"/>
    </row>
    <row r="25" spans="3:15" x14ac:dyDescent="0.25">
      <c r="C25" s="18"/>
      <c r="D25" s="18"/>
      <c r="E25" s="19"/>
      <c r="G25" s="19"/>
      <c r="H25" s="20"/>
      <c r="I25" s="20"/>
      <c r="J25" s="23"/>
      <c r="K25" s="24"/>
      <c r="L25" s="30"/>
      <c r="M25" s="30"/>
      <c r="O25" s="30"/>
    </row>
    <row r="26" spans="3:15" x14ac:dyDescent="0.25">
      <c r="C26" s="18"/>
      <c r="D26" s="18"/>
      <c r="E26" s="19"/>
      <c r="G26" s="19"/>
      <c r="H26" s="20"/>
      <c r="I26" s="20"/>
      <c r="J26" s="23"/>
      <c r="K26" s="24"/>
      <c r="L26" s="30"/>
      <c r="M26" s="30"/>
      <c r="O26" s="30"/>
    </row>
    <row r="27" spans="3:15" x14ac:dyDescent="0.25">
      <c r="C27" s="18"/>
      <c r="D27" s="18"/>
      <c r="E27" s="19"/>
      <c r="G27" s="19"/>
      <c r="H27" s="20"/>
      <c r="I27" s="20"/>
      <c r="J27" s="23"/>
      <c r="K27" s="24"/>
      <c r="L27" s="30"/>
      <c r="M27" s="30"/>
      <c r="O27" s="30"/>
    </row>
    <row r="28" spans="3:15" x14ac:dyDescent="0.25">
      <c r="C28" s="18"/>
      <c r="D28" s="18"/>
      <c r="E28" s="19"/>
      <c r="G28" s="19"/>
      <c r="H28" s="20"/>
      <c r="I28" s="20"/>
      <c r="J28" s="23"/>
      <c r="K28" s="24"/>
      <c r="L28" s="30"/>
      <c r="M28" s="30"/>
      <c r="O28" s="30"/>
    </row>
    <row r="29" spans="3:15" x14ac:dyDescent="0.25">
      <c r="C29" s="18"/>
      <c r="D29" s="18"/>
      <c r="E29" s="19"/>
      <c r="G29" s="19"/>
      <c r="H29" s="20"/>
      <c r="I29" s="20"/>
      <c r="J29" s="23"/>
      <c r="K29" s="24"/>
      <c r="L29" s="30"/>
      <c r="M29" s="30"/>
      <c r="O29" s="30"/>
    </row>
    <row r="30" spans="3:15" x14ac:dyDescent="0.25">
      <c r="C30" s="18"/>
      <c r="D30" s="18"/>
      <c r="E30" s="19"/>
      <c r="G30" s="19"/>
      <c r="H30" s="20"/>
      <c r="I30" s="20"/>
      <c r="J30" s="23"/>
      <c r="K30" s="24"/>
      <c r="L30" s="30"/>
      <c r="M30" s="30"/>
      <c r="O30" s="30"/>
    </row>
    <row r="31" spans="3:15" x14ac:dyDescent="0.25">
      <c r="D31" s="18"/>
      <c r="E31" s="19"/>
      <c r="G31" s="19"/>
      <c r="H31" s="20"/>
      <c r="I31" s="20"/>
      <c r="J31" s="23"/>
      <c r="K31" s="24"/>
      <c r="L31" s="30"/>
      <c r="M31" s="30"/>
      <c r="O31" s="30"/>
    </row>
    <row r="32" spans="3:15" x14ac:dyDescent="0.25">
      <c r="D32" s="18"/>
      <c r="E32" s="19"/>
      <c r="G32" s="19"/>
      <c r="H32" s="20"/>
      <c r="I32" s="20"/>
      <c r="J32" s="23"/>
      <c r="K32" s="24"/>
      <c r="L32" s="30"/>
      <c r="M32" s="30"/>
      <c r="O32" s="30"/>
    </row>
    <row r="33" spans="4:15" x14ac:dyDescent="0.25">
      <c r="D33" s="18"/>
      <c r="E33" s="19"/>
      <c r="G33" s="19"/>
      <c r="H33" s="20"/>
      <c r="I33" s="20"/>
      <c r="J33" s="23"/>
      <c r="K33" s="24"/>
      <c r="L33" s="30"/>
      <c r="M33" s="30"/>
      <c r="O33" s="30"/>
    </row>
    <row r="34" spans="4:15" x14ac:dyDescent="0.25">
      <c r="D34" s="18"/>
      <c r="E34" s="19"/>
      <c r="G34" s="19"/>
      <c r="H34" s="20"/>
      <c r="I34" s="20"/>
      <c r="J34" s="23"/>
      <c r="K34" s="24"/>
      <c r="L34" s="30"/>
      <c r="M34" s="30"/>
      <c r="O34" s="30"/>
    </row>
    <row r="35" spans="4:15" x14ac:dyDescent="0.25">
      <c r="D35" s="18"/>
      <c r="E35" s="19"/>
      <c r="G35" s="19"/>
      <c r="H35" s="20"/>
      <c r="I35" s="20"/>
      <c r="J35" s="23"/>
      <c r="K35" s="24"/>
      <c r="L35" s="30"/>
      <c r="M35" s="30"/>
      <c r="O35" s="30"/>
    </row>
    <row r="36" spans="4:15" x14ac:dyDescent="0.25">
      <c r="D36" s="18"/>
      <c r="E36" s="19"/>
      <c r="G36" s="19"/>
      <c r="H36" s="20"/>
      <c r="I36" s="20"/>
      <c r="J36" s="23"/>
      <c r="K36" s="24"/>
      <c r="L36" s="30"/>
      <c r="M36" s="30"/>
      <c r="O36" s="30"/>
    </row>
    <row r="37" spans="4:15" x14ac:dyDescent="0.25">
      <c r="D37" s="18"/>
      <c r="G37" s="19"/>
      <c r="H37" s="20"/>
      <c r="I37" s="20"/>
      <c r="J37" s="23"/>
      <c r="K37" s="24"/>
      <c r="L37" s="30"/>
      <c r="M37" s="30"/>
      <c r="O37" s="30"/>
    </row>
    <row r="38" spans="4:15" x14ac:dyDescent="0.25">
      <c r="D38" s="18"/>
      <c r="G38" s="19"/>
      <c r="H38" s="20"/>
      <c r="I38" s="20"/>
      <c r="J38" s="23"/>
      <c r="K38" s="24"/>
      <c r="L38" s="30"/>
      <c r="M38" s="30"/>
      <c r="O38" s="30"/>
    </row>
    <row r="39" spans="4:15" x14ac:dyDescent="0.25">
      <c r="D39" s="18"/>
      <c r="H39" s="20"/>
      <c r="I39" s="20"/>
      <c r="J39" s="23"/>
      <c r="K39" s="24"/>
      <c r="L39" s="30"/>
      <c r="M39" s="30"/>
      <c r="O39" s="30"/>
    </row>
    <row r="40" spans="4:15" x14ac:dyDescent="0.25">
      <c r="D40" s="18"/>
      <c r="H40" s="20"/>
      <c r="I40" s="20"/>
      <c r="J40" s="23"/>
      <c r="K40" s="24"/>
      <c r="L40" s="30"/>
      <c r="M40" s="30"/>
      <c r="O40" s="30"/>
    </row>
    <row r="41" spans="4:15" x14ac:dyDescent="0.25">
      <c r="D41" s="18"/>
      <c r="H41" s="20"/>
      <c r="I41" s="20"/>
      <c r="J41" s="23"/>
      <c r="K41" s="24"/>
      <c r="L41" s="30"/>
      <c r="M41" s="30"/>
      <c r="O41" s="30"/>
    </row>
    <row r="42" spans="4:15" x14ac:dyDescent="0.25">
      <c r="D42" s="18"/>
      <c r="H42" s="20"/>
      <c r="I42" s="20"/>
      <c r="J42" s="23"/>
      <c r="K42" s="24"/>
      <c r="L42" s="30"/>
      <c r="M42" s="30"/>
      <c r="O42" s="30"/>
    </row>
    <row r="43" spans="4:15" x14ac:dyDescent="0.25">
      <c r="D43" s="18"/>
      <c r="H43" s="20"/>
      <c r="I43" s="20"/>
      <c r="J43" s="23"/>
      <c r="K43" s="24"/>
      <c r="L43" s="30"/>
      <c r="M43" s="30"/>
      <c r="O43" s="30"/>
    </row>
    <row r="44" spans="4:15" x14ac:dyDescent="0.25">
      <c r="D44" s="18"/>
      <c r="H44" s="20"/>
      <c r="I44" s="20"/>
      <c r="J44" s="23"/>
      <c r="K44" s="24"/>
      <c r="L44" s="30"/>
      <c r="M44" s="30"/>
      <c r="O44" s="30"/>
    </row>
    <row r="45" spans="4:15" x14ac:dyDescent="0.25">
      <c r="D45" s="18"/>
      <c r="H45" s="20"/>
      <c r="I45" s="20"/>
      <c r="J45" s="23"/>
      <c r="K45" s="24"/>
      <c r="L45" s="30"/>
      <c r="M45" s="30"/>
      <c r="O45" s="30"/>
    </row>
    <row r="46" spans="4:15" x14ac:dyDescent="0.25">
      <c r="D46" s="18"/>
      <c r="H46" s="20"/>
      <c r="I46" s="20"/>
      <c r="J46" s="23"/>
      <c r="K46" s="24"/>
      <c r="L46" s="30"/>
      <c r="M46" s="30"/>
      <c r="O46" s="30"/>
    </row>
    <row r="47" spans="4:15" x14ac:dyDescent="0.25">
      <c r="D47" s="18"/>
      <c r="H47" s="20"/>
      <c r="I47" s="20"/>
      <c r="J47" s="23"/>
      <c r="K47" s="24"/>
      <c r="L47" s="30"/>
      <c r="M47" s="30"/>
      <c r="O47" s="30"/>
    </row>
    <row r="48" spans="4:15" x14ac:dyDescent="0.25">
      <c r="D48" s="18"/>
      <c r="H48" s="20"/>
      <c r="I48" s="20"/>
      <c r="J48" s="23"/>
      <c r="K48" s="24"/>
      <c r="L48" s="30"/>
      <c r="M48" s="30"/>
      <c r="O48" s="30"/>
    </row>
    <row r="49" spans="4:15" x14ac:dyDescent="0.25">
      <c r="D49" s="18"/>
      <c r="H49" s="20"/>
      <c r="I49" s="20"/>
      <c r="J49" s="23"/>
      <c r="K49" s="24"/>
      <c r="L49" s="30"/>
      <c r="M49" s="30"/>
      <c r="O49" s="30"/>
    </row>
    <row r="50" spans="4:15" x14ac:dyDescent="0.25">
      <c r="D50" s="18"/>
      <c r="H50" s="20"/>
      <c r="I50" s="20"/>
      <c r="J50" s="23"/>
      <c r="K50" s="24"/>
      <c r="L50" s="30"/>
      <c r="M50" s="30"/>
      <c r="O50" s="30"/>
    </row>
    <row r="51" spans="4:15" x14ac:dyDescent="0.25">
      <c r="D51" s="18"/>
      <c r="H51" s="20"/>
      <c r="I51" s="20"/>
      <c r="J51" s="23"/>
      <c r="K51" s="24"/>
      <c r="L51" s="30"/>
      <c r="M51" s="30"/>
      <c r="O51" s="30"/>
    </row>
    <row r="52" spans="4:15" x14ac:dyDescent="0.25">
      <c r="D52" s="18"/>
      <c r="H52" s="20"/>
      <c r="I52" s="20"/>
      <c r="J52" s="23"/>
      <c r="K52" s="24"/>
      <c r="L52" s="30"/>
      <c r="M52" s="30"/>
      <c r="O52" s="30"/>
    </row>
    <row r="53" spans="4:15" x14ac:dyDescent="0.25">
      <c r="D53" s="18"/>
      <c r="H53" s="20"/>
      <c r="I53" s="20"/>
      <c r="J53" s="23"/>
      <c r="K53" s="24"/>
      <c r="L53" s="30"/>
      <c r="M53" s="30"/>
      <c r="O53" s="30"/>
    </row>
    <row r="54" spans="4:15" x14ac:dyDescent="0.25">
      <c r="D54" s="18"/>
      <c r="H54" s="20"/>
      <c r="I54" s="20"/>
      <c r="J54" s="23"/>
      <c r="K54" s="24"/>
      <c r="L54" s="30"/>
      <c r="M54" s="30"/>
      <c r="O54" s="30"/>
    </row>
    <row r="55" spans="4:15" x14ac:dyDescent="0.25">
      <c r="D55" s="18"/>
      <c r="H55" s="20"/>
      <c r="I55" s="20"/>
      <c r="J55" s="23"/>
      <c r="K55" s="24"/>
      <c r="L55" s="30"/>
      <c r="M55" s="30"/>
      <c r="O55" s="30"/>
    </row>
    <row r="56" spans="4:15" x14ac:dyDescent="0.25">
      <c r="D56" s="18"/>
      <c r="H56" s="20"/>
      <c r="I56" s="20"/>
      <c r="J56" s="23"/>
      <c r="K56" s="24"/>
      <c r="L56" s="30"/>
      <c r="M56" s="30"/>
      <c r="O56" s="30"/>
    </row>
    <row r="57" spans="4:15" x14ac:dyDescent="0.25">
      <c r="D57" s="18"/>
      <c r="H57" s="20"/>
      <c r="I57" s="20"/>
      <c r="J57" s="23"/>
      <c r="K57" s="24"/>
      <c r="L57" s="30"/>
      <c r="M57" s="30"/>
      <c r="O57" s="30"/>
    </row>
    <row r="58" spans="4:15" x14ac:dyDescent="0.25">
      <c r="D58" s="18"/>
      <c r="H58" s="20"/>
      <c r="I58" s="20"/>
      <c r="J58" s="23"/>
      <c r="K58" s="24"/>
      <c r="L58" s="30"/>
      <c r="M58" s="30"/>
      <c r="O58" s="30"/>
    </row>
    <row r="59" spans="4:15" x14ac:dyDescent="0.25">
      <c r="D59" s="18"/>
      <c r="H59" s="20"/>
      <c r="I59" s="20"/>
      <c r="J59" s="23"/>
      <c r="K59" s="24"/>
      <c r="L59" s="30"/>
      <c r="M59" s="30"/>
      <c r="O59" s="30"/>
    </row>
    <row r="60" spans="4:15" x14ac:dyDescent="0.25">
      <c r="D60" s="18"/>
      <c r="H60" s="20"/>
      <c r="I60" s="20"/>
      <c r="J60" s="23"/>
      <c r="K60" s="24"/>
      <c r="L60" s="30"/>
      <c r="M60" s="30"/>
      <c r="O60" s="30"/>
    </row>
    <row r="61" spans="4:15" x14ac:dyDescent="0.25">
      <c r="D61" s="18"/>
      <c r="H61" s="20"/>
      <c r="I61" s="20"/>
      <c r="J61" s="23"/>
      <c r="K61" s="24"/>
      <c r="L61" s="30"/>
      <c r="M61" s="30"/>
      <c r="O61" s="30"/>
    </row>
    <row r="62" spans="4:15" x14ac:dyDescent="0.25">
      <c r="D62" s="18"/>
      <c r="H62" s="20"/>
      <c r="I62" s="20"/>
      <c r="J62" s="23"/>
      <c r="K62" s="24"/>
      <c r="L62" s="30"/>
      <c r="M62" s="30"/>
      <c r="O62" s="30"/>
    </row>
    <row r="63" spans="4:15" x14ac:dyDescent="0.25">
      <c r="D63" s="18"/>
      <c r="J63" s="23"/>
      <c r="K63" s="24"/>
      <c r="L63" s="30"/>
      <c r="M63" s="30"/>
      <c r="O63" s="30"/>
    </row>
    <row r="64" spans="4:15" x14ac:dyDescent="0.25">
      <c r="D64" s="18"/>
      <c r="J64" s="23"/>
      <c r="K64" s="24"/>
      <c r="L64" s="30"/>
      <c r="M64" s="30"/>
      <c r="O64" s="30"/>
    </row>
    <row r="65" spans="4:15" x14ac:dyDescent="0.25">
      <c r="D65" s="18"/>
      <c r="J65" s="23"/>
      <c r="K65" s="24"/>
      <c r="L65" s="30"/>
      <c r="M65" s="30"/>
      <c r="O65" s="30"/>
    </row>
    <row r="66" spans="4:15" x14ac:dyDescent="0.25">
      <c r="D66" s="18"/>
      <c r="J66" s="23"/>
      <c r="K66" s="24"/>
      <c r="L66" s="30"/>
      <c r="M66" s="30"/>
      <c r="O66" s="30"/>
    </row>
    <row r="67" spans="4:15" x14ac:dyDescent="0.25">
      <c r="D67" s="18"/>
      <c r="J67" s="23"/>
      <c r="K67" s="24"/>
      <c r="L67" s="30"/>
      <c r="M67" s="30"/>
      <c r="O67" s="30"/>
    </row>
    <row r="68" spans="4:15" x14ac:dyDescent="0.25">
      <c r="D68" s="18"/>
      <c r="J68" s="23"/>
      <c r="K68" s="24"/>
      <c r="L68" s="30"/>
      <c r="M68" s="30"/>
      <c r="O68" s="30"/>
    </row>
    <row r="69" spans="4:15" x14ac:dyDescent="0.25">
      <c r="D69" s="18"/>
      <c r="J69" s="23"/>
      <c r="K69" s="24"/>
      <c r="L69" s="30"/>
      <c r="M69" s="30"/>
      <c r="O69" s="30"/>
    </row>
    <row r="70" spans="4:15" x14ac:dyDescent="0.25">
      <c r="D70" s="18"/>
      <c r="J70" s="23"/>
      <c r="K70" s="24"/>
      <c r="L70" s="30"/>
      <c r="M70" s="30"/>
      <c r="O70" s="30"/>
    </row>
    <row r="71" spans="4:15" x14ac:dyDescent="0.25">
      <c r="D71" s="18"/>
      <c r="J71" s="23"/>
      <c r="K71" s="24"/>
      <c r="L71" s="30"/>
      <c r="M71" s="30"/>
      <c r="O71" s="30"/>
    </row>
    <row r="72" spans="4:15" x14ac:dyDescent="0.25">
      <c r="D72" s="18"/>
      <c r="J72" s="23"/>
      <c r="K72" s="24"/>
      <c r="L72" s="30"/>
      <c r="M72" s="30"/>
      <c r="O72" s="30"/>
    </row>
    <row r="73" spans="4:15" x14ac:dyDescent="0.25">
      <c r="D73" s="18"/>
      <c r="J73" s="23"/>
      <c r="K73" s="24"/>
      <c r="L73" s="30"/>
      <c r="M73" s="30"/>
      <c r="O73" s="30"/>
    </row>
    <row r="74" spans="4:15" x14ac:dyDescent="0.25">
      <c r="D74" s="18"/>
      <c r="J74" s="23"/>
      <c r="K74" s="24"/>
      <c r="L74" s="30"/>
      <c r="M74" s="30"/>
      <c r="O74" s="30"/>
    </row>
    <row r="75" spans="4:15" x14ac:dyDescent="0.25">
      <c r="J75" s="23"/>
      <c r="K75" s="24"/>
      <c r="L75" s="30"/>
      <c r="M75" s="30"/>
      <c r="O75" s="30"/>
    </row>
    <row r="76" spans="4:15" x14ac:dyDescent="0.25">
      <c r="J76" s="23"/>
      <c r="K76" s="24"/>
      <c r="L76" s="30"/>
      <c r="M76" s="30"/>
      <c r="O76" s="30"/>
    </row>
    <row r="77" spans="4:15" x14ac:dyDescent="0.25">
      <c r="J77" s="23"/>
      <c r="K77" s="24"/>
      <c r="L77" s="30"/>
      <c r="M77" s="30"/>
      <c r="O77" s="30"/>
    </row>
    <row r="78" spans="4:15" x14ac:dyDescent="0.25">
      <c r="J78" s="23"/>
      <c r="K78" s="24"/>
      <c r="L78" s="30"/>
      <c r="M78" s="30"/>
      <c r="O78" s="30"/>
    </row>
    <row r="79" spans="4:15" x14ac:dyDescent="0.25">
      <c r="J79" s="23"/>
      <c r="K79" s="24"/>
      <c r="L79" s="30"/>
      <c r="M79" s="30"/>
      <c r="O79" s="30"/>
    </row>
    <row r="80" spans="4:15" x14ac:dyDescent="0.25">
      <c r="J80" s="23"/>
      <c r="K80" s="24"/>
      <c r="L80" s="30"/>
      <c r="M80" s="30"/>
      <c r="O80" s="30"/>
    </row>
    <row r="81" spans="10:15" x14ac:dyDescent="0.25">
      <c r="J81" s="23"/>
      <c r="K81" s="24"/>
      <c r="L81" s="30"/>
      <c r="M81" s="30"/>
      <c r="O81" s="30"/>
    </row>
    <row r="82" spans="10:15" x14ac:dyDescent="0.25">
      <c r="J82" s="23"/>
      <c r="K82" s="24"/>
      <c r="L82" s="30"/>
      <c r="M82" s="30"/>
      <c r="O82" s="30"/>
    </row>
    <row r="83" spans="10:15" x14ac:dyDescent="0.25">
      <c r="J83" s="23"/>
      <c r="K83" s="24"/>
      <c r="L83" s="30"/>
      <c r="M83" s="30"/>
      <c r="O83" s="30"/>
    </row>
    <row r="84" spans="10:15" x14ac:dyDescent="0.25">
      <c r="J84" s="23"/>
      <c r="K84" s="24"/>
      <c r="L84" s="30"/>
      <c r="M84" s="30"/>
      <c r="O84" s="30"/>
    </row>
    <row r="85" spans="10:15" x14ac:dyDescent="0.25">
      <c r="J85" s="23"/>
      <c r="K85" s="24"/>
      <c r="L85" s="30"/>
      <c r="M85" s="30"/>
      <c r="O85" s="30"/>
    </row>
    <row r="86" spans="10:15" x14ac:dyDescent="0.25">
      <c r="J86" s="23"/>
      <c r="K86" s="24"/>
      <c r="L86" s="30"/>
      <c r="M86" s="30"/>
      <c r="O86" s="30"/>
    </row>
    <row r="87" spans="10:15" x14ac:dyDescent="0.25">
      <c r="J87" s="23"/>
      <c r="K87" s="24"/>
      <c r="L87" s="30"/>
      <c r="M87" s="30"/>
      <c r="O87" s="30"/>
    </row>
    <row r="88" spans="10:15" x14ac:dyDescent="0.25">
      <c r="J88" s="23"/>
      <c r="K88" s="24"/>
      <c r="L88" s="30"/>
      <c r="M88" s="30"/>
      <c r="O88" s="30"/>
    </row>
    <row r="89" spans="10:15" x14ac:dyDescent="0.25">
      <c r="J89" s="23"/>
      <c r="K89" s="24"/>
      <c r="L89" s="30"/>
      <c r="M89" s="30"/>
      <c r="O89" s="30"/>
    </row>
    <row r="90" spans="10:15" x14ac:dyDescent="0.25">
      <c r="J90" s="23"/>
      <c r="K90" s="24"/>
      <c r="L90" s="30"/>
      <c r="M90" s="30"/>
      <c r="O90" s="30"/>
    </row>
    <row r="91" spans="10:15" x14ac:dyDescent="0.25">
      <c r="J91" s="23"/>
      <c r="K91" s="24"/>
      <c r="L91" s="30"/>
      <c r="M91" s="30"/>
      <c r="O91" s="30"/>
    </row>
    <row r="92" spans="10:15" x14ac:dyDescent="0.25">
      <c r="J92" s="23"/>
      <c r="K92" s="24"/>
      <c r="L92" s="30"/>
      <c r="M92" s="30"/>
      <c r="O92" s="30"/>
    </row>
    <row r="93" spans="10:15" x14ac:dyDescent="0.25">
      <c r="J93" s="23"/>
      <c r="K93" s="24"/>
      <c r="L93" s="30"/>
      <c r="M93" s="30"/>
      <c r="O93" s="30"/>
    </row>
    <row r="94" spans="10:15" x14ac:dyDescent="0.25">
      <c r="J94" s="23"/>
      <c r="K94" s="24"/>
      <c r="L94" s="30"/>
      <c r="M94" s="30"/>
      <c r="O94" s="30"/>
    </row>
    <row r="95" spans="10:15" x14ac:dyDescent="0.25">
      <c r="J95" s="23"/>
      <c r="K95" s="24"/>
      <c r="L95" s="30"/>
      <c r="M95" s="30"/>
      <c r="O95" s="30"/>
    </row>
    <row r="96" spans="10:15" x14ac:dyDescent="0.25">
      <c r="J96" s="23"/>
      <c r="K96" s="24"/>
      <c r="L96" s="30"/>
      <c r="M96" s="30"/>
      <c r="O96" s="30"/>
    </row>
    <row r="97" spans="10:15" x14ac:dyDescent="0.25">
      <c r="J97" s="23"/>
      <c r="K97" s="24"/>
      <c r="L97" s="30"/>
      <c r="M97" s="30"/>
      <c r="O97" s="30"/>
    </row>
    <row r="98" spans="10:15" x14ac:dyDescent="0.25">
      <c r="J98" s="23"/>
      <c r="K98" s="24"/>
      <c r="L98" s="30"/>
      <c r="M98" s="30"/>
      <c r="O98" s="30"/>
    </row>
    <row r="99" spans="10:15" x14ac:dyDescent="0.25">
      <c r="J99" s="23"/>
      <c r="K99" s="24"/>
      <c r="L99" s="30"/>
      <c r="M99" s="30"/>
      <c r="O99" s="30"/>
    </row>
    <row r="100" spans="10:15" x14ac:dyDescent="0.25">
      <c r="J100" s="23"/>
      <c r="K100" s="24"/>
      <c r="L100" s="30"/>
      <c r="M100" s="30"/>
      <c r="O100" s="30"/>
    </row>
    <row r="101" spans="10:15" x14ac:dyDescent="0.25">
      <c r="J101" s="23"/>
      <c r="K101" s="24"/>
      <c r="L101" s="30"/>
      <c r="M101" s="30"/>
      <c r="O101" s="30"/>
    </row>
    <row r="102" spans="10:15" x14ac:dyDescent="0.25">
      <c r="J102" s="23"/>
      <c r="K102" s="24"/>
      <c r="L102" s="30"/>
      <c r="M102" s="30"/>
      <c r="O102" s="30"/>
    </row>
    <row r="103" spans="10:15" x14ac:dyDescent="0.25">
      <c r="J103" s="23"/>
      <c r="K103" s="24"/>
      <c r="L103" s="30"/>
      <c r="M103" s="30"/>
      <c r="O103" s="30"/>
    </row>
    <row r="104" spans="10:15" x14ac:dyDescent="0.25">
      <c r="J104" s="23"/>
      <c r="K104" s="24"/>
      <c r="L104" s="30"/>
      <c r="M104" s="30"/>
      <c r="O104" s="30"/>
    </row>
    <row r="105" spans="10:15" x14ac:dyDescent="0.25">
      <c r="J105" s="23"/>
      <c r="K105" s="24"/>
      <c r="L105" s="30"/>
      <c r="M105" s="30"/>
      <c r="O105" s="30"/>
    </row>
    <row r="106" spans="10:15" x14ac:dyDescent="0.25">
      <c r="J106" s="23"/>
      <c r="K106" s="24"/>
      <c r="L106" s="30"/>
      <c r="M106" s="30"/>
      <c r="O106" s="30"/>
    </row>
    <row r="107" spans="10:15" x14ac:dyDescent="0.25">
      <c r="J107" s="23"/>
      <c r="K107" s="24"/>
      <c r="L107" s="30"/>
      <c r="M107" s="30"/>
      <c r="O107" s="30"/>
    </row>
    <row r="108" spans="10:15" x14ac:dyDescent="0.25">
      <c r="J108" s="23"/>
      <c r="K108" s="24"/>
      <c r="L108" s="30"/>
      <c r="M108" s="30"/>
      <c r="O108" s="30"/>
    </row>
    <row r="109" spans="10:15" x14ac:dyDescent="0.25">
      <c r="J109" s="23"/>
      <c r="K109" s="24"/>
      <c r="L109" s="30"/>
      <c r="M109" s="30"/>
      <c r="O109" s="30"/>
    </row>
    <row r="110" spans="10:15" x14ac:dyDescent="0.25">
      <c r="J110" s="23"/>
      <c r="K110" s="24"/>
      <c r="L110" s="30"/>
      <c r="M110" s="30"/>
      <c r="O110" s="30"/>
    </row>
    <row r="111" spans="10:15" x14ac:dyDescent="0.25">
      <c r="J111" s="23"/>
      <c r="K111" s="24"/>
      <c r="L111" s="30"/>
      <c r="M111" s="30"/>
      <c r="O111" s="30"/>
    </row>
    <row r="112" spans="10:15" x14ac:dyDescent="0.25">
      <c r="J112" s="23"/>
      <c r="K112" s="24"/>
      <c r="L112" s="30"/>
      <c r="M112" s="30"/>
      <c r="O112" s="30"/>
    </row>
    <row r="113" spans="10:15" x14ac:dyDescent="0.25">
      <c r="J113" s="23"/>
      <c r="K113" s="24"/>
      <c r="L113" s="30"/>
      <c r="M113" s="30"/>
      <c r="O113" s="30"/>
    </row>
    <row r="114" spans="10:15" x14ac:dyDescent="0.25">
      <c r="J114" s="23"/>
      <c r="K114" s="24"/>
      <c r="L114" s="30"/>
      <c r="M114" s="30"/>
      <c r="O114" s="30"/>
    </row>
    <row r="115" spans="10:15" x14ac:dyDescent="0.25">
      <c r="J115" s="23"/>
      <c r="K115" s="24"/>
      <c r="L115" s="30"/>
      <c r="M115" s="30"/>
      <c r="O115" s="30"/>
    </row>
    <row r="116" spans="10:15" x14ac:dyDescent="0.25">
      <c r="J116" s="23"/>
      <c r="K116" s="24"/>
      <c r="L116" s="30"/>
      <c r="M116" s="30"/>
      <c r="O116" s="30"/>
    </row>
    <row r="117" spans="10:15" x14ac:dyDescent="0.25">
      <c r="J117" s="23"/>
      <c r="K117" s="24"/>
      <c r="L117" s="30"/>
      <c r="M117" s="30"/>
      <c r="O117" s="30"/>
    </row>
    <row r="118" spans="10:15" x14ac:dyDescent="0.25">
      <c r="J118" s="23"/>
      <c r="K118" s="24"/>
      <c r="L118" s="30"/>
      <c r="M118" s="30"/>
      <c r="O118" s="30"/>
    </row>
    <row r="119" spans="10:15" x14ac:dyDescent="0.25">
      <c r="J119" s="23"/>
      <c r="K119" s="24"/>
      <c r="L119" s="30"/>
      <c r="M119" s="30"/>
      <c r="O119" s="30"/>
    </row>
    <row r="120" spans="10:15" x14ac:dyDescent="0.25">
      <c r="J120" s="23"/>
      <c r="K120" s="24"/>
      <c r="L120" s="30"/>
      <c r="M120" s="30"/>
      <c r="O120" s="30"/>
    </row>
    <row r="121" spans="10:15" x14ac:dyDescent="0.25">
      <c r="J121" s="23"/>
      <c r="K121" s="24"/>
      <c r="L121" s="30"/>
      <c r="M121" s="30"/>
      <c r="O121" s="30"/>
    </row>
    <row r="122" spans="10:15" x14ac:dyDescent="0.25">
      <c r="J122" s="23"/>
      <c r="K122" s="24"/>
      <c r="L122" s="30"/>
      <c r="M122" s="30"/>
      <c r="O122" s="30"/>
    </row>
    <row r="123" spans="10:15" x14ac:dyDescent="0.25">
      <c r="J123" s="23"/>
      <c r="K123" s="24"/>
      <c r="L123" s="30"/>
      <c r="M123" s="30"/>
      <c r="O123" s="30"/>
    </row>
    <row r="124" spans="10:15" x14ac:dyDescent="0.25">
      <c r="J124" s="23"/>
      <c r="K124" s="24"/>
      <c r="L124" s="30"/>
      <c r="M124" s="30"/>
      <c r="O124" s="30"/>
    </row>
    <row r="125" spans="10:15" x14ac:dyDescent="0.25">
      <c r="J125" s="23"/>
      <c r="K125" s="24"/>
      <c r="L125" s="30"/>
      <c r="M125" s="30"/>
      <c r="O125" s="30"/>
    </row>
    <row r="126" spans="10:15" x14ac:dyDescent="0.25">
      <c r="J126" s="23"/>
      <c r="K126" s="24"/>
      <c r="L126" s="30"/>
      <c r="M126" s="30"/>
      <c r="O126" s="30"/>
    </row>
    <row r="127" spans="10:15" x14ac:dyDescent="0.25">
      <c r="J127" s="23"/>
      <c r="K127" s="24"/>
      <c r="L127" s="30"/>
      <c r="M127" s="30"/>
      <c r="O127" s="30"/>
    </row>
    <row r="128" spans="10:15" x14ac:dyDescent="0.25">
      <c r="J128" s="23"/>
      <c r="K128" s="24"/>
      <c r="L128" s="30"/>
      <c r="M128" s="30"/>
      <c r="O128" s="30"/>
    </row>
    <row r="129" spans="10:15" x14ac:dyDescent="0.25">
      <c r="J129" s="23"/>
      <c r="K129" s="24"/>
      <c r="L129" s="30"/>
      <c r="M129" s="30"/>
      <c r="O129" s="30"/>
    </row>
    <row r="130" spans="10:15" x14ac:dyDescent="0.25">
      <c r="J130" s="23"/>
      <c r="K130" s="24"/>
      <c r="L130" s="30"/>
      <c r="M130" s="30"/>
      <c r="O130" s="30"/>
    </row>
    <row r="131" spans="10:15" x14ac:dyDescent="0.25">
      <c r="J131" s="23"/>
      <c r="K131" s="24"/>
      <c r="L131" s="30"/>
      <c r="M131" s="30"/>
      <c r="O131" s="30"/>
    </row>
    <row r="132" spans="10:15" x14ac:dyDescent="0.25">
      <c r="J132" s="23"/>
      <c r="K132" s="24"/>
      <c r="L132" s="30"/>
      <c r="M132" s="30"/>
      <c r="O132" s="30"/>
    </row>
    <row r="133" spans="10:15" x14ac:dyDescent="0.25">
      <c r="J133" s="23"/>
      <c r="K133" s="24"/>
      <c r="L133" s="30"/>
      <c r="M133" s="30"/>
      <c r="O133" s="30"/>
    </row>
    <row r="134" spans="10:15" x14ac:dyDescent="0.25">
      <c r="J134" s="23"/>
      <c r="K134" s="24"/>
      <c r="L134" s="30"/>
      <c r="M134" s="30"/>
      <c r="O134" s="30"/>
    </row>
    <row r="135" spans="10:15" x14ac:dyDescent="0.25">
      <c r="J135" s="23"/>
      <c r="K135" s="24"/>
      <c r="L135" s="30"/>
      <c r="M135" s="30"/>
      <c r="O135" s="30"/>
    </row>
    <row r="136" spans="10:15" x14ac:dyDescent="0.25">
      <c r="J136" s="23"/>
      <c r="K136" s="24"/>
      <c r="L136" s="30"/>
      <c r="M136" s="30"/>
      <c r="O136" s="30"/>
    </row>
    <row r="137" spans="10:15" x14ac:dyDescent="0.25">
      <c r="J137" s="23"/>
      <c r="K137" s="24"/>
      <c r="L137" s="30"/>
      <c r="M137" s="30"/>
      <c r="O137" s="30"/>
    </row>
    <row r="138" spans="10:15" x14ac:dyDescent="0.25">
      <c r="J138" s="23"/>
      <c r="K138" s="24"/>
      <c r="L138" s="30"/>
      <c r="M138" s="30"/>
      <c r="O138" s="30"/>
    </row>
    <row r="139" spans="10:15" x14ac:dyDescent="0.25">
      <c r="J139" s="23"/>
      <c r="K139" s="24"/>
      <c r="L139" s="30"/>
      <c r="M139" s="30"/>
      <c r="O139" s="30"/>
    </row>
    <row r="140" spans="10:15" x14ac:dyDescent="0.25">
      <c r="J140" s="23"/>
      <c r="K140" s="24"/>
      <c r="L140" s="30"/>
      <c r="M140" s="30"/>
      <c r="O140" s="30"/>
    </row>
    <row r="141" spans="10:15" x14ac:dyDescent="0.25">
      <c r="J141" s="23"/>
      <c r="K141" s="24"/>
      <c r="L141" s="30"/>
      <c r="M141" s="30"/>
      <c r="O141" s="30"/>
    </row>
    <row r="142" spans="10:15" x14ac:dyDescent="0.25">
      <c r="J142" s="23"/>
      <c r="K142" s="24"/>
      <c r="L142" s="30"/>
      <c r="M142" s="30"/>
      <c r="O142" s="30"/>
    </row>
    <row r="143" spans="10:15" x14ac:dyDescent="0.25">
      <c r="J143" s="23"/>
      <c r="K143" s="24"/>
      <c r="L143" s="30"/>
      <c r="M143" s="30"/>
      <c r="O143" s="30"/>
    </row>
    <row r="144" spans="10:15" x14ac:dyDescent="0.25">
      <c r="J144" s="23"/>
      <c r="K144" s="24"/>
      <c r="L144" s="30"/>
      <c r="M144" s="30"/>
      <c r="O144" s="30"/>
    </row>
    <row r="145" spans="10:15" x14ac:dyDescent="0.25">
      <c r="J145" s="23"/>
      <c r="K145" s="24"/>
      <c r="L145" s="30"/>
      <c r="M145" s="30"/>
      <c r="O145" s="30"/>
    </row>
    <row r="146" spans="10:15" x14ac:dyDescent="0.25">
      <c r="J146" s="23"/>
      <c r="K146" s="24"/>
      <c r="L146" s="30"/>
      <c r="M146" s="30"/>
      <c r="O146" s="30"/>
    </row>
    <row r="147" spans="10:15" x14ac:dyDescent="0.25">
      <c r="J147" s="23"/>
      <c r="K147" s="24"/>
      <c r="L147" s="30"/>
      <c r="M147" s="30"/>
      <c r="O147" s="30"/>
    </row>
    <row r="148" spans="10:15" x14ac:dyDescent="0.25">
      <c r="J148" s="23"/>
      <c r="K148" s="24"/>
      <c r="L148" s="30"/>
      <c r="M148" s="30"/>
      <c r="O148" s="30"/>
    </row>
    <row r="149" spans="10:15" x14ac:dyDescent="0.25">
      <c r="J149" s="23"/>
      <c r="K149" s="24"/>
      <c r="L149" s="30"/>
      <c r="M149" s="30"/>
      <c r="O149" s="30"/>
    </row>
    <row r="150" spans="10:15" x14ac:dyDescent="0.25">
      <c r="J150" s="23"/>
      <c r="K150" s="24"/>
      <c r="L150" s="30"/>
      <c r="M150" s="30"/>
      <c r="O150" s="30"/>
    </row>
    <row r="151" spans="10:15" x14ac:dyDescent="0.25">
      <c r="J151" s="23"/>
      <c r="K151" s="24"/>
      <c r="L151" s="30"/>
      <c r="M151" s="30"/>
      <c r="O151" s="30"/>
    </row>
    <row r="152" spans="10:15" x14ac:dyDescent="0.25">
      <c r="J152" s="23"/>
      <c r="K152" s="24"/>
      <c r="L152" s="30"/>
      <c r="M152" s="30"/>
      <c r="O152" s="30"/>
    </row>
    <row r="153" spans="10:15" x14ac:dyDescent="0.25">
      <c r="J153" s="23"/>
      <c r="K153" s="24"/>
      <c r="L153" s="30"/>
      <c r="M153" s="30"/>
      <c r="O153" s="30"/>
    </row>
    <row r="154" spans="10:15" x14ac:dyDescent="0.25">
      <c r="J154" s="23"/>
      <c r="K154" s="24"/>
      <c r="L154" s="30"/>
      <c r="M154" s="30"/>
      <c r="O154" s="30"/>
    </row>
    <row r="155" spans="10:15" x14ac:dyDescent="0.25">
      <c r="J155" s="23"/>
      <c r="K155" s="24"/>
      <c r="L155" s="30"/>
      <c r="M155" s="30"/>
      <c r="O155" s="30"/>
    </row>
    <row r="156" spans="10:15" x14ac:dyDescent="0.25">
      <c r="J156" s="23"/>
      <c r="K156" s="24"/>
      <c r="L156" s="30"/>
      <c r="M156" s="30"/>
      <c r="O156" s="30"/>
    </row>
    <row r="157" spans="10:15" x14ac:dyDescent="0.25">
      <c r="J157" s="23"/>
      <c r="K157" s="24"/>
      <c r="L157" s="30"/>
      <c r="M157" s="30"/>
      <c r="O157" s="30"/>
    </row>
    <row r="158" spans="10:15" x14ac:dyDescent="0.25">
      <c r="J158" s="23"/>
      <c r="K158" s="24"/>
      <c r="L158" s="30"/>
      <c r="M158" s="30"/>
      <c r="O158" s="30"/>
    </row>
    <row r="159" spans="10:15" x14ac:dyDescent="0.25">
      <c r="J159" s="23"/>
      <c r="K159" s="24"/>
      <c r="L159" s="30"/>
      <c r="M159" s="30"/>
      <c r="O159" s="30"/>
    </row>
    <row r="160" spans="10:15" x14ac:dyDescent="0.25">
      <c r="J160" s="23"/>
      <c r="K160" s="24"/>
      <c r="L160" s="30"/>
      <c r="M160" s="30"/>
      <c r="O160" s="30"/>
    </row>
    <row r="161" spans="10:15" x14ac:dyDescent="0.25">
      <c r="J161" s="23"/>
      <c r="K161" s="24"/>
      <c r="L161" s="30"/>
      <c r="M161" s="30"/>
      <c r="O161" s="30"/>
    </row>
    <row r="162" spans="10:15" x14ac:dyDescent="0.25">
      <c r="J162" s="23"/>
      <c r="K162" s="24"/>
      <c r="L162" s="30"/>
      <c r="M162" s="30"/>
      <c r="O162" s="30"/>
    </row>
    <row r="163" spans="10:15" x14ac:dyDescent="0.25">
      <c r="J163" s="23"/>
      <c r="K163" s="24"/>
      <c r="L163" s="30"/>
      <c r="M163" s="30"/>
      <c r="O163" s="30"/>
    </row>
    <row r="164" spans="10:15" x14ac:dyDescent="0.25">
      <c r="J164" s="23"/>
      <c r="K164" s="24"/>
      <c r="L164" s="30"/>
      <c r="M164" s="30"/>
      <c r="O164" s="30"/>
    </row>
    <row r="165" spans="10:15" x14ac:dyDescent="0.25">
      <c r="J165" s="23"/>
      <c r="K165" s="24"/>
      <c r="L165" s="30"/>
      <c r="M165" s="30"/>
      <c r="O165" s="30"/>
    </row>
    <row r="166" spans="10:15" x14ac:dyDescent="0.25">
      <c r="J166" s="23"/>
      <c r="K166" s="24"/>
      <c r="L166" s="30"/>
      <c r="M166" s="30"/>
      <c r="O166" s="30"/>
    </row>
    <row r="167" spans="10:15" x14ac:dyDescent="0.25">
      <c r="J167" s="23"/>
      <c r="K167" s="24"/>
      <c r="L167" s="30"/>
      <c r="M167" s="30"/>
      <c r="O167" s="30"/>
    </row>
    <row r="168" spans="10:15" x14ac:dyDescent="0.25">
      <c r="J168" s="23"/>
      <c r="K168" s="24"/>
      <c r="L168" s="30"/>
      <c r="M168" s="30"/>
      <c r="O168" s="30"/>
    </row>
    <row r="169" spans="10:15" x14ac:dyDescent="0.25">
      <c r="J169" s="23"/>
      <c r="K169" s="24"/>
      <c r="L169" s="30"/>
      <c r="M169" s="30"/>
      <c r="O169" s="30"/>
    </row>
    <row r="170" spans="10:15" x14ac:dyDescent="0.25">
      <c r="J170" s="23"/>
      <c r="K170" s="24"/>
      <c r="L170" s="30"/>
      <c r="M170" s="30"/>
      <c r="O170" s="30"/>
    </row>
    <row r="171" spans="10:15" x14ac:dyDescent="0.25">
      <c r="J171" s="23"/>
      <c r="K171" s="24"/>
      <c r="L171" s="30"/>
      <c r="M171" s="30"/>
      <c r="O171" s="30"/>
    </row>
    <row r="172" spans="10:15" x14ac:dyDescent="0.25">
      <c r="J172" s="23"/>
      <c r="K172" s="24"/>
      <c r="L172" s="30"/>
      <c r="M172" s="30"/>
      <c r="O172" s="30"/>
    </row>
    <row r="173" spans="10:15" x14ac:dyDescent="0.25">
      <c r="J173" s="23"/>
      <c r="K173" s="24"/>
      <c r="L173" s="30"/>
      <c r="M173" s="30"/>
      <c r="O173" s="30"/>
    </row>
    <row r="174" spans="10:15" x14ac:dyDescent="0.25">
      <c r="J174" s="23"/>
      <c r="K174" s="24"/>
      <c r="L174" s="30"/>
      <c r="M174" s="30"/>
      <c r="O174" s="30"/>
    </row>
    <row r="175" spans="10:15" x14ac:dyDescent="0.25">
      <c r="J175" s="23"/>
      <c r="K175" s="24"/>
      <c r="L175" s="30"/>
      <c r="M175" s="30"/>
      <c r="O175" s="30"/>
    </row>
    <row r="176" spans="10:15" x14ac:dyDescent="0.25">
      <c r="J176" s="23"/>
      <c r="K176" s="24"/>
      <c r="L176" s="30"/>
      <c r="M176" s="30"/>
      <c r="O176" s="30"/>
    </row>
    <row r="177" spans="10:15" x14ac:dyDescent="0.25">
      <c r="J177" s="23"/>
      <c r="K177" s="24"/>
      <c r="L177" s="30"/>
      <c r="M177" s="30"/>
      <c r="O177" s="30"/>
    </row>
    <row r="178" spans="10:15" x14ac:dyDescent="0.25">
      <c r="J178" s="23"/>
      <c r="K178" s="24"/>
      <c r="L178" s="30"/>
      <c r="M178" s="30"/>
      <c r="O178" s="30"/>
    </row>
    <row r="179" spans="10:15" x14ac:dyDescent="0.25">
      <c r="J179" s="23"/>
      <c r="K179" s="24"/>
      <c r="L179" s="30"/>
      <c r="M179" s="30"/>
      <c r="O179" s="30"/>
    </row>
    <row r="180" spans="10:15" x14ac:dyDescent="0.25">
      <c r="J180" s="23"/>
      <c r="K180" s="24"/>
      <c r="L180" s="30"/>
      <c r="M180" s="30"/>
      <c r="O180" s="30"/>
    </row>
    <row r="181" spans="10:15" x14ac:dyDescent="0.25">
      <c r="J181" s="23"/>
      <c r="K181" s="24"/>
      <c r="L181" s="30"/>
      <c r="M181" s="30"/>
      <c r="O181" s="30"/>
    </row>
    <row r="182" spans="10:15" x14ac:dyDescent="0.25">
      <c r="J182" s="23"/>
      <c r="K182" s="24"/>
      <c r="L182" s="30"/>
      <c r="M182" s="30"/>
      <c r="O182" s="30"/>
    </row>
    <row r="183" spans="10:15" x14ac:dyDescent="0.25">
      <c r="K183" s="24"/>
      <c r="L183" s="30"/>
      <c r="M183" s="30"/>
      <c r="O183" s="30"/>
    </row>
    <row r="184" spans="10:15" x14ac:dyDescent="0.25">
      <c r="K184" s="24"/>
      <c r="L184" s="30"/>
      <c r="M184" s="30"/>
      <c r="O184" s="30"/>
    </row>
    <row r="185" spans="10:15" x14ac:dyDescent="0.25">
      <c r="K185" s="24"/>
      <c r="L185" s="30"/>
      <c r="M185" s="30"/>
      <c r="O185" s="30"/>
    </row>
    <row r="186" spans="10:15" x14ac:dyDescent="0.25">
      <c r="K186" s="24"/>
      <c r="L186" s="30"/>
      <c r="M186" s="30"/>
      <c r="O186" s="30"/>
    </row>
    <row r="187" spans="10:15" x14ac:dyDescent="0.25">
      <c r="K187" s="24"/>
      <c r="L187" s="30"/>
      <c r="M187" s="30"/>
      <c r="O187" s="30"/>
    </row>
    <row r="188" spans="10:15" x14ac:dyDescent="0.25">
      <c r="K188" s="24"/>
      <c r="L188" s="30"/>
      <c r="M188" s="30"/>
      <c r="O188" s="30"/>
    </row>
    <row r="189" spans="10:15" x14ac:dyDescent="0.25">
      <c r="K189" s="24"/>
      <c r="L189" s="30"/>
      <c r="M189" s="30"/>
      <c r="O189" s="30"/>
    </row>
    <row r="190" spans="10:15" x14ac:dyDescent="0.25">
      <c r="K190" s="24"/>
      <c r="L190" s="30"/>
      <c r="M190" s="30"/>
      <c r="O190" s="30"/>
    </row>
    <row r="191" spans="10:15" x14ac:dyDescent="0.25">
      <c r="K191" s="24"/>
      <c r="L191" s="30"/>
      <c r="M191" s="30"/>
      <c r="O191" s="30"/>
    </row>
    <row r="192" spans="10:15" x14ac:dyDescent="0.25">
      <c r="K192" s="24"/>
      <c r="L192" s="30"/>
      <c r="M192" s="30"/>
      <c r="O192" s="30"/>
    </row>
    <row r="193" spans="11:15" x14ac:dyDescent="0.25">
      <c r="K193" s="24"/>
      <c r="L193" s="30"/>
      <c r="M193" s="30"/>
      <c r="O193" s="30"/>
    </row>
    <row r="194" spans="11:15" x14ac:dyDescent="0.25">
      <c r="K194" s="24"/>
      <c r="L194" s="30"/>
      <c r="M194" s="30"/>
      <c r="O194" s="30"/>
    </row>
    <row r="195" spans="11:15" x14ac:dyDescent="0.25">
      <c r="K195" s="24"/>
      <c r="L195" s="30"/>
      <c r="M195" s="30"/>
      <c r="O195" s="30"/>
    </row>
    <row r="196" spans="11:15" x14ac:dyDescent="0.25">
      <c r="K196" s="24"/>
      <c r="L196" s="30"/>
      <c r="M196" s="30"/>
      <c r="O196" s="30"/>
    </row>
    <row r="197" spans="11:15" x14ac:dyDescent="0.25">
      <c r="K197" s="24"/>
      <c r="L197" s="30"/>
      <c r="M197" s="30"/>
      <c r="O197" s="30"/>
    </row>
    <row r="198" spans="11:15" x14ac:dyDescent="0.25">
      <c r="K198" s="24"/>
      <c r="L198" s="30"/>
      <c r="M198" s="30"/>
      <c r="O198" s="30"/>
    </row>
    <row r="199" spans="11:15" x14ac:dyDescent="0.25">
      <c r="K199" s="24"/>
      <c r="L199" s="30"/>
      <c r="M199" s="30"/>
      <c r="O199" s="30"/>
    </row>
    <row r="200" spans="11:15" x14ac:dyDescent="0.25">
      <c r="K200" s="24"/>
      <c r="L200" s="30"/>
      <c r="M200" s="30"/>
      <c r="O200" s="30"/>
    </row>
    <row r="201" spans="11:15" x14ac:dyDescent="0.25">
      <c r="K201" s="24"/>
      <c r="L201" s="30"/>
      <c r="M201" s="30"/>
      <c r="O201" s="30"/>
    </row>
    <row r="202" spans="11:15" x14ac:dyDescent="0.25">
      <c r="K202" s="24"/>
      <c r="L202" s="30"/>
      <c r="M202" s="30"/>
      <c r="O202" s="30"/>
    </row>
    <row r="203" spans="11:15" x14ac:dyDescent="0.25">
      <c r="K203" s="24"/>
      <c r="L203" s="30"/>
      <c r="M203" s="30"/>
      <c r="O203" s="30"/>
    </row>
    <row r="204" spans="11:15" x14ac:dyDescent="0.25">
      <c r="K204" s="24"/>
      <c r="L204" s="30"/>
      <c r="M204" s="30"/>
      <c r="O204" s="30"/>
    </row>
    <row r="205" spans="11:15" x14ac:dyDescent="0.25">
      <c r="K205" s="24"/>
      <c r="L205" s="30"/>
      <c r="M205" s="30"/>
      <c r="O205" s="30"/>
    </row>
    <row r="206" spans="11:15" x14ac:dyDescent="0.25">
      <c r="K206" s="24"/>
      <c r="L206" s="30"/>
      <c r="M206" s="30"/>
      <c r="O206" s="30"/>
    </row>
    <row r="207" spans="11:15" x14ac:dyDescent="0.25">
      <c r="K207" s="24"/>
      <c r="L207" s="30"/>
      <c r="M207" s="30"/>
      <c r="O207" s="30"/>
    </row>
    <row r="208" spans="11:15" x14ac:dyDescent="0.25">
      <c r="K208" s="24"/>
      <c r="L208" s="30"/>
      <c r="M208" s="30"/>
      <c r="O208" s="30"/>
    </row>
    <row r="209" spans="11:15" x14ac:dyDescent="0.25">
      <c r="K209" s="24"/>
      <c r="L209" s="30"/>
      <c r="M209" s="30"/>
      <c r="O209" s="30"/>
    </row>
    <row r="210" spans="11:15" x14ac:dyDescent="0.25">
      <c r="K210" s="24"/>
      <c r="L210" s="30"/>
      <c r="M210" s="30"/>
      <c r="O210" s="30"/>
    </row>
    <row r="211" spans="11:15" x14ac:dyDescent="0.25">
      <c r="K211" s="24"/>
      <c r="L211" s="30"/>
      <c r="M211" s="30"/>
      <c r="O211" s="30"/>
    </row>
    <row r="212" spans="11:15" x14ac:dyDescent="0.25">
      <c r="K212" s="24"/>
      <c r="L212" s="30"/>
      <c r="M212" s="30"/>
      <c r="O212" s="30"/>
    </row>
    <row r="213" spans="11:15" x14ac:dyDescent="0.25">
      <c r="K213" s="24"/>
      <c r="L213" s="30"/>
      <c r="M213" s="30"/>
      <c r="O213" s="30"/>
    </row>
    <row r="214" spans="11:15" x14ac:dyDescent="0.25">
      <c r="K214" s="24"/>
      <c r="L214" s="30"/>
      <c r="M214" s="30"/>
      <c r="O214" s="30"/>
    </row>
    <row r="215" spans="11:15" x14ac:dyDescent="0.25">
      <c r="K215" s="24"/>
      <c r="L215" s="30"/>
      <c r="M215" s="30"/>
      <c r="O215" s="30"/>
    </row>
    <row r="216" spans="11:15" x14ac:dyDescent="0.25">
      <c r="K216" s="24"/>
      <c r="L216" s="30"/>
      <c r="M216" s="30"/>
      <c r="O216" s="30"/>
    </row>
    <row r="217" spans="11:15" x14ac:dyDescent="0.25">
      <c r="K217" s="24"/>
      <c r="L217" s="30"/>
      <c r="M217" s="30"/>
      <c r="O217" s="30"/>
    </row>
    <row r="218" spans="11:15" x14ac:dyDescent="0.25">
      <c r="K218" s="24"/>
      <c r="L218" s="30"/>
      <c r="M218" s="30"/>
      <c r="O218" s="30"/>
    </row>
    <row r="219" spans="11:15" x14ac:dyDescent="0.25">
      <c r="K219" s="24"/>
      <c r="L219" s="30"/>
      <c r="M219" s="30"/>
      <c r="O219" s="30"/>
    </row>
    <row r="220" spans="11:15" x14ac:dyDescent="0.25">
      <c r="K220" s="24"/>
      <c r="L220" s="30"/>
      <c r="M220" s="30"/>
      <c r="O220" s="30"/>
    </row>
    <row r="221" spans="11:15" x14ac:dyDescent="0.25">
      <c r="K221" s="24"/>
      <c r="L221" s="30"/>
      <c r="M221" s="30"/>
      <c r="O221" s="30"/>
    </row>
    <row r="222" spans="11:15" x14ac:dyDescent="0.25">
      <c r="K222" s="24"/>
      <c r="L222" s="30"/>
      <c r="M222" s="30"/>
      <c r="O222" s="30"/>
    </row>
    <row r="223" spans="11:15" x14ac:dyDescent="0.25">
      <c r="K223" s="24"/>
      <c r="L223" s="30"/>
      <c r="M223" s="30"/>
      <c r="O223" s="30"/>
    </row>
    <row r="224" spans="11:15" x14ac:dyDescent="0.25">
      <c r="K224" s="24"/>
      <c r="L224" s="30"/>
      <c r="M224" s="30"/>
      <c r="O224" s="30"/>
    </row>
    <row r="225" spans="11:15" x14ac:dyDescent="0.25">
      <c r="K225" s="24"/>
      <c r="L225" s="30"/>
      <c r="M225" s="30"/>
      <c r="O225" s="30"/>
    </row>
    <row r="226" spans="11:15" x14ac:dyDescent="0.25">
      <c r="K226" s="24"/>
      <c r="L226" s="30"/>
      <c r="M226" s="30"/>
      <c r="O226" s="30"/>
    </row>
    <row r="227" spans="11:15" x14ac:dyDescent="0.25">
      <c r="K227" s="24"/>
      <c r="L227" s="30"/>
      <c r="M227" s="30"/>
      <c r="O227" s="30"/>
    </row>
    <row r="228" spans="11:15" x14ac:dyDescent="0.25">
      <c r="K228" s="24"/>
      <c r="L228" s="30"/>
      <c r="M228" s="30"/>
      <c r="O228" s="30"/>
    </row>
    <row r="229" spans="11:15" x14ac:dyDescent="0.25">
      <c r="K229" s="24"/>
      <c r="L229" s="30"/>
      <c r="M229" s="30"/>
      <c r="O229" s="30"/>
    </row>
    <row r="230" spans="11:15" x14ac:dyDescent="0.25">
      <c r="K230" s="24"/>
      <c r="L230" s="30"/>
      <c r="M230" s="30"/>
      <c r="O230" s="30"/>
    </row>
    <row r="231" spans="11:15" x14ac:dyDescent="0.25">
      <c r="K231" s="24"/>
      <c r="L231" s="30"/>
      <c r="M231" s="30"/>
      <c r="O231" s="30"/>
    </row>
    <row r="232" spans="11:15" x14ac:dyDescent="0.25">
      <c r="K232" s="24"/>
      <c r="L232" s="30"/>
      <c r="M232" s="30"/>
      <c r="O232" s="30"/>
    </row>
    <row r="233" spans="11:15" x14ac:dyDescent="0.25">
      <c r="K233" s="24"/>
      <c r="L233" s="30"/>
      <c r="M233" s="30"/>
      <c r="O233" s="30"/>
    </row>
    <row r="234" spans="11:15" x14ac:dyDescent="0.25">
      <c r="K234" s="24"/>
      <c r="L234" s="30"/>
      <c r="M234" s="30"/>
      <c r="O234" s="30"/>
    </row>
    <row r="235" spans="11:15" x14ac:dyDescent="0.25">
      <c r="K235" s="24"/>
      <c r="L235" s="30"/>
      <c r="M235" s="30"/>
      <c r="O235" s="30"/>
    </row>
    <row r="236" spans="11:15" x14ac:dyDescent="0.25">
      <c r="K236" s="24"/>
      <c r="L236" s="30"/>
      <c r="M236" s="30"/>
      <c r="O236" s="30"/>
    </row>
    <row r="237" spans="11:15" x14ac:dyDescent="0.25">
      <c r="K237" s="24"/>
      <c r="L237" s="30"/>
      <c r="M237" s="30"/>
      <c r="O237" s="30"/>
    </row>
    <row r="238" spans="11:15" x14ac:dyDescent="0.25">
      <c r="K238" s="24"/>
      <c r="L238" s="30"/>
      <c r="M238" s="30"/>
      <c r="O238" s="30"/>
    </row>
    <row r="239" spans="11:15" x14ac:dyDescent="0.25">
      <c r="K239" s="24"/>
      <c r="L239" s="30"/>
      <c r="M239" s="30"/>
      <c r="O239" s="30"/>
    </row>
    <row r="240" spans="11:15" x14ac:dyDescent="0.25">
      <c r="K240" s="24"/>
      <c r="L240" s="30"/>
      <c r="M240" s="30"/>
      <c r="O240" s="30"/>
    </row>
    <row r="241" spans="11:15" x14ac:dyDescent="0.25">
      <c r="K241" s="24"/>
      <c r="L241" s="30"/>
      <c r="M241" s="30"/>
      <c r="O241" s="30"/>
    </row>
    <row r="242" spans="11:15" x14ac:dyDescent="0.25">
      <c r="K242" s="24"/>
      <c r="L242" s="30"/>
      <c r="M242" s="30"/>
      <c r="O242" s="30"/>
    </row>
    <row r="243" spans="11:15" x14ac:dyDescent="0.25">
      <c r="K243" s="24"/>
      <c r="L243" s="30"/>
      <c r="M243" s="30"/>
      <c r="O243" s="30"/>
    </row>
    <row r="244" spans="11:15" x14ac:dyDescent="0.25">
      <c r="K244" s="24"/>
      <c r="L244" s="30"/>
      <c r="M244" s="30"/>
      <c r="O244" s="30"/>
    </row>
    <row r="245" spans="11:15" x14ac:dyDescent="0.25">
      <c r="K245" s="24"/>
      <c r="L245" s="30"/>
      <c r="M245" s="30"/>
      <c r="O245" s="30"/>
    </row>
    <row r="246" spans="11:15" x14ac:dyDescent="0.25">
      <c r="K246" s="24"/>
      <c r="L246" s="30"/>
      <c r="M246" s="30"/>
      <c r="O246" s="30"/>
    </row>
    <row r="247" spans="11:15" x14ac:dyDescent="0.25">
      <c r="K247" s="24"/>
      <c r="L247" s="30"/>
      <c r="M247" s="30"/>
      <c r="O247" s="30"/>
    </row>
    <row r="248" spans="11:15" x14ac:dyDescent="0.25">
      <c r="K248" s="24"/>
      <c r="L248" s="30"/>
      <c r="M248" s="30"/>
      <c r="O248" s="30"/>
    </row>
    <row r="249" spans="11:15" x14ac:dyDescent="0.25">
      <c r="K249" s="24"/>
      <c r="L249" s="30"/>
      <c r="M249" s="30"/>
      <c r="O249" s="30"/>
    </row>
    <row r="250" spans="11:15" x14ac:dyDescent="0.25">
      <c r="K250" s="24"/>
      <c r="L250" s="30"/>
      <c r="M250" s="30"/>
      <c r="O250" s="30"/>
    </row>
    <row r="251" spans="11:15" x14ac:dyDescent="0.25">
      <c r="K251" s="24"/>
      <c r="L251" s="30"/>
      <c r="M251" s="30"/>
      <c r="O251" s="30"/>
    </row>
    <row r="252" spans="11:15" x14ac:dyDescent="0.25">
      <c r="K252" s="24"/>
      <c r="L252" s="30"/>
      <c r="M252" s="30"/>
      <c r="O252" s="30"/>
    </row>
    <row r="253" spans="11:15" x14ac:dyDescent="0.25">
      <c r="K253" s="24"/>
      <c r="L253" s="30"/>
      <c r="M253" s="30"/>
      <c r="O253" s="30"/>
    </row>
    <row r="254" spans="11:15" x14ac:dyDescent="0.25">
      <c r="K254" s="24"/>
      <c r="L254" s="30"/>
      <c r="M254" s="30"/>
      <c r="O254" s="30"/>
    </row>
    <row r="255" spans="11:15" x14ac:dyDescent="0.25">
      <c r="K255" s="24"/>
      <c r="L255" s="30"/>
      <c r="M255" s="30"/>
      <c r="O255" s="30"/>
    </row>
    <row r="256" spans="11:15" x14ac:dyDescent="0.25">
      <c r="K256" s="24"/>
      <c r="L256" s="30"/>
      <c r="M256" s="30"/>
      <c r="O256" s="30"/>
    </row>
    <row r="257" spans="11:15" x14ac:dyDescent="0.25">
      <c r="K257" s="24"/>
      <c r="L257" s="30"/>
      <c r="M257" s="30"/>
      <c r="O257" s="30"/>
    </row>
    <row r="258" spans="11:15" x14ac:dyDescent="0.25">
      <c r="K258" s="24"/>
      <c r="L258" s="30"/>
      <c r="M258" s="30"/>
      <c r="O258" s="30"/>
    </row>
    <row r="259" spans="11:15" x14ac:dyDescent="0.25">
      <c r="K259" s="24"/>
      <c r="L259" s="30"/>
      <c r="M259" s="30"/>
      <c r="O259" s="30"/>
    </row>
    <row r="260" spans="11:15" x14ac:dyDescent="0.25">
      <c r="K260" s="24"/>
      <c r="L260" s="30"/>
      <c r="M260" s="30"/>
      <c r="O260" s="30"/>
    </row>
    <row r="261" spans="11:15" x14ac:dyDescent="0.25">
      <c r="K261" s="24"/>
      <c r="L261" s="30"/>
      <c r="M261" s="30"/>
      <c r="O261" s="30"/>
    </row>
    <row r="262" spans="11:15" x14ac:dyDescent="0.25">
      <c r="K262" s="24"/>
      <c r="L262" s="30"/>
      <c r="M262" s="30"/>
      <c r="O262" s="30"/>
    </row>
    <row r="263" spans="11:15" x14ac:dyDescent="0.25">
      <c r="K263" s="24"/>
      <c r="L263" s="30"/>
      <c r="M263" s="30"/>
      <c r="O263" s="30"/>
    </row>
    <row r="264" spans="11:15" x14ac:dyDescent="0.25">
      <c r="K264" s="24"/>
      <c r="L264" s="30"/>
      <c r="M264" s="30"/>
      <c r="O264" s="30"/>
    </row>
    <row r="265" spans="11:15" x14ac:dyDescent="0.25">
      <c r="K265" s="24"/>
      <c r="L265" s="30"/>
      <c r="M265" s="30"/>
      <c r="O265" s="30"/>
    </row>
    <row r="266" spans="11:15" x14ac:dyDescent="0.25">
      <c r="K266" s="24"/>
      <c r="L266" s="30"/>
      <c r="M266" s="30"/>
      <c r="O266" s="30"/>
    </row>
    <row r="267" spans="11:15" x14ac:dyDescent="0.25">
      <c r="K267" s="24"/>
      <c r="L267" s="30"/>
      <c r="M267" s="30"/>
      <c r="O267" s="30"/>
    </row>
    <row r="268" spans="11:15" x14ac:dyDescent="0.25">
      <c r="K268" s="24"/>
      <c r="L268" s="30"/>
      <c r="M268" s="30"/>
      <c r="O268" s="30"/>
    </row>
    <row r="269" spans="11:15" x14ac:dyDescent="0.25">
      <c r="K269" s="24"/>
      <c r="L269" s="30"/>
      <c r="M269" s="30"/>
      <c r="O269" s="30"/>
    </row>
    <row r="270" spans="11:15" x14ac:dyDescent="0.25">
      <c r="K270" s="24"/>
      <c r="L270" s="30"/>
      <c r="M270" s="30"/>
      <c r="O270" s="30"/>
    </row>
    <row r="271" spans="11:15" x14ac:dyDescent="0.25">
      <c r="K271" s="24"/>
      <c r="L271" s="30"/>
      <c r="M271" s="30"/>
      <c r="O271" s="30"/>
    </row>
    <row r="272" spans="11:15" x14ac:dyDescent="0.25">
      <c r="K272" s="24"/>
      <c r="L272" s="30"/>
      <c r="M272" s="30"/>
      <c r="O272" s="30"/>
    </row>
    <row r="273" spans="11:15" x14ac:dyDescent="0.25">
      <c r="K273" s="24"/>
      <c r="L273" s="30"/>
      <c r="M273" s="30"/>
      <c r="O273" s="30"/>
    </row>
    <row r="274" spans="11:15" x14ac:dyDescent="0.25">
      <c r="K274" s="24"/>
      <c r="L274" s="30"/>
      <c r="M274" s="30"/>
      <c r="O274" s="30"/>
    </row>
    <row r="275" spans="11:15" x14ac:dyDescent="0.25">
      <c r="K275" s="24"/>
      <c r="L275" s="30"/>
      <c r="M275" s="30"/>
      <c r="O275" s="30"/>
    </row>
    <row r="276" spans="11:15" x14ac:dyDescent="0.25">
      <c r="K276" s="24"/>
      <c r="L276" s="30"/>
      <c r="M276" s="30"/>
      <c r="O276" s="30"/>
    </row>
    <row r="277" spans="11:15" x14ac:dyDescent="0.25">
      <c r="K277" s="24"/>
      <c r="L277" s="30"/>
      <c r="M277" s="30"/>
      <c r="O277" s="30"/>
    </row>
    <row r="278" spans="11:15" x14ac:dyDescent="0.25">
      <c r="K278" s="24"/>
      <c r="L278" s="30"/>
      <c r="M278" s="30"/>
      <c r="O278" s="30"/>
    </row>
    <row r="279" spans="11:15" x14ac:dyDescent="0.25">
      <c r="K279" s="24"/>
      <c r="L279" s="30"/>
      <c r="M279" s="30"/>
      <c r="O279" s="30"/>
    </row>
    <row r="280" spans="11:15" x14ac:dyDescent="0.25">
      <c r="K280" s="24"/>
      <c r="L280" s="30"/>
      <c r="M280" s="30"/>
      <c r="O280" s="30"/>
    </row>
    <row r="281" spans="11:15" x14ac:dyDescent="0.25">
      <c r="K281" s="24"/>
      <c r="L281" s="30"/>
      <c r="M281" s="30"/>
      <c r="O281" s="30"/>
    </row>
    <row r="282" spans="11:15" x14ac:dyDescent="0.25">
      <c r="K282" s="24"/>
      <c r="L282" s="30"/>
      <c r="M282" s="30"/>
      <c r="O282" s="30"/>
    </row>
    <row r="283" spans="11:15" x14ac:dyDescent="0.25">
      <c r="K283" s="24"/>
      <c r="L283" s="30"/>
      <c r="M283" s="30"/>
      <c r="O283" s="30"/>
    </row>
    <row r="284" spans="11:15" x14ac:dyDescent="0.25">
      <c r="K284" s="24"/>
      <c r="L284" s="30"/>
      <c r="M284" s="30"/>
      <c r="O284" s="30"/>
    </row>
    <row r="285" spans="11:15" x14ac:dyDescent="0.25">
      <c r="K285" s="24"/>
      <c r="L285" s="30"/>
      <c r="M285" s="30"/>
      <c r="O285" s="30"/>
    </row>
    <row r="286" spans="11:15" x14ac:dyDescent="0.25">
      <c r="K286" s="24"/>
      <c r="L286" s="30"/>
      <c r="M286" s="30"/>
      <c r="O286" s="30"/>
    </row>
    <row r="287" spans="11:15" x14ac:dyDescent="0.25">
      <c r="K287" s="24"/>
      <c r="L287" s="30"/>
      <c r="M287" s="30"/>
      <c r="O287" s="30"/>
    </row>
    <row r="288" spans="11:15" x14ac:dyDescent="0.25">
      <c r="K288" s="24"/>
      <c r="L288" s="30"/>
      <c r="M288" s="30"/>
      <c r="O288" s="30"/>
    </row>
    <row r="289" spans="11:15" x14ac:dyDescent="0.25">
      <c r="K289" s="24"/>
      <c r="L289" s="30"/>
      <c r="M289" s="30"/>
      <c r="O289" s="30"/>
    </row>
    <row r="290" spans="11:15" x14ac:dyDescent="0.25">
      <c r="K290" s="24"/>
      <c r="L290" s="30"/>
      <c r="M290" s="30"/>
      <c r="O290" s="30"/>
    </row>
    <row r="291" spans="11:15" x14ac:dyDescent="0.25">
      <c r="K291" s="24"/>
      <c r="L291" s="30"/>
      <c r="M291" s="30"/>
      <c r="O291" s="30"/>
    </row>
    <row r="292" spans="11:15" x14ac:dyDescent="0.25">
      <c r="K292" s="24"/>
      <c r="L292" s="30"/>
      <c r="M292" s="30"/>
      <c r="O292" s="30"/>
    </row>
    <row r="293" spans="11:15" x14ac:dyDescent="0.25">
      <c r="K293" s="24"/>
      <c r="L293" s="30"/>
      <c r="M293" s="30"/>
      <c r="O293" s="30"/>
    </row>
    <row r="294" spans="11:15" x14ac:dyDescent="0.25">
      <c r="K294" s="24"/>
      <c r="L294" s="30"/>
      <c r="M294" s="30"/>
      <c r="O294" s="30"/>
    </row>
    <row r="295" spans="11:15" x14ac:dyDescent="0.25">
      <c r="K295" s="24"/>
      <c r="L295" s="30"/>
      <c r="M295" s="30"/>
      <c r="O295" s="30"/>
    </row>
    <row r="296" spans="11:15" x14ac:dyDescent="0.25">
      <c r="K296" s="24"/>
      <c r="L296" s="30"/>
      <c r="M296" s="30"/>
      <c r="O296" s="30"/>
    </row>
    <row r="297" spans="11:15" x14ac:dyDescent="0.25">
      <c r="K297" s="24"/>
      <c r="L297" s="30"/>
      <c r="M297" s="30"/>
      <c r="O297" s="30"/>
    </row>
    <row r="298" spans="11:15" x14ac:dyDescent="0.25">
      <c r="K298" s="24"/>
      <c r="L298" s="30"/>
      <c r="M298" s="30"/>
      <c r="O298" s="30"/>
    </row>
    <row r="299" spans="11:15" x14ac:dyDescent="0.25">
      <c r="K299" s="24"/>
      <c r="L299" s="30"/>
      <c r="M299" s="30"/>
      <c r="O299" s="30"/>
    </row>
    <row r="300" spans="11:15" x14ac:dyDescent="0.25">
      <c r="K300" s="24"/>
      <c r="L300" s="30"/>
      <c r="M300" s="30"/>
      <c r="O300" s="30"/>
    </row>
    <row r="301" spans="11:15" x14ac:dyDescent="0.25">
      <c r="K301" s="24"/>
      <c r="L301" s="30"/>
      <c r="M301" s="30"/>
      <c r="O301" s="30"/>
    </row>
    <row r="302" spans="11:15" x14ac:dyDescent="0.25">
      <c r="K302" s="24"/>
      <c r="L302" s="30"/>
      <c r="M302" s="30"/>
      <c r="O302" s="30"/>
    </row>
    <row r="303" spans="11:15" x14ac:dyDescent="0.25">
      <c r="K303" s="24"/>
      <c r="L303" s="30"/>
      <c r="M303" s="30"/>
      <c r="O303" s="30"/>
    </row>
    <row r="304" spans="11:15" x14ac:dyDescent="0.25">
      <c r="K304" s="24"/>
      <c r="L304" s="30"/>
      <c r="M304" s="30"/>
      <c r="O304" s="30"/>
    </row>
    <row r="305" spans="11:15" x14ac:dyDescent="0.25">
      <c r="K305" s="24"/>
      <c r="L305" s="30"/>
      <c r="M305" s="30"/>
      <c r="O305" s="30"/>
    </row>
    <row r="306" spans="11:15" x14ac:dyDescent="0.25">
      <c r="K306" s="24"/>
      <c r="L306" s="30"/>
      <c r="M306" s="30"/>
      <c r="O306" s="30"/>
    </row>
    <row r="307" spans="11:15" x14ac:dyDescent="0.25">
      <c r="K307" s="24"/>
      <c r="L307" s="30"/>
      <c r="M307" s="30"/>
      <c r="O307" s="30"/>
    </row>
    <row r="308" spans="11:15" x14ac:dyDescent="0.25">
      <c r="K308" s="24"/>
      <c r="L308" s="30"/>
      <c r="M308" s="30"/>
      <c r="O308" s="30"/>
    </row>
    <row r="309" spans="11:15" x14ac:dyDescent="0.25">
      <c r="K309" s="24"/>
      <c r="L309" s="30"/>
      <c r="M309" s="30"/>
      <c r="O309" s="30"/>
    </row>
    <row r="310" spans="11:15" x14ac:dyDescent="0.25">
      <c r="K310" s="24"/>
      <c r="L310" s="30"/>
      <c r="M310" s="30"/>
      <c r="O310" s="30"/>
    </row>
    <row r="311" spans="11:15" x14ac:dyDescent="0.25">
      <c r="K311" s="24"/>
      <c r="L311" s="30"/>
      <c r="M311" s="30"/>
      <c r="O311" s="30"/>
    </row>
    <row r="312" spans="11:15" x14ac:dyDescent="0.25">
      <c r="K312" s="24"/>
      <c r="L312" s="30"/>
      <c r="M312" s="30"/>
      <c r="O312" s="30"/>
    </row>
    <row r="313" spans="11:15" x14ac:dyDescent="0.25">
      <c r="K313" s="24"/>
      <c r="L313" s="30"/>
      <c r="M313" s="30"/>
      <c r="O313" s="30"/>
    </row>
    <row r="314" spans="11:15" x14ac:dyDescent="0.25">
      <c r="K314" s="24"/>
      <c r="L314" s="30"/>
      <c r="M314" s="30"/>
      <c r="O314" s="30"/>
    </row>
    <row r="315" spans="11:15" x14ac:dyDescent="0.25">
      <c r="K315" s="24"/>
      <c r="L315" s="30"/>
      <c r="M315" s="30"/>
      <c r="O315" s="30"/>
    </row>
    <row r="316" spans="11:15" x14ac:dyDescent="0.25">
      <c r="K316" s="24"/>
      <c r="L316" s="30"/>
      <c r="M316" s="30"/>
      <c r="O316" s="30"/>
    </row>
    <row r="317" spans="11:15" x14ac:dyDescent="0.25">
      <c r="K317" s="24"/>
      <c r="L317" s="30"/>
      <c r="M317" s="30"/>
      <c r="O317" s="30"/>
    </row>
    <row r="318" spans="11:15" x14ac:dyDescent="0.25">
      <c r="K318" s="24"/>
      <c r="L318" s="30"/>
      <c r="M318" s="30"/>
      <c r="O318" s="30"/>
    </row>
    <row r="319" spans="11:15" x14ac:dyDescent="0.25">
      <c r="K319" s="24"/>
      <c r="L319" s="30"/>
      <c r="M319" s="30"/>
      <c r="O319" s="30"/>
    </row>
    <row r="320" spans="11:15" x14ac:dyDescent="0.25">
      <c r="K320" s="24"/>
      <c r="L320" s="30"/>
      <c r="M320" s="30"/>
      <c r="O320" s="30"/>
    </row>
    <row r="321" spans="11:15" x14ac:dyDescent="0.25">
      <c r="K321" s="24"/>
      <c r="L321" s="30"/>
      <c r="M321" s="30"/>
      <c r="O321" s="30"/>
    </row>
    <row r="322" spans="11:15" x14ac:dyDescent="0.25">
      <c r="K322" s="24"/>
      <c r="L322" s="30"/>
      <c r="M322" s="30"/>
      <c r="O322" s="30"/>
    </row>
    <row r="323" spans="11:15" x14ac:dyDescent="0.25">
      <c r="K323" s="24"/>
      <c r="L323" s="30"/>
      <c r="M323" s="30"/>
      <c r="O323" s="30"/>
    </row>
    <row r="324" spans="11:15" x14ac:dyDescent="0.25">
      <c r="K324" s="24"/>
      <c r="L324" s="30"/>
      <c r="M324" s="30"/>
      <c r="O324" s="30"/>
    </row>
    <row r="325" spans="11:15" x14ac:dyDescent="0.25">
      <c r="K325" s="24"/>
      <c r="L325" s="30"/>
      <c r="M325" s="30"/>
      <c r="O325" s="30"/>
    </row>
    <row r="326" spans="11:15" x14ac:dyDescent="0.25">
      <c r="K326" s="24"/>
      <c r="L326" s="30"/>
      <c r="M326" s="30"/>
      <c r="O326" s="30"/>
    </row>
    <row r="327" spans="11:15" x14ac:dyDescent="0.25">
      <c r="K327" s="24"/>
      <c r="L327" s="30"/>
      <c r="M327" s="30"/>
      <c r="O327" s="30"/>
    </row>
    <row r="328" spans="11:15" x14ac:dyDescent="0.25">
      <c r="K328" s="24"/>
      <c r="L328" s="30"/>
      <c r="M328" s="30"/>
      <c r="O328" s="30"/>
    </row>
    <row r="329" spans="11:15" x14ac:dyDescent="0.25">
      <c r="K329" s="24"/>
      <c r="L329" s="30"/>
      <c r="M329" s="30"/>
      <c r="O329" s="30"/>
    </row>
    <row r="330" spans="11:15" x14ac:dyDescent="0.25">
      <c r="K330" s="24"/>
      <c r="L330" s="30"/>
      <c r="M330" s="30"/>
      <c r="O330" s="30"/>
    </row>
    <row r="331" spans="11:15" x14ac:dyDescent="0.25">
      <c r="K331" s="24"/>
      <c r="L331" s="30"/>
      <c r="M331" s="30"/>
      <c r="O331" s="30"/>
    </row>
    <row r="332" spans="11:15" x14ac:dyDescent="0.25">
      <c r="K332" s="24"/>
      <c r="L332" s="30"/>
      <c r="M332" s="30"/>
      <c r="O332" s="30"/>
    </row>
    <row r="333" spans="11:15" x14ac:dyDescent="0.25">
      <c r="K333" s="24"/>
      <c r="L333" s="30"/>
      <c r="M333" s="30"/>
      <c r="O333" s="30"/>
    </row>
    <row r="334" spans="11:15" x14ac:dyDescent="0.25">
      <c r="K334" s="24"/>
      <c r="L334" s="30"/>
      <c r="M334" s="30"/>
      <c r="O334" s="30"/>
    </row>
    <row r="335" spans="11:15" x14ac:dyDescent="0.25">
      <c r="K335" s="24"/>
      <c r="L335" s="30"/>
      <c r="M335" s="30"/>
      <c r="O335" s="30"/>
    </row>
    <row r="336" spans="11:15" x14ac:dyDescent="0.25">
      <c r="K336" s="24"/>
      <c r="L336" s="30"/>
      <c r="M336" s="30"/>
      <c r="O336" s="30"/>
    </row>
    <row r="337" spans="11:15" x14ac:dyDescent="0.25">
      <c r="K337" s="24"/>
      <c r="L337" s="30"/>
      <c r="M337" s="30"/>
      <c r="O337" s="30"/>
    </row>
    <row r="338" spans="11:15" x14ac:dyDescent="0.25">
      <c r="K338" s="24"/>
      <c r="L338" s="30"/>
      <c r="M338" s="30"/>
      <c r="O338" s="30"/>
    </row>
    <row r="339" spans="11:15" x14ac:dyDescent="0.25">
      <c r="K339" s="24"/>
      <c r="L339" s="30"/>
      <c r="M339" s="30"/>
      <c r="O339" s="30"/>
    </row>
    <row r="340" spans="11:15" x14ac:dyDescent="0.25">
      <c r="K340" s="24"/>
      <c r="L340" s="30"/>
      <c r="M340" s="30"/>
      <c r="O340" s="30"/>
    </row>
    <row r="341" spans="11:15" x14ac:dyDescent="0.25">
      <c r="K341" s="24"/>
      <c r="L341" s="30"/>
      <c r="M341" s="30"/>
      <c r="O341" s="30"/>
    </row>
    <row r="342" spans="11:15" x14ac:dyDescent="0.25">
      <c r="K342" s="24"/>
      <c r="L342" s="30"/>
      <c r="M342" s="30"/>
      <c r="O342" s="30"/>
    </row>
    <row r="343" spans="11:15" x14ac:dyDescent="0.25">
      <c r="K343" s="24"/>
      <c r="L343" s="30"/>
      <c r="M343" s="30"/>
      <c r="O343" s="30"/>
    </row>
    <row r="344" spans="11:15" x14ac:dyDescent="0.25">
      <c r="K344" s="24"/>
      <c r="L344" s="30"/>
      <c r="M344" s="30"/>
      <c r="O344" s="30"/>
    </row>
    <row r="345" spans="11:15" x14ac:dyDescent="0.25">
      <c r="K345" s="24"/>
      <c r="L345" s="30"/>
      <c r="M345" s="30"/>
      <c r="O345" s="30"/>
    </row>
    <row r="346" spans="11:15" x14ac:dyDescent="0.25">
      <c r="K346" s="24"/>
      <c r="L346" s="30"/>
      <c r="M346" s="30"/>
      <c r="O346" s="30"/>
    </row>
    <row r="347" spans="11:15" x14ac:dyDescent="0.25">
      <c r="K347" s="24"/>
      <c r="L347" s="30"/>
      <c r="M347" s="30"/>
      <c r="O347" s="30"/>
    </row>
    <row r="348" spans="11:15" x14ac:dyDescent="0.25">
      <c r="K348" s="24"/>
      <c r="L348" s="30"/>
      <c r="M348" s="30"/>
      <c r="O348" s="30"/>
    </row>
    <row r="349" spans="11:15" x14ac:dyDescent="0.25">
      <c r="K349" s="24"/>
      <c r="L349" s="30"/>
      <c r="M349" s="30"/>
      <c r="O349" s="30"/>
    </row>
    <row r="350" spans="11:15" x14ac:dyDescent="0.25">
      <c r="K350" s="24"/>
      <c r="L350" s="30"/>
      <c r="M350" s="30"/>
      <c r="O350" s="30"/>
    </row>
    <row r="351" spans="11:15" x14ac:dyDescent="0.25">
      <c r="K351" s="24"/>
      <c r="L351" s="30"/>
      <c r="M351" s="30"/>
      <c r="O351" s="30"/>
    </row>
    <row r="352" spans="11:15" x14ac:dyDescent="0.25">
      <c r="K352" s="24"/>
      <c r="L352" s="30"/>
      <c r="M352" s="30"/>
      <c r="O352" s="30"/>
    </row>
    <row r="353" spans="11:15" x14ac:dyDescent="0.25">
      <c r="K353" s="24"/>
      <c r="L353" s="30"/>
      <c r="M353" s="30"/>
      <c r="O353" s="30"/>
    </row>
    <row r="354" spans="11:15" x14ac:dyDescent="0.25">
      <c r="K354" s="24"/>
      <c r="L354" s="30"/>
      <c r="M354" s="30"/>
      <c r="O354" s="30"/>
    </row>
    <row r="355" spans="11:15" x14ac:dyDescent="0.25">
      <c r="K355" s="24"/>
      <c r="L355" s="30"/>
      <c r="M355" s="30"/>
      <c r="O355" s="30"/>
    </row>
    <row r="356" spans="11:15" x14ac:dyDescent="0.25">
      <c r="K356" s="24"/>
      <c r="L356" s="30"/>
      <c r="M356" s="30"/>
      <c r="O356" s="30"/>
    </row>
    <row r="357" spans="11:15" x14ac:dyDescent="0.25">
      <c r="K357" s="24"/>
      <c r="L357" s="30"/>
      <c r="M357" s="30"/>
      <c r="O357" s="30"/>
    </row>
    <row r="358" spans="11:15" x14ac:dyDescent="0.25">
      <c r="K358" s="24"/>
      <c r="L358" s="30"/>
      <c r="M358" s="30"/>
      <c r="O358" s="30"/>
    </row>
    <row r="359" spans="11:15" x14ac:dyDescent="0.25">
      <c r="K359" s="24"/>
      <c r="L359" s="30"/>
      <c r="M359" s="30"/>
      <c r="O359" s="30"/>
    </row>
    <row r="360" spans="11:15" x14ac:dyDescent="0.25">
      <c r="K360" s="24"/>
      <c r="L360" s="30"/>
      <c r="M360" s="30"/>
      <c r="O360" s="30"/>
    </row>
    <row r="361" spans="11:15" x14ac:dyDescent="0.25">
      <c r="K361" s="24"/>
      <c r="L361" s="30"/>
      <c r="M361" s="30"/>
      <c r="O361" s="30"/>
    </row>
    <row r="362" spans="11:15" x14ac:dyDescent="0.25">
      <c r="K362" s="24"/>
      <c r="L362" s="30"/>
      <c r="M362" s="30"/>
      <c r="O362" s="30"/>
    </row>
    <row r="363" spans="11:15" x14ac:dyDescent="0.25">
      <c r="K363" s="24"/>
      <c r="L363" s="30"/>
      <c r="M363" s="30"/>
      <c r="O363" s="30"/>
    </row>
    <row r="364" spans="11:15" x14ac:dyDescent="0.25">
      <c r="K364" s="24"/>
      <c r="L364" s="30"/>
      <c r="M364" s="30"/>
      <c r="O364" s="30"/>
    </row>
    <row r="365" spans="11:15" x14ac:dyDescent="0.25">
      <c r="K365" s="24"/>
      <c r="L365" s="30"/>
      <c r="M365" s="30"/>
      <c r="O365" s="30"/>
    </row>
    <row r="366" spans="11:15" x14ac:dyDescent="0.25">
      <c r="K366" s="24"/>
      <c r="L366" s="30"/>
      <c r="M366" s="30"/>
      <c r="O366" s="30"/>
    </row>
    <row r="367" spans="11:15" x14ac:dyDescent="0.25">
      <c r="K367" s="24"/>
      <c r="L367" s="30"/>
      <c r="M367" s="30"/>
      <c r="O367" s="30"/>
    </row>
    <row r="368" spans="11:15" x14ac:dyDescent="0.25">
      <c r="K368" s="24"/>
      <c r="L368" s="30"/>
      <c r="M368" s="30"/>
      <c r="O368" s="30"/>
    </row>
    <row r="369" spans="11:15" x14ac:dyDescent="0.25">
      <c r="K369" s="24"/>
      <c r="L369" s="30"/>
      <c r="M369" s="30"/>
      <c r="O369" s="30"/>
    </row>
    <row r="370" spans="11:15" x14ac:dyDescent="0.25">
      <c r="K370" s="24"/>
      <c r="L370" s="30"/>
      <c r="M370" s="30"/>
      <c r="O370" s="30"/>
    </row>
    <row r="371" spans="11:15" x14ac:dyDescent="0.25">
      <c r="K371" s="24"/>
      <c r="L371" s="30"/>
      <c r="M371" s="30"/>
      <c r="O371" s="30"/>
    </row>
    <row r="372" spans="11:15" x14ac:dyDescent="0.25">
      <c r="K372" s="24"/>
      <c r="L372" s="30"/>
      <c r="M372" s="30"/>
      <c r="O372" s="30"/>
    </row>
    <row r="373" spans="11:15" x14ac:dyDescent="0.25">
      <c r="K373" s="24"/>
      <c r="L373" s="30"/>
      <c r="M373" s="30"/>
      <c r="O373" s="30"/>
    </row>
    <row r="374" spans="11:15" x14ac:dyDescent="0.25">
      <c r="K374" s="24"/>
      <c r="L374" s="30"/>
      <c r="M374" s="30"/>
      <c r="O374" s="30"/>
    </row>
    <row r="375" spans="11:15" x14ac:dyDescent="0.25">
      <c r="K375" s="24"/>
      <c r="L375" s="30"/>
      <c r="M375" s="30"/>
      <c r="O375" s="30"/>
    </row>
    <row r="376" spans="11:15" x14ac:dyDescent="0.25">
      <c r="K376" s="24"/>
      <c r="L376" s="30"/>
      <c r="M376" s="30"/>
      <c r="O376" s="30"/>
    </row>
    <row r="377" spans="11:15" x14ac:dyDescent="0.25">
      <c r="K377" s="24"/>
      <c r="L377" s="30"/>
      <c r="M377" s="30"/>
      <c r="O377" s="30"/>
    </row>
    <row r="378" spans="11:15" x14ac:dyDescent="0.25">
      <c r="K378" s="24"/>
      <c r="L378" s="30"/>
      <c r="M378" s="30"/>
      <c r="O378" s="30"/>
    </row>
    <row r="379" spans="11:15" x14ac:dyDescent="0.25">
      <c r="K379" s="24"/>
      <c r="L379" s="30"/>
      <c r="M379" s="30"/>
      <c r="O379" s="30"/>
    </row>
    <row r="380" spans="11:15" x14ac:dyDescent="0.25">
      <c r="K380" s="24"/>
      <c r="L380" s="30"/>
      <c r="M380" s="30"/>
      <c r="O380" s="30"/>
    </row>
    <row r="381" spans="11:15" x14ac:dyDescent="0.25">
      <c r="K381" s="24"/>
      <c r="L381" s="30"/>
      <c r="M381" s="30"/>
      <c r="O381" s="30"/>
    </row>
    <row r="382" spans="11:15" x14ac:dyDescent="0.25">
      <c r="K382" s="24"/>
      <c r="L382" s="30"/>
      <c r="M382" s="30"/>
      <c r="O382" s="30"/>
    </row>
    <row r="383" spans="11:15" x14ac:dyDescent="0.25">
      <c r="K383" s="24"/>
      <c r="L383" s="30"/>
      <c r="M383" s="30"/>
      <c r="O383" s="30"/>
    </row>
    <row r="384" spans="11:15" x14ac:dyDescent="0.25">
      <c r="K384" s="24"/>
      <c r="L384" s="30"/>
      <c r="M384" s="30"/>
      <c r="O384" s="30"/>
    </row>
    <row r="385" spans="11:15" x14ac:dyDescent="0.25">
      <c r="K385" s="24"/>
      <c r="L385" s="30"/>
      <c r="M385" s="30"/>
      <c r="O385" s="30"/>
    </row>
    <row r="386" spans="11:15" x14ac:dyDescent="0.25">
      <c r="K386" s="24"/>
      <c r="L386" s="30"/>
      <c r="M386" s="30"/>
      <c r="O386" s="30"/>
    </row>
    <row r="387" spans="11:15" x14ac:dyDescent="0.25">
      <c r="K387" s="24"/>
      <c r="L387" s="30"/>
      <c r="M387" s="30"/>
      <c r="O387" s="30"/>
    </row>
    <row r="388" spans="11:15" x14ac:dyDescent="0.25">
      <c r="K388" s="24"/>
      <c r="L388" s="30"/>
      <c r="M388" s="30"/>
      <c r="O388" s="30"/>
    </row>
    <row r="389" spans="11:15" x14ac:dyDescent="0.25">
      <c r="K389" s="24"/>
      <c r="L389" s="30"/>
      <c r="M389" s="30"/>
      <c r="O389" s="30"/>
    </row>
    <row r="390" spans="11:15" x14ac:dyDescent="0.25">
      <c r="K390" s="24"/>
      <c r="L390" s="30"/>
      <c r="M390" s="30"/>
      <c r="O390" s="30"/>
    </row>
    <row r="391" spans="11:15" x14ac:dyDescent="0.25">
      <c r="K391" s="24"/>
      <c r="L391" s="30"/>
      <c r="M391" s="30"/>
      <c r="O391" s="30"/>
    </row>
    <row r="392" spans="11:15" x14ac:dyDescent="0.25">
      <c r="K392" s="24"/>
      <c r="L392" s="30"/>
      <c r="M392" s="30"/>
      <c r="O392" s="30"/>
    </row>
    <row r="393" spans="11:15" x14ac:dyDescent="0.25">
      <c r="K393" s="24"/>
      <c r="L393" s="30"/>
      <c r="M393" s="30"/>
      <c r="O393" s="30"/>
    </row>
    <row r="394" spans="11:15" x14ac:dyDescent="0.25">
      <c r="K394" s="24"/>
      <c r="L394" s="30"/>
      <c r="M394" s="30"/>
      <c r="O394" s="30"/>
    </row>
    <row r="395" spans="11:15" x14ac:dyDescent="0.25">
      <c r="K395" s="24"/>
      <c r="L395" s="30"/>
      <c r="M395" s="30"/>
      <c r="O395" s="30"/>
    </row>
    <row r="396" spans="11:15" x14ac:dyDescent="0.25">
      <c r="K396" s="24"/>
      <c r="L396" s="30"/>
      <c r="M396" s="30"/>
      <c r="O396" s="30"/>
    </row>
    <row r="397" spans="11:15" x14ac:dyDescent="0.25">
      <c r="K397" s="24"/>
      <c r="L397" s="30"/>
      <c r="M397" s="30"/>
      <c r="O397" s="30"/>
    </row>
    <row r="398" spans="11:15" x14ac:dyDescent="0.25">
      <c r="K398" s="24"/>
      <c r="L398" s="30"/>
      <c r="M398" s="30"/>
      <c r="O398" s="30"/>
    </row>
    <row r="399" spans="11:15" x14ac:dyDescent="0.25">
      <c r="K399" s="24"/>
      <c r="L399" s="30"/>
      <c r="M399" s="30"/>
      <c r="O399" s="30"/>
    </row>
    <row r="400" spans="11:15" x14ac:dyDescent="0.25">
      <c r="K400" s="24"/>
      <c r="L400" s="30"/>
      <c r="M400" s="30"/>
      <c r="O400" s="30"/>
    </row>
    <row r="401" spans="11:15" x14ac:dyDescent="0.25">
      <c r="K401" s="24"/>
      <c r="L401" s="30"/>
      <c r="M401" s="30"/>
      <c r="O401" s="30"/>
    </row>
    <row r="402" spans="11:15" x14ac:dyDescent="0.25">
      <c r="K402" s="24"/>
      <c r="L402" s="30"/>
      <c r="M402" s="30"/>
      <c r="O402" s="30"/>
    </row>
    <row r="403" spans="11:15" x14ac:dyDescent="0.25">
      <c r="K403" s="24"/>
      <c r="L403" s="30"/>
      <c r="M403" s="30"/>
      <c r="O403" s="30"/>
    </row>
    <row r="404" spans="11:15" x14ac:dyDescent="0.25">
      <c r="K404" s="24"/>
      <c r="L404" s="30"/>
      <c r="M404" s="30"/>
      <c r="O404" s="30"/>
    </row>
    <row r="405" spans="11:15" x14ac:dyDescent="0.25">
      <c r="K405" s="24"/>
      <c r="L405" s="30"/>
      <c r="M405" s="30"/>
      <c r="O405" s="30"/>
    </row>
    <row r="406" spans="11:15" x14ac:dyDescent="0.25">
      <c r="K406" s="24"/>
      <c r="L406" s="30"/>
      <c r="M406" s="30"/>
      <c r="O406" s="30"/>
    </row>
    <row r="407" spans="11:15" x14ac:dyDescent="0.25">
      <c r="K407" s="24"/>
      <c r="L407" s="30"/>
      <c r="M407" s="30"/>
      <c r="O407" s="30"/>
    </row>
    <row r="408" spans="11:15" x14ac:dyDescent="0.25">
      <c r="K408" s="24"/>
      <c r="L408" s="30"/>
      <c r="M408" s="30"/>
      <c r="O408" s="30"/>
    </row>
    <row r="409" spans="11:15" x14ac:dyDescent="0.25">
      <c r="K409" s="24"/>
      <c r="L409" s="30"/>
      <c r="M409" s="30"/>
      <c r="O409" s="30"/>
    </row>
    <row r="410" spans="11:15" x14ac:dyDescent="0.25">
      <c r="K410" s="24"/>
      <c r="L410" s="30"/>
      <c r="M410" s="30"/>
      <c r="O410" s="30"/>
    </row>
    <row r="411" spans="11:15" x14ac:dyDescent="0.25">
      <c r="K411" s="24"/>
      <c r="L411" s="30"/>
      <c r="M411" s="30"/>
      <c r="O411" s="30"/>
    </row>
    <row r="412" spans="11:15" x14ac:dyDescent="0.25">
      <c r="K412" s="24"/>
      <c r="L412" s="30"/>
      <c r="M412" s="30"/>
      <c r="O412" s="30"/>
    </row>
    <row r="413" spans="11:15" x14ac:dyDescent="0.25">
      <c r="K413" s="24"/>
      <c r="L413" s="30"/>
      <c r="M413" s="30"/>
      <c r="O413" s="30"/>
    </row>
    <row r="414" spans="11:15" x14ac:dyDescent="0.25">
      <c r="K414" s="24"/>
      <c r="L414" s="30"/>
      <c r="M414" s="30"/>
      <c r="O414" s="30"/>
    </row>
    <row r="415" spans="11:15" x14ac:dyDescent="0.25">
      <c r="K415" s="24"/>
      <c r="L415" s="30"/>
      <c r="M415" s="30"/>
      <c r="O415" s="30"/>
    </row>
    <row r="416" spans="11:15" x14ac:dyDescent="0.25">
      <c r="K416" s="24"/>
      <c r="L416" s="30"/>
      <c r="M416" s="30"/>
      <c r="O416" s="30"/>
    </row>
    <row r="417" spans="11:15" x14ac:dyDescent="0.25">
      <c r="K417" s="24"/>
      <c r="L417" s="30"/>
      <c r="M417" s="30"/>
      <c r="O417" s="30"/>
    </row>
    <row r="418" spans="11:15" x14ac:dyDescent="0.25">
      <c r="K418" s="24"/>
      <c r="L418" s="30"/>
      <c r="M418" s="30"/>
      <c r="O418" s="30"/>
    </row>
    <row r="419" spans="11:15" x14ac:dyDescent="0.25">
      <c r="K419" s="24"/>
      <c r="L419" s="30"/>
      <c r="M419" s="30"/>
      <c r="O419" s="30"/>
    </row>
    <row r="420" spans="11:15" x14ac:dyDescent="0.25">
      <c r="K420" s="24"/>
      <c r="L420" s="30"/>
      <c r="M420" s="30"/>
      <c r="O420" s="30"/>
    </row>
    <row r="421" spans="11:15" x14ac:dyDescent="0.25">
      <c r="K421" s="24"/>
      <c r="L421" s="30"/>
      <c r="M421" s="30"/>
      <c r="O421" s="30"/>
    </row>
    <row r="422" spans="11:15" x14ac:dyDescent="0.25">
      <c r="K422" s="24"/>
      <c r="L422" s="30"/>
      <c r="M422" s="30"/>
      <c r="O422" s="30"/>
    </row>
    <row r="423" spans="11:15" x14ac:dyDescent="0.25">
      <c r="K423" s="24"/>
      <c r="L423" s="30"/>
      <c r="M423" s="30"/>
      <c r="O423" s="30"/>
    </row>
    <row r="424" spans="11:15" x14ac:dyDescent="0.25">
      <c r="K424" s="24"/>
      <c r="L424" s="30"/>
      <c r="M424" s="30"/>
      <c r="O424" s="30"/>
    </row>
    <row r="425" spans="11:15" x14ac:dyDescent="0.25">
      <c r="K425" s="24"/>
      <c r="L425" s="30"/>
      <c r="M425" s="30"/>
      <c r="O425" s="30"/>
    </row>
    <row r="426" spans="11:15" x14ac:dyDescent="0.25">
      <c r="K426" s="24"/>
      <c r="L426" s="30"/>
      <c r="M426" s="30"/>
      <c r="O426" s="30"/>
    </row>
    <row r="427" spans="11:15" x14ac:dyDescent="0.25">
      <c r="K427" s="24"/>
      <c r="L427" s="30"/>
      <c r="M427" s="30"/>
      <c r="O427" s="30"/>
    </row>
    <row r="428" spans="11:15" x14ac:dyDescent="0.25">
      <c r="K428" s="24"/>
      <c r="L428" s="30"/>
      <c r="M428" s="30"/>
      <c r="O428" s="30"/>
    </row>
    <row r="429" spans="11:15" x14ac:dyDescent="0.25">
      <c r="K429" s="24"/>
      <c r="L429" s="30"/>
      <c r="M429" s="30"/>
      <c r="O429" s="30"/>
    </row>
    <row r="430" spans="11:15" x14ac:dyDescent="0.25">
      <c r="K430" s="24"/>
      <c r="L430" s="30"/>
      <c r="M430" s="30"/>
      <c r="O430" s="30"/>
    </row>
    <row r="431" spans="11:15" x14ac:dyDescent="0.25">
      <c r="K431" s="24"/>
      <c r="L431" s="30"/>
      <c r="M431" s="30"/>
      <c r="O431" s="30"/>
    </row>
    <row r="432" spans="11:15" x14ac:dyDescent="0.25">
      <c r="K432" s="24"/>
      <c r="L432" s="30"/>
      <c r="M432" s="30"/>
      <c r="O432" s="30"/>
    </row>
    <row r="433" spans="11:15" x14ac:dyDescent="0.25">
      <c r="K433" s="24"/>
      <c r="L433" s="30"/>
      <c r="M433" s="30"/>
      <c r="O433" s="30"/>
    </row>
    <row r="434" spans="11:15" x14ac:dyDescent="0.25">
      <c r="K434" s="24"/>
      <c r="L434" s="30"/>
      <c r="M434" s="30"/>
      <c r="O434" s="30"/>
    </row>
    <row r="435" spans="11:15" x14ac:dyDescent="0.25">
      <c r="K435" s="24"/>
      <c r="L435" s="30"/>
      <c r="M435" s="30"/>
      <c r="O435" s="30"/>
    </row>
    <row r="436" spans="11:15" x14ac:dyDescent="0.25">
      <c r="K436" s="24"/>
      <c r="L436" s="30"/>
      <c r="M436" s="30"/>
      <c r="O436" s="30"/>
    </row>
    <row r="437" spans="11:15" x14ac:dyDescent="0.25">
      <c r="K437" s="24"/>
      <c r="L437" s="30"/>
      <c r="M437" s="30"/>
      <c r="O437" s="30"/>
    </row>
    <row r="438" spans="11:15" x14ac:dyDescent="0.25">
      <c r="K438" s="24"/>
      <c r="L438" s="30"/>
      <c r="M438" s="30"/>
      <c r="O438" s="30"/>
    </row>
    <row r="439" spans="11:15" x14ac:dyDescent="0.25">
      <c r="K439" s="24"/>
      <c r="L439" s="30"/>
      <c r="M439" s="30"/>
      <c r="O439" s="30"/>
    </row>
    <row r="440" spans="11:15" x14ac:dyDescent="0.25">
      <c r="K440" s="24"/>
      <c r="L440" s="30"/>
      <c r="M440" s="30"/>
      <c r="O440" s="30"/>
    </row>
    <row r="441" spans="11:15" x14ac:dyDescent="0.25">
      <c r="K441" s="24"/>
      <c r="L441" s="30"/>
      <c r="M441" s="30"/>
      <c r="O441" s="30"/>
    </row>
    <row r="442" spans="11:15" x14ac:dyDescent="0.25">
      <c r="K442" s="24"/>
      <c r="L442" s="30"/>
      <c r="M442" s="30"/>
      <c r="O442" s="30"/>
    </row>
    <row r="443" spans="11:15" x14ac:dyDescent="0.25">
      <c r="K443" s="24"/>
      <c r="L443" s="30"/>
      <c r="M443" s="30"/>
      <c r="O443" s="30"/>
    </row>
    <row r="444" spans="11:15" x14ac:dyDescent="0.25">
      <c r="K444" s="24"/>
      <c r="L444" s="30"/>
      <c r="M444" s="30"/>
      <c r="O444" s="30"/>
    </row>
    <row r="445" spans="11:15" x14ac:dyDescent="0.25">
      <c r="K445" s="24"/>
      <c r="L445" s="30"/>
      <c r="M445" s="30"/>
      <c r="O445" s="30"/>
    </row>
    <row r="446" spans="11:15" x14ac:dyDescent="0.25">
      <c r="K446" s="24"/>
      <c r="L446" s="30"/>
      <c r="M446" s="30"/>
      <c r="O446" s="30"/>
    </row>
    <row r="447" spans="11:15" x14ac:dyDescent="0.25">
      <c r="K447" s="24"/>
      <c r="L447" s="30"/>
      <c r="M447" s="30"/>
      <c r="O447" s="30"/>
    </row>
    <row r="448" spans="11:15" x14ac:dyDescent="0.25">
      <c r="K448" s="24"/>
      <c r="L448" s="30"/>
      <c r="M448" s="30"/>
      <c r="O448" s="30"/>
    </row>
    <row r="449" spans="11:15" x14ac:dyDescent="0.25">
      <c r="K449" s="24"/>
      <c r="L449" s="30"/>
      <c r="M449" s="30"/>
      <c r="O449" s="30"/>
    </row>
    <row r="450" spans="11:15" x14ac:dyDescent="0.25">
      <c r="K450" s="24"/>
      <c r="L450" s="30"/>
      <c r="M450" s="30"/>
      <c r="O450" s="30"/>
    </row>
    <row r="451" spans="11:15" x14ac:dyDescent="0.25">
      <c r="K451" s="24"/>
      <c r="L451" s="30"/>
      <c r="M451" s="30"/>
      <c r="O451" s="30"/>
    </row>
    <row r="452" spans="11:15" x14ac:dyDescent="0.25">
      <c r="K452" s="24"/>
      <c r="L452" s="30"/>
      <c r="M452" s="30"/>
      <c r="O452" s="30"/>
    </row>
    <row r="453" spans="11:15" x14ac:dyDescent="0.25">
      <c r="K453" s="24"/>
      <c r="L453" s="30"/>
      <c r="M453" s="30"/>
      <c r="O453" s="30"/>
    </row>
    <row r="454" spans="11:15" x14ac:dyDescent="0.25">
      <c r="K454" s="24"/>
      <c r="L454" s="30"/>
      <c r="M454" s="30"/>
      <c r="O454" s="30"/>
    </row>
    <row r="455" spans="11:15" x14ac:dyDescent="0.25">
      <c r="K455" s="24"/>
      <c r="L455" s="30"/>
      <c r="M455" s="30"/>
      <c r="O455" s="30"/>
    </row>
    <row r="456" spans="11:15" x14ac:dyDescent="0.25">
      <c r="K456" s="24"/>
      <c r="L456" s="30"/>
      <c r="M456" s="30"/>
      <c r="O456" s="30"/>
    </row>
    <row r="457" spans="11:15" x14ac:dyDescent="0.25">
      <c r="K457" s="24"/>
      <c r="L457" s="30"/>
      <c r="M457" s="30"/>
      <c r="O457" s="30"/>
    </row>
    <row r="458" spans="11:15" x14ac:dyDescent="0.25">
      <c r="K458" s="24"/>
      <c r="L458" s="30"/>
      <c r="M458" s="30"/>
      <c r="O458" s="30"/>
    </row>
    <row r="459" spans="11:15" x14ac:dyDescent="0.25">
      <c r="K459" s="24"/>
      <c r="L459" s="30"/>
      <c r="M459" s="30"/>
      <c r="O459" s="30"/>
    </row>
    <row r="460" spans="11:15" x14ac:dyDescent="0.25">
      <c r="K460" s="24"/>
      <c r="L460" s="30"/>
      <c r="M460" s="30"/>
      <c r="O460" s="30"/>
    </row>
    <row r="461" spans="11:15" x14ac:dyDescent="0.25">
      <c r="K461" s="24"/>
      <c r="L461" s="30"/>
      <c r="M461" s="30"/>
      <c r="O461" s="30"/>
    </row>
    <row r="462" spans="11:15" x14ac:dyDescent="0.25">
      <c r="K462" s="24"/>
      <c r="L462" s="30"/>
      <c r="M462" s="30"/>
      <c r="O462" s="30"/>
    </row>
    <row r="463" spans="11:15" x14ac:dyDescent="0.25">
      <c r="K463" s="24"/>
      <c r="L463" s="30"/>
      <c r="M463" s="30"/>
      <c r="O463" s="30"/>
    </row>
    <row r="464" spans="11:15" x14ac:dyDescent="0.25">
      <c r="K464" s="24"/>
      <c r="L464" s="30"/>
      <c r="M464" s="30"/>
      <c r="O464" s="30"/>
    </row>
    <row r="465" spans="11:15" x14ac:dyDescent="0.25">
      <c r="K465" s="24"/>
      <c r="L465" s="30"/>
      <c r="M465" s="30"/>
      <c r="O465" s="30"/>
    </row>
    <row r="466" spans="11:15" x14ac:dyDescent="0.25">
      <c r="K466" s="24"/>
      <c r="L466" s="30"/>
      <c r="M466" s="30"/>
      <c r="O466" s="30"/>
    </row>
    <row r="467" spans="11:15" x14ac:dyDescent="0.25">
      <c r="K467" s="24"/>
      <c r="L467" s="30"/>
      <c r="M467" s="30"/>
      <c r="O467" s="30"/>
    </row>
    <row r="468" spans="11:15" x14ac:dyDescent="0.25">
      <c r="K468" s="24"/>
      <c r="L468" s="30"/>
      <c r="M468" s="30"/>
      <c r="O468" s="30"/>
    </row>
    <row r="469" spans="11:15" x14ac:dyDescent="0.25">
      <c r="K469" s="24"/>
      <c r="L469" s="30"/>
      <c r="M469" s="30"/>
      <c r="O469" s="30"/>
    </row>
    <row r="470" spans="11:15" x14ac:dyDescent="0.25">
      <c r="K470" s="24"/>
      <c r="L470" s="30"/>
      <c r="M470" s="30"/>
      <c r="O470" s="30"/>
    </row>
    <row r="471" spans="11:15" x14ac:dyDescent="0.25">
      <c r="K471" s="24"/>
      <c r="L471" s="30"/>
      <c r="M471" s="30"/>
      <c r="O471" s="30"/>
    </row>
    <row r="472" spans="11:15" x14ac:dyDescent="0.25">
      <c r="K472" s="24"/>
      <c r="L472" s="30"/>
      <c r="M472" s="30"/>
      <c r="O472" s="30"/>
    </row>
    <row r="473" spans="11:15" x14ac:dyDescent="0.25">
      <c r="K473" s="24"/>
      <c r="L473" s="30"/>
      <c r="M473" s="30"/>
      <c r="O473" s="30"/>
    </row>
    <row r="474" spans="11:15" x14ac:dyDescent="0.25">
      <c r="K474" s="24"/>
      <c r="L474" s="30"/>
      <c r="M474" s="30"/>
      <c r="O474" s="30"/>
    </row>
    <row r="475" spans="11:15" x14ac:dyDescent="0.25">
      <c r="K475" s="24"/>
      <c r="L475" s="30"/>
      <c r="M475" s="30"/>
      <c r="O475" s="30"/>
    </row>
    <row r="476" spans="11:15" x14ac:dyDescent="0.25">
      <c r="K476" s="24"/>
      <c r="L476" s="30"/>
      <c r="M476" s="30"/>
      <c r="O476" s="30"/>
    </row>
    <row r="477" spans="11:15" x14ac:dyDescent="0.25">
      <c r="K477" s="24"/>
      <c r="L477" s="30"/>
      <c r="M477" s="30"/>
      <c r="O477" s="30"/>
    </row>
    <row r="478" spans="11:15" x14ac:dyDescent="0.25">
      <c r="K478" s="24"/>
      <c r="L478" s="30"/>
      <c r="M478" s="30"/>
      <c r="O478" s="30"/>
    </row>
    <row r="479" spans="11:15" x14ac:dyDescent="0.25">
      <c r="K479" s="24"/>
      <c r="L479" s="30"/>
      <c r="M479" s="30"/>
      <c r="O479" s="30"/>
    </row>
    <row r="480" spans="11:15" x14ac:dyDescent="0.25">
      <c r="K480" s="24"/>
      <c r="L480" s="30"/>
      <c r="M480" s="30"/>
      <c r="O480" s="30"/>
    </row>
    <row r="481" spans="11:15" x14ac:dyDescent="0.25">
      <c r="K481" s="24"/>
      <c r="L481" s="30"/>
      <c r="M481" s="30"/>
      <c r="O481" s="30"/>
    </row>
    <row r="482" spans="11:15" x14ac:dyDescent="0.25">
      <c r="K482" s="24"/>
      <c r="L482" s="30"/>
      <c r="M482" s="30"/>
      <c r="O482" s="30"/>
    </row>
    <row r="483" spans="11:15" x14ac:dyDescent="0.25">
      <c r="K483" s="24"/>
      <c r="L483" s="30"/>
      <c r="M483" s="30"/>
      <c r="O483" s="30"/>
    </row>
    <row r="484" spans="11:15" x14ac:dyDescent="0.25">
      <c r="K484" s="24"/>
      <c r="L484" s="30"/>
      <c r="M484" s="30"/>
      <c r="O484" s="30"/>
    </row>
    <row r="485" spans="11:15" x14ac:dyDescent="0.25">
      <c r="K485" s="24"/>
      <c r="L485" s="30"/>
      <c r="M485" s="30"/>
      <c r="O485" s="30"/>
    </row>
    <row r="486" spans="11:15" x14ac:dyDescent="0.25">
      <c r="K486" s="24"/>
      <c r="L486" s="30"/>
      <c r="M486" s="30"/>
      <c r="O486" s="30"/>
    </row>
    <row r="487" spans="11:15" x14ac:dyDescent="0.25">
      <c r="K487" s="24"/>
      <c r="L487" s="30"/>
      <c r="M487" s="30"/>
      <c r="O487" s="30"/>
    </row>
    <row r="488" spans="11:15" x14ac:dyDescent="0.25">
      <c r="K488" s="24"/>
      <c r="L488" s="30"/>
      <c r="M488" s="30"/>
      <c r="O488" s="30"/>
    </row>
    <row r="489" spans="11:15" x14ac:dyDescent="0.25">
      <c r="K489" s="24"/>
      <c r="L489" s="30"/>
      <c r="M489" s="30"/>
      <c r="O489" s="30"/>
    </row>
    <row r="490" spans="11:15" x14ac:dyDescent="0.25">
      <c r="K490" s="24"/>
      <c r="L490" s="30"/>
      <c r="M490" s="30"/>
      <c r="O490" s="30"/>
    </row>
    <row r="491" spans="11:15" x14ac:dyDescent="0.25">
      <c r="K491" s="24"/>
      <c r="L491" s="30"/>
      <c r="M491" s="30"/>
      <c r="O491" s="30"/>
    </row>
    <row r="492" spans="11:15" x14ac:dyDescent="0.25">
      <c r="K492" s="24"/>
      <c r="L492" s="30"/>
      <c r="M492" s="30"/>
      <c r="O492" s="30"/>
    </row>
    <row r="493" spans="11:15" x14ac:dyDescent="0.25">
      <c r="L493" s="30"/>
      <c r="M493" s="30"/>
      <c r="O493" s="30"/>
    </row>
    <row r="494" spans="11:15" x14ac:dyDescent="0.25">
      <c r="L494" s="30"/>
      <c r="M494" s="30"/>
      <c r="O494" s="30"/>
    </row>
    <row r="495" spans="11:15" x14ac:dyDescent="0.25">
      <c r="L495" s="30"/>
      <c r="M495" s="30"/>
      <c r="O495" s="30"/>
    </row>
    <row r="496" spans="11:15" x14ac:dyDescent="0.25">
      <c r="L496" s="30"/>
      <c r="M496" s="30"/>
      <c r="O496" s="30"/>
    </row>
    <row r="497" spans="12:15" x14ac:dyDescent="0.25">
      <c r="L497" s="30"/>
      <c r="M497" s="30"/>
      <c r="O497" s="30"/>
    </row>
    <row r="498" spans="12:15" x14ac:dyDescent="0.25">
      <c r="L498" s="30"/>
      <c r="M498" s="30"/>
      <c r="O498" s="30"/>
    </row>
    <row r="499" spans="12:15" x14ac:dyDescent="0.25">
      <c r="L499" s="30"/>
      <c r="M499" s="30"/>
      <c r="O499" s="30"/>
    </row>
    <row r="500" spans="12:15" x14ac:dyDescent="0.25">
      <c r="L500" s="30"/>
      <c r="M500" s="30"/>
      <c r="O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I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I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I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J8:J140" xr:uid="{030B7424-D88F-42EF-921A-C45A1986C5E0}">
      <formula1>0</formula1>
    </dataValidation>
    <dataValidation type="list" allowBlank="1" showInputMessage="1" showErrorMessage="1" errorTitle="Wrong input" error="It must be a decimal between -90.0 and 90.0." sqref="L8:M500 O8:O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N8:N501" xr:uid="{0D1C834F-FCC5-4710-A119-E3DF557931F2}">
      <formula1>0</formula1>
      <formula2>100</formula2>
    </dataValidation>
    <dataValidation type="decimal" operator="greaterThanOrEqual" allowBlank="1" showInputMessage="1" showErrorMessage="1" sqref="K6:K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295</v>
      </c>
      <c r="B2" t="s">
        <v>296</v>
      </c>
      <c r="C2" s="21">
        <v>390</v>
      </c>
    </row>
    <row r="3" spans="1:3" x14ac:dyDescent="0.25">
      <c r="A3" t="s">
        <v>297</v>
      </c>
      <c r="B3" t="s">
        <v>296</v>
      </c>
      <c r="C3" s="21">
        <v>730</v>
      </c>
    </row>
    <row r="4" spans="1:3" x14ac:dyDescent="0.25">
      <c r="A4" t="s">
        <v>298</v>
      </c>
      <c r="B4" t="s">
        <v>296</v>
      </c>
      <c r="C4" s="21">
        <v>700</v>
      </c>
    </row>
    <row r="5" spans="1:3" x14ac:dyDescent="0.25">
      <c r="A5" t="s">
        <v>299</v>
      </c>
      <c r="B5" t="s">
        <v>256</v>
      </c>
      <c r="C5" s="21">
        <v>5000</v>
      </c>
    </row>
    <row r="6" spans="1:3" x14ac:dyDescent="0.25">
      <c r="A6" t="s">
        <v>300</v>
      </c>
      <c r="B6" t="s">
        <v>13</v>
      </c>
      <c r="C6" s="46" t="b">
        <v>0</v>
      </c>
    </row>
    <row r="7" spans="1:3" x14ac:dyDescent="0.25">
      <c r="A7" t="s">
        <v>301</v>
      </c>
      <c r="B7" t="s">
        <v>302</v>
      </c>
      <c r="C7" s="23">
        <v>30</v>
      </c>
    </row>
    <row r="8" spans="1:3" x14ac:dyDescent="0.25">
      <c r="A8" t="s">
        <v>303</v>
      </c>
      <c r="B8" t="s">
        <v>256</v>
      </c>
    </row>
    <row r="9" spans="1:3" x14ac:dyDescent="0.25">
      <c r="A9" t="s">
        <v>304</v>
      </c>
      <c r="B9" t="s">
        <v>305</v>
      </c>
      <c r="C9">
        <v>97</v>
      </c>
    </row>
    <row r="10" spans="1:3" x14ac:dyDescent="0.25">
      <c r="A10" t="s">
        <v>306</v>
      </c>
      <c r="B10" t="s">
        <v>256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307</v>
      </c>
      <c r="B1" t="s">
        <v>308</v>
      </c>
      <c r="C1" t="s">
        <v>309</v>
      </c>
      <c r="D1" t="s">
        <v>310</v>
      </c>
    </row>
    <row r="2" spans="1:4" x14ac:dyDescent="0.25">
      <c r="A2" t="s">
        <v>91</v>
      </c>
      <c r="B2" t="s">
        <v>311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312</v>
      </c>
      <c r="B3" t="s">
        <v>311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313</v>
      </c>
      <c r="B4" t="s">
        <v>311</v>
      </c>
      <c r="C4">
        <v>13360</v>
      </c>
      <c r="D4">
        <f>210</f>
        <v>210</v>
      </c>
    </row>
    <row r="5" spans="1:4" x14ac:dyDescent="0.25">
      <c r="A5" t="s">
        <v>93</v>
      </c>
      <c r="B5" t="s">
        <v>94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314</v>
      </c>
      <c r="B6" t="s">
        <v>311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92</v>
      </c>
      <c r="B7" t="s">
        <v>311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315</v>
      </c>
      <c r="B8" t="s">
        <v>311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316</v>
      </c>
      <c r="B9" t="s">
        <v>311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89</v>
      </c>
      <c r="B10" t="s">
        <v>94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317</v>
      </c>
      <c r="B11" t="s">
        <v>311</v>
      </c>
      <c r="C11" s="1">
        <f>1413</f>
        <v>1413</v>
      </c>
      <c r="D11">
        <f>210</f>
        <v>210</v>
      </c>
    </row>
    <row r="12" spans="1:4" x14ac:dyDescent="0.25">
      <c r="A12" t="s">
        <v>318</v>
      </c>
      <c r="B12" t="s">
        <v>311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319</v>
      </c>
      <c r="B13" t="s">
        <v>311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320</v>
      </c>
      <c r="B14" t="s">
        <v>311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321</v>
      </c>
      <c r="B15" t="s">
        <v>311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322</v>
      </c>
      <c r="B16" t="s">
        <v>323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324</v>
      </c>
      <c r="B17" t="s">
        <v>311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87</v>
      </c>
      <c r="B18" t="s">
        <v>323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325</v>
      </c>
      <c r="B1" t="s">
        <v>326</v>
      </c>
    </row>
    <row r="2" spans="1:2" x14ac:dyDescent="0.25">
      <c r="A2" t="s">
        <v>225</v>
      </c>
      <c r="B2">
        <v>0.8</v>
      </c>
    </row>
    <row r="3" spans="1:2" x14ac:dyDescent="0.25">
      <c r="A3" t="s">
        <v>327</v>
      </c>
      <c r="B3">
        <v>0.4</v>
      </c>
    </row>
    <row r="4" spans="1:2" x14ac:dyDescent="0.25">
      <c r="A4" t="s">
        <v>328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329</v>
      </c>
      <c r="B1" t="s">
        <v>330</v>
      </c>
    </row>
    <row r="2" spans="1:2" x14ac:dyDescent="0.25">
      <c r="A2" t="s">
        <v>331</v>
      </c>
      <c r="B2">
        <v>1010</v>
      </c>
    </row>
    <row r="3" spans="1:2" x14ac:dyDescent="0.25">
      <c r="A3" t="s">
        <v>332</v>
      </c>
      <c r="B3">
        <v>855</v>
      </c>
    </row>
    <row r="4" spans="1:2" x14ac:dyDescent="0.25">
      <c r="A4" t="s">
        <v>333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2026-04-08T11:02:45Z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