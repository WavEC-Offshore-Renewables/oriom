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iccardo\ORIOM\oriom\tests\test_files\test_end_to_end\"/>
    </mc:Choice>
  </mc:AlternateContent>
  <xr:revisionPtr revIDLastSave="0" documentId="13_ncr:1_{7C1314DA-A9A6-481A-8870-CDA3F4C88960}" xr6:coauthVersionLast="47" xr6:coauthVersionMax="47" xr10:uidLastSave="{00000000-0000-0000-0000-000000000000}"/>
  <bookViews>
    <workbookView xWindow="-110" yWindow="-110" windowWidth="19420" windowHeight="11500" tabRatio="828" firstSheet="10" activeTab="17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W498" i="31"/>
  <c r="W497" i="31"/>
  <c r="W496" i="31"/>
  <c r="W495" i="31"/>
  <c r="W494" i="31"/>
  <c r="W493" i="31"/>
  <c r="W492" i="31"/>
  <c r="W491" i="31"/>
  <c r="W490" i="31"/>
  <c r="W489" i="31"/>
  <c r="W488" i="31"/>
  <c r="W487" i="31"/>
  <c r="W486" i="31"/>
  <c r="W485" i="31"/>
  <c r="W484" i="31"/>
  <c r="W483" i="31"/>
  <c r="W482" i="31"/>
  <c r="W481" i="31"/>
  <c r="W480" i="31"/>
  <c r="W479" i="31"/>
  <c r="W478" i="31"/>
  <c r="W477" i="31"/>
  <c r="W476" i="31"/>
  <c r="W475" i="31"/>
  <c r="W474" i="31"/>
  <c r="W473" i="31"/>
  <c r="W472" i="31"/>
  <c r="W471" i="31"/>
  <c r="W470" i="31"/>
  <c r="W469" i="31"/>
  <c r="W468" i="31"/>
  <c r="W467" i="31"/>
  <c r="W466" i="31"/>
  <c r="W465" i="31"/>
  <c r="W464" i="31"/>
  <c r="W463" i="31"/>
  <c r="W462" i="31"/>
  <c r="W461" i="31"/>
  <c r="W460" i="31"/>
  <c r="W459" i="31"/>
  <c r="W458" i="31"/>
  <c r="W457" i="31"/>
  <c r="W456" i="31"/>
  <c r="W455" i="31"/>
  <c r="W454" i="31"/>
  <c r="W453" i="31"/>
  <c r="W452" i="31"/>
  <c r="W451" i="31"/>
  <c r="W450" i="31"/>
  <c r="W449" i="31"/>
  <c r="W448" i="31"/>
  <c r="W447" i="31"/>
  <c r="W446" i="31"/>
  <c r="W445" i="31"/>
  <c r="W444" i="31"/>
  <c r="W443" i="31"/>
  <c r="W442" i="31"/>
  <c r="W441" i="31"/>
  <c r="W440" i="31"/>
  <c r="W439" i="31"/>
  <c r="W438" i="31"/>
  <c r="W437" i="31"/>
  <c r="W436" i="31"/>
  <c r="W435" i="31"/>
  <c r="W434" i="31"/>
  <c r="W433" i="31"/>
  <c r="W432" i="31"/>
  <c r="W431" i="31"/>
  <c r="W430" i="31"/>
  <c r="W429" i="31"/>
  <c r="W428" i="31"/>
  <c r="W427" i="31"/>
  <c r="W426" i="31"/>
  <c r="W425" i="31"/>
  <c r="W424" i="31"/>
  <c r="W423" i="31"/>
  <c r="W422" i="31"/>
  <c r="W421" i="31"/>
  <c r="W420" i="31"/>
  <c r="W419" i="31"/>
  <c r="W418" i="31"/>
  <c r="W417" i="31"/>
  <c r="W416" i="31"/>
  <c r="W415" i="31"/>
  <c r="W414" i="31"/>
  <c r="W413" i="31"/>
  <c r="W412" i="31"/>
  <c r="W411" i="31"/>
  <c r="W410" i="31"/>
  <c r="W409" i="31"/>
  <c r="W408" i="31"/>
  <c r="W407" i="31"/>
  <c r="W406" i="31"/>
  <c r="W405" i="31"/>
  <c r="W404" i="31"/>
  <c r="W403" i="31"/>
  <c r="W402" i="31"/>
  <c r="W401" i="31"/>
  <c r="W400" i="31"/>
  <c r="W399" i="31"/>
  <c r="W398" i="31"/>
  <c r="W397" i="31"/>
  <c r="W396" i="31"/>
  <c r="W395" i="31"/>
  <c r="W394" i="31"/>
  <c r="W393" i="31"/>
  <c r="W392" i="31"/>
  <c r="W391" i="31"/>
  <c r="W390" i="31"/>
  <c r="W389" i="31"/>
  <c r="W388" i="31"/>
  <c r="W387" i="31"/>
  <c r="W386" i="31"/>
  <c r="W385" i="31"/>
  <c r="W384" i="31"/>
  <c r="W383" i="31"/>
  <c r="W382" i="31"/>
  <c r="W381" i="31"/>
  <c r="W380" i="31"/>
  <c r="W379" i="31"/>
  <c r="W378" i="31"/>
  <c r="W377" i="31"/>
  <c r="W376" i="31"/>
  <c r="W375" i="31"/>
  <c r="W374" i="31"/>
  <c r="W373" i="31"/>
  <c r="W372" i="31"/>
  <c r="W371" i="31"/>
  <c r="W370" i="31"/>
  <c r="W369" i="31"/>
  <c r="W368" i="31"/>
  <c r="W367" i="31"/>
  <c r="W366" i="31"/>
  <c r="W365" i="31"/>
  <c r="W364" i="31"/>
  <c r="W363" i="31"/>
  <c r="W362" i="31"/>
  <c r="W361" i="31"/>
  <c r="W360" i="31"/>
  <c r="W359" i="31"/>
  <c r="W358" i="31"/>
  <c r="W357" i="31"/>
  <c r="W356" i="31"/>
  <c r="W355" i="31"/>
  <c r="W354" i="31"/>
  <c r="W353" i="31"/>
  <c r="W352" i="31"/>
  <c r="W351" i="31"/>
  <c r="W350" i="31"/>
  <c r="W349" i="31"/>
  <c r="W348" i="31"/>
  <c r="W347" i="31"/>
  <c r="W346" i="31"/>
  <c r="W345" i="31"/>
  <c r="W344" i="31"/>
  <c r="W343" i="31"/>
  <c r="W342" i="31"/>
  <c r="W341" i="31"/>
  <c r="W340" i="31"/>
  <c r="W339" i="31"/>
  <c r="W338" i="31"/>
  <c r="W337" i="31"/>
  <c r="W336" i="31"/>
  <c r="W335" i="31"/>
  <c r="W334" i="31"/>
  <c r="W333" i="31"/>
  <c r="W332" i="31"/>
  <c r="W331" i="31"/>
  <c r="W330" i="31"/>
  <c r="W329" i="31"/>
  <c r="W328" i="31"/>
  <c r="W327" i="31"/>
  <c r="W326" i="31"/>
  <c r="W325" i="31"/>
  <c r="W324" i="31"/>
  <c r="W323" i="31"/>
  <c r="W322" i="31"/>
  <c r="W321" i="31"/>
  <c r="W320" i="31"/>
  <c r="W319" i="31"/>
  <c r="W318" i="31"/>
  <c r="W317" i="31"/>
  <c r="W316" i="31"/>
  <c r="W315" i="31"/>
  <c r="W314" i="31"/>
  <c r="W313" i="31"/>
  <c r="W312" i="31"/>
  <c r="W311" i="31"/>
  <c r="W310" i="31"/>
  <c r="W309" i="31"/>
  <c r="W308" i="31"/>
  <c r="W307" i="31"/>
  <c r="W306" i="31"/>
  <c r="W305" i="31"/>
  <c r="W304" i="31"/>
  <c r="W303" i="31"/>
  <c r="W302" i="31"/>
  <c r="W301" i="31"/>
  <c r="W300" i="31"/>
  <c r="W299" i="31"/>
  <c r="W298" i="31"/>
  <c r="W297" i="31"/>
  <c r="W296" i="31"/>
  <c r="W295" i="31"/>
  <c r="W294" i="31"/>
  <c r="W293" i="31"/>
  <c r="W292" i="31"/>
  <c r="W291" i="31"/>
  <c r="W290" i="31"/>
  <c r="W289" i="31"/>
  <c r="W288" i="31"/>
  <c r="W287" i="31"/>
  <c r="W286" i="31"/>
  <c r="W285" i="31"/>
  <c r="W284" i="31"/>
  <c r="W283" i="31"/>
  <c r="W282" i="31"/>
  <c r="W281" i="31"/>
  <c r="W280" i="31"/>
  <c r="W279" i="31"/>
  <c r="W278" i="31"/>
  <c r="W277" i="31"/>
  <c r="W276" i="31"/>
  <c r="W275" i="31"/>
  <c r="W274" i="31"/>
  <c r="W273" i="31"/>
  <c r="W272" i="31"/>
  <c r="W271" i="31"/>
  <c r="W270" i="31"/>
  <c r="W269" i="31"/>
  <c r="W268" i="31"/>
  <c r="W267" i="31"/>
  <c r="W266" i="31"/>
  <c r="W265" i="31"/>
  <c r="W264" i="31"/>
  <c r="W263" i="31"/>
  <c r="W262" i="31"/>
  <c r="W261" i="31"/>
  <c r="W260" i="31"/>
  <c r="W259" i="31"/>
  <c r="W258" i="31"/>
  <c r="W257" i="31"/>
  <c r="W256" i="31"/>
  <c r="W255" i="31"/>
  <c r="W254" i="31"/>
  <c r="W253" i="31"/>
  <c r="W252" i="31"/>
  <c r="W251" i="31"/>
  <c r="W250" i="31"/>
  <c r="W249" i="31"/>
  <c r="W248" i="31"/>
  <c r="W247" i="31"/>
  <c r="W246" i="31"/>
  <c r="W245" i="31"/>
  <c r="W244" i="31"/>
  <c r="W243" i="31"/>
  <c r="W242" i="31"/>
  <c r="W241" i="31"/>
  <c r="W240" i="31"/>
  <c r="W239" i="31"/>
  <c r="W238" i="31"/>
  <c r="W237" i="31"/>
  <c r="W236" i="31"/>
  <c r="W235" i="31"/>
  <c r="W234" i="31"/>
  <c r="W233" i="31"/>
  <c r="W232" i="31"/>
  <c r="W231" i="31"/>
  <c r="W230" i="31"/>
  <c r="W229" i="31"/>
  <c r="W228" i="31"/>
  <c r="W227" i="31"/>
  <c r="W226" i="31"/>
  <c r="W225" i="31"/>
  <c r="W224" i="31"/>
  <c r="W223" i="31"/>
  <c r="W222" i="31"/>
  <c r="W221" i="31"/>
  <c r="W220" i="31"/>
  <c r="W219" i="31"/>
  <c r="W218" i="31"/>
  <c r="W217" i="31"/>
  <c r="W216" i="31"/>
  <c r="W215" i="31"/>
  <c r="W214" i="31"/>
  <c r="W213" i="31"/>
  <c r="W212" i="31"/>
  <c r="W211" i="31"/>
  <c r="W210" i="31"/>
  <c r="W209" i="31"/>
  <c r="W208" i="31"/>
  <c r="W207" i="31"/>
  <c r="W206" i="31"/>
  <c r="W205" i="31"/>
  <c r="W204" i="31"/>
  <c r="W203" i="31"/>
  <c r="W202" i="31"/>
  <c r="W201" i="31"/>
  <c r="W200" i="31"/>
  <c r="W199" i="31"/>
  <c r="W198" i="31"/>
  <c r="W197" i="31"/>
  <c r="W196" i="31"/>
  <c r="W195" i="31"/>
  <c r="W194" i="31"/>
  <c r="W193" i="31"/>
  <c r="W192" i="31"/>
  <c r="W191" i="31"/>
  <c r="W190" i="31"/>
  <c r="W189" i="31"/>
  <c r="W188" i="31"/>
  <c r="W187" i="31"/>
  <c r="W186" i="31"/>
  <c r="W185" i="31"/>
  <c r="W184" i="31"/>
  <c r="W183" i="31"/>
  <c r="W182" i="31"/>
  <c r="W181" i="31"/>
  <c r="W180" i="31"/>
  <c r="W179" i="31"/>
  <c r="W178" i="31"/>
  <c r="W177" i="31"/>
  <c r="W176" i="31"/>
  <c r="W175" i="31"/>
  <c r="W174" i="31"/>
  <c r="W173" i="31"/>
  <c r="W172" i="31"/>
  <c r="W171" i="31"/>
  <c r="W170" i="31"/>
  <c r="W169" i="31"/>
  <c r="W168" i="31"/>
  <c r="W167" i="31"/>
  <c r="W166" i="31"/>
  <c r="W165" i="31"/>
  <c r="W164" i="31"/>
  <c r="W163" i="31"/>
  <c r="W162" i="31"/>
  <c r="W161" i="31"/>
  <c r="W160" i="31"/>
  <c r="W159" i="31"/>
  <c r="W158" i="31"/>
  <c r="W157" i="31"/>
  <c r="W156" i="31"/>
  <c r="W155" i="31"/>
  <c r="W154" i="31"/>
  <c r="W153" i="31"/>
  <c r="W152" i="31"/>
  <c r="W151" i="31"/>
  <c r="W150" i="31"/>
  <c r="W149" i="31"/>
  <c r="W148" i="31"/>
  <c r="W147" i="31"/>
  <c r="W146" i="31"/>
  <c r="W145" i="31"/>
  <c r="W144" i="31"/>
  <c r="W143" i="31"/>
  <c r="W142" i="31"/>
  <c r="W141" i="31"/>
  <c r="W140" i="31"/>
  <c r="W139" i="31"/>
  <c r="W138" i="31"/>
  <c r="W137" i="31"/>
  <c r="W136" i="31"/>
  <c r="W135" i="31"/>
  <c r="W134" i="31"/>
  <c r="W133" i="31"/>
  <c r="W132" i="31"/>
  <c r="W131" i="31"/>
  <c r="W130" i="31"/>
  <c r="W129" i="31"/>
  <c r="W128" i="31"/>
  <c r="W127" i="31"/>
  <c r="W126" i="31"/>
  <c r="W125" i="31"/>
  <c r="W124" i="31"/>
  <c r="W123" i="31"/>
  <c r="W122" i="31"/>
  <c r="W121" i="31"/>
  <c r="W120" i="31"/>
  <c r="W119" i="31"/>
  <c r="W118" i="31"/>
  <c r="W117" i="31"/>
  <c r="W116" i="31"/>
  <c r="W115" i="31"/>
  <c r="W114" i="31"/>
  <c r="W113" i="31"/>
  <c r="W112" i="31"/>
  <c r="W111" i="31"/>
  <c r="W110" i="31"/>
  <c r="W109" i="31"/>
  <c r="W108" i="31"/>
  <c r="W107" i="31"/>
  <c r="W106" i="31"/>
  <c r="W105" i="31"/>
  <c r="W104" i="31"/>
  <c r="W103" i="31"/>
  <c r="W102" i="31"/>
  <c r="W101" i="31"/>
  <c r="W100" i="31"/>
  <c r="W99" i="31"/>
  <c r="W98" i="31"/>
  <c r="W97" i="31"/>
  <c r="W96" i="31"/>
  <c r="W95" i="31"/>
  <c r="W94" i="31"/>
  <c r="W93" i="31"/>
  <c r="W92" i="31"/>
  <c r="W91" i="31"/>
  <c r="W90" i="31"/>
  <c r="W89" i="31"/>
  <c r="W88" i="31"/>
  <c r="W87" i="31"/>
  <c r="W86" i="31"/>
  <c r="W85" i="31"/>
  <c r="W84" i="31"/>
  <c r="W83" i="31"/>
  <c r="W82" i="31"/>
  <c r="W81" i="31"/>
  <c r="W80" i="31"/>
  <c r="W79" i="31"/>
  <c r="W78" i="31"/>
  <c r="W77" i="31"/>
  <c r="W76" i="31"/>
  <c r="W75" i="31"/>
  <c r="W74" i="31"/>
  <c r="W73" i="31"/>
  <c r="W72" i="31"/>
  <c r="W71" i="31"/>
  <c r="W70" i="31"/>
  <c r="W69" i="31"/>
  <c r="W68" i="31"/>
  <c r="W67" i="31"/>
  <c r="W66" i="31"/>
  <c r="W65" i="31"/>
  <c r="W64" i="31"/>
  <c r="W63" i="31"/>
  <c r="W62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49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36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23" i="31"/>
  <c r="W22" i="31"/>
  <c r="W21" i="31"/>
  <c r="W20" i="31"/>
  <c r="W19" i="31"/>
  <c r="W18" i="31"/>
  <c r="W17" i="31"/>
  <c r="W16" i="31"/>
  <c r="W15" i="31"/>
  <c r="W14" i="31"/>
  <c r="W13" i="31"/>
  <c r="W12" i="31"/>
  <c r="W11" i="31"/>
  <c r="W10" i="31"/>
  <c r="W9" i="31"/>
  <c r="W8" i="31"/>
  <c r="W7" i="31"/>
  <c r="Y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<sst xmlns="http://schemas.openxmlformats.org/spreadsheetml/2006/main" count="1437" uniqueCount="425">
  <si>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</si>
  <si>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</si>
  <si>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</si>
  <si>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</si>
  <si>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</si>
  <si>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</si>
  <si>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</si>
  <si>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</si>
  <si>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</si>
  <si>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</si>
  <si>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</si>
  <si>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</si>
  <si>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</si>
  <si>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</si>
  <si>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</si>
  <si>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</si>
  <si>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</si>
  <si>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</si>
  <si>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</si>
  <si>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</si>
  <si>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</si>
  <si>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</si>
  <si>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</si>
  <si>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</si>
  <si>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</si>
  <si>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</si>
  <si>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</si>
  <si>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</si>
  <si>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</si>
  <si>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</si>
  <si>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</si>
  <si>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</si>
  <si>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</si>
  <si>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</si>
  <si>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</si>
  <si>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</si>
  <si>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</si>
  <si>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</si>
  <si>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</si>
  <si>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</si>
  <si>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</si>
  <si>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</si>
  <si>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</si>
  <si>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</si>
  <si>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</si>
  <si>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</si>
  <si>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</si>
  <si>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</si>
  <si>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</si>
  <si>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</si>
  <si>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</si>
  <si>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</si>
  <si>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</si>
  <si>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</si>
  <si>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</si>
  <si>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</si>
  <si>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</si>
  <si>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</si>
  <si>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</si>
  <si>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</si>
  <si>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</si>
  <si>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</si>
  <si>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</si>
  <si>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</si>
  <si>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</si>
  <si>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</si>
  <si>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</si>
  <si>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</si>
  <si>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</si>
  <si>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</si>
  <si>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</si>
  <si>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</si>
  <si>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</si>
  <si>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</si>
  <si>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</si>
  <si>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</si>
  <si>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</si>
  <si>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</si>
  <si>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</si>
  <si>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</si>
  <si>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</si>
  <si>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</si>
  <si>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</si>
  <si>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</si>
  <si>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</si>
  <si>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</si>
  <si>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</si>
  <si>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</si>
  <si>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</si>
  <si>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</si>
  <si>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</si>
  <si>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</si>
  <si>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</si>
  <si>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</si>
  <si>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</si>
  <si>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</si>
  <si>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</si>
  <si>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</si>
  <si>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</si>
  <si>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</si>
  <si>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</si>
  <si>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</si>
  <si>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</si>
  <si>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</si>
  <si>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</si>
  <si>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</si>
  <si>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</si>
  <si>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</si>
  <si>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</si>
  <si>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</si>
  <si>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</si>
  <si>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</si>
  <si>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</si>
  <si>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</si>
  <si>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</si>
  <si>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</si>
  <si>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</si>
  <si>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</si>
  <si>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</si>
  <si>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</si>
  <si>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</si>
  <si>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</si>
  <si>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</si>
  <si>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</si>
  <si>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</si>
  <si>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</si>
  <si>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</si>
  <si>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</si>
  <si>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</si>
  <si>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</si>
  <si>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</si>
  <si>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</si>
  <si>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</si>
  <si>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</si>
  <si>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</si>
  <si>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</si>
  <si>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</si>
  <si>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</si>
  <si>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</si>
  <si>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</si>
  <si>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</si>
  <si>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</si>
  <si>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</si>
  <si>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</si>
  <si>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</si>
  <si>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</si>
  <si>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</si>
  <si>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</si>
  <si>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</si>
  <si>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</si>
  <si>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</si>
  <si>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</si>
  <si>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</si>
  <si>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</si>
  <si>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</si>
  <si>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</si>
  <si>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</si>
  <si>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</si>
  <si>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</si>
  <si>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</si>
  <si>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</si>
  <si>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</si>
  <si>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</si>
  <si>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</si>
  <si>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</si>
  <si>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</si>
  <si>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</si>
  <si>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</si>
  <si>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</si>
  <si>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</si>
  <si>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</si>
  <si>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</si>
  <si>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</si>
  <si>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</si>
  <si>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</si>
  <si>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</si>
  <si>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</si>
  <si>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</si>
  <si>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</si>
  <si>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</si>
  <si>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</si>
  <si>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</si>
  <si>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</si>
  <si>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</si>
  <si>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</si>
  <si>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</si>
  <si>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</si>
  <si>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</si>
  <si>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</si>
  <si>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</si>
  <si>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</si>
  <si>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</si>
  <si>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</si>
  <si>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</si>
  <si>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</si>
  <si>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</si>
  <si>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</si>
  <si>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</si>
  <si>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</si>
  <si>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</si>
  <si>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</si>
  <si>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</si>
  <si>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</si>
  <si>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</si>
  <si>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</si>
  <si>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</si>
  <si>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</si>
  <si>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</si>
  <si>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</si>
  <si>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</si>
  <si>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</si>
  <si>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</si>
  <si>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</si>
  <si>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</si>
  <si>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</si>
  <si>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</si>
  <si>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</si>
  <si>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</si>
  <si>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</si>
  <si>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</si>
  <si>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</si>
  <si>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</si>
  <si>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</si>
  <si>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</si>
  <si>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</si>
  <si>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</si>
  <si>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</si>
  <si>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</si>
  <si>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</si>
  <si>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</si>
  <si>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</si>
  <si>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</si>
  <si>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</si>
  <si>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</si>
  <si>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</si>
  <si>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</si>
  <si>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</si>
  <si>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</si>
  <si>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</si>
  <si>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</si>
  <si>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</si>
  <si>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</si>
  <si>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</si>
  <si>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</si>
  <si>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</si>
  <si>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</si>
  <si>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</si>
  <si>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</si>
  <si>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</si>
  <si>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</si>
  <si>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</si>
  <si>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</si>
  <si>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</si>
  <si>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</si>
  <si>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</si>
  <si>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</si>
  <si>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</si>
  <si>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</si>
  <si>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</si>
  <si>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</si>
  <si>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</si>
  <si>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</si>
  <si>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</si>
  <si>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</si>
  <si>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</si>
  <si>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</si>
  <si>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</si>
  <si>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</si>
  <si>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</si>
  <si>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</si>
  <si>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</si>
  <si>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</si>
  <si>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</si>
  <si>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</si>
  <si>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</si>
  <si>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</si>
  <si>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</si>
  <si>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</si>
  <si>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</si>
  <si>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</si>
  <si>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</si>
  <si>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</si>
  <si>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</si>
  <si>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</si>
  <si>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</si>
  <si>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</si>
  <si>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</si>
  <si>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</si>
  <si>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</si>
  <si>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</si>
  <si>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</si>
  <si>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</si>
  <si>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</si>
  <si>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</si>
  <si>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</si>
  <si>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</si>
  <si>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</si>
  <si>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</si>
  <si>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</si>
  <si>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</si>
  <si>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</si>
  <si>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</si>
  <si>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</si>
  <si>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</si>
  <si>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</si>
  <si>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</si>
  <si>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</si>
  <si>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</si>
  <si>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</si>
  <si>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</si>
  <si>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</si>
  <si>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</si>
  <si>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</si>
  <si>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</si>
  <si>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</si>
  <si>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</si>
  <si>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</si>
  <si>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</si>
  <si>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</si>
  <si>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</si>
  <si>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</si>
  <si>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</si>
  <si>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</si>
  <si>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</si>
  <si>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</si>
  <si>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</si>
  <si>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</si>
  <si>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</si>
  <si>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</si>
  <si>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</si>
  <si>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</si>
  <si>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</si>
  <si>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</si>
  <si>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</si>
  <si>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</si>
  <si>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</si>
  <si>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</si>
  <si>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</si>
  <si>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</si>
  <si>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</si>
  <si>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</si>
  <si>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</si>
  <si>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</si>
  <si>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</si>
  <si>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</si>
  <si>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</si>
  <si>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</si>
  <si>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</si>
  <si>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</si>
  <si>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</si>
  <si>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</si>
  <si>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</si>
  <si>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</si>
  <si>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</si>
  <si>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</si>
  <si>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</si>
  <si>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</si>
  <si>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</si>
  <si>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</si>
  <si>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</si>
  <si>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</si>
  <si>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</si>
  <si>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</si>
  <si>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</si>
  <si>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</si>
  <si>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</si>
  <si>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</si>
  <si>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</si>
  <si>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</si>
  <si>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</si>
  <si>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</si>
  <si>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</si>
  <si>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</si>
  <si>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</si>
  <si>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</si>
  <si>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</si>
  <si>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</si>
  <si>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</si>
  <si>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</si>
  <si>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</si>
  <si>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</si>
  <si>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</si>
  <si>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</si>
  <si>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</si>
  <si>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</si>
  <si>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</si>
  <si>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</si>
  <si>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</si>
  <si>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</si>
  <si>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</si>
  <si>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</si>
  <si>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</si>
  <si>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</si>
  <si>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</si>
  <si>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</si>
  <si>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</si>
  <si>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</si>
  <si>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</si>
  <si>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</si>
  <si>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</si>
  <si>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</si>
  <si>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</si>
  <si>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</si>
  <si>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</si>
  <si>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</si>
  <si>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</si>
  <si>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</si>
  <si>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</si>
  <si>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</si>
  <si>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additional_previous_op_tow</t>
  </si>
  <si>
    <t>string_disconnection</t>
  </si>
  <si>
    <t>ofw_OP005</t>
  </si>
  <si>
    <t>OP005</t>
  </si>
  <si>
    <t>recommissioning_time</t>
  </si>
  <si>
    <t>avoid_month_correction</t>
  </si>
  <si>
    <t>Metocean tow distance to previous point 1</t>
  </si>
  <si>
    <t>Metocean tow distance to previous point 2</t>
  </si>
  <si>
    <t>./tests/test_files/test_end_to_end</t>
  </si>
  <si>
    <t>./tests/test_files/metocean/metocean_02years.csv</t>
  </si>
  <si>
    <t>./tests/test_files/pmatrix_wave.csv</t>
  </si>
  <si>
    <t>./tests/test_files/pcurve_wind.csv</t>
  </si>
  <si>
    <t>Metocean file port</t>
  </si>
  <si>
    <t>preferred_day</t>
  </si>
  <si>
    <t>Electric losses file location</t>
  </si>
  <si>
    <t>Wave losses file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</si>
</sst>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78">
    <dxf>
      <fill>
        <patternFill patternType="darkGray"/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darkGray"/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darkGray"/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4.5" x14ac:dyDescent="0.35"/>
  <sheetData>
    <row r="2" spans="2:3" x14ac:dyDescent="0.35">
      <c r="B2" s="3"/>
      <c r="C2" t="s">
        <v>0</v>
      </c>
    </row>
    <row r="3" spans="2:3" x14ac:dyDescent="0.35">
      <c r="B3" t="s">
        <v>1</v>
      </c>
      <c r="C3" t="s">
        <v>2</v>
      </c>
    </row>
    <row r="4" spans="2:3" x14ac:dyDescent="0.35">
      <c r="B4" t="s">
        <v>3</v>
      </c>
      <c r="C4" t="s">
        <v>4</v>
      </c>
    </row>
    <row r="5" spans="2:3" x14ac:dyDescent="0.35">
      <c r="B5" t="s">
        <v>5</v>
      </c>
      <c r="C5" t="s">
        <v>6</v>
      </c>
    </row>
    <row r="6" spans="2:3" x14ac:dyDescent="0.3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G9" sqref="G9"/>
    </sheetView>
  </sheetViews>
  <sheetFormatPr defaultRowHeight="14.5" x14ac:dyDescent="0.35"/>
  <cols>
    <col min="1" max="1" width="41.54296875" customWidth="1"/>
    <col min="2" max="2" width="10.7265625" customWidth="1"/>
    <col min="3" max="3" width="12.7265625" customWidth="1"/>
  </cols>
  <sheetData>
    <row r="1" spans="1:3" x14ac:dyDescent="0.35">
      <c r="A1" t="s">
        <v>9</v>
      </c>
      <c r="B1" t="s">
        <v>10</v>
      </c>
      <c r="C1" t="s">
        <v>11</v>
      </c>
    </row>
    <row r="2" spans="1:3" x14ac:dyDescent="0.35">
      <c r="A2" t="s">
        <v>12</v>
      </c>
      <c r="B2" t="s">
        <v>13</v>
      </c>
      <c r="C2" s="49"/>
    </row>
    <row r="3" spans="1:3" x14ac:dyDescent="0.35">
      <c r="A3" t="s">
        <v>14</v>
      </c>
      <c r="B3" t="s">
        <v>13</v>
      </c>
      <c r="C3" s="30" t="b">
        <v>0</v>
      </c>
    </row>
    <row r="4" spans="1:3" x14ac:dyDescent="0.35">
      <c r="A4" t="s">
        <v>15</v>
      </c>
      <c r="B4" t="s">
        <v>13</v>
      </c>
      <c r="C4" s="30">
        <v>1</v>
      </c>
    </row>
    <row r="5" spans="1:3" x14ac:dyDescent="0.35">
      <c r="A5" s="47" t="s">
        <v>16</v>
      </c>
      <c r="B5" s="48" t="s">
        <v>13</v>
      </c>
      <c r="C5" s="47" t="b">
        <v>0</v>
      </c>
    </row>
    <row r="6" spans="1:3" x14ac:dyDescent="0.35">
      <c r="A6" t="s">
        <v>17</v>
      </c>
      <c r="B6" t="s">
        <v>13</v>
      </c>
      <c r="C6" s="30" t="b">
        <v>1</v>
      </c>
    </row>
    <row r="7" spans="1:3" x14ac:dyDescent="0.35">
      <c r="A7" s="47" t="s">
        <v>18</v>
      </c>
      <c r="B7" s="48" t="s">
        <v>13</v>
      </c>
      <c r="C7" s="49"/>
    </row>
    <row r="8" spans="1:3" x14ac:dyDescent="0.35">
      <c r="A8" s="47" t="s">
        <v>19</v>
      </c>
      <c r="B8" t="s">
        <v>13</v>
      </c>
      <c r="C8" t="s">
        <v>417</v>
      </c>
    </row>
    <row r="9" spans="1:3" x14ac:dyDescent="0.35">
      <c r="C9" s="20"/>
    </row>
    <row r="10" spans="1:3" x14ac:dyDescent="0.35">
      <c r="C10" s="20"/>
    </row>
    <row r="11" spans="1:3" x14ac:dyDescent="0.35">
      <c r="C11" s="21"/>
    </row>
    <row r="12" spans="1:3" x14ac:dyDescent="0.35">
      <c r="C12" s="23"/>
    </row>
    <row r="13" spans="1:3" x14ac:dyDescent="0.35">
      <c r="C13" s="23"/>
    </row>
    <row r="14" spans="1:3" x14ac:dyDescent="0.35">
      <c r="C14" s="23"/>
    </row>
    <row r="15" spans="1:3" x14ac:dyDescent="0.35">
      <c r="C15" s="23"/>
    </row>
    <row r="16" spans="1:3" x14ac:dyDescent="0.35">
      <c r="C16" s="23"/>
    </row>
    <row r="17" spans="3:3" x14ac:dyDescent="0.35">
      <c r="C17" s="21"/>
    </row>
    <row r="18" spans="3:3" x14ac:dyDescent="0.35">
      <c r="C18" s="21"/>
    </row>
    <row r="19" spans="3:3" x14ac:dyDescent="0.35">
      <c r="C19" s="20"/>
    </row>
    <row r="20" spans="3:3" x14ac:dyDescent="0.35">
      <c r="C20" s="20"/>
    </row>
    <row r="21" spans="3:3" x14ac:dyDescent="0.35">
      <c r="C21" s="16"/>
    </row>
    <row r="22" spans="3:3" x14ac:dyDescent="0.35">
      <c r="C22" s="21"/>
    </row>
    <row r="23" spans="3:3" x14ac:dyDescent="0.35">
      <c r="C23" s="23"/>
    </row>
    <row r="24" spans="3:3" x14ac:dyDescent="0.35">
      <c r="C24" s="16"/>
    </row>
    <row r="25" spans="3:3" x14ac:dyDescent="0.35">
      <c r="C25" s="16"/>
    </row>
    <row r="26" spans="3:3" x14ac:dyDescent="0.35">
      <c r="C26" s="16"/>
    </row>
  </sheetData>
  <conditionalFormatting sqref="C5">
    <cfRule type="expression" dxfId="77" priority="1">
      <formula>AND(ISBLANK($C$3),$C$5&lt;&gt;FALSE)</formula>
    </cfRule>
    <cfRule type="expression" dxfId="76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workbookViewId="0">
      <selection activeCell="D5" sqref="D5"/>
    </sheetView>
  </sheetViews>
  <sheetFormatPr defaultRowHeight="14.5" x14ac:dyDescent="0.35"/>
  <cols>
    <col min="3" max="3" width="14.7265625" bestFit="1" customWidth="1"/>
    <col min="4" max="4" width="16.7265625" customWidth="1"/>
    <col min="5" max="5" width="15.26953125" customWidth="1"/>
    <col min="6" max="6" width="20.26953125" style="2" customWidth="1"/>
    <col min="7" max="7" width="14.54296875" customWidth="1"/>
    <col min="8" max="8" width="17.1796875" bestFit="1" customWidth="1"/>
    <col min="9" max="9" width="14.54296875" customWidth="1"/>
    <col min="10" max="11" width="14.54296875" style="1" customWidth="1"/>
    <col min="16" max="21" width="18.7265625" customWidth="1"/>
    <col min="22" max="22" width="21.54296875" bestFit="1" customWidth="1"/>
    <col min="23" max="23" width="18.7265625" customWidth="1"/>
    <col min="24" max="24" width="50.7265625" customWidth="1"/>
  </cols>
  <sheetData>
    <row r="1" spans="1:24" x14ac:dyDescent="0.3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  <c r="P1" t="s">
        <v>69</v>
      </c>
      <c r="Q1" t="s">
        <v>70</v>
      </c>
      <c r="R1" t="s">
        <v>71</v>
      </c>
      <c r="S1" t="s">
        <v>72</v>
      </c>
      <c r="T1" s="47" t="s">
        <v>73</v>
      </c>
      <c r="U1" s="47" t="s">
        <v>74</v>
      </c>
      <c r="V1" s="47" t="s">
        <v>75</v>
      </c>
      <c r="W1" s="47" t="s">
        <v>76</v>
      </c>
      <c r="X1" t="s">
        <v>77</v>
      </c>
    </row>
    <row r="2" spans="1:24" x14ac:dyDescent="0.35">
      <c r="A2" t="s">
        <v>13</v>
      </c>
      <c r="E2" t="s">
        <v>27</v>
      </c>
      <c r="F2" t="s">
        <v>27</v>
      </c>
      <c r="G2" t="s">
        <v>78</v>
      </c>
      <c r="H2" t="s">
        <v>79</v>
      </c>
      <c r="I2" t="s">
        <v>78</v>
      </c>
      <c r="J2" t="s">
        <v>13</v>
      </c>
      <c r="K2" t="s">
        <v>13</v>
      </c>
      <c r="L2" t="s">
        <v>80</v>
      </c>
      <c r="M2" t="s">
        <v>13</v>
      </c>
      <c r="N2" t="s">
        <v>13</v>
      </c>
      <c r="O2" t="s">
        <v>13</v>
      </c>
      <c r="P2" t="s">
        <v>81</v>
      </c>
      <c r="Q2" t="s">
        <v>81</v>
      </c>
      <c r="R2" t="s">
        <v>81</v>
      </c>
      <c r="S2" t="s">
        <v>82</v>
      </c>
      <c r="T2" s="48" t="s">
        <v>13</v>
      </c>
      <c r="U2" s="48" t="s">
        <v>13</v>
      </c>
      <c r="V2" s="47" t="s">
        <v>83</v>
      </c>
      <c r="W2" s="47" t="s">
        <v>13</v>
      </c>
    </row>
    <row r="3" spans="1:24" x14ac:dyDescent="0.35">
      <c r="A3" t="s">
        <v>86</v>
      </c>
      <c r="B3" t="s">
        <v>87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92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35">
      <c r="A4" t="s">
        <v>88</v>
      </c>
      <c r="B4" t="s">
        <v>89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92</v>
      </c>
      <c r="N4" t="b">
        <v>0</v>
      </c>
      <c r="O4" t="b">
        <v>0</v>
      </c>
      <c r="P4" s="29"/>
      <c r="Q4" s="29"/>
      <c r="R4" s="29"/>
      <c r="S4" s="47"/>
    </row>
    <row r="5" spans="1:24" x14ac:dyDescent="0.35">
      <c r="A5" t="s">
        <v>84</v>
      </c>
      <c r="B5" t="s">
        <v>91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92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35">
      <c r="H6" s="2"/>
    </row>
    <row r="7" spans="1:24" x14ac:dyDescent="0.35">
      <c r="H7" s="2"/>
    </row>
    <row r="8" spans="1:24" x14ac:dyDescent="0.35">
      <c r="H8" s="2"/>
    </row>
    <row r="9" spans="1:24" x14ac:dyDescent="0.35">
      <c r="H9" s="2"/>
    </row>
    <row r="10" spans="1:24" x14ac:dyDescent="0.35">
      <c r="H10" s="2"/>
    </row>
    <row r="11" spans="1:24" x14ac:dyDescent="0.35">
      <c r="H11" s="2"/>
    </row>
    <row r="12" spans="1:24" x14ac:dyDescent="0.35">
      <c r="H12" s="2"/>
    </row>
    <row r="13" spans="1:24" x14ac:dyDescent="0.35">
      <c r="H13" s="2"/>
    </row>
    <row r="14" spans="1:24" x14ac:dyDescent="0.35">
      <c r="H14" s="2"/>
    </row>
    <row r="15" spans="1:24" x14ac:dyDescent="0.35">
      <c r="H15" s="2"/>
    </row>
    <row r="16" spans="1:24" x14ac:dyDescent="0.35">
      <c r="H16" s="2"/>
    </row>
    <row r="17" spans="8:8" x14ac:dyDescent="0.35">
      <c r="H17" s="2"/>
    </row>
    <row r="18" spans="8:8" x14ac:dyDescent="0.35">
      <c r="H18" s="2"/>
    </row>
    <row r="19" spans="8:8" x14ac:dyDescent="0.35">
      <c r="H19" s="2"/>
    </row>
    <row r="20" spans="8:8" x14ac:dyDescent="0.35">
      <c r="H20" s="2"/>
    </row>
    <row r="21" spans="8:8" x14ac:dyDescent="0.35">
      <c r="H21" s="2"/>
    </row>
    <row r="22" spans="8:8" x14ac:dyDescent="0.35">
      <c r="H22" s="2"/>
    </row>
    <row r="23" spans="8:8" x14ac:dyDescent="0.35">
      <c r="H23" s="2"/>
    </row>
    <row r="24" spans="8:8" x14ac:dyDescent="0.35">
      <c r="H24" s="2"/>
    </row>
    <row r="25" spans="8:8" x14ac:dyDescent="0.35">
      <c r="H25" s="2"/>
    </row>
    <row r="26" spans="8:8" x14ac:dyDescent="0.35">
      <c r="H26" s="2"/>
    </row>
    <row r="27" spans="8:8" x14ac:dyDescent="0.35">
      <c r="H27" s="2"/>
    </row>
    <row r="28" spans="8:8" x14ac:dyDescent="0.35">
      <c r="H28" s="2"/>
    </row>
    <row r="29" spans="8:8" x14ac:dyDescent="0.35">
      <c r="H29" s="2"/>
    </row>
    <row r="30" spans="8:8" x14ac:dyDescent="0.35">
      <c r="H30" s="2"/>
    </row>
    <row r="31" spans="8:8" x14ac:dyDescent="0.35">
      <c r="H31" s="2"/>
    </row>
    <row r="32" spans="8:8" x14ac:dyDescent="0.35">
      <c r="H32" s="2"/>
    </row>
    <row r="33" spans="8:8" x14ac:dyDescent="0.35">
      <c r="H33" s="2"/>
    </row>
    <row r="34" spans="8:8" x14ac:dyDescent="0.35">
      <c r="H34" s="2"/>
    </row>
    <row r="35" spans="8:8" x14ac:dyDescent="0.35">
      <c r="H35" s="2"/>
    </row>
    <row r="36" spans="8:8" x14ac:dyDescent="0.35">
      <c r="H36" s="2"/>
    </row>
    <row r="37" spans="8:8" x14ac:dyDescent="0.35">
      <c r="H37" s="2"/>
    </row>
    <row r="38" spans="8:8" x14ac:dyDescent="0.35">
      <c r="H38" s="2"/>
    </row>
    <row r="39" spans="8:8" x14ac:dyDescent="0.35">
      <c r="H39" s="2"/>
    </row>
    <row r="40" spans="8:8" x14ac:dyDescent="0.35">
      <c r="H40" s="2"/>
    </row>
    <row r="41" spans="8:8" x14ac:dyDescent="0.35">
      <c r="H41" s="2"/>
    </row>
    <row r="42" spans="8:8" x14ac:dyDescent="0.35">
      <c r="H42" s="2"/>
    </row>
    <row r="43" spans="8:8" x14ac:dyDescent="0.35">
      <c r="H43" s="2"/>
    </row>
    <row r="44" spans="8:8" x14ac:dyDescent="0.35">
      <c r="H44" s="2"/>
    </row>
    <row r="45" spans="8:8" x14ac:dyDescent="0.35">
      <c r="H45" s="2"/>
    </row>
    <row r="46" spans="8:8" x14ac:dyDescent="0.35">
      <c r="H46" s="2"/>
    </row>
    <row r="47" spans="8:8" x14ac:dyDescent="0.35">
      <c r="H47" s="2"/>
    </row>
    <row r="48" spans="8:8" x14ac:dyDescent="0.35">
      <c r="H48" s="2"/>
    </row>
    <row r="49" spans="8:8" x14ac:dyDescent="0.35">
      <c r="H49" s="2"/>
    </row>
    <row r="50" spans="8:8" x14ac:dyDescent="0.35">
      <c r="H50" s="2"/>
    </row>
    <row r="51" spans="8:8" x14ac:dyDescent="0.35">
      <c r="H51" s="2"/>
    </row>
    <row r="52" spans="8:8" x14ac:dyDescent="0.35">
      <c r="H52" s="2"/>
    </row>
    <row r="53" spans="8:8" x14ac:dyDescent="0.35">
      <c r="H53" s="2"/>
    </row>
    <row r="54" spans="8:8" x14ac:dyDescent="0.35">
      <c r="H54" s="2"/>
    </row>
    <row r="55" spans="8:8" x14ac:dyDescent="0.35">
      <c r="H55" s="2"/>
    </row>
    <row r="56" spans="8:8" x14ac:dyDescent="0.35">
      <c r="H56" s="2"/>
    </row>
    <row r="57" spans="8:8" x14ac:dyDescent="0.35">
      <c r="H57" s="2"/>
    </row>
    <row r="58" spans="8:8" x14ac:dyDescent="0.35">
      <c r="H58" s="2"/>
    </row>
    <row r="59" spans="8:8" x14ac:dyDescent="0.35">
      <c r="H59" s="2"/>
    </row>
    <row r="60" spans="8:8" x14ac:dyDescent="0.35">
      <c r="H60" s="2"/>
    </row>
    <row r="61" spans="8:8" x14ac:dyDescent="0.35">
      <c r="H61" s="2"/>
    </row>
    <row r="62" spans="8:8" x14ac:dyDescent="0.35">
      <c r="H62" s="2"/>
    </row>
    <row r="63" spans="8:8" x14ac:dyDescent="0.35">
      <c r="H63" s="2"/>
    </row>
    <row r="64" spans="8:8" x14ac:dyDescent="0.35">
      <c r="H64" s="2"/>
    </row>
    <row r="65" spans="8:8" x14ac:dyDescent="0.35">
      <c r="H65" s="2"/>
    </row>
    <row r="66" spans="8:8" x14ac:dyDescent="0.35">
      <c r="H66" s="2"/>
    </row>
    <row r="67" spans="8:8" x14ac:dyDescent="0.35">
      <c r="H67" s="2"/>
    </row>
    <row r="68" spans="8:8" x14ac:dyDescent="0.35">
      <c r="H68" s="2"/>
    </row>
    <row r="69" spans="8:8" x14ac:dyDescent="0.35">
      <c r="H69" s="2"/>
    </row>
    <row r="70" spans="8:8" x14ac:dyDescent="0.35">
      <c r="H70" s="2"/>
    </row>
    <row r="71" spans="8:8" x14ac:dyDescent="0.35">
      <c r="H71" s="2"/>
    </row>
    <row r="72" spans="8:8" x14ac:dyDescent="0.35">
      <c r="H72" s="2"/>
    </row>
    <row r="73" spans="8:8" x14ac:dyDescent="0.35">
      <c r="H73" s="2"/>
    </row>
    <row r="74" spans="8:8" x14ac:dyDescent="0.35">
      <c r="H74" s="2"/>
    </row>
    <row r="75" spans="8:8" x14ac:dyDescent="0.35">
      <c r="H75" s="2"/>
    </row>
    <row r="76" spans="8:8" x14ac:dyDescent="0.35">
      <c r="H76" s="2"/>
    </row>
    <row r="77" spans="8:8" x14ac:dyDescent="0.35">
      <c r="H77" s="2"/>
    </row>
    <row r="78" spans="8:8" x14ac:dyDescent="0.35">
      <c r="H78" s="2"/>
    </row>
    <row r="79" spans="8:8" x14ac:dyDescent="0.35">
      <c r="H79" s="2"/>
    </row>
    <row r="80" spans="8:8" x14ac:dyDescent="0.35">
      <c r="H80" s="2"/>
    </row>
    <row r="81" spans="8:8" x14ac:dyDescent="0.35">
      <c r="H81" s="2"/>
    </row>
    <row r="82" spans="8:8" x14ac:dyDescent="0.35">
      <c r="H82" s="2"/>
    </row>
    <row r="83" spans="8:8" x14ac:dyDescent="0.35">
      <c r="H83" s="2"/>
    </row>
    <row r="84" spans="8:8" x14ac:dyDescent="0.35">
      <c r="H84" s="2"/>
    </row>
    <row r="85" spans="8:8" x14ac:dyDescent="0.35">
      <c r="H85" s="2"/>
    </row>
    <row r="86" spans="8:8" x14ac:dyDescent="0.35">
      <c r="H86" s="2"/>
    </row>
    <row r="87" spans="8:8" x14ac:dyDescent="0.35">
      <c r="H87" s="2"/>
    </row>
    <row r="88" spans="8:8" x14ac:dyDescent="0.35">
      <c r="H88" s="2"/>
    </row>
    <row r="89" spans="8:8" x14ac:dyDescent="0.35">
      <c r="H89" s="2"/>
    </row>
    <row r="90" spans="8:8" x14ac:dyDescent="0.35">
      <c r="H90" s="2"/>
    </row>
    <row r="91" spans="8:8" x14ac:dyDescent="0.35">
      <c r="H91" s="2"/>
    </row>
    <row r="92" spans="8:8" x14ac:dyDescent="0.35">
      <c r="H92" s="2"/>
    </row>
    <row r="93" spans="8:8" x14ac:dyDescent="0.35">
      <c r="H93" s="2"/>
    </row>
    <row r="94" spans="8:8" x14ac:dyDescent="0.35">
      <c r="H94" s="2"/>
    </row>
    <row r="95" spans="8:8" x14ac:dyDescent="0.35">
      <c r="H95" s="2"/>
    </row>
    <row r="96" spans="8:8" x14ac:dyDescent="0.35">
      <c r="H96" s="2"/>
    </row>
    <row r="97" spans="8:8" x14ac:dyDescent="0.35">
      <c r="H97" s="2"/>
    </row>
    <row r="98" spans="8:8" x14ac:dyDescent="0.35">
      <c r="H98" s="2"/>
    </row>
    <row r="99" spans="8:8" x14ac:dyDescent="0.35">
      <c r="H99" s="2"/>
    </row>
    <row r="100" spans="8:8" x14ac:dyDescent="0.35">
      <c r="H100" s="2"/>
    </row>
    <row r="101" spans="8:8" x14ac:dyDescent="0.35">
      <c r="H101" s="2"/>
    </row>
    <row r="102" spans="8:8" x14ac:dyDescent="0.35">
      <c r="H102" s="2"/>
    </row>
    <row r="103" spans="8:8" x14ac:dyDescent="0.35">
      <c r="H103" s="2"/>
    </row>
    <row r="104" spans="8:8" x14ac:dyDescent="0.35">
      <c r="H104" s="2"/>
    </row>
    <row r="105" spans="8:8" x14ac:dyDescent="0.35">
      <c r="H105" s="2"/>
    </row>
    <row r="106" spans="8:8" x14ac:dyDescent="0.35">
      <c r="H106" s="2"/>
    </row>
    <row r="107" spans="8:8" x14ac:dyDescent="0.35">
      <c r="H107" s="2"/>
    </row>
    <row r="108" spans="8:8" x14ac:dyDescent="0.35">
      <c r="H108" s="2"/>
    </row>
    <row r="109" spans="8:8" x14ac:dyDescent="0.35">
      <c r="H109" s="2"/>
    </row>
    <row r="110" spans="8:8" x14ac:dyDescent="0.35">
      <c r="H110" s="2"/>
    </row>
    <row r="111" spans="8:8" x14ac:dyDescent="0.35">
      <c r="H111" s="2"/>
    </row>
    <row r="112" spans="8:8" x14ac:dyDescent="0.35">
      <c r="H112" s="2"/>
    </row>
    <row r="113" spans="8:8" x14ac:dyDescent="0.35">
      <c r="H113" s="2"/>
    </row>
    <row r="114" spans="8:8" x14ac:dyDescent="0.35">
      <c r="H114" s="2"/>
    </row>
    <row r="115" spans="8:8" x14ac:dyDescent="0.35">
      <c r="H115" s="2"/>
    </row>
    <row r="116" spans="8:8" x14ac:dyDescent="0.35">
      <c r="H116" s="2"/>
    </row>
    <row r="117" spans="8:8" x14ac:dyDescent="0.35">
      <c r="H117" s="2"/>
    </row>
    <row r="118" spans="8:8" x14ac:dyDescent="0.35">
      <c r="H118" s="2"/>
    </row>
    <row r="119" spans="8:8" x14ac:dyDescent="0.35">
      <c r="H119" s="2"/>
    </row>
    <row r="120" spans="8:8" x14ac:dyDescent="0.35">
      <c r="H120" s="2"/>
    </row>
    <row r="121" spans="8:8" x14ac:dyDescent="0.35">
      <c r="H121" s="2"/>
    </row>
    <row r="122" spans="8:8" x14ac:dyDescent="0.35">
      <c r="H122" s="2"/>
    </row>
    <row r="123" spans="8:8" x14ac:dyDescent="0.35">
      <c r="H123" s="2"/>
    </row>
    <row r="124" spans="8:8" x14ac:dyDescent="0.35">
      <c r="H124" s="2"/>
    </row>
    <row r="125" spans="8:8" x14ac:dyDescent="0.35">
      <c r="H125" s="2"/>
    </row>
    <row r="126" spans="8:8" x14ac:dyDescent="0.35">
      <c r="H126" s="2"/>
    </row>
    <row r="127" spans="8:8" x14ac:dyDescent="0.35">
      <c r="H127" s="2"/>
    </row>
    <row r="128" spans="8:8" x14ac:dyDescent="0.35">
      <c r="H128" s="2"/>
    </row>
    <row r="129" spans="8:8" x14ac:dyDescent="0.35">
      <c r="H129" s="2"/>
    </row>
    <row r="130" spans="8:8" x14ac:dyDescent="0.35">
      <c r="H130" s="2"/>
    </row>
    <row r="131" spans="8:8" x14ac:dyDescent="0.35">
      <c r="H131" s="2"/>
    </row>
    <row r="132" spans="8:8" x14ac:dyDescent="0.35">
      <c r="H132" s="2"/>
    </row>
    <row r="133" spans="8:8" x14ac:dyDescent="0.35">
      <c r="H133" s="2"/>
    </row>
    <row r="134" spans="8:8" x14ac:dyDescent="0.35">
      <c r="H134" s="2"/>
    </row>
    <row r="135" spans="8:8" x14ac:dyDescent="0.35">
      <c r="H135" s="2"/>
    </row>
    <row r="136" spans="8:8" x14ac:dyDescent="0.35">
      <c r="H136" s="2"/>
    </row>
    <row r="137" spans="8:8" x14ac:dyDescent="0.35">
      <c r="H137" s="2"/>
    </row>
    <row r="138" spans="8:8" x14ac:dyDescent="0.35">
      <c r="H138" s="2"/>
    </row>
    <row r="139" spans="8:8" x14ac:dyDescent="0.35">
      <c r="H139" s="2"/>
    </row>
    <row r="140" spans="8:8" x14ac:dyDescent="0.35">
      <c r="H140" s="2"/>
    </row>
    <row r="141" spans="8:8" x14ac:dyDescent="0.35">
      <c r="H141" s="2"/>
    </row>
    <row r="142" spans="8:8" x14ac:dyDescent="0.35">
      <c r="H142" s="2"/>
    </row>
    <row r="143" spans="8:8" x14ac:dyDescent="0.35">
      <c r="H143" s="2"/>
    </row>
    <row r="144" spans="8:8" x14ac:dyDescent="0.35">
      <c r="H144" s="2"/>
    </row>
    <row r="145" spans="8:8" x14ac:dyDescent="0.35">
      <c r="H145" s="2"/>
    </row>
    <row r="146" spans="8:8" x14ac:dyDescent="0.35">
      <c r="H146" s="2"/>
    </row>
    <row r="147" spans="8:8" x14ac:dyDescent="0.35">
      <c r="H147" s="2"/>
    </row>
    <row r="148" spans="8:8" x14ac:dyDescent="0.35">
      <c r="H148" s="2"/>
    </row>
    <row r="149" spans="8:8" x14ac:dyDescent="0.35">
      <c r="H149" s="2"/>
    </row>
    <row r="150" spans="8:8" x14ac:dyDescent="0.35">
      <c r="H150" s="2"/>
    </row>
    <row r="151" spans="8:8" x14ac:dyDescent="0.35">
      <c r="H151" s="2"/>
    </row>
    <row r="152" spans="8:8" x14ac:dyDescent="0.35">
      <c r="H152" s="2"/>
    </row>
    <row r="153" spans="8:8" x14ac:dyDescent="0.35">
      <c r="H153" s="2"/>
    </row>
    <row r="154" spans="8:8" x14ac:dyDescent="0.35">
      <c r="H154" s="2"/>
    </row>
    <row r="155" spans="8:8" x14ac:dyDescent="0.35">
      <c r="H155" s="2"/>
    </row>
    <row r="156" spans="8:8" x14ac:dyDescent="0.35">
      <c r="H156" s="2"/>
    </row>
    <row r="157" spans="8:8" x14ac:dyDescent="0.35">
      <c r="H157" s="2"/>
    </row>
    <row r="158" spans="8:8" x14ac:dyDescent="0.35">
      <c r="H158" s="2"/>
    </row>
    <row r="159" spans="8:8" x14ac:dyDescent="0.35">
      <c r="H159" s="2"/>
    </row>
    <row r="160" spans="8:8" x14ac:dyDescent="0.35">
      <c r="H160" s="2"/>
    </row>
    <row r="161" spans="8:8" x14ac:dyDescent="0.35">
      <c r="H161" s="2"/>
    </row>
    <row r="162" spans="8:8" x14ac:dyDescent="0.35">
      <c r="H162" s="2"/>
    </row>
    <row r="163" spans="8:8" x14ac:dyDescent="0.35">
      <c r="H163" s="2"/>
    </row>
    <row r="164" spans="8:8" x14ac:dyDescent="0.35">
      <c r="H164" s="2"/>
    </row>
    <row r="165" spans="8:8" x14ac:dyDescent="0.35">
      <c r="H165" s="2"/>
    </row>
    <row r="166" spans="8:8" x14ac:dyDescent="0.35">
      <c r="H166" s="2"/>
    </row>
    <row r="167" spans="8:8" x14ac:dyDescent="0.35">
      <c r="H167" s="2"/>
    </row>
    <row r="168" spans="8:8" x14ac:dyDescent="0.35">
      <c r="H168" s="2"/>
    </row>
    <row r="169" spans="8:8" x14ac:dyDescent="0.35">
      <c r="H169" s="2"/>
    </row>
    <row r="170" spans="8:8" x14ac:dyDescent="0.35">
      <c r="H170" s="2"/>
    </row>
    <row r="171" spans="8:8" x14ac:dyDescent="0.35">
      <c r="H171" s="2"/>
    </row>
    <row r="172" spans="8:8" x14ac:dyDescent="0.35">
      <c r="H172" s="2"/>
    </row>
    <row r="173" spans="8:8" x14ac:dyDescent="0.35">
      <c r="H173" s="2"/>
    </row>
    <row r="174" spans="8:8" x14ac:dyDescent="0.35">
      <c r="H174" s="2"/>
    </row>
    <row r="175" spans="8:8" x14ac:dyDescent="0.35">
      <c r="H175" s="2"/>
    </row>
    <row r="176" spans="8:8" x14ac:dyDescent="0.35">
      <c r="H176" s="2"/>
    </row>
    <row r="177" spans="8:8" x14ac:dyDescent="0.35">
      <c r="H177" s="2"/>
    </row>
    <row r="178" spans="8:8" x14ac:dyDescent="0.35">
      <c r="H178" s="2"/>
    </row>
    <row r="179" spans="8:8" x14ac:dyDescent="0.35">
      <c r="H179" s="2"/>
    </row>
    <row r="180" spans="8:8" x14ac:dyDescent="0.35">
      <c r="H180" s="2"/>
    </row>
    <row r="181" spans="8:8" x14ac:dyDescent="0.35">
      <c r="H181" s="2"/>
    </row>
    <row r="182" spans="8:8" x14ac:dyDescent="0.35">
      <c r="H182" s="2"/>
    </row>
    <row r="183" spans="8:8" x14ac:dyDescent="0.35">
      <c r="H183" s="2"/>
    </row>
    <row r="184" spans="8:8" x14ac:dyDescent="0.35">
      <c r="H184" s="2"/>
    </row>
    <row r="185" spans="8:8" x14ac:dyDescent="0.35">
      <c r="H185" s="2"/>
    </row>
    <row r="186" spans="8:8" x14ac:dyDescent="0.35">
      <c r="H186" s="2"/>
    </row>
    <row r="187" spans="8:8" x14ac:dyDescent="0.35">
      <c r="H187" s="2"/>
    </row>
    <row r="188" spans="8:8" x14ac:dyDescent="0.35">
      <c r="H188" s="2"/>
    </row>
    <row r="189" spans="8:8" x14ac:dyDescent="0.35">
      <c r="H189" s="2"/>
    </row>
    <row r="190" spans="8:8" x14ac:dyDescent="0.35">
      <c r="H190" s="2"/>
    </row>
    <row r="191" spans="8:8" x14ac:dyDescent="0.35">
      <c r="H191" s="2"/>
    </row>
    <row r="192" spans="8:8" x14ac:dyDescent="0.35">
      <c r="H192" s="2"/>
    </row>
    <row r="193" spans="8:8" x14ac:dyDescent="0.35">
      <c r="H193" s="2"/>
    </row>
    <row r="194" spans="8:8" x14ac:dyDescent="0.35">
      <c r="H194" s="2"/>
    </row>
    <row r="195" spans="8:8" x14ac:dyDescent="0.35">
      <c r="H195" s="2"/>
    </row>
    <row r="196" spans="8:8" x14ac:dyDescent="0.35">
      <c r="H196" s="2"/>
    </row>
    <row r="197" spans="8:8" x14ac:dyDescent="0.35">
      <c r="H197" s="2"/>
    </row>
    <row r="198" spans="8:8" x14ac:dyDescent="0.35">
      <c r="H198" s="2"/>
    </row>
    <row r="199" spans="8:8" x14ac:dyDescent="0.35">
      <c r="H199" s="2"/>
    </row>
    <row r="200" spans="8:8" x14ac:dyDescent="0.35">
      <c r="H200" s="2"/>
    </row>
    <row r="201" spans="8:8" x14ac:dyDescent="0.35">
      <c r="H201" s="2"/>
    </row>
    <row r="202" spans="8:8" x14ac:dyDescent="0.35">
      <c r="H202" s="2"/>
    </row>
    <row r="203" spans="8:8" x14ac:dyDescent="0.35">
      <c r="H203" s="2"/>
    </row>
    <row r="204" spans="8:8" x14ac:dyDescent="0.35">
      <c r="H204" s="2"/>
    </row>
    <row r="205" spans="8:8" x14ac:dyDescent="0.35">
      <c r="H205" s="2"/>
    </row>
    <row r="206" spans="8:8" x14ac:dyDescent="0.35">
      <c r="H206" s="2"/>
    </row>
    <row r="207" spans="8:8" x14ac:dyDescent="0.35">
      <c r="H207" s="2"/>
    </row>
    <row r="208" spans="8:8" x14ac:dyDescent="0.35">
      <c r="H208" s="2"/>
    </row>
    <row r="209" spans="8:8" x14ac:dyDescent="0.35">
      <c r="H209" s="2"/>
    </row>
    <row r="210" spans="8:8" x14ac:dyDescent="0.35">
      <c r="H210" s="2"/>
    </row>
    <row r="211" spans="8:8" x14ac:dyDescent="0.35">
      <c r="H211" s="2"/>
    </row>
    <row r="212" spans="8:8" x14ac:dyDescent="0.35">
      <c r="H212" s="2"/>
    </row>
    <row r="213" spans="8:8" x14ac:dyDescent="0.35">
      <c r="H213" s="2"/>
    </row>
    <row r="214" spans="8:8" x14ac:dyDescent="0.35">
      <c r="H214" s="2"/>
    </row>
    <row r="215" spans="8:8" x14ac:dyDescent="0.35">
      <c r="H215" s="2"/>
    </row>
    <row r="216" spans="8:8" x14ac:dyDescent="0.35">
      <c r="H216" s="2"/>
    </row>
    <row r="217" spans="8:8" x14ac:dyDescent="0.35">
      <c r="H217" s="2"/>
    </row>
    <row r="218" spans="8:8" x14ac:dyDescent="0.35">
      <c r="H218" s="2"/>
    </row>
    <row r="219" spans="8:8" x14ac:dyDescent="0.35">
      <c r="H219" s="2"/>
    </row>
    <row r="220" spans="8:8" x14ac:dyDescent="0.35">
      <c r="H220" s="2"/>
    </row>
    <row r="221" spans="8:8" x14ac:dyDescent="0.35">
      <c r="H221" s="2"/>
    </row>
    <row r="222" spans="8:8" x14ac:dyDescent="0.35">
      <c r="H222" s="2"/>
    </row>
    <row r="223" spans="8:8" x14ac:dyDescent="0.35">
      <c r="H223" s="2"/>
    </row>
    <row r="224" spans="8:8" x14ac:dyDescent="0.35">
      <c r="H224" s="2"/>
    </row>
    <row r="225" spans="8:8" x14ac:dyDescent="0.35">
      <c r="H225" s="2"/>
    </row>
    <row r="226" spans="8:8" x14ac:dyDescent="0.35">
      <c r="H226" s="2"/>
    </row>
    <row r="227" spans="8:8" x14ac:dyDescent="0.35">
      <c r="H227" s="2"/>
    </row>
    <row r="228" spans="8:8" x14ac:dyDescent="0.35">
      <c r="H228" s="2"/>
    </row>
    <row r="229" spans="8:8" x14ac:dyDescent="0.35">
      <c r="H229" s="2"/>
    </row>
    <row r="230" spans="8:8" x14ac:dyDescent="0.35">
      <c r="H230" s="2"/>
    </row>
    <row r="231" spans="8:8" x14ac:dyDescent="0.35">
      <c r="H231" s="2"/>
    </row>
    <row r="232" spans="8:8" x14ac:dyDescent="0.35">
      <c r="H232" s="2"/>
    </row>
    <row r="233" spans="8:8" x14ac:dyDescent="0.35">
      <c r="H233" s="2"/>
    </row>
    <row r="234" spans="8:8" x14ac:dyDescent="0.35">
      <c r="H234" s="2"/>
    </row>
    <row r="235" spans="8:8" x14ac:dyDescent="0.35">
      <c r="H235" s="2"/>
    </row>
    <row r="236" spans="8:8" x14ac:dyDescent="0.35">
      <c r="H236" s="2"/>
    </row>
    <row r="237" spans="8:8" x14ac:dyDescent="0.35">
      <c r="H237" s="2"/>
    </row>
    <row r="238" spans="8:8" x14ac:dyDescent="0.35">
      <c r="H238" s="2"/>
    </row>
    <row r="239" spans="8:8" x14ac:dyDescent="0.35">
      <c r="H239" s="2"/>
    </row>
    <row r="240" spans="8:8" x14ac:dyDescent="0.35">
      <c r="H240" s="2"/>
    </row>
    <row r="241" spans="8:8" x14ac:dyDescent="0.35">
      <c r="H241" s="2"/>
    </row>
    <row r="242" spans="8:8" x14ac:dyDescent="0.35">
      <c r="H242" s="2"/>
    </row>
    <row r="243" spans="8:8" x14ac:dyDescent="0.35">
      <c r="H243" s="2"/>
    </row>
    <row r="244" spans="8:8" x14ac:dyDescent="0.35">
      <c r="H244" s="2"/>
    </row>
    <row r="245" spans="8:8" x14ac:dyDescent="0.35">
      <c r="H245" s="2"/>
    </row>
    <row r="246" spans="8:8" x14ac:dyDescent="0.35">
      <c r="H246" s="2"/>
    </row>
    <row r="247" spans="8:8" x14ac:dyDescent="0.35">
      <c r="H247" s="2"/>
    </row>
    <row r="248" spans="8:8" x14ac:dyDescent="0.35">
      <c r="H248" s="2"/>
    </row>
    <row r="249" spans="8:8" x14ac:dyDescent="0.35">
      <c r="H249" s="2"/>
    </row>
    <row r="250" spans="8:8" x14ac:dyDescent="0.35">
      <c r="H250" s="2"/>
    </row>
    <row r="251" spans="8:8" x14ac:dyDescent="0.35">
      <c r="H251" s="2"/>
    </row>
    <row r="252" spans="8:8" x14ac:dyDescent="0.35">
      <c r="H252" s="2"/>
    </row>
    <row r="253" spans="8:8" x14ac:dyDescent="0.35">
      <c r="H253" s="2"/>
    </row>
    <row r="254" spans="8:8" x14ac:dyDescent="0.35">
      <c r="H254" s="2"/>
    </row>
    <row r="255" spans="8:8" x14ac:dyDescent="0.35">
      <c r="H255" s="2"/>
    </row>
    <row r="256" spans="8:8" x14ac:dyDescent="0.35">
      <c r="H256" s="2"/>
    </row>
    <row r="257" spans="8:8" x14ac:dyDescent="0.35">
      <c r="H257" s="2"/>
    </row>
    <row r="258" spans="8:8" x14ac:dyDescent="0.35">
      <c r="H258" s="2"/>
    </row>
    <row r="259" spans="8:8" x14ac:dyDescent="0.35">
      <c r="H259" s="2"/>
    </row>
    <row r="260" spans="8:8" x14ac:dyDescent="0.35">
      <c r="H260" s="2"/>
    </row>
    <row r="261" spans="8:8" x14ac:dyDescent="0.35">
      <c r="H261" s="2"/>
    </row>
    <row r="262" spans="8:8" x14ac:dyDescent="0.35">
      <c r="H262" s="2"/>
    </row>
    <row r="263" spans="8:8" x14ac:dyDescent="0.35">
      <c r="H263" s="2"/>
    </row>
    <row r="264" spans="8:8" x14ac:dyDescent="0.35">
      <c r="H264" s="2"/>
    </row>
    <row r="265" spans="8:8" x14ac:dyDescent="0.35">
      <c r="H265" s="2"/>
    </row>
    <row r="266" spans="8:8" x14ac:dyDescent="0.35">
      <c r="H266" s="2"/>
    </row>
    <row r="267" spans="8:8" x14ac:dyDescent="0.35">
      <c r="H267" s="2"/>
    </row>
    <row r="268" spans="8:8" x14ac:dyDescent="0.35">
      <c r="H268" s="2"/>
    </row>
    <row r="269" spans="8:8" x14ac:dyDescent="0.35">
      <c r="H269" s="2"/>
    </row>
    <row r="270" spans="8:8" x14ac:dyDescent="0.35">
      <c r="H270" s="2"/>
    </row>
    <row r="271" spans="8:8" x14ac:dyDescent="0.35">
      <c r="H271" s="2"/>
    </row>
    <row r="272" spans="8:8" x14ac:dyDescent="0.35">
      <c r="H272" s="2"/>
    </row>
    <row r="273" spans="8:8" x14ac:dyDescent="0.35">
      <c r="H273" s="2"/>
    </row>
    <row r="274" spans="8:8" x14ac:dyDescent="0.35">
      <c r="H274" s="2"/>
    </row>
    <row r="275" spans="8:8" x14ac:dyDescent="0.35">
      <c r="H275" s="2"/>
    </row>
    <row r="276" spans="8:8" x14ac:dyDescent="0.35">
      <c r="H276" s="2"/>
    </row>
    <row r="277" spans="8:8" x14ac:dyDescent="0.35">
      <c r="H277" s="2"/>
    </row>
    <row r="278" spans="8:8" x14ac:dyDescent="0.35">
      <c r="H278" s="2"/>
    </row>
    <row r="279" spans="8:8" x14ac:dyDescent="0.35">
      <c r="H279" s="2"/>
    </row>
    <row r="280" spans="8:8" x14ac:dyDescent="0.35">
      <c r="H280" s="2"/>
    </row>
    <row r="281" spans="8:8" x14ac:dyDescent="0.35">
      <c r="H281" s="2"/>
    </row>
    <row r="282" spans="8:8" x14ac:dyDescent="0.35">
      <c r="H282" s="2"/>
    </row>
    <row r="283" spans="8:8" x14ac:dyDescent="0.35">
      <c r="H283" s="2"/>
    </row>
    <row r="284" spans="8:8" x14ac:dyDescent="0.35">
      <c r="H284" s="2"/>
    </row>
    <row r="285" spans="8:8" x14ac:dyDescent="0.35">
      <c r="H285" s="2"/>
    </row>
    <row r="286" spans="8:8" x14ac:dyDescent="0.35">
      <c r="H286" s="2"/>
    </row>
    <row r="287" spans="8:8" x14ac:dyDescent="0.35">
      <c r="H287" s="2"/>
    </row>
    <row r="288" spans="8:8" x14ac:dyDescent="0.35">
      <c r="H288" s="2"/>
    </row>
    <row r="289" spans="8:8" x14ac:dyDescent="0.35">
      <c r="H289" s="2"/>
    </row>
    <row r="290" spans="8:8" x14ac:dyDescent="0.35">
      <c r="H290" s="2"/>
    </row>
    <row r="291" spans="8:8" x14ac:dyDescent="0.35">
      <c r="H291" s="2"/>
    </row>
    <row r="292" spans="8:8" x14ac:dyDescent="0.35">
      <c r="H292" s="2"/>
    </row>
    <row r="293" spans="8:8" x14ac:dyDescent="0.35">
      <c r="H293" s="2"/>
    </row>
    <row r="294" spans="8:8" x14ac:dyDescent="0.35">
      <c r="H294" s="2"/>
    </row>
    <row r="295" spans="8:8" x14ac:dyDescent="0.35">
      <c r="H295" s="2"/>
    </row>
    <row r="296" spans="8:8" x14ac:dyDescent="0.35">
      <c r="H296" s="2"/>
    </row>
    <row r="297" spans="8:8" x14ac:dyDescent="0.35">
      <c r="H297" s="2"/>
    </row>
    <row r="298" spans="8:8" x14ac:dyDescent="0.35">
      <c r="H298" s="2"/>
    </row>
    <row r="299" spans="8:8" x14ac:dyDescent="0.35">
      <c r="H299" s="2"/>
    </row>
    <row r="300" spans="8:8" x14ac:dyDescent="0.35">
      <c r="H300" s="2"/>
    </row>
    <row r="301" spans="8:8" x14ac:dyDescent="0.35">
      <c r="H301" s="2"/>
    </row>
    <row r="302" spans="8:8" x14ac:dyDescent="0.35">
      <c r="H302" s="2"/>
    </row>
    <row r="303" spans="8:8" x14ac:dyDescent="0.35">
      <c r="H303" s="2"/>
    </row>
    <row r="304" spans="8:8" x14ac:dyDescent="0.35">
      <c r="H304" s="2"/>
    </row>
    <row r="305" spans="8:8" x14ac:dyDescent="0.35">
      <c r="H305" s="2"/>
    </row>
    <row r="306" spans="8:8" x14ac:dyDescent="0.35">
      <c r="H306" s="2"/>
    </row>
    <row r="307" spans="8:8" x14ac:dyDescent="0.35">
      <c r="H307" s="2"/>
    </row>
    <row r="308" spans="8:8" x14ac:dyDescent="0.35">
      <c r="H308" s="2"/>
    </row>
    <row r="309" spans="8:8" x14ac:dyDescent="0.35">
      <c r="H309" s="2"/>
    </row>
    <row r="310" spans="8:8" x14ac:dyDescent="0.35">
      <c r="H310" s="2"/>
    </row>
    <row r="311" spans="8:8" x14ac:dyDescent="0.35">
      <c r="H311" s="2"/>
    </row>
    <row r="312" spans="8:8" x14ac:dyDescent="0.35">
      <c r="H312" s="2"/>
    </row>
    <row r="313" spans="8:8" x14ac:dyDescent="0.35">
      <c r="H313" s="2"/>
    </row>
    <row r="314" spans="8:8" x14ac:dyDescent="0.35">
      <c r="H314" s="2"/>
    </row>
    <row r="315" spans="8:8" x14ac:dyDescent="0.35">
      <c r="H315" s="2"/>
    </row>
    <row r="316" spans="8:8" x14ac:dyDescent="0.35">
      <c r="H316" s="2"/>
    </row>
    <row r="317" spans="8:8" x14ac:dyDescent="0.35">
      <c r="H317" s="2"/>
    </row>
    <row r="318" spans="8:8" x14ac:dyDescent="0.35">
      <c r="H318" s="2"/>
    </row>
    <row r="319" spans="8:8" x14ac:dyDescent="0.35">
      <c r="H319" s="2"/>
    </row>
    <row r="320" spans="8:8" x14ac:dyDescent="0.35">
      <c r="H320" s="2"/>
    </row>
    <row r="321" spans="8:8" x14ac:dyDescent="0.35">
      <c r="H321" s="2"/>
    </row>
    <row r="322" spans="8:8" x14ac:dyDescent="0.35">
      <c r="H322" s="2"/>
    </row>
    <row r="323" spans="8:8" x14ac:dyDescent="0.35">
      <c r="H323" s="2"/>
    </row>
    <row r="324" spans="8:8" x14ac:dyDescent="0.35">
      <c r="H324" s="2"/>
    </row>
    <row r="325" spans="8:8" x14ac:dyDescent="0.35">
      <c r="H325" s="2"/>
    </row>
    <row r="326" spans="8:8" x14ac:dyDescent="0.35">
      <c r="H326" s="2"/>
    </row>
    <row r="327" spans="8:8" x14ac:dyDescent="0.35">
      <c r="H327" s="2"/>
    </row>
    <row r="328" spans="8:8" x14ac:dyDescent="0.35">
      <c r="H328" s="2"/>
    </row>
    <row r="329" spans="8:8" x14ac:dyDescent="0.35">
      <c r="H329" s="2"/>
    </row>
    <row r="330" spans="8:8" x14ac:dyDescent="0.35">
      <c r="H330" s="2"/>
    </row>
    <row r="331" spans="8:8" x14ac:dyDescent="0.35">
      <c r="H331" s="2"/>
    </row>
    <row r="332" spans="8:8" x14ac:dyDescent="0.35">
      <c r="H332" s="2"/>
    </row>
    <row r="333" spans="8:8" x14ac:dyDescent="0.35">
      <c r="H333" s="2"/>
    </row>
    <row r="334" spans="8:8" x14ac:dyDescent="0.35">
      <c r="H334" s="2"/>
    </row>
    <row r="335" spans="8:8" x14ac:dyDescent="0.35">
      <c r="H335" s="2"/>
    </row>
    <row r="336" spans="8:8" x14ac:dyDescent="0.35">
      <c r="H336" s="2"/>
    </row>
    <row r="337" spans="8:8" x14ac:dyDescent="0.35">
      <c r="H337" s="2"/>
    </row>
    <row r="338" spans="8:8" x14ac:dyDescent="0.35">
      <c r="H338" s="2"/>
    </row>
    <row r="339" spans="8:8" x14ac:dyDescent="0.35">
      <c r="H339" s="2"/>
    </row>
    <row r="340" spans="8:8" x14ac:dyDescent="0.35">
      <c r="H340" s="2"/>
    </row>
    <row r="341" spans="8:8" x14ac:dyDescent="0.35">
      <c r="H341" s="2"/>
    </row>
    <row r="342" spans="8:8" x14ac:dyDescent="0.35">
      <c r="H342" s="2"/>
    </row>
    <row r="343" spans="8:8" x14ac:dyDescent="0.35">
      <c r="H343" s="2"/>
    </row>
    <row r="344" spans="8:8" x14ac:dyDescent="0.35">
      <c r="H344" s="2"/>
    </row>
    <row r="345" spans="8:8" x14ac:dyDescent="0.35">
      <c r="H345" s="2"/>
    </row>
    <row r="346" spans="8:8" x14ac:dyDescent="0.35">
      <c r="H346" s="2"/>
    </row>
    <row r="347" spans="8:8" x14ac:dyDescent="0.35">
      <c r="H347" s="2"/>
    </row>
    <row r="348" spans="8:8" x14ac:dyDescent="0.35">
      <c r="H348" s="2"/>
    </row>
    <row r="349" spans="8:8" x14ac:dyDescent="0.35">
      <c r="H349" s="2"/>
    </row>
    <row r="350" spans="8:8" x14ac:dyDescent="0.35">
      <c r="H350" s="2"/>
    </row>
    <row r="351" spans="8:8" x14ac:dyDescent="0.35">
      <c r="H351" s="2"/>
    </row>
    <row r="352" spans="8:8" x14ac:dyDescent="0.35">
      <c r="H352" s="2"/>
    </row>
    <row r="353" spans="8:8" x14ac:dyDescent="0.35">
      <c r="H353" s="2"/>
    </row>
    <row r="354" spans="8:8" x14ac:dyDescent="0.35">
      <c r="H354" s="2"/>
    </row>
    <row r="355" spans="8:8" x14ac:dyDescent="0.35">
      <c r="H355" s="2"/>
    </row>
    <row r="356" spans="8:8" x14ac:dyDescent="0.35">
      <c r="H356" s="2"/>
    </row>
  </sheetData>
  <conditionalFormatting sqref="H3:H1048576">
    <cfRule type="expression" dxfId="75" priority="2">
      <formula>AND(ISBLANK($H$3:$H$1048576), NOT(ISBLANK($I$3:$I$1048576)))</formula>
    </cfRule>
  </conditionalFormatting>
  <conditionalFormatting sqref="I3">
    <cfRule type="expression" dxfId="74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E2" sqref="E2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  <col min="4" max="4" width="18.453125" customWidth="1"/>
    <col min="5" max="5" width="15.54296875" customWidth="1"/>
    <col min="6" max="6" width="21.453125" customWidth="1"/>
    <col min="7" max="7" width="13.54296875" customWidth="1"/>
    <col min="8" max="8" width="12.7265625" customWidth="1"/>
  </cols>
  <sheetData>
    <row r="1" spans="1:3" x14ac:dyDescent="0.35">
      <c r="A1" t="s">
        <v>20</v>
      </c>
      <c r="B1" t="s">
        <v>21</v>
      </c>
      <c r="C1" t="s">
        <v>22</v>
      </c>
    </row>
    <row r="2" spans="1:3" x14ac:dyDescent="0.35">
      <c r="A2" t="s">
        <v>23</v>
      </c>
      <c r="B2" t="s">
        <v>13</v>
      </c>
      <c r="C2">
        <v>5</v>
      </c>
    </row>
    <row r="3" spans="1:3" x14ac:dyDescent="0.35">
      <c r="A3" t="s">
        <v>24</v>
      </c>
      <c r="B3" t="s">
        <v>25</v>
      </c>
      <c r="C3">
        <v>15</v>
      </c>
    </row>
    <row r="4" spans="1:3" x14ac:dyDescent="0.35">
      <c r="A4" t="s">
        <v>26</v>
      </c>
      <c r="B4" t="s">
        <v>27</v>
      </c>
      <c r="C4" s="2">
        <v>3</v>
      </c>
    </row>
    <row r="5" spans="1:3" x14ac:dyDescent="0.35">
      <c r="A5" t="s">
        <v>28</v>
      </c>
      <c r="B5" t="s">
        <v>27</v>
      </c>
      <c r="C5" s="2">
        <v>25</v>
      </c>
    </row>
    <row r="6" spans="1:3" x14ac:dyDescent="0.35">
      <c r="A6" t="s">
        <v>29</v>
      </c>
      <c r="B6" t="s">
        <v>30</v>
      </c>
      <c r="C6" s="2">
        <v>200</v>
      </c>
    </row>
    <row r="7" spans="1:3" x14ac:dyDescent="0.35">
      <c r="A7" t="s">
        <v>31</v>
      </c>
      <c r="B7" t="s">
        <v>13</v>
      </c>
      <c r="C7" t="s">
        <v>420</v>
      </c>
    </row>
    <row r="8" spans="1:3" x14ac:dyDescent="0.35">
      <c r="A8" t="s">
        <v>32</v>
      </c>
      <c r="B8" t="s">
        <v>13</v>
      </c>
      <c r="C8" s="1">
        <v>3</v>
      </c>
    </row>
    <row r="9" spans="1:3" x14ac:dyDescent="0.35">
      <c r="A9" t="s">
        <v>33</v>
      </c>
      <c r="B9" t="s">
        <v>13</v>
      </c>
      <c r="C9" s="1">
        <v>1</v>
      </c>
    </row>
    <row r="10" spans="1:3" x14ac:dyDescent="0.35">
      <c r="A10" t="s">
        <v>34</v>
      </c>
      <c r="B10" t="s">
        <v>13</v>
      </c>
      <c r="C10" s="1">
        <v>1</v>
      </c>
    </row>
    <row r="11" spans="1:3" x14ac:dyDescent="0.35">
      <c r="A11" t="s">
        <v>35</v>
      </c>
      <c r="B11" t="s">
        <v>13</v>
      </c>
      <c r="C11">
        <v>1</v>
      </c>
    </row>
    <row r="12" spans="1:3" x14ac:dyDescent="0.35">
      <c r="A12" t="s">
        <v>36</v>
      </c>
      <c r="B12" t="s">
        <v>13</v>
      </c>
      <c r="C12">
        <v>1</v>
      </c>
    </row>
    <row r="13" spans="1:3" x14ac:dyDescent="0.35">
      <c r="A13" s="47" t="s">
        <v>378</v>
      </c>
      <c r="B13" s="48" t="s">
        <v>13</v>
      </c>
      <c r="C13" s="47">
        <v>4</v>
      </c>
    </row>
    <row r="14" spans="1:3" x14ac:dyDescent="0.35">
      <c r="A14" s="47" t="s">
        <v>379</v>
      </c>
      <c r="B14" s="48" t="s">
        <v>13</v>
      </c>
      <c r="C14" s="47">
        <v>0</v>
      </c>
    </row>
    <row r="15" spans="1:3" x14ac:dyDescent="0.35">
      <c r="A15" t="s">
        <v>408</v>
      </c>
      <c r="B15" t="s">
        <v>13</v>
      </c>
      <c r="C15" t="b">
        <v>1</v>
      </c>
    </row>
  </sheetData>
  <conditionalFormatting sqref="C9:C10">
    <cfRule type="expression" dxfId="73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D6" sqref="D6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  <col min="4" max="4" width="18.453125" customWidth="1"/>
    <col min="5" max="5" width="15.54296875" customWidth="1"/>
    <col min="6" max="6" width="21.453125" customWidth="1"/>
    <col min="7" max="7" width="13.54296875" customWidth="1"/>
    <col min="8" max="8" width="12.7265625" customWidth="1"/>
  </cols>
  <sheetData>
    <row r="1" spans="1:3" x14ac:dyDescent="0.35">
      <c r="A1" t="s">
        <v>20</v>
      </c>
      <c r="B1" t="s">
        <v>21</v>
      </c>
      <c r="C1" t="s">
        <v>22</v>
      </c>
    </row>
    <row r="2" spans="1:3" x14ac:dyDescent="0.35">
      <c r="A2" t="s">
        <v>37</v>
      </c>
      <c r="B2" t="s">
        <v>13</v>
      </c>
      <c r="C2">
        <v>0</v>
      </c>
    </row>
    <row r="3" spans="1:3" x14ac:dyDescent="0.35">
      <c r="A3" t="s">
        <v>38</v>
      </c>
      <c r="B3" t="s">
        <v>39</v>
      </c>
      <c r="C3" s="2">
        <v>400</v>
      </c>
    </row>
    <row r="4" spans="1:3" x14ac:dyDescent="0.35">
      <c r="A4" t="s">
        <v>40</v>
      </c>
      <c r="B4" t="s">
        <v>13</v>
      </c>
      <c r="C4" t="s">
        <v>419</v>
      </c>
    </row>
    <row r="5" spans="1:3" x14ac:dyDescent="0.35">
      <c r="A5" t="s">
        <v>41</v>
      </c>
      <c r="B5" t="s">
        <v>13</v>
      </c>
      <c r="C5" s="2">
        <v>40</v>
      </c>
    </row>
    <row r="6" spans="1:3" x14ac:dyDescent="0.35">
      <c r="A6" t="s">
        <v>42</v>
      </c>
      <c r="B6" t="s">
        <v>13</v>
      </c>
      <c r="C6" s="2">
        <v>5</v>
      </c>
    </row>
    <row r="7" spans="1:3" x14ac:dyDescent="0.35">
      <c r="A7" t="s">
        <v>43</v>
      </c>
      <c r="B7" t="s">
        <v>13</v>
      </c>
      <c r="C7">
        <v>1</v>
      </c>
    </row>
    <row r="8" spans="1:3" x14ac:dyDescent="0.35">
      <c r="A8" t="s">
        <v>44</v>
      </c>
      <c r="B8" t="s">
        <v>13</v>
      </c>
      <c r="C8">
        <v>1</v>
      </c>
    </row>
    <row r="9" spans="1:3" x14ac:dyDescent="0.35">
      <c r="A9" s="47" t="s">
        <v>45</v>
      </c>
      <c r="B9" s="48" t="s">
        <v>13</v>
      </c>
      <c r="C9" s="47">
        <v>4</v>
      </c>
    </row>
    <row r="10" spans="1:3" x14ac:dyDescent="0.35">
      <c r="A10" s="47" t="s">
        <v>46</v>
      </c>
      <c r="B10" s="48" t="s">
        <v>13</v>
      </c>
      <c r="C10" s="47">
        <v>0</v>
      </c>
    </row>
    <row r="11" spans="1:3" x14ac:dyDescent="0.35">
      <c r="A11" t="s">
        <v>408</v>
      </c>
      <c r="B11" t="s">
        <v>13</v>
      </c>
      <c r="C11" t="b">
        <v>1</v>
      </c>
    </row>
  </sheetData>
  <conditionalFormatting sqref="C6">
    <cfRule type="expression" dxfId="72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D7" sqref="D7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  <col min="4" max="4" width="18.453125" customWidth="1"/>
    <col min="5" max="5" width="15.54296875" customWidth="1"/>
    <col min="6" max="6" width="21.453125" customWidth="1"/>
    <col min="7" max="7" width="13.54296875" customWidth="1"/>
    <col min="8" max="8" width="12.7265625" customWidth="1"/>
  </cols>
  <sheetData>
    <row r="1" spans="1:3" x14ac:dyDescent="0.35">
      <c r="A1" t="s">
        <v>20</v>
      </c>
      <c r="B1" t="s">
        <v>21</v>
      </c>
      <c r="C1" t="s">
        <v>22</v>
      </c>
    </row>
    <row r="2" spans="1:3" x14ac:dyDescent="0.35">
      <c r="A2" s="60" t="s">
        <v>47</v>
      </c>
      <c r="B2" s="60" t="s">
        <v>13</v>
      </c>
      <c r="C2" s="60"/>
    </row>
    <row r="3" spans="1:3" x14ac:dyDescent="0.35">
      <c r="A3" s="60" t="s">
        <v>48</v>
      </c>
      <c r="B3" s="60" t="s">
        <v>13</v>
      </c>
      <c r="C3" s="72"/>
    </row>
    <row r="4" spans="1:3" x14ac:dyDescent="0.35">
      <c r="A4" s="60" t="s">
        <v>49</v>
      </c>
      <c r="B4" s="60" t="s">
        <v>13</v>
      </c>
      <c r="C4" s="60"/>
    </row>
    <row r="5" spans="1:3" x14ac:dyDescent="0.35">
      <c r="A5" s="60" t="s">
        <v>380</v>
      </c>
      <c r="B5" s="60" t="s">
        <v>13</v>
      </c>
      <c r="C5" s="60"/>
    </row>
    <row r="6" spans="1:3" x14ac:dyDescent="0.35">
      <c r="A6" s="60" t="s">
        <v>381</v>
      </c>
      <c r="B6" s="60" t="s">
        <v>39</v>
      </c>
      <c r="C6" s="60"/>
    </row>
    <row r="7" spans="1:3" x14ac:dyDescent="0.35">
      <c r="A7" s="60" t="s">
        <v>382</v>
      </c>
      <c r="B7" s="60" t="s">
        <v>13</v>
      </c>
      <c r="C7" s="60"/>
    </row>
    <row r="8" spans="1:3" x14ac:dyDescent="0.35">
      <c r="A8" s="60" t="s">
        <v>383</v>
      </c>
      <c r="B8" s="60"/>
      <c r="C8" s="60"/>
    </row>
    <row r="9" spans="1:3" x14ac:dyDescent="0.35">
      <c r="A9" s="60" t="s">
        <v>384</v>
      </c>
      <c r="B9" s="60" t="s">
        <v>13</v>
      </c>
      <c r="C9" s="73"/>
    </row>
    <row r="10" spans="1:3" x14ac:dyDescent="0.35">
      <c r="A10" s="60" t="s">
        <v>50</v>
      </c>
      <c r="B10" s="60" t="s">
        <v>13</v>
      </c>
      <c r="C10" s="74"/>
    </row>
    <row r="11" spans="1:3" x14ac:dyDescent="0.35">
      <c r="A11" s="60" t="s">
        <v>51</v>
      </c>
      <c r="B11" s="60" t="s">
        <v>52</v>
      </c>
      <c r="C11" s="60"/>
    </row>
    <row r="12" spans="1:3" x14ac:dyDescent="0.35">
      <c r="A12" s="60" t="s">
        <v>53</v>
      </c>
      <c r="B12" s="60" t="s">
        <v>13</v>
      </c>
      <c r="C12" s="60"/>
    </row>
    <row r="13" spans="1:3" x14ac:dyDescent="0.35">
      <c r="A13" s="60" t="s">
        <v>385</v>
      </c>
      <c r="B13" s="60" t="s">
        <v>13</v>
      </c>
      <c r="C13" s="60"/>
    </row>
    <row r="14" spans="1:3" x14ac:dyDescent="0.35">
      <c r="A14" s="60" t="s">
        <v>386</v>
      </c>
      <c r="B14" s="60" t="s">
        <v>13</v>
      </c>
      <c r="C14" s="60"/>
    </row>
    <row r="15" spans="1:3" x14ac:dyDescent="0.35">
      <c r="A15" s="60" t="s">
        <v>387</v>
      </c>
      <c r="B15" s="60" t="s">
        <v>13</v>
      </c>
      <c r="C15" s="60"/>
    </row>
    <row r="16" spans="1:3" x14ac:dyDescent="0.35">
      <c r="A16" s="60" t="s">
        <v>388</v>
      </c>
      <c r="B16" s="60" t="s">
        <v>13</v>
      </c>
      <c r="C16" s="60"/>
    </row>
    <row r="17" spans="1:3" x14ac:dyDescent="0.35">
      <c r="A17" s="60" t="s">
        <v>389</v>
      </c>
      <c r="B17" s="60" t="s">
        <v>13</v>
      </c>
      <c r="C17" s="60"/>
    </row>
    <row r="18" spans="1:3" x14ac:dyDescent="0.35">
      <c r="A18" t="s">
        <v>408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topLeftCell="A2" workbookViewId="0">
      <selection activeCell="C20" sqref="C20"/>
    </sheetView>
  </sheetViews>
  <sheetFormatPr defaultRowHeight="14.5" x14ac:dyDescent="0.35"/>
  <cols>
    <col min="1" max="1" width="11.453125" bestFit="1" customWidth="1"/>
    <col min="2" max="2" width="10" bestFit="1" customWidth="1"/>
    <col min="4" max="4" width="20.7265625" hidden="1" customWidth="1"/>
    <col min="5" max="5" width="19" customWidth="1"/>
    <col min="6" max="6" width="15.26953125" customWidth="1"/>
    <col min="7" max="7" width="20.26953125" customWidth="1"/>
    <col min="8" max="8" width="14.54296875" customWidth="1"/>
    <col min="9" max="9" width="15" bestFit="1" customWidth="1"/>
    <col min="10" max="10" width="18.453125" bestFit="1" customWidth="1"/>
    <col min="11" max="13" width="18.7265625" customWidth="1"/>
    <col min="14" max="14" width="14" bestFit="1" customWidth="1"/>
    <col min="15" max="15" width="14.26953125" bestFit="1" customWidth="1"/>
    <col min="18" max="18" width="7.26953125" bestFit="1" customWidth="1"/>
    <col min="19" max="19" width="17.7265625" bestFit="1" customWidth="1"/>
    <col min="20" max="20" width="17.26953125" bestFit="1" customWidth="1"/>
    <col min="22" max="22" width="15.54296875" customWidth="1"/>
  </cols>
  <sheetData>
    <row r="1" spans="1:22" x14ac:dyDescent="0.35">
      <c r="A1" s="5" t="s">
        <v>54</v>
      </c>
      <c r="B1" s="5" t="s">
        <v>93</v>
      </c>
      <c r="C1" s="5" t="s">
        <v>55</v>
      </c>
      <c r="D1" s="5"/>
      <c r="E1" s="5" t="s">
        <v>94</v>
      </c>
      <c r="F1" s="5" t="s">
        <v>95</v>
      </c>
      <c r="G1" s="5" t="s">
        <v>96</v>
      </c>
      <c r="H1" s="6" t="s">
        <v>58</v>
      </c>
      <c r="I1" s="6" t="s">
        <v>97</v>
      </c>
      <c r="J1" s="6" t="s">
        <v>98</v>
      </c>
      <c r="K1" s="6" t="s">
        <v>99</v>
      </c>
      <c r="L1" s="6" t="s">
        <v>100</v>
      </c>
      <c r="M1" s="7" t="s">
        <v>101</v>
      </c>
      <c r="N1" s="7" t="s">
        <v>102</v>
      </c>
      <c r="O1" s="7" t="s">
        <v>103</v>
      </c>
      <c r="P1" s="8" t="s">
        <v>104</v>
      </c>
      <c r="Q1" s="8" t="s">
        <v>105</v>
      </c>
      <c r="R1" s="8" t="s">
        <v>106</v>
      </c>
      <c r="S1" s="8" t="s">
        <v>107</v>
      </c>
      <c r="T1" s="8" t="s">
        <v>108</v>
      </c>
      <c r="U1" s="15" t="s">
        <v>109</v>
      </c>
      <c r="V1" s="15" t="s">
        <v>60</v>
      </c>
    </row>
    <row r="2" spans="1:22" x14ac:dyDescent="0.35">
      <c r="A2" s="9" t="s">
        <v>110</v>
      </c>
      <c r="B2" s="9" t="s">
        <v>110</v>
      </c>
      <c r="C2" s="9" t="s">
        <v>110</v>
      </c>
      <c r="D2" s="9"/>
      <c r="E2" s="9" t="s">
        <v>111</v>
      </c>
      <c r="F2" s="9" t="s">
        <v>112</v>
      </c>
      <c r="G2" s="9" t="s">
        <v>112</v>
      </c>
      <c r="H2" s="10" t="s">
        <v>113</v>
      </c>
      <c r="I2" s="10" t="s">
        <v>114</v>
      </c>
      <c r="J2" s="10" t="s">
        <v>115</v>
      </c>
      <c r="K2" s="10" t="s">
        <v>116</v>
      </c>
      <c r="L2" s="10" t="s">
        <v>115</v>
      </c>
      <c r="M2" s="11" t="s">
        <v>110</v>
      </c>
      <c r="N2" s="11" t="s">
        <v>110</v>
      </c>
      <c r="O2" s="11" t="s">
        <v>110</v>
      </c>
      <c r="P2" s="12" t="s">
        <v>117</v>
      </c>
      <c r="Q2" s="12" t="s">
        <v>111</v>
      </c>
      <c r="R2" s="12" t="s">
        <v>111</v>
      </c>
      <c r="S2" s="12" t="s">
        <v>110</v>
      </c>
      <c r="T2" s="12" t="s">
        <v>118</v>
      </c>
    </row>
    <row r="3" spans="1:22" x14ac:dyDescent="0.35">
      <c r="A3" t="s">
        <v>119</v>
      </c>
      <c r="B3" t="s">
        <v>120</v>
      </c>
      <c r="C3" t="s">
        <v>121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91</v>
      </c>
      <c r="O3">
        <v>1</v>
      </c>
      <c r="P3">
        <v>10</v>
      </c>
      <c r="V3">
        <v>4920</v>
      </c>
    </row>
    <row r="4" spans="1:22" x14ac:dyDescent="0.3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35">
      <c r="D5" t="str">
        <f t="shared" si="0"/>
        <v xml:space="preserve"> -  ()</v>
      </c>
      <c r="H5" s="2"/>
      <c r="J5" s="2"/>
      <c r="M5" s="2"/>
      <c r="S5" s="2"/>
    </row>
    <row r="6" spans="1:22" x14ac:dyDescent="0.35">
      <c r="D6" t="str">
        <f t="shared" si="0"/>
        <v xml:space="preserve"> -  ()</v>
      </c>
      <c r="H6" s="2"/>
      <c r="J6" s="2"/>
      <c r="M6" s="2"/>
      <c r="S6" s="2"/>
    </row>
    <row r="7" spans="1:22" x14ac:dyDescent="0.35">
      <c r="D7" t="str">
        <f t="shared" si="0"/>
        <v xml:space="preserve"> -  ()</v>
      </c>
      <c r="H7" s="2"/>
      <c r="J7" s="2"/>
      <c r="M7" s="2"/>
      <c r="S7" s="2"/>
    </row>
    <row r="8" spans="1:22" x14ac:dyDescent="0.35">
      <c r="D8" t="str">
        <f t="shared" si="0"/>
        <v xml:space="preserve"> -  ()</v>
      </c>
      <c r="H8" s="2"/>
      <c r="J8" s="2"/>
      <c r="M8" s="2"/>
      <c r="S8" s="2"/>
    </row>
    <row r="9" spans="1:22" x14ac:dyDescent="0.35">
      <c r="D9" t="str">
        <f t="shared" si="0"/>
        <v xml:space="preserve"> -  ()</v>
      </c>
      <c r="H9" s="2"/>
      <c r="J9" s="2"/>
      <c r="M9" s="2"/>
      <c r="S9" s="2"/>
    </row>
    <row r="10" spans="1:22" x14ac:dyDescent="0.35">
      <c r="D10" t="str">
        <f t="shared" si="0"/>
        <v xml:space="preserve"> -  ()</v>
      </c>
      <c r="H10" s="2"/>
      <c r="J10" s="2"/>
      <c r="M10" s="2"/>
      <c r="S10" s="2"/>
    </row>
    <row r="11" spans="1:22" x14ac:dyDescent="0.35">
      <c r="D11" t="str">
        <f t="shared" si="0"/>
        <v xml:space="preserve"> -  ()</v>
      </c>
      <c r="H11" s="2"/>
      <c r="J11" s="2"/>
      <c r="M11" s="2"/>
      <c r="S11" s="2"/>
    </row>
    <row r="12" spans="1:22" x14ac:dyDescent="0.35">
      <c r="D12" t="str">
        <f t="shared" si="0"/>
        <v xml:space="preserve"> -  ()</v>
      </c>
      <c r="H12" s="2"/>
      <c r="J12" s="2"/>
    </row>
    <row r="13" spans="1:22" x14ac:dyDescent="0.35">
      <c r="D13" t="str">
        <f t="shared" si="0"/>
        <v xml:space="preserve"> -  ()</v>
      </c>
      <c r="H13" s="2"/>
      <c r="J13" s="2"/>
    </row>
    <row r="14" spans="1:22" x14ac:dyDescent="0.35">
      <c r="D14" t="str">
        <f t="shared" si="0"/>
        <v xml:space="preserve"> -  ()</v>
      </c>
      <c r="H14" s="2"/>
      <c r="J14" s="2"/>
    </row>
    <row r="15" spans="1:22" x14ac:dyDescent="0.35">
      <c r="D15" t="str">
        <f t="shared" si="0"/>
        <v xml:space="preserve"> -  ()</v>
      </c>
      <c r="H15" s="2"/>
      <c r="J15" s="2"/>
    </row>
    <row r="16" spans="1:22" x14ac:dyDescent="0.35">
      <c r="D16" t="str">
        <f t="shared" si="0"/>
        <v xml:space="preserve"> -  ()</v>
      </c>
      <c r="H16" s="2"/>
      <c r="J16" s="2"/>
    </row>
    <row r="17" spans="4:10" x14ac:dyDescent="0.35">
      <c r="D17" t="str">
        <f t="shared" si="0"/>
        <v xml:space="preserve"> -  ()</v>
      </c>
      <c r="H17" s="2"/>
      <c r="J17" s="2"/>
    </row>
    <row r="18" spans="4:10" x14ac:dyDescent="0.35">
      <c r="D18" t="str">
        <f t="shared" si="0"/>
        <v xml:space="preserve"> -  ()</v>
      </c>
      <c r="H18" s="2"/>
      <c r="J18" s="2"/>
    </row>
    <row r="19" spans="4:10" x14ac:dyDescent="0.35">
      <c r="D19" t="str">
        <f t="shared" si="0"/>
        <v xml:space="preserve"> -  ()</v>
      </c>
      <c r="H19" s="2"/>
      <c r="J19" s="2"/>
    </row>
    <row r="20" spans="4:10" x14ac:dyDescent="0.35">
      <c r="D20" t="str">
        <f t="shared" si="0"/>
        <v xml:space="preserve"> -  ()</v>
      </c>
      <c r="H20" s="2"/>
      <c r="J20" s="2"/>
    </row>
    <row r="21" spans="4:10" x14ac:dyDescent="0.35">
      <c r="D21" t="str">
        <f t="shared" si="0"/>
        <v xml:space="preserve"> -  ()</v>
      </c>
      <c r="H21" s="2"/>
      <c r="J21" s="2"/>
    </row>
    <row r="22" spans="4:10" x14ac:dyDescent="0.35">
      <c r="D22" t="str">
        <f t="shared" si="0"/>
        <v xml:space="preserve"> -  ()</v>
      </c>
      <c r="H22" s="2"/>
      <c r="J22" s="2"/>
    </row>
    <row r="23" spans="4:10" x14ac:dyDescent="0.35">
      <c r="D23" t="str">
        <f t="shared" si="0"/>
        <v xml:space="preserve"> -  ()</v>
      </c>
      <c r="H23" s="2"/>
      <c r="J23" s="2"/>
    </row>
    <row r="24" spans="4:10" x14ac:dyDescent="0.35">
      <c r="D24" t="str">
        <f t="shared" si="0"/>
        <v xml:space="preserve"> -  ()</v>
      </c>
      <c r="H24" s="2"/>
      <c r="J24" s="2"/>
    </row>
    <row r="25" spans="4:10" x14ac:dyDescent="0.35">
      <c r="D25" t="str">
        <f t="shared" si="0"/>
        <v xml:space="preserve"> -  ()</v>
      </c>
      <c r="H25" s="2"/>
      <c r="J25" s="2"/>
    </row>
    <row r="26" spans="4:10" x14ac:dyDescent="0.35">
      <c r="D26" t="str">
        <f t="shared" si="0"/>
        <v xml:space="preserve"> -  ()</v>
      </c>
    </row>
    <row r="27" spans="4:10" x14ac:dyDescent="0.35">
      <c r="D27" t="str">
        <f t="shared" si="0"/>
        <v xml:space="preserve"> -  ()</v>
      </c>
    </row>
    <row r="28" spans="4:10" x14ac:dyDescent="0.35">
      <c r="D28" t="str">
        <f t="shared" si="0"/>
        <v xml:space="preserve"> -  ()</v>
      </c>
    </row>
    <row r="29" spans="4:10" x14ac:dyDescent="0.35">
      <c r="D29" t="str">
        <f t="shared" si="0"/>
        <v xml:space="preserve"> -  ()</v>
      </c>
    </row>
    <row r="30" spans="4:10" x14ac:dyDescent="0.35">
      <c r="D30" t="str">
        <f t="shared" si="0"/>
        <v xml:space="preserve"> -  ()</v>
      </c>
    </row>
    <row r="31" spans="4:10" x14ac:dyDescent="0.35">
      <c r="D31" t="str">
        <f t="shared" si="0"/>
        <v xml:space="preserve"> -  ()</v>
      </c>
    </row>
    <row r="32" spans="4:10" x14ac:dyDescent="0.35">
      <c r="D32" t="str">
        <f t="shared" si="0"/>
        <v xml:space="preserve"> -  ()</v>
      </c>
    </row>
    <row r="33" spans="4:4" x14ac:dyDescent="0.35">
      <c r="D33" t="str">
        <f t="shared" si="0"/>
        <v xml:space="preserve"> -  ()</v>
      </c>
    </row>
    <row r="34" spans="4:4" x14ac:dyDescent="0.35">
      <c r="D34" t="str">
        <f t="shared" si="0"/>
        <v xml:space="preserve"> -  ()</v>
      </c>
    </row>
    <row r="35" spans="4:4" x14ac:dyDescent="0.35">
      <c r="D35" t="str">
        <f t="shared" si="0"/>
        <v xml:space="preserve"> -  ()</v>
      </c>
    </row>
    <row r="36" spans="4:4" x14ac:dyDescent="0.35">
      <c r="D36" t="str">
        <f t="shared" si="0"/>
        <v xml:space="preserve"> -  ()</v>
      </c>
    </row>
    <row r="37" spans="4:4" x14ac:dyDescent="0.35">
      <c r="D37" t="str">
        <f t="shared" si="0"/>
        <v xml:space="preserve"> -  ()</v>
      </c>
    </row>
    <row r="38" spans="4:4" x14ac:dyDescent="0.35">
      <c r="D38" t="str">
        <f t="shared" si="0"/>
        <v xml:space="preserve"> -  ()</v>
      </c>
    </row>
    <row r="39" spans="4:4" x14ac:dyDescent="0.35">
      <c r="D39" t="str">
        <f t="shared" si="0"/>
        <v xml:space="preserve"> -  ()</v>
      </c>
    </row>
    <row r="40" spans="4:4" x14ac:dyDescent="0.35">
      <c r="D40" t="str">
        <f t="shared" si="0"/>
        <v xml:space="preserve"> -  ()</v>
      </c>
    </row>
    <row r="41" spans="4:4" x14ac:dyDescent="0.35">
      <c r="D41" t="str">
        <f t="shared" si="0"/>
        <v xml:space="preserve"> -  ()</v>
      </c>
    </row>
    <row r="42" spans="4:4" x14ac:dyDescent="0.35">
      <c r="D42" t="str">
        <f t="shared" si="0"/>
        <v xml:space="preserve"> -  ()</v>
      </c>
    </row>
    <row r="43" spans="4:4" x14ac:dyDescent="0.35">
      <c r="D43" t="str">
        <f t="shared" si="0"/>
        <v xml:space="preserve"> -  ()</v>
      </c>
    </row>
    <row r="44" spans="4:4" x14ac:dyDescent="0.35">
      <c r="D44" t="str">
        <f t="shared" si="0"/>
        <v xml:space="preserve"> -  ()</v>
      </c>
    </row>
    <row r="45" spans="4:4" x14ac:dyDescent="0.35">
      <c r="D45" t="str">
        <f t="shared" si="0"/>
        <v xml:space="preserve"> -  ()</v>
      </c>
    </row>
    <row r="46" spans="4:4" x14ac:dyDescent="0.35">
      <c r="D46" t="str">
        <f t="shared" si="0"/>
        <v xml:space="preserve"> -  ()</v>
      </c>
    </row>
    <row r="47" spans="4:4" x14ac:dyDescent="0.35">
      <c r="D47" t="str">
        <f t="shared" si="0"/>
        <v xml:space="preserve"> -  ()</v>
      </c>
    </row>
    <row r="48" spans="4:4" x14ac:dyDescent="0.35">
      <c r="D48" t="str">
        <f t="shared" si="0"/>
        <v xml:space="preserve"> -  ()</v>
      </c>
    </row>
    <row r="49" spans="4:4" x14ac:dyDescent="0.35">
      <c r="D49" t="str">
        <f t="shared" si="0"/>
        <v xml:space="preserve"> -  ()</v>
      </c>
    </row>
    <row r="50" spans="4:4" x14ac:dyDescent="0.35">
      <c r="D50" t="str">
        <f t="shared" si="0"/>
        <v xml:space="preserve"> -  ()</v>
      </c>
    </row>
    <row r="51" spans="4:4" x14ac:dyDescent="0.35">
      <c r="D51" t="str">
        <f t="shared" si="0"/>
        <v xml:space="preserve"> -  ()</v>
      </c>
    </row>
    <row r="52" spans="4:4" x14ac:dyDescent="0.35">
      <c r="D52" t="str">
        <f t="shared" si="0"/>
        <v xml:space="preserve"> -  ()</v>
      </c>
    </row>
    <row r="53" spans="4:4" x14ac:dyDescent="0.35">
      <c r="D53" t="str">
        <f t="shared" si="0"/>
        <v xml:space="preserve"> -  ()</v>
      </c>
    </row>
    <row r="54" spans="4:4" x14ac:dyDescent="0.35">
      <c r="D54" t="str">
        <f t="shared" si="0"/>
        <v xml:space="preserve"> -  ()</v>
      </c>
    </row>
    <row r="55" spans="4:4" x14ac:dyDescent="0.35">
      <c r="D55" t="str">
        <f t="shared" si="0"/>
        <v xml:space="preserve"> -  ()</v>
      </c>
    </row>
    <row r="56" spans="4:4" x14ac:dyDescent="0.35">
      <c r="D56" t="str">
        <f t="shared" si="0"/>
        <v xml:space="preserve"> -  ()</v>
      </c>
    </row>
    <row r="57" spans="4:4" x14ac:dyDescent="0.35">
      <c r="D57" t="str">
        <f t="shared" si="0"/>
        <v xml:space="preserve"> -  ()</v>
      </c>
    </row>
    <row r="58" spans="4:4" x14ac:dyDescent="0.35">
      <c r="D58" t="str">
        <f t="shared" si="0"/>
        <v xml:space="preserve"> -  ()</v>
      </c>
    </row>
    <row r="1048571" spans="13:13" x14ac:dyDescent="0.3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K500"/>
  <sheetViews>
    <sheetView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V22" sqref="V22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13.81640625" style="17" bestFit="1" customWidth="1"/>
    <col min="5" max="5" width="12.7265625" style="17" customWidth="1"/>
    <col min="6" max="7" width="19.453125" style="17" customWidth="1"/>
    <col min="8" max="8" width="18.7265625" style="33" customWidth="1"/>
    <col min="9" max="9" width="18.7265625" style="17" customWidth="1"/>
    <col min="10" max="10" width="18.7265625" style="34" customWidth="1"/>
    <col min="11" max="11" width="13.7265625" style="17" customWidth="1"/>
    <col min="12" max="12" width="13.7265625" style="40" customWidth="1"/>
    <col min="13" max="13" width="6.7265625" style="33" customWidth="1"/>
    <col min="14" max="17" width="6.7265625" style="17" customWidth="1"/>
    <col min="18" max="18" width="6.7265625" style="34" customWidth="1"/>
    <col min="19" max="19" width="15.54296875" style="17" customWidth="1"/>
    <col min="20" max="20" width="10.81640625" style="17" bestFit="1" customWidth="1"/>
    <col min="21" max="25" width="15.54296875" style="17" customWidth="1"/>
    <col min="26" max="27" width="21.453125" style="17" customWidth="1"/>
    <col min="28" max="28" width="13.54296875" style="17" customWidth="1"/>
    <col min="29" max="29" width="12.7265625" style="17" customWidth="1"/>
    <col min="30" max="30" width="15.453125" bestFit="1" customWidth="1"/>
    <col min="31" max="31" width="15.1796875" style="17" customWidth="1"/>
    <col min="32" max="16384" width="9.26953125" style="17"/>
  </cols>
  <sheetData>
    <row r="1" spans="1:37" x14ac:dyDescent="0.35">
      <c r="A1" s="17" t="s">
        <v>54</v>
      </c>
      <c r="B1" s="17" t="s">
        <v>122</v>
      </c>
      <c r="C1" s="17" t="s">
        <v>123</v>
      </c>
      <c r="D1" s="17" t="s">
        <v>124</v>
      </c>
      <c r="E1" s="17" t="s">
        <v>125</v>
      </c>
      <c r="F1" s="17" t="s">
        <v>126</v>
      </c>
      <c r="G1" s="47" t="s">
        <v>127</v>
      </c>
      <c r="H1" s="33" t="s">
        <v>128</v>
      </c>
      <c r="I1" s="17" t="s">
        <v>129</v>
      </c>
      <c r="J1" s="34" t="s">
        <v>130</v>
      </c>
      <c r="K1" s="17" t="s">
        <v>131</v>
      </c>
      <c r="L1" s="39" t="s">
        <v>132</v>
      </c>
      <c r="M1" s="33" t="s">
        <v>133</v>
      </c>
      <c r="N1" s="17" t="s">
        <v>134</v>
      </c>
      <c r="O1" s="17" t="s">
        <v>135</v>
      </c>
      <c r="P1" s="17" t="s">
        <v>136</v>
      </c>
      <c r="Q1" s="17" t="s">
        <v>137</v>
      </c>
      <c r="R1" s="34" t="s">
        <v>138</v>
      </c>
      <c r="S1" s="17" t="s">
        <v>139</v>
      </c>
      <c r="T1" s="17" t="s">
        <v>140</v>
      </c>
      <c r="U1" s="17" t="s">
        <v>213</v>
      </c>
      <c r="V1" s="17" t="s">
        <v>141</v>
      </c>
      <c r="W1" s="17" t="s">
        <v>142</v>
      </c>
      <c r="X1" s="17" t="s">
        <v>406</v>
      </c>
      <c r="Y1" s="17" t="s">
        <v>143</v>
      </c>
      <c r="Z1" s="17" t="s">
        <v>144</v>
      </c>
      <c r="AA1" s="17" t="s">
        <v>145</v>
      </c>
      <c r="AB1" s="17" t="s">
        <v>146</v>
      </c>
      <c r="AC1" s="17" t="s">
        <v>147</v>
      </c>
      <c r="AD1" s="17" t="s">
        <v>148</v>
      </c>
      <c r="AE1" s="17" t="s">
        <v>149</v>
      </c>
      <c r="AF1" s="47" t="s">
        <v>150</v>
      </c>
      <c r="AG1" s="17" t="s">
        <v>151</v>
      </c>
    </row>
    <row r="2" spans="1:37" x14ac:dyDescent="0.3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152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79</v>
      </c>
      <c r="L2" s="39" t="s">
        <v>13</v>
      </c>
      <c r="M2" s="33" t="s">
        <v>30</v>
      </c>
      <c r="N2" s="17" t="s">
        <v>153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13</v>
      </c>
      <c r="Z2" s="17" t="s">
        <v>13</v>
      </c>
      <c r="AA2" s="17" t="s">
        <v>154</v>
      </c>
      <c r="AB2" s="17" t="s">
        <v>78</v>
      </c>
      <c r="AC2" s="17" t="s">
        <v>78</v>
      </c>
      <c r="AD2" s="17" t="s">
        <v>13</v>
      </c>
      <c r="AE2" s="17" t="s">
        <v>13</v>
      </c>
      <c r="AF2" s="48" t="s">
        <v>13</v>
      </c>
      <c r="AG2" s="17" t="s">
        <v>13</v>
      </c>
    </row>
    <row r="3" spans="1:37" x14ac:dyDescent="0.35">
      <c r="A3" s="59" t="s">
        <v>328</v>
      </c>
      <c r="B3" s="59" t="s">
        <v>329</v>
      </c>
      <c r="C3" s="59" t="s">
        <v>330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331</v>
      </c>
      <c r="T3" s="59" t="s">
        <v>84</v>
      </c>
      <c r="U3" s="24">
        <v>2</v>
      </c>
      <c r="V3" s="59"/>
      <c r="X3" s="24"/>
      <c r="Y3" s="59"/>
      <c r="Z3" s="59">
        <v>6</v>
      </c>
      <c r="AA3" s="59">
        <v>350</v>
      </c>
      <c r="AB3" s="59"/>
      <c r="AC3" s="59"/>
      <c r="AD3" s="65" t="s">
        <v>288</v>
      </c>
      <c r="AE3" s="59"/>
      <c r="AF3" s="60"/>
      <c r="AG3" s="59" t="b">
        <v>0</v>
      </c>
      <c r="AH3" s="59"/>
      <c r="AI3" s="59"/>
      <c r="AJ3" s="59"/>
      <c r="AK3" s="59"/>
    </row>
    <row r="4" spans="1:37" x14ac:dyDescent="0.35">
      <c r="A4" s="59" t="s">
        <v>332</v>
      </c>
      <c r="B4" s="59" t="s">
        <v>333</v>
      </c>
      <c r="C4" s="59" t="s">
        <v>334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331</v>
      </c>
      <c r="T4" s="59" t="s">
        <v>84</v>
      </c>
      <c r="U4" s="24">
        <v>1</v>
      </c>
      <c r="V4" s="59"/>
      <c r="X4" s="24"/>
      <c r="Y4" s="60" t="s">
        <v>119</v>
      </c>
      <c r="Z4" s="59">
        <v>3</v>
      </c>
      <c r="AA4" s="59">
        <v>350</v>
      </c>
      <c r="AB4" s="59"/>
      <c r="AC4" s="59"/>
      <c r="AD4" s="65" t="s">
        <v>288</v>
      </c>
      <c r="AE4" s="59"/>
      <c r="AF4" s="60"/>
      <c r="AG4" s="59" t="b">
        <v>0</v>
      </c>
      <c r="AH4" s="59"/>
      <c r="AI4" s="59"/>
      <c r="AJ4" s="59"/>
      <c r="AK4" s="59"/>
    </row>
    <row r="5" spans="1:37" x14ac:dyDescent="0.35">
      <c r="A5" s="59" t="s">
        <v>335</v>
      </c>
      <c r="B5" s="59" t="s">
        <v>336</v>
      </c>
      <c r="C5" s="59" t="s">
        <v>337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331</v>
      </c>
      <c r="T5" s="59" t="s">
        <v>84</v>
      </c>
      <c r="U5" s="24">
        <v>1</v>
      </c>
      <c r="V5" s="59"/>
      <c r="X5" s="24"/>
      <c r="Y5" s="59"/>
      <c r="Z5" s="59">
        <v>2</v>
      </c>
      <c r="AA5" s="59">
        <v>350</v>
      </c>
      <c r="AB5" s="59"/>
      <c r="AC5" s="59"/>
      <c r="AD5" s="65" t="s">
        <v>288</v>
      </c>
      <c r="AE5" s="59"/>
      <c r="AF5" s="60"/>
      <c r="AG5" s="59" t="b">
        <v>0</v>
      </c>
      <c r="AH5" s="59"/>
      <c r="AI5" s="59"/>
      <c r="AJ5" s="59"/>
      <c r="AK5" s="59"/>
    </row>
    <row r="6" spans="1:37" x14ac:dyDescent="0.3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V6" s="24"/>
      <c r="X6" s="24"/>
      <c r="Y6" s="24" t="str">
        <f>IFERROR(IF(ISBLANK(V6),"",INDEX(Gen_Vessels!$A$3:$C$495,MATCH(InspectionSite!$V6,Gen_Vessels!$C$3:$C$495,0),1)),"")</f>
        <v/>
      </c>
      <c r="Z6" s="24"/>
      <c r="AA6" s="24"/>
      <c r="AB6" s="24"/>
      <c r="AC6" s="24"/>
      <c r="AD6" s="24"/>
      <c r="AE6" s="19"/>
      <c r="AF6" s="24"/>
      <c r="AG6" s="47"/>
      <c r="AH6" s="24"/>
      <c r="AI6" s="24"/>
      <c r="AJ6" s="24"/>
      <c r="AK6" s="24"/>
    </row>
    <row r="7" spans="1:37" x14ac:dyDescent="0.3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/>
      <c r="W7" s="24" t="str">
        <f>IFERROR(IF(ISBLANK(V7),"",INDEX(Gen_Vessels!$A$3:$C$495,MATCH(InspectionSite!$V7,Gen_Vessels!$C$3:$C$495,0),1)),"")</f>
        <v/>
      </c>
      <c r="X7" s="24"/>
      <c r="Y7" s="24"/>
      <c r="Z7" s="24"/>
      <c r="AA7" s="24"/>
      <c r="AB7" s="24"/>
      <c r="AC7" s="24"/>
      <c r="AD7" s="19"/>
      <c r="AE7" s="24"/>
      <c r="AF7" s="47"/>
      <c r="AG7" s="47"/>
      <c r="AH7" s="24"/>
      <c r="AI7" s="24"/>
      <c r="AJ7" s="24"/>
      <c r="AK7" s="24"/>
    </row>
    <row r="8" spans="1:37" x14ac:dyDescent="0.3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/>
      <c r="W8" s="24" t="str">
        <f>IFERROR(IF(ISBLANK(V8),"",INDEX(Gen_Vessels!$A$3:$C$495,MATCH(InspectionSite!$V8,Gen_Vessels!$C$3:$C$495,0),1)),"")</f>
        <v/>
      </c>
      <c r="X8" s="24"/>
      <c r="Y8" s="24"/>
      <c r="Z8" s="24"/>
      <c r="AA8" s="24"/>
      <c r="AB8" s="24"/>
      <c r="AC8" s="24"/>
      <c r="AD8" s="19"/>
      <c r="AE8" s="24"/>
      <c r="AF8" s="47"/>
      <c r="AG8" s="24"/>
      <c r="AH8" s="24"/>
      <c r="AI8" s="24"/>
      <c r="AJ8" s="24"/>
      <c r="AK8" s="24"/>
    </row>
    <row r="9" spans="1:37" x14ac:dyDescent="0.3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/>
      <c r="W9" s="24" t="str">
        <f>IFERROR(IF(ISBLANK(V9),"",INDEX(Gen_Vessels!$A$3:$C$495,MATCH(InspectionSite!$V9,Gen_Vessels!$C$3:$C$495,0),1)),"")</f>
        <v/>
      </c>
      <c r="X9" s="24"/>
      <c r="Y9" s="24"/>
      <c r="Z9" s="24"/>
      <c r="AA9" s="24"/>
      <c r="AB9" s="24"/>
      <c r="AC9" s="24"/>
      <c r="AD9" s="19"/>
      <c r="AE9" s="24"/>
      <c r="AF9" s="47"/>
      <c r="AG9" s="24"/>
      <c r="AH9" s="24"/>
      <c r="AI9" s="24"/>
      <c r="AJ9" s="24"/>
      <c r="AK9" s="24"/>
    </row>
    <row r="10" spans="1:37" x14ac:dyDescent="0.3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/>
      <c r="W10" s="24" t="str">
        <f>IFERROR(IF(ISBLANK(V10),"",INDEX(Gen_Vessels!$A$3:$C$495,MATCH(InspectionSite!$V10,Gen_Vessels!$C$3:$C$495,0),1)),"")</f>
        <v/>
      </c>
      <c r="X10" s="24"/>
      <c r="Y10" s="24"/>
      <c r="Z10" s="24"/>
      <c r="AA10" s="24"/>
      <c r="AB10" s="24"/>
      <c r="AC10" s="24"/>
      <c r="AD10" s="19"/>
      <c r="AE10" s="24"/>
      <c r="AF10" s="47"/>
      <c r="AG10" s="24"/>
      <c r="AH10" s="24"/>
      <c r="AI10" s="24"/>
      <c r="AJ10" s="24"/>
      <c r="AK10" s="24"/>
    </row>
    <row r="11" spans="1:37" x14ac:dyDescent="0.3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/>
      <c r="W11" s="24" t="str">
        <f>IFERROR(IF(ISBLANK(V11),"",INDEX(Gen_Vessels!$A$3:$C$495,MATCH(InspectionSite!$V11,Gen_Vessels!$C$3:$C$495,0),1)),"")</f>
        <v/>
      </c>
      <c r="X11" s="24"/>
      <c r="Y11" s="24"/>
      <c r="Z11" s="24"/>
      <c r="AA11" s="24"/>
      <c r="AB11" s="24"/>
      <c r="AC11" s="24"/>
      <c r="AD11" s="19"/>
      <c r="AE11" s="24"/>
      <c r="AF11" s="47"/>
      <c r="AG11" s="24"/>
      <c r="AH11" s="24"/>
      <c r="AI11" s="24"/>
      <c r="AJ11" s="24"/>
      <c r="AK11" s="24"/>
    </row>
    <row r="12" spans="1:37" x14ac:dyDescent="0.3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/>
      <c r="W12" s="24" t="str">
        <f>IFERROR(IF(ISBLANK(V12),"",INDEX(Gen_Vessels!$A$3:$C$495,MATCH(InspectionSite!$V12,Gen_Vessels!$C$3:$C$495,0),1)),"")</f>
        <v/>
      </c>
      <c r="X12" s="24"/>
      <c r="Y12" s="24"/>
      <c r="Z12" s="24"/>
      <c r="AA12" s="24"/>
      <c r="AB12" s="24"/>
      <c r="AC12" s="24"/>
      <c r="AD12" s="19"/>
      <c r="AE12" s="24"/>
      <c r="AF12" s="47"/>
      <c r="AG12" s="24"/>
      <c r="AH12" s="24"/>
      <c r="AI12" s="24"/>
      <c r="AJ12" s="24"/>
      <c r="AK12" s="24"/>
    </row>
    <row r="13" spans="1:37" x14ac:dyDescent="0.3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/>
      <c r="W13" s="24" t="str">
        <f>IFERROR(IF(ISBLANK(V13),"",INDEX(Gen_Vessels!$A$3:$C$495,MATCH(InspectionSite!$V13,Gen_Vessels!$C$3:$C$495,0),1)),"")</f>
        <v/>
      </c>
      <c r="X13" s="24"/>
      <c r="Y13" s="24"/>
      <c r="Z13" s="24"/>
      <c r="AA13" s="24"/>
      <c r="AB13" s="24"/>
      <c r="AC13" s="24"/>
      <c r="AD13" s="19"/>
      <c r="AE13" s="24"/>
      <c r="AF13" s="47"/>
      <c r="AG13" s="24"/>
      <c r="AH13" s="24"/>
      <c r="AI13" s="24"/>
      <c r="AJ13" s="24"/>
      <c r="AK13" s="24"/>
    </row>
    <row r="14" spans="1:37" x14ac:dyDescent="0.3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/>
      <c r="W14" s="24" t="str">
        <f>IFERROR(IF(ISBLANK(V14),"",INDEX(Gen_Vessels!$A$3:$C$495,MATCH(InspectionSite!$V14,Gen_Vessels!$C$3:$C$495,0),1)),"")</f>
        <v/>
      </c>
      <c r="X14" s="24"/>
      <c r="Y14" s="24"/>
      <c r="Z14" s="24"/>
      <c r="AA14" s="24"/>
      <c r="AB14" s="24"/>
      <c r="AC14" s="24"/>
      <c r="AD14" s="19"/>
      <c r="AE14" s="24"/>
      <c r="AF14" s="47"/>
      <c r="AG14" s="24"/>
      <c r="AH14" s="24"/>
      <c r="AI14" s="24"/>
      <c r="AJ14" s="24"/>
      <c r="AK14" s="24"/>
    </row>
    <row r="15" spans="1:37" x14ac:dyDescent="0.3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/>
      <c r="W15" s="24" t="str">
        <f>IFERROR(IF(ISBLANK(V15),"",INDEX(Gen_Vessels!$A$3:$C$495,MATCH(InspectionSite!$V15,Gen_Vessels!$C$3:$C$495,0),1)),"")</f>
        <v/>
      </c>
      <c r="X15" s="24"/>
      <c r="Y15" s="24"/>
      <c r="Z15" s="24"/>
      <c r="AA15" s="24"/>
      <c r="AB15" s="24"/>
      <c r="AC15" s="24"/>
      <c r="AD15" s="19"/>
      <c r="AE15" s="24"/>
      <c r="AF15" s="47"/>
      <c r="AG15" s="24"/>
      <c r="AH15" s="24"/>
      <c r="AI15" s="24"/>
      <c r="AJ15" s="24"/>
      <c r="AK15" s="24"/>
    </row>
    <row r="16" spans="1:37" x14ac:dyDescent="0.3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/>
      <c r="W16" s="24" t="str">
        <f>IFERROR(IF(ISBLANK(V16),"",INDEX(Gen_Vessels!$A$3:$C$495,MATCH(InspectionSite!$V16,Gen_Vessels!$C$3:$C$495,0),1)),"")</f>
        <v/>
      </c>
      <c r="X16" s="24"/>
      <c r="Y16" s="24"/>
      <c r="Z16" s="24"/>
      <c r="AA16" s="24"/>
      <c r="AB16" s="24"/>
      <c r="AC16" s="24"/>
      <c r="AD16" s="24"/>
      <c r="AE16" s="24"/>
      <c r="AF16" s="47"/>
      <c r="AG16" s="24"/>
      <c r="AH16" s="24"/>
      <c r="AI16" s="24"/>
      <c r="AJ16" s="24"/>
      <c r="AK16" s="24"/>
    </row>
    <row r="17" spans="1:37" x14ac:dyDescent="0.3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/>
      <c r="W17" s="24" t="str">
        <f>IFERROR(IF(ISBLANK(V17),"",INDEX(Gen_Vessels!$A$3:$C$495,MATCH(InspectionSite!$V17,Gen_Vessels!$C$3:$C$495,0),1)),"")</f>
        <v/>
      </c>
      <c r="X17" s="24"/>
      <c r="Y17" s="24"/>
      <c r="Z17" s="24"/>
      <c r="AA17" s="24"/>
      <c r="AB17" s="24"/>
      <c r="AC17" s="24"/>
      <c r="AE17" s="24"/>
      <c r="AF17" s="47"/>
      <c r="AG17" s="24"/>
      <c r="AH17" s="24"/>
      <c r="AI17" s="24"/>
      <c r="AJ17" s="24"/>
      <c r="AK17" s="24"/>
    </row>
    <row r="18" spans="1:37" x14ac:dyDescent="0.3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/>
      <c r="W18" s="24" t="str">
        <f>IFERROR(IF(ISBLANK(V18),"",INDEX(Gen_Vessels!$A$3:$C$495,MATCH(InspectionSite!$V18,Gen_Vessels!$C$3:$C$495,0),1)),"")</f>
        <v/>
      </c>
      <c r="X18" s="24"/>
      <c r="Y18" s="24"/>
      <c r="Z18" s="24"/>
      <c r="AA18" s="24"/>
      <c r="AB18" s="24"/>
      <c r="AC18" s="24"/>
      <c r="AE18" s="24"/>
      <c r="AF18" s="47"/>
      <c r="AG18" s="24"/>
      <c r="AH18" s="24"/>
      <c r="AI18" s="24"/>
      <c r="AJ18" s="24"/>
      <c r="AK18" s="24"/>
    </row>
    <row r="19" spans="1:37" x14ac:dyDescent="0.3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/>
      <c r="W19" s="24" t="str">
        <f>IFERROR(IF(ISBLANK(V19),"",INDEX(Gen_Vessels!$A$3:$C$495,MATCH(InspectionSite!$V19,Gen_Vessels!$C$3:$C$495,0),1)),"")</f>
        <v/>
      </c>
      <c r="X19" s="24"/>
      <c r="Y19" s="24"/>
      <c r="Z19" s="24"/>
      <c r="AA19" s="24"/>
      <c r="AB19" s="24"/>
      <c r="AC19" s="24"/>
      <c r="AE19" s="24"/>
      <c r="AF19" s="47"/>
      <c r="AG19" s="24"/>
      <c r="AH19" s="24"/>
      <c r="AI19" s="24"/>
      <c r="AJ19" s="24"/>
      <c r="AK19" s="24"/>
    </row>
    <row r="20" spans="1:37" x14ac:dyDescent="0.3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/>
      <c r="W20" s="24" t="str">
        <f>IFERROR(IF(ISBLANK(V20),"",INDEX(Gen_Vessels!$A$3:$C$495,MATCH(InspectionSite!$V20,Gen_Vessels!$C$3:$C$495,0),1)),"")</f>
        <v/>
      </c>
      <c r="X20" s="24"/>
      <c r="Y20" s="24"/>
      <c r="Z20" s="24"/>
      <c r="AA20" s="24"/>
      <c r="AB20" s="24"/>
      <c r="AC20" s="24"/>
      <c r="AE20" s="24"/>
      <c r="AF20" s="47"/>
      <c r="AG20" s="24"/>
      <c r="AH20" s="24"/>
      <c r="AI20" s="24"/>
      <c r="AJ20" s="24"/>
      <c r="AK20" s="24"/>
    </row>
    <row r="21" spans="1:37" x14ac:dyDescent="0.3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/>
      <c r="W21" s="24" t="str">
        <f>IFERROR(IF(ISBLANK(V21),"",INDEX(Gen_Vessels!$A$3:$C$495,MATCH(InspectionSite!$V21,Gen_Vessels!$C$3:$C$495,0),1)),"")</f>
        <v/>
      </c>
      <c r="X21" s="24"/>
      <c r="Y21" s="24"/>
      <c r="Z21" s="24"/>
      <c r="AA21" s="24"/>
      <c r="AB21" s="24"/>
      <c r="AC21" s="24"/>
      <c r="AE21" s="24"/>
      <c r="AF21" s="47"/>
      <c r="AG21" s="24"/>
      <c r="AH21" s="24"/>
      <c r="AI21" s="24"/>
      <c r="AJ21" s="24"/>
      <c r="AK21" s="24"/>
    </row>
    <row r="22" spans="1:37" x14ac:dyDescent="0.3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/>
      <c r="W22" s="24" t="str">
        <f>IFERROR(IF(ISBLANK(V22),"",INDEX(Gen_Vessels!$A$3:$C$495,MATCH(InspectionSite!$V22,Gen_Vessels!$C$3:$C$495,0),1)),"")</f>
        <v/>
      </c>
      <c r="X22" s="24"/>
      <c r="Y22" s="24"/>
      <c r="Z22" s="24"/>
      <c r="AA22" s="24"/>
      <c r="AB22" s="24"/>
      <c r="AC22" s="24"/>
      <c r="AE22" s="24"/>
      <c r="AF22" s="47"/>
      <c r="AG22" s="24"/>
      <c r="AH22" s="24"/>
      <c r="AI22" s="24"/>
      <c r="AJ22" s="24"/>
      <c r="AK22" s="24"/>
    </row>
    <row r="23" spans="1:37" x14ac:dyDescent="0.3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/>
      <c r="W23" s="24" t="str">
        <f>IFERROR(IF(ISBLANK(V23),"",INDEX(Gen_Vessels!$A$3:$C$495,MATCH(InspectionSite!$V23,Gen_Vessels!$C$3:$C$495,0),1)),"")</f>
        <v/>
      </c>
      <c r="X23" s="24"/>
      <c r="Y23" s="24"/>
      <c r="Z23" s="24"/>
      <c r="AA23" s="24"/>
      <c r="AB23" s="24"/>
      <c r="AC23" s="24"/>
      <c r="AE23" s="24"/>
      <c r="AF23" s="47"/>
      <c r="AG23" s="24"/>
      <c r="AH23" s="24"/>
      <c r="AI23" s="24"/>
      <c r="AJ23" s="24"/>
      <c r="AK23" s="24"/>
    </row>
    <row r="24" spans="1:37" x14ac:dyDescent="0.3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/>
      <c r="W24" s="24" t="str">
        <f>IFERROR(IF(ISBLANK(V24),"",INDEX(Gen_Vessels!$A$3:$C$495,MATCH(InspectionSite!$V24,Gen_Vessels!$C$3:$C$495,0),1)),"")</f>
        <v/>
      </c>
      <c r="X24" s="24"/>
      <c r="Y24" s="24"/>
      <c r="Z24" s="24"/>
      <c r="AA24" s="24"/>
      <c r="AB24" s="24"/>
      <c r="AC24" s="24"/>
      <c r="AE24" s="24"/>
      <c r="AF24" s="47"/>
      <c r="AG24" s="24"/>
      <c r="AH24" s="24"/>
      <c r="AI24" s="24"/>
      <c r="AJ24" s="24"/>
      <c r="AK24" s="24"/>
    </row>
    <row r="25" spans="1:37" x14ac:dyDescent="0.3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/>
      <c r="W25" s="24" t="str">
        <f>IFERROR(IF(ISBLANK(V25),"",INDEX(Gen_Vessels!$A$3:$C$495,MATCH(InspectionSite!$V25,Gen_Vessels!$C$3:$C$495,0),1)),"")</f>
        <v/>
      </c>
      <c r="X25" s="24"/>
      <c r="Y25" s="24"/>
      <c r="Z25" s="24"/>
      <c r="AA25" s="24"/>
      <c r="AB25" s="24"/>
      <c r="AC25" s="24"/>
      <c r="AE25" s="24"/>
      <c r="AF25" s="47"/>
      <c r="AG25" s="24"/>
      <c r="AH25" s="24"/>
      <c r="AI25" s="24"/>
      <c r="AJ25" s="24"/>
      <c r="AK25" s="24"/>
    </row>
    <row r="26" spans="1:37" x14ac:dyDescent="0.3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/>
      <c r="W26" s="24" t="str">
        <f>IFERROR(IF(ISBLANK(V26),"",INDEX(Gen_Vessels!$A$3:$C$495,MATCH(InspectionSite!$V26,Gen_Vessels!$C$3:$C$495,0),1)),"")</f>
        <v/>
      </c>
      <c r="X26" s="24"/>
      <c r="Y26" s="24"/>
      <c r="Z26" s="24"/>
      <c r="AA26" s="24"/>
      <c r="AB26" s="24"/>
      <c r="AC26" s="24"/>
      <c r="AE26" s="24"/>
      <c r="AF26" s="47"/>
      <c r="AG26" s="24"/>
      <c r="AH26" s="24"/>
      <c r="AI26" s="24"/>
      <c r="AJ26" s="24"/>
      <c r="AK26" s="24"/>
    </row>
    <row r="27" spans="1:37" x14ac:dyDescent="0.3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/>
      <c r="W27" s="24" t="str">
        <f>IFERROR(IF(ISBLANK(V27),"",INDEX(Gen_Vessels!$A$3:$C$495,MATCH(InspectionSite!$V27,Gen_Vessels!$C$3:$C$495,0),1)),"")</f>
        <v/>
      </c>
      <c r="X27" s="24"/>
      <c r="Y27" s="24"/>
      <c r="Z27" s="24"/>
      <c r="AA27" s="24"/>
      <c r="AB27" s="24"/>
      <c r="AC27" s="24"/>
      <c r="AE27" s="24"/>
      <c r="AF27" s="47"/>
      <c r="AG27" s="24"/>
      <c r="AH27" s="24"/>
      <c r="AI27" s="24"/>
      <c r="AJ27" s="24"/>
      <c r="AK27" s="24"/>
    </row>
    <row r="28" spans="1:37" x14ac:dyDescent="0.3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/>
      <c r="W28" s="24" t="str">
        <f>IFERROR(IF(ISBLANK(V28),"",INDEX(Gen_Vessels!$A$3:$C$495,MATCH(InspectionSite!$V28,Gen_Vessels!$C$3:$C$495,0),1)),"")</f>
        <v/>
      </c>
      <c r="X28" s="24"/>
      <c r="Y28" s="24"/>
      <c r="Z28" s="24"/>
      <c r="AA28" s="24"/>
      <c r="AB28" s="24"/>
      <c r="AC28" s="24"/>
      <c r="AE28" s="24"/>
      <c r="AF28" s="47"/>
      <c r="AG28" s="24"/>
      <c r="AH28" s="24"/>
      <c r="AI28" s="24"/>
      <c r="AJ28" s="24"/>
      <c r="AK28" s="24"/>
    </row>
    <row r="29" spans="1:37" x14ac:dyDescent="0.3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/>
      <c r="W29" s="24" t="str">
        <f>IFERROR(IF(ISBLANK(V29),"",INDEX(Gen_Vessels!$A$3:$C$495,MATCH(InspectionSite!$V29,Gen_Vessels!$C$3:$C$495,0),1)),"")</f>
        <v/>
      </c>
      <c r="X29" s="24"/>
      <c r="Y29" s="24"/>
      <c r="Z29" s="24"/>
      <c r="AA29" s="24"/>
      <c r="AB29" s="24"/>
      <c r="AC29" s="24"/>
      <c r="AE29" s="24"/>
      <c r="AF29" s="47"/>
      <c r="AG29" s="24"/>
      <c r="AH29" s="24"/>
      <c r="AI29" s="24"/>
      <c r="AJ29" s="24"/>
      <c r="AK29" s="24"/>
    </row>
    <row r="30" spans="1:37" x14ac:dyDescent="0.3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/>
      <c r="W30" s="24" t="str">
        <f>IFERROR(IF(ISBLANK(V30),"",INDEX(Gen_Vessels!$A$3:$C$495,MATCH(InspectionSite!$V30,Gen_Vessels!$C$3:$C$495,0),1)),"")</f>
        <v/>
      </c>
      <c r="X30" s="24"/>
      <c r="Y30" s="24"/>
      <c r="Z30" s="24"/>
      <c r="AA30" s="24"/>
      <c r="AB30" s="24"/>
      <c r="AC30" s="24"/>
      <c r="AE30" s="24"/>
      <c r="AF30" s="47"/>
      <c r="AG30" s="24"/>
      <c r="AH30" s="24"/>
      <c r="AI30" s="24"/>
      <c r="AJ30" s="24"/>
      <c r="AK30" s="24"/>
    </row>
    <row r="31" spans="1:37" x14ac:dyDescent="0.3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/>
      <c r="W31" s="24" t="str">
        <f>IFERROR(IF(ISBLANK(V31),"",INDEX(Gen_Vessels!$A$3:$C$495,MATCH(InspectionSite!$V31,Gen_Vessels!$C$3:$C$495,0),1)),"")</f>
        <v/>
      </c>
      <c r="X31" s="24"/>
      <c r="Y31" s="24"/>
      <c r="Z31" s="24"/>
      <c r="AA31" s="24"/>
      <c r="AB31" s="24"/>
      <c r="AC31" s="24"/>
      <c r="AE31" s="24"/>
      <c r="AF31" s="47"/>
      <c r="AG31" s="24"/>
      <c r="AH31" s="24"/>
      <c r="AI31" s="24"/>
      <c r="AJ31" s="24"/>
      <c r="AK31" s="24"/>
    </row>
    <row r="32" spans="1:37" x14ac:dyDescent="0.3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/>
      <c r="W32" s="24" t="str">
        <f>IFERROR(IF(ISBLANK(V32),"",INDEX(Gen_Vessels!$A$3:$C$495,MATCH(InspectionSite!$V32,Gen_Vessels!$C$3:$C$495,0),1)),"")</f>
        <v/>
      </c>
      <c r="X32" s="24"/>
      <c r="Y32" s="24"/>
      <c r="Z32" s="24"/>
      <c r="AA32" s="24"/>
      <c r="AB32" s="24"/>
      <c r="AC32" s="24"/>
      <c r="AE32" s="24"/>
      <c r="AF32" s="47"/>
      <c r="AG32" s="24"/>
      <c r="AH32" s="24"/>
      <c r="AI32" s="24"/>
      <c r="AJ32" s="24"/>
      <c r="AK32" s="24"/>
    </row>
    <row r="33" spans="1:37" x14ac:dyDescent="0.3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/>
      <c r="W33" s="24" t="str">
        <f>IFERROR(IF(ISBLANK(V33),"",INDEX(Gen_Vessels!$A$3:$C$495,MATCH(InspectionSite!$V33,Gen_Vessels!$C$3:$C$495,0),1)),"")</f>
        <v/>
      </c>
      <c r="X33" s="24"/>
      <c r="Y33" s="24"/>
      <c r="Z33" s="24"/>
      <c r="AA33" s="24"/>
      <c r="AB33" s="24"/>
      <c r="AC33" s="24"/>
      <c r="AE33" s="24"/>
      <c r="AF33" s="47"/>
      <c r="AG33" s="24"/>
      <c r="AH33" s="24"/>
      <c r="AI33" s="24"/>
      <c r="AJ33" s="24"/>
      <c r="AK33" s="24"/>
    </row>
    <row r="34" spans="1:37" x14ac:dyDescent="0.3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/>
      <c r="W34" s="24" t="str">
        <f>IFERROR(IF(ISBLANK(V34),"",INDEX(Gen_Vessels!$A$3:$C$495,MATCH(InspectionSite!$V34,Gen_Vessels!$C$3:$C$495,0),1)),"")</f>
        <v/>
      </c>
      <c r="X34" s="24"/>
      <c r="Y34" s="24"/>
      <c r="Z34" s="24"/>
      <c r="AA34" s="24"/>
      <c r="AB34" s="24"/>
      <c r="AC34" s="24"/>
      <c r="AE34" s="24"/>
      <c r="AF34" s="47"/>
      <c r="AG34" s="24"/>
      <c r="AH34" s="24"/>
      <c r="AI34" s="24"/>
      <c r="AJ34" s="24"/>
      <c r="AK34" s="24"/>
    </row>
    <row r="35" spans="1:37" x14ac:dyDescent="0.3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/>
      <c r="W35" s="24" t="str">
        <f>IFERROR(IF(ISBLANK(V35),"",INDEX(Gen_Vessels!$A$3:$C$495,MATCH(InspectionSite!$V35,Gen_Vessels!$C$3:$C$495,0),1)),"")</f>
        <v/>
      </c>
      <c r="X35" s="24"/>
      <c r="Y35" s="24"/>
      <c r="Z35" s="24"/>
      <c r="AA35" s="24"/>
      <c r="AB35" s="24"/>
      <c r="AC35" s="24"/>
      <c r="AE35" s="24"/>
      <c r="AF35" s="47"/>
      <c r="AG35" s="24"/>
      <c r="AH35" s="24"/>
      <c r="AI35" s="24"/>
      <c r="AJ35" s="24"/>
      <c r="AK35" s="24"/>
    </row>
    <row r="36" spans="1:37" x14ac:dyDescent="0.3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/>
      <c r="W36" s="24" t="str">
        <f>IFERROR(IF(ISBLANK(V36),"",INDEX(Gen_Vessels!$A$3:$C$495,MATCH(InspectionSite!$V36,Gen_Vessels!$C$3:$C$495,0),1)),"")</f>
        <v/>
      </c>
      <c r="X36" s="24"/>
      <c r="Y36" s="24"/>
      <c r="Z36" s="24"/>
      <c r="AA36" s="24"/>
      <c r="AB36" s="24"/>
      <c r="AC36" s="24"/>
      <c r="AE36" s="24"/>
      <c r="AF36" s="47"/>
      <c r="AG36" s="24"/>
      <c r="AH36" s="24"/>
      <c r="AI36" s="24"/>
      <c r="AJ36" s="24"/>
      <c r="AK36" s="24"/>
    </row>
    <row r="37" spans="1:37" x14ac:dyDescent="0.3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/>
      <c r="W37" s="24" t="str">
        <f>IFERROR(IF(ISBLANK(V37),"",INDEX(Gen_Vessels!$A$3:$C$495,MATCH(InspectionSite!$V37,Gen_Vessels!$C$3:$C$495,0),1)),"")</f>
        <v/>
      </c>
      <c r="X37" s="24"/>
      <c r="Y37" s="24"/>
      <c r="Z37" s="24"/>
      <c r="AA37" s="24"/>
      <c r="AB37" s="24"/>
      <c r="AC37" s="24"/>
      <c r="AE37" s="24"/>
      <c r="AF37" s="47"/>
      <c r="AG37" s="24"/>
      <c r="AH37" s="24"/>
      <c r="AI37" s="24"/>
      <c r="AJ37" s="24"/>
      <c r="AK37" s="24"/>
    </row>
    <row r="38" spans="1:37" x14ac:dyDescent="0.3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/>
      <c r="W38" s="24" t="str">
        <f>IFERROR(IF(ISBLANK(V38),"",INDEX(Gen_Vessels!$A$3:$C$495,MATCH(InspectionSite!$V38,Gen_Vessels!$C$3:$C$495,0),1)),"")</f>
        <v/>
      </c>
      <c r="X38" s="24"/>
      <c r="Y38" s="24"/>
      <c r="Z38" s="24"/>
      <c r="AA38" s="24"/>
      <c r="AB38" s="24"/>
      <c r="AC38" s="24"/>
      <c r="AE38" s="24"/>
      <c r="AF38" s="47"/>
      <c r="AG38" s="24"/>
      <c r="AH38" s="24"/>
      <c r="AI38" s="24"/>
      <c r="AJ38" s="24"/>
      <c r="AK38" s="24"/>
    </row>
    <row r="39" spans="1:37" x14ac:dyDescent="0.3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/>
      <c r="W39" s="24" t="str">
        <f>IFERROR(IF(ISBLANK(V39),"",INDEX(Gen_Vessels!$A$3:$C$495,MATCH(InspectionSite!$V39,Gen_Vessels!$C$3:$C$495,0),1)),"")</f>
        <v/>
      </c>
      <c r="X39" s="24"/>
      <c r="Y39" s="24"/>
      <c r="Z39" s="24"/>
      <c r="AA39" s="24"/>
      <c r="AB39" s="24"/>
      <c r="AC39" s="24"/>
      <c r="AE39" s="24"/>
      <c r="AF39" s="47"/>
      <c r="AG39" s="24"/>
      <c r="AH39" s="24"/>
      <c r="AI39" s="24"/>
      <c r="AJ39" s="24"/>
      <c r="AK39" s="24"/>
    </row>
    <row r="40" spans="1:37" x14ac:dyDescent="0.3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/>
      <c r="W40" s="24" t="str">
        <f>IFERROR(IF(ISBLANK(V40),"",INDEX(Gen_Vessels!$A$3:$C$495,MATCH(InspectionSite!$V40,Gen_Vessels!$C$3:$C$495,0),1)),"")</f>
        <v/>
      </c>
      <c r="X40" s="24"/>
      <c r="Y40" s="24"/>
      <c r="Z40" s="24"/>
      <c r="AA40" s="24"/>
      <c r="AB40" s="24"/>
      <c r="AC40" s="24"/>
      <c r="AE40" s="24"/>
      <c r="AF40" s="47"/>
      <c r="AG40" s="24"/>
      <c r="AH40" s="24"/>
      <c r="AI40" s="24"/>
      <c r="AJ40" s="24"/>
      <c r="AK40" s="24"/>
    </row>
    <row r="41" spans="1:37" x14ac:dyDescent="0.3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/>
      <c r="W41" s="24" t="str">
        <f>IFERROR(IF(ISBLANK(V41),"",INDEX(Gen_Vessels!$A$3:$C$495,MATCH(InspectionSite!$V41,Gen_Vessels!$C$3:$C$495,0),1)),"")</f>
        <v/>
      </c>
      <c r="X41" s="24"/>
      <c r="Y41" s="24"/>
      <c r="Z41" s="24"/>
      <c r="AA41" s="24"/>
      <c r="AB41" s="24"/>
      <c r="AC41" s="24"/>
      <c r="AE41" s="24"/>
      <c r="AF41" s="47"/>
      <c r="AG41" s="24"/>
      <c r="AH41" s="24"/>
      <c r="AI41" s="24"/>
      <c r="AJ41" s="24"/>
      <c r="AK41" s="24"/>
    </row>
    <row r="42" spans="1:37" x14ac:dyDescent="0.3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/>
      <c r="W42" s="24" t="str">
        <f>IFERROR(IF(ISBLANK(V42),"",INDEX(Gen_Vessels!$A$3:$C$495,MATCH(InspectionSite!$V42,Gen_Vessels!$C$3:$C$495,0),1)),"")</f>
        <v/>
      </c>
      <c r="X42" s="24"/>
      <c r="Y42" s="24"/>
      <c r="Z42" s="24"/>
      <c r="AA42" s="24"/>
      <c r="AB42" s="24"/>
      <c r="AC42" s="24"/>
      <c r="AE42" s="24"/>
      <c r="AF42" s="47"/>
      <c r="AG42" s="24"/>
      <c r="AH42" s="24"/>
      <c r="AI42" s="24"/>
      <c r="AJ42" s="24"/>
      <c r="AK42" s="24"/>
    </row>
    <row r="43" spans="1:37" x14ac:dyDescent="0.3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/>
      <c r="W43" s="24" t="str">
        <f>IFERROR(IF(ISBLANK(V43),"",INDEX(Gen_Vessels!$A$3:$C$495,MATCH(InspectionSite!$V43,Gen_Vessels!$C$3:$C$495,0),1)),"")</f>
        <v/>
      </c>
      <c r="X43" s="24"/>
      <c r="Y43" s="24"/>
      <c r="Z43" s="24"/>
      <c r="AA43" s="24"/>
      <c r="AB43" s="24"/>
      <c r="AC43" s="24"/>
      <c r="AE43" s="24"/>
      <c r="AF43" s="47"/>
      <c r="AG43" s="24"/>
      <c r="AH43" s="24"/>
      <c r="AI43" s="24"/>
      <c r="AJ43" s="24"/>
      <c r="AK43" s="24"/>
    </row>
    <row r="44" spans="1:37" x14ac:dyDescent="0.3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/>
      <c r="W44" s="24" t="str">
        <f>IFERROR(IF(ISBLANK(V44),"",INDEX(Gen_Vessels!$A$3:$C$495,MATCH(InspectionSite!$V44,Gen_Vessels!$C$3:$C$495,0),1)),"")</f>
        <v/>
      </c>
      <c r="X44" s="24"/>
      <c r="Y44" s="24"/>
      <c r="Z44" s="24"/>
      <c r="AA44" s="24"/>
      <c r="AB44" s="24"/>
      <c r="AC44" s="24"/>
      <c r="AE44" s="24"/>
      <c r="AF44" s="47"/>
      <c r="AG44" s="24"/>
      <c r="AH44" s="24"/>
      <c r="AI44" s="24"/>
      <c r="AJ44" s="24"/>
      <c r="AK44" s="24"/>
    </row>
    <row r="45" spans="1:37" x14ac:dyDescent="0.3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/>
      <c r="W45" s="24" t="str">
        <f>IFERROR(IF(ISBLANK(V45),"",INDEX(Gen_Vessels!$A$3:$C$495,MATCH(InspectionSite!$V45,Gen_Vessels!$C$3:$C$495,0),1)),"")</f>
        <v/>
      </c>
      <c r="X45" s="24"/>
      <c r="Y45" s="24"/>
      <c r="Z45" s="24"/>
      <c r="AA45" s="24"/>
      <c r="AB45" s="24"/>
      <c r="AC45" s="24"/>
      <c r="AE45" s="24"/>
      <c r="AF45" s="47"/>
      <c r="AG45" s="24"/>
      <c r="AH45" s="24"/>
      <c r="AI45" s="24"/>
      <c r="AJ45" s="24"/>
      <c r="AK45" s="24"/>
    </row>
    <row r="46" spans="1:37" x14ac:dyDescent="0.3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/>
      <c r="W46" s="24" t="str">
        <f>IFERROR(IF(ISBLANK(V46),"",INDEX(Gen_Vessels!$A$3:$C$495,MATCH(InspectionSite!$V46,Gen_Vessels!$C$3:$C$495,0),1)),"")</f>
        <v/>
      </c>
      <c r="X46" s="24"/>
      <c r="Y46" s="24"/>
      <c r="Z46" s="24"/>
      <c r="AA46" s="24"/>
      <c r="AB46" s="24"/>
      <c r="AC46" s="24"/>
      <c r="AE46" s="24"/>
      <c r="AF46" s="47"/>
      <c r="AG46" s="24"/>
      <c r="AH46" s="24"/>
      <c r="AI46" s="24"/>
      <c r="AJ46" s="24"/>
      <c r="AK46" s="24"/>
    </row>
    <row r="47" spans="1:37" x14ac:dyDescent="0.3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/>
      <c r="W47" s="24" t="str">
        <f>IFERROR(IF(ISBLANK(V47),"",INDEX(Gen_Vessels!$A$3:$C$495,MATCH(InspectionSite!$V47,Gen_Vessels!$C$3:$C$495,0),1)),"")</f>
        <v/>
      </c>
      <c r="X47" s="24"/>
      <c r="Y47" s="24"/>
      <c r="Z47" s="24"/>
      <c r="AA47" s="24"/>
      <c r="AB47" s="24"/>
      <c r="AC47" s="24"/>
      <c r="AE47" s="24"/>
      <c r="AF47" s="47"/>
      <c r="AG47" s="24"/>
      <c r="AH47" s="24"/>
      <c r="AI47" s="24"/>
      <c r="AJ47" s="24"/>
      <c r="AK47" s="24"/>
    </row>
    <row r="48" spans="1:37" x14ac:dyDescent="0.3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/>
      <c r="W48" s="24" t="str">
        <f>IFERROR(IF(ISBLANK(V48),"",INDEX(Gen_Vessels!$A$3:$C$495,MATCH(InspectionSite!$V48,Gen_Vessels!$C$3:$C$495,0),1)),"")</f>
        <v/>
      </c>
      <c r="X48" s="24"/>
      <c r="Y48" s="24"/>
      <c r="Z48" s="24"/>
      <c r="AA48" s="24"/>
      <c r="AB48" s="24"/>
      <c r="AC48" s="24"/>
      <c r="AE48" s="24"/>
      <c r="AF48" s="47"/>
      <c r="AG48" s="24"/>
      <c r="AH48" s="24"/>
      <c r="AI48" s="24"/>
      <c r="AJ48" s="24"/>
      <c r="AK48" s="24"/>
    </row>
    <row r="49" spans="1:37" x14ac:dyDescent="0.3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/>
      <c r="W49" s="24" t="str">
        <f>IFERROR(IF(ISBLANK(V49),"",INDEX(Gen_Vessels!$A$3:$C$495,MATCH(InspectionSite!$V49,Gen_Vessels!$C$3:$C$495,0),1)),"")</f>
        <v/>
      </c>
      <c r="X49" s="24"/>
      <c r="Y49" s="24"/>
      <c r="Z49" s="24"/>
      <c r="AA49" s="24"/>
      <c r="AB49" s="24"/>
      <c r="AC49" s="24"/>
      <c r="AE49" s="24"/>
      <c r="AF49" s="47"/>
      <c r="AG49" s="24"/>
      <c r="AH49" s="24"/>
      <c r="AI49" s="24"/>
      <c r="AJ49" s="24"/>
      <c r="AK49" s="24"/>
    </row>
    <row r="50" spans="1:37" x14ac:dyDescent="0.3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/>
      <c r="W50" s="24" t="str">
        <f>IFERROR(IF(ISBLANK(V50),"",INDEX(Gen_Vessels!$A$3:$C$495,MATCH(InspectionSite!$V50,Gen_Vessels!$C$3:$C$495,0),1)),"")</f>
        <v/>
      </c>
      <c r="X50" s="24"/>
      <c r="Y50" s="24"/>
      <c r="Z50" s="24"/>
      <c r="AA50" s="24"/>
      <c r="AB50" s="24"/>
      <c r="AC50" s="24"/>
      <c r="AE50" s="24"/>
      <c r="AF50" s="47"/>
      <c r="AG50" s="24"/>
      <c r="AH50" s="24"/>
      <c r="AI50" s="24"/>
      <c r="AJ50" s="24"/>
      <c r="AK50" s="24"/>
    </row>
    <row r="51" spans="1:37" x14ac:dyDescent="0.3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/>
      <c r="W51" s="24" t="str">
        <f>IFERROR(IF(ISBLANK(V51),"",INDEX(Gen_Vessels!$A$3:$C$495,MATCH(InspectionSite!$V51,Gen_Vessels!$C$3:$C$495,0),1)),"")</f>
        <v/>
      </c>
      <c r="X51" s="24"/>
      <c r="Y51" s="24"/>
      <c r="Z51" s="24"/>
      <c r="AA51" s="24"/>
      <c r="AB51" s="24"/>
      <c r="AC51" s="24"/>
      <c r="AE51" s="24"/>
      <c r="AF51" s="47"/>
      <c r="AG51" s="24"/>
      <c r="AH51" s="24"/>
      <c r="AI51" s="24"/>
      <c r="AJ51" s="24"/>
      <c r="AK51" s="24"/>
    </row>
    <row r="52" spans="1:37" x14ac:dyDescent="0.3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/>
      <c r="W52" s="24" t="str">
        <f>IFERROR(IF(ISBLANK(V52),"",INDEX(Gen_Vessels!$A$3:$C$495,MATCH(InspectionSite!$V52,Gen_Vessels!$C$3:$C$495,0),1)),"")</f>
        <v/>
      </c>
      <c r="X52" s="24"/>
      <c r="Y52" s="24"/>
      <c r="Z52" s="24"/>
      <c r="AA52" s="24"/>
      <c r="AB52" s="24"/>
      <c r="AC52" s="24"/>
      <c r="AE52" s="24"/>
      <c r="AF52" s="47"/>
      <c r="AG52" s="24"/>
      <c r="AH52" s="24"/>
      <c r="AI52" s="24"/>
      <c r="AJ52" s="24"/>
      <c r="AK52" s="24"/>
    </row>
    <row r="53" spans="1:37" x14ac:dyDescent="0.3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/>
      <c r="W53" s="24" t="str">
        <f>IFERROR(IF(ISBLANK(V53),"",INDEX(Gen_Vessels!$A$3:$C$495,MATCH(InspectionSite!$V53,Gen_Vessels!$C$3:$C$495,0),1)),"")</f>
        <v/>
      </c>
      <c r="X53" s="24"/>
      <c r="Y53" s="24"/>
      <c r="Z53" s="24"/>
      <c r="AA53" s="24"/>
      <c r="AB53" s="24"/>
      <c r="AC53" s="24"/>
      <c r="AE53" s="24"/>
      <c r="AF53" s="47"/>
      <c r="AG53" s="24"/>
      <c r="AH53" s="24"/>
      <c r="AI53" s="24"/>
      <c r="AJ53" s="24"/>
      <c r="AK53" s="24"/>
    </row>
    <row r="54" spans="1:37" x14ac:dyDescent="0.3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/>
      <c r="W54" s="24" t="str">
        <f>IFERROR(IF(ISBLANK(V54),"",INDEX(Gen_Vessels!$A$3:$C$495,MATCH(InspectionSite!$V54,Gen_Vessels!$C$3:$C$495,0),1)),"")</f>
        <v/>
      </c>
      <c r="X54" s="24"/>
      <c r="Y54" s="24"/>
      <c r="Z54" s="24"/>
      <c r="AA54" s="24"/>
      <c r="AB54" s="24"/>
      <c r="AC54" s="24"/>
      <c r="AE54" s="24"/>
      <c r="AF54" s="47"/>
      <c r="AG54" s="24"/>
      <c r="AH54" s="24"/>
      <c r="AI54" s="24"/>
      <c r="AJ54" s="24"/>
      <c r="AK54" s="24"/>
    </row>
    <row r="55" spans="1:37" x14ac:dyDescent="0.3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/>
      <c r="W55" s="24" t="str">
        <f>IFERROR(IF(ISBLANK(V55),"",INDEX(Gen_Vessels!$A$3:$C$495,MATCH(InspectionSite!$V55,Gen_Vessels!$C$3:$C$495,0),1)),"")</f>
        <v/>
      </c>
      <c r="X55" s="24"/>
      <c r="Y55" s="24"/>
      <c r="Z55" s="24"/>
      <c r="AA55" s="24"/>
      <c r="AB55" s="24"/>
      <c r="AC55" s="24"/>
      <c r="AE55" s="24"/>
      <c r="AF55" s="47"/>
      <c r="AG55" s="24"/>
      <c r="AH55" s="24"/>
      <c r="AI55" s="24"/>
      <c r="AJ55" s="24"/>
      <c r="AK55" s="24"/>
    </row>
    <row r="56" spans="1:37" x14ac:dyDescent="0.3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/>
      <c r="W56" s="24" t="str">
        <f>IFERROR(IF(ISBLANK(V56),"",INDEX(Gen_Vessels!$A$3:$C$495,MATCH(InspectionSite!$V56,Gen_Vessels!$C$3:$C$495,0),1)),"")</f>
        <v/>
      </c>
      <c r="X56" s="24"/>
      <c r="Y56" s="24"/>
      <c r="Z56" s="24"/>
      <c r="AA56" s="24"/>
      <c r="AB56" s="24"/>
      <c r="AC56" s="24"/>
      <c r="AE56" s="24"/>
      <c r="AF56" s="47"/>
      <c r="AG56" s="24"/>
      <c r="AH56" s="24"/>
      <c r="AI56" s="24"/>
      <c r="AJ56" s="24"/>
      <c r="AK56" s="24"/>
    </row>
    <row r="57" spans="1:37" x14ac:dyDescent="0.3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/>
      <c r="W57" s="24" t="str">
        <f>IFERROR(IF(ISBLANK(V57),"",INDEX(Gen_Vessels!$A$3:$C$495,MATCH(InspectionSite!$V57,Gen_Vessels!$C$3:$C$495,0),1)),"")</f>
        <v/>
      </c>
      <c r="X57" s="24"/>
      <c r="Y57" s="24"/>
      <c r="Z57" s="24"/>
      <c r="AA57" s="24"/>
      <c r="AB57" s="24"/>
      <c r="AC57" s="24"/>
      <c r="AE57" s="24"/>
      <c r="AF57" s="47"/>
      <c r="AG57" s="24"/>
      <c r="AH57" s="24"/>
      <c r="AI57" s="24"/>
      <c r="AJ57" s="24"/>
      <c r="AK57" s="24"/>
    </row>
    <row r="58" spans="1:37" x14ac:dyDescent="0.3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/>
      <c r="W58" s="24" t="str">
        <f>IFERROR(IF(ISBLANK(V58),"",INDEX(Gen_Vessels!$A$3:$C$495,MATCH(InspectionSite!$V58,Gen_Vessels!$C$3:$C$495,0),1)),"")</f>
        <v/>
      </c>
      <c r="X58" s="24"/>
      <c r="Y58" s="24"/>
      <c r="Z58" s="24"/>
      <c r="AA58" s="24"/>
      <c r="AB58" s="24"/>
      <c r="AC58" s="24"/>
      <c r="AE58" s="24"/>
      <c r="AF58" s="47"/>
      <c r="AG58" s="24"/>
      <c r="AH58" s="24"/>
      <c r="AI58" s="24"/>
      <c r="AJ58" s="24"/>
      <c r="AK58" s="24"/>
    </row>
    <row r="59" spans="1:37" x14ac:dyDescent="0.3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/>
      <c r="W59" s="24" t="str">
        <f>IFERROR(IF(ISBLANK(V59),"",INDEX(Gen_Vessels!$A$3:$C$495,MATCH(InspectionSite!$V59,Gen_Vessels!$C$3:$C$495,0),1)),"")</f>
        <v/>
      </c>
      <c r="X59" s="24"/>
      <c r="Y59" s="24"/>
      <c r="Z59" s="24"/>
      <c r="AA59" s="24"/>
      <c r="AB59" s="24"/>
      <c r="AC59" s="24"/>
      <c r="AE59" s="24"/>
      <c r="AF59" s="47"/>
      <c r="AG59" s="24"/>
      <c r="AH59" s="24"/>
      <c r="AI59" s="24"/>
      <c r="AJ59" s="24"/>
      <c r="AK59" s="24"/>
    </row>
    <row r="60" spans="1:37" x14ac:dyDescent="0.3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/>
      <c r="W60" s="24" t="str">
        <f>IFERROR(IF(ISBLANK(V60),"",INDEX(Gen_Vessels!$A$3:$C$495,MATCH(InspectionSite!$V60,Gen_Vessels!$C$3:$C$495,0),1)),"")</f>
        <v/>
      </c>
      <c r="X60" s="24"/>
      <c r="Y60" s="24"/>
      <c r="Z60" s="24"/>
      <c r="AA60" s="24"/>
      <c r="AB60" s="24"/>
      <c r="AC60" s="24"/>
      <c r="AE60" s="24"/>
      <c r="AF60" s="47"/>
      <c r="AG60" s="24"/>
      <c r="AH60" s="24"/>
      <c r="AI60" s="24"/>
      <c r="AJ60" s="24"/>
      <c r="AK60" s="24"/>
    </row>
    <row r="61" spans="1:37" x14ac:dyDescent="0.3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/>
      <c r="W61" s="24" t="str">
        <f>IFERROR(IF(ISBLANK(V61),"",INDEX(Gen_Vessels!$A$3:$C$495,MATCH(InspectionSite!$V61,Gen_Vessels!$C$3:$C$495,0),1)),"")</f>
        <v/>
      </c>
      <c r="X61" s="24"/>
      <c r="Y61" s="24"/>
      <c r="Z61" s="24"/>
      <c r="AA61" s="24"/>
      <c r="AB61" s="24"/>
      <c r="AC61" s="24"/>
      <c r="AE61" s="24"/>
      <c r="AF61" s="47"/>
      <c r="AG61" s="24"/>
      <c r="AH61" s="24"/>
      <c r="AI61" s="24"/>
      <c r="AJ61" s="24"/>
      <c r="AK61" s="24"/>
    </row>
    <row r="62" spans="1:37" x14ac:dyDescent="0.3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/>
      <c r="W62" s="24" t="str">
        <f>IFERROR(IF(ISBLANK(V62),"",INDEX(Gen_Vessels!$A$3:$C$495,MATCH(InspectionSite!$V62,Gen_Vessels!$C$3:$C$495,0),1)),"")</f>
        <v/>
      </c>
      <c r="X62" s="24"/>
      <c r="Y62" s="24"/>
      <c r="Z62" s="24"/>
      <c r="AA62" s="24"/>
      <c r="AB62" s="24"/>
      <c r="AC62" s="24"/>
      <c r="AE62" s="24"/>
      <c r="AF62" s="47"/>
      <c r="AG62" s="24"/>
      <c r="AH62" s="24"/>
      <c r="AI62" s="24"/>
      <c r="AJ62" s="24"/>
      <c r="AK62" s="24"/>
    </row>
    <row r="63" spans="1:37" x14ac:dyDescent="0.3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/>
      <c r="W63" s="24" t="str">
        <f>IFERROR(IF(ISBLANK(V63),"",INDEX(Gen_Vessels!$A$3:$C$495,MATCH(InspectionSite!$V63,Gen_Vessels!$C$3:$C$495,0),1)),"")</f>
        <v/>
      </c>
      <c r="X63" s="24"/>
      <c r="Y63" s="24"/>
      <c r="Z63" s="24"/>
      <c r="AA63" s="24"/>
      <c r="AB63" s="24"/>
      <c r="AC63" s="24"/>
      <c r="AE63" s="24"/>
      <c r="AF63" s="47"/>
      <c r="AG63" s="24"/>
      <c r="AH63" s="24"/>
      <c r="AI63" s="24"/>
      <c r="AJ63" s="24"/>
      <c r="AK63" s="24"/>
    </row>
    <row r="64" spans="1:37" x14ac:dyDescent="0.3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/>
      <c r="W64" s="24" t="str">
        <f>IFERROR(IF(ISBLANK(V64),"",INDEX(Gen_Vessels!$A$3:$C$495,MATCH(InspectionSite!$V64,Gen_Vessels!$C$3:$C$495,0),1)),"")</f>
        <v/>
      </c>
      <c r="X64" s="24"/>
      <c r="Y64" s="24"/>
      <c r="Z64" s="24"/>
      <c r="AA64" s="24"/>
      <c r="AB64" s="24"/>
      <c r="AC64" s="24"/>
      <c r="AE64" s="24"/>
      <c r="AF64" s="47"/>
      <c r="AG64" s="24"/>
      <c r="AH64" s="24"/>
      <c r="AI64" s="24"/>
      <c r="AJ64" s="24"/>
      <c r="AK64" s="24"/>
    </row>
    <row r="65" spans="1:37" x14ac:dyDescent="0.3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/>
      <c r="W65" s="24" t="str">
        <f>IFERROR(IF(ISBLANK(V65),"",INDEX(Gen_Vessels!$A$3:$C$495,MATCH(InspectionSite!$V65,Gen_Vessels!$C$3:$C$495,0),1)),"")</f>
        <v/>
      </c>
      <c r="X65" s="24"/>
      <c r="Y65" s="24"/>
      <c r="Z65" s="24"/>
      <c r="AA65" s="24"/>
      <c r="AB65" s="24"/>
      <c r="AC65" s="24"/>
      <c r="AE65" s="24"/>
      <c r="AF65" s="47"/>
      <c r="AG65" s="24"/>
      <c r="AH65" s="24"/>
      <c r="AI65" s="24"/>
      <c r="AJ65" s="24"/>
      <c r="AK65" s="24"/>
    </row>
    <row r="66" spans="1:37" x14ac:dyDescent="0.3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/>
      <c r="W66" s="24" t="str">
        <f>IFERROR(IF(ISBLANK(V66),"",INDEX(Gen_Vessels!$A$3:$C$495,MATCH(InspectionSite!$V66,Gen_Vessels!$C$3:$C$495,0),1)),"")</f>
        <v/>
      </c>
      <c r="X66" s="24"/>
      <c r="Y66" s="24"/>
      <c r="Z66" s="24"/>
      <c r="AA66" s="24"/>
      <c r="AB66" s="24"/>
      <c r="AC66" s="24"/>
      <c r="AE66" s="24"/>
      <c r="AF66" s="47"/>
      <c r="AG66" s="24"/>
      <c r="AH66" s="24"/>
      <c r="AI66" s="24"/>
      <c r="AJ66" s="24"/>
      <c r="AK66" s="24"/>
    </row>
    <row r="67" spans="1:37" x14ac:dyDescent="0.3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/>
      <c r="W67" s="24" t="str">
        <f>IFERROR(IF(ISBLANK(V67),"",INDEX(Gen_Vessels!$A$3:$C$495,MATCH(InspectionSite!$V67,Gen_Vessels!$C$3:$C$495,0),1)),"")</f>
        <v/>
      </c>
      <c r="X67" s="24"/>
      <c r="Y67" s="24"/>
      <c r="Z67" s="24"/>
      <c r="AA67" s="24"/>
      <c r="AB67" s="24"/>
      <c r="AC67" s="24"/>
      <c r="AE67" s="24"/>
      <c r="AF67" s="47"/>
      <c r="AG67" s="24"/>
      <c r="AH67" s="24"/>
      <c r="AI67" s="24"/>
      <c r="AJ67" s="24"/>
      <c r="AK67" s="24"/>
    </row>
    <row r="68" spans="1:37" x14ac:dyDescent="0.3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/>
      <c r="W68" s="24" t="str">
        <f>IFERROR(IF(ISBLANK(V68),"",INDEX(Gen_Vessels!$A$3:$C$495,MATCH(InspectionSite!$V68,Gen_Vessels!$C$3:$C$495,0),1)),"")</f>
        <v/>
      </c>
      <c r="X68" s="24"/>
      <c r="Y68" s="24"/>
      <c r="Z68" s="24"/>
      <c r="AA68" s="24"/>
      <c r="AB68" s="24"/>
      <c r="AC68" s="24"/>
      <c r="AE68" s="24"/>
      <c r="AF68" s="47"/>
      <c r="AG68" s="24"/>
      <c r="AH68" s="24"/>
      <c r="AI68" s="24"/>
      <c r="AJ68" s="24"/>
      <c r="AK68" s="24"/>
    </row>
    <row r="69" spans="1:37" x14ac:dyDescent="0.3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/>
      <c r="W69" s="24" t="str">
        <f>IFERROR(IF(ISBLANK(V69),"",INDEX(Gen_Vessels!$A$3:$C$495,MATCH(InspectionSite!$V69,Gen_Vessels!$C$3:$C$495,0),1)),"")</f>
        <v/>
      </c>
      <c r="X69" s="24"/>
      <c r="Y69" s="24"/>
      <c r="Z69" s="24"/>
      <c r="AA69" s="24"/>
      <c r="AB69" s="24"/>
      <c r="AC69" s="24"/>
      <c r="AE69" s="24"/>
      <c r="AF69" s="47"/>
      <c r="AG69" s="24"/>
      <c r="AH69" s="24"/>
      <c r="AI69" s="24"/>
      <c r="AJ69" s="24"/>
      <c r="AK69" s="24"/>
    </row>
    <row r="70" spans="1:37" x14ac:dyDescent="0.3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/>
      <c r="W70" s="24" t="str">
        <f>IFERROR(IF(ISBLANK(V70),"",INDEX(Gen_Vessels!$A$3:$C$495,MATCH(InspectionSite!$V70,Gen_Vessels!$C$3:$C$495,0),1)),"")</f>
        <v/>
      </c>
      <c r="X70" s="24"/>
      <c r="Y70" s="24"/>
      <c r="Z70" s="24"/>
      <c r="AA70" s="24"/>
      <c r="AB70" s="24"/>
      <c r="AC70" s="24"/>
      <c r="AE70" s="24"/>
      <c r="AF70" s="47"/>
      <c r="AG70" s="24"/>
      <c r="AH70" s="24"/>
      <c r="AI70" s="24"/>
      <c r="AJ70" s="24"/>
      <c r="AK70" s="24"/>
    </row>
    <row r="71" spans="1:37" x14ac:dyDescent="0.3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/>
      <c r="W71" s="24" t="str">
        <f>IFERROR(IF(ISBLANK(V71),"",INDEX(Gen_Vessels!$A$3:$C$495,MATCH(InspectionSite!$V71,Gen_Vessels!$C$3:$C$495,0),1)),"")</f>
        <v/>
      </c>
      <c r="X71" s="24"/>
      <c r="Y71" s="24"/>
      <c r="Z71" s="24"/>
      <c r="AA71" s="24"/>
      <c r="AB71" s="24"/>
      <c r="AC71" s="24"/>
      <c r="AE71" s="24"/>
      <c r="AF71" s="47"/>
      <c r="AG71" s="24"/>
      <c r="AH71" s="24"/>
      <c r="AI71" s="24"/>
      <c r="AJ71" s="24"/>
      <c r="AK71" s="24"/>
    </row>
    <row r="72" spans="1:37" x14ac:dyDescent="0.3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/>
      <c r="W72" s="24" t="str">
        <f>IFERROR(IF(ISBLANK(V72),"",INDEX(Gen_Vessels!$A$3:$C$495,MATCH(InspectionSite!$V72,Gen_Vessels!$C$3:$C$495,0),1)),"")</f>
        <v/>
      </c>
      <c r="X72" s="24"/>
      <c r="Y72" s="24"/>
      <c r="Z72" s="24"/>
      <c r="AA72" s="24"/>
      <c r="AB72" s="24"/>
      <c r="AC72" s="24"/>
      <c r="AE72" s="24"/>
      <c r="AF72" s="47"/>
      <c r="AG72" s="24"/>
      <c r="AH72" s="24"/>
      <c r="AI72" s="24"/>
      <c r="AJ72" s="24"/>
      <c r="AK72" s="24"/>
    </row>
    <row r="73" spans="1:37" x14ac:dyDescent="0.3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/>
      <c r="W73" s="24" t="str">
        <f>IFERROR(IF(ISBLANK(V73),"",INDEX(Gen_Vessels!$A$3:$C$495,MATCH(InspectionSite!$V73,Gen_Vessels!$C$3:$C$495,0),1)),"")</f>
        <v/>
      </c>
      <c r="X73" s="24"/>
      <c r="Y73" s="24"/>
      <c r="Z73" s="24"/>
      <c r="AA73" s="24"/>
      <c r="AB73" s="24"/>
      <c r="AC73" s="24"/>
      <c r="AE73" s="24"/>
      <c r="AF73" s="47"/>
      <c r="AG73" s="24"/>
      <c r="AH73" s="24"/>
      <c r="AI73" s="24"/>
      <c r="AJ73" s="24"/>
      <c r="AK73" s="24"/>
    </row>
    <row r="74" spans="1:37" x14ac:dyDescent="0.3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/>
      <c r="W74" s="24" t="str">
        <f>IFERROR(IF(ISBLANK(V74),"",INDEX(Gen_Vessels!$A$3:$C$495,MATCH(InspectionSite!$V74,Gen_Vessels!$C$3:$C$495,0),1)),"")</f>
        <v/>
      </c>
      <c r="X74" s="24"/>
      <c r="Y74" s="24"/>
      <c r="Z74" s="24"/>
      <c r="AA74" s="24"/>
      <c r="AB74" s="24"/>
      <c r="AC74" s="24"/>
      <c r="AE74" s="24"/>
      <c r="AF74" s="47"/>
      <c r="AG74" s="24"/>
      <c r="AH74" s="24"/>
      <c r="AI74" s="24"/>
      <c r="AJ74" s="24"/>
      <c r="AK74" s="24"/>
    </row>
    <row r="75" spans="1:37" x14ac:dyDescent="0.3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/>
      <c r="W75" s="24" t="str">
        <f>IFERROR(IF(ISBLANK(V75),"",INDEX(Gen_Vessels!$A$3:$C$495,MATCH(InspectionSite!$V75,Gen_Vessels!$C$3:$C$495,0),1)),"")</f>
        <v/>
      </c>
      <c r="X75" s="24"/>
      <c r="Y75" s="24"/>
      <c r="Z75" s="24"/>
      <c r="AA75" s="24"/>
      <c r="AB75" s="24"/>
      <c r="AC75" s="24"/>
      <c r="AE75" s="24"/>
      <c r="AF75" s="47"/>
      <c r="AG75" s="24"/>
      <c r="AH75" s="24"/>
      <c r="AI75" s="24"/>
      <c r="AJ75" s="24"/>
      <c r="AK75" s="24"/>
    </row>
    <row r="76" spans="1:37" x14ac:dyDescent="0.3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/>
      <c r="W76" s="24" t="str">
        <f>IFERROR(IF(ISBLANK(V76),"",INDEX(Gen_Vessels!$A$3:$C$495,MATCH(InspectionSite!$V76,Gen_Vessels!$C$3:$C$495,0),1)),"")</f>
        <v/>
      </c>
      <c r="X76" s="24"/>
      <c r="Y76" s="24"/>
      <c r="Z76" s="24"/>
      <c r="AA76" s="24"/>
      <c r="AB76" s="24"/>
      <c r="AC76" s="24"/>
      <c r="AE76" s="24"/>
      <c r="AF76" s="47"/>
      <c r="AG76" s="24"/>
      <c r="AH76" s="24"/>
      <c r="AI76" s="24"/>
      <c r="AJ76" s="24"/>
      <c r="AK76" s="24"/>
    </row>
    <row r="77" spans="1:37" x14ac:dyDescent="0.3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/>
      <c r="W77" s="24" t="str">
        <f>IFERROR(IF(ISBLANK(V77),"",INDEX(Gen_Vessels!$A$3:$C$495,MATCH(InspectionSite!$V77,Gen_Vessels!$C$3:$C$495,0),1)),"")</f>
        <v/>
      </c>
      <c r="X77" s="24"/>
      <c r="Y77" s="24"/>
      <c r="Z77" s="24"/>
      <c r="AA77" s="24"/>
      <c r="AB77" s="24"/>
      <c r="AC77" s="24"/>
      <c r="AE77" s="24"/>
      <c r="AF77" s="47"/>
      <c r="AG77" s="24"/>
      <c r="AH77" s="24"/>
      <c r="AI77" s="24"/>
      <c r="AJ77" s="24"/>
      <c r="AK77" s="24"/>
    </row>
    <row r="78" spans="1:37" x14ac:dyDescent="0.3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/>
      <c r="W78" s="24" t="str">
        <f>IFERROR(IF(ISBLANK(V78),"",INDEX(Gen_Vessels!$A$3:$C$495,MATCH(InspectionSite!$V78,Gen_Vessels!$C$3:$C$495,0),1)),"")</f>
        <v/>
      </c>
      <c r="X78" s="24"/>
      <c r="Y78" s="24"/>
      <c r="Z78" s="24"/>
      <c r="AA78" s="24"/>
      <c r="AB78" s="24"/>
      <c r="AC78" s="24"/>
      <c r="AE78" s="24"/>
      <c r="AF78" s="47"/>
      <c r="AG78" s="24"/>
      <c r="AH78" s="24"/>
      <c r="AI78" s="24"/>
      <c r="AJ78" s="24"/>
      <c r="AK78" s="24"/>
    </row>
    <row r="79" spans="1:37" x14ac:dyDescent="0.3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/>
      <c r="W79" s="24" t="str">
        <f>IFERROR(IF(ISBLANK(V79),"",INDEX(Gen_Vessels!$A$3:$C$495,MATCH(InspectionSite!$V79,Gen_Vessels!$C$3:$C$495,0),1)),"")</f>
        <v/>
      </c>
      <c r="X79" s="24"/>
      <c r="Y79" s="24"/>
      <c r="Z79" s="24"/>
      <c r="AA79" s="24"/>
      <c r="AB79" s="24"/>
      <c r="AC79" s="24"/>
      <c r="AE79" s="24"/>
      <c r="AF79" s="47"/>
      <c r="AG79" s="24"/>
      <c r="AH79" s="24"/>
      <c r="AI79" s="24"/>
      <c r="AJ79" s="24"/>
      <c r="AK79" s="24"/>
    </row>
    <row r="80" spans="1:37" x14ac:dyDescent="0.3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/>
      <c r="W80" s="24" t="str">
        <f>IFERROR(IF(ISBLANK(V80),"",INDEX(Gen_Vessels!$A$3:$C$495,MATCH(InspectionSite!$V80,Gen_Vessels!$C$3:$C$495,0),1)),"")</f>
        <v/>
      </c>
      <c r="X80" s="24"/>
      <c r="Y80" s="24"/>
      <c r="Z80" s="24"/>
      <c r="AA80" s="24"/>
      <c r="AB80" s="24"/>
      <c r="AC80" s="24"/>
      <c r="AE80" s="24"/>
      <c r="AF80" s="47"/>
      <c r="AG80" s="24"/>
      <c r="AH80" s="24"/>
      <c r="AI80" s="24"/>
      <c r="AJ80" s="24"/>
      <c r="AK80" s="24"/>
    </row>
    <row r="81" spans="1:37" x14ac:dyDescent="0.3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/>
      <c r="W81" s="24" t="str">
        <f>IFERROR(IF(ISBLANK(V81),"",INDEX(Gen_Vessels!$A$3:$C$495,MATCH(InspectionSite!$V81,Gen_Vessels!$C$3:$C$495,0),1)),"")</f>
        <v/>
      </c>
      <c r="X81" s="24"/>
      <c r="Y81" s="24"/>
      <c r="Z81" s="24"/>
      <c r="AA81" s="24"/>
      <c r="AB81" s="24"/>
      <c r="AC81" s="24"/>
      <c r="AE81" s="24"/>
      <c r="AF81" s="47"/>
      <c r="AG81" s="24"/>
      <c r="AH81" s="24"/>
      <c r="AI81" s="24"/>
      <c r="AJ81" s="24"/>
      <c r="AK81" s="24"/>
    </row>
    <row r="82" spans="1:37" x14ac:dyDescent="0.3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/>
      <c r="W82" s="24" t="str">
        <f>IFERROR(IF(ISBLANK(V82),"",INDEX(Gen_Vessels!$A$3:$C$495,MATCH(InspectionSite!$V82,Gen_Vessels!$C$3:$C$495,0),1)),"")</f>
        <v/>
      </c>
      <c r="X82" s="24"/>
      <c r="Y82" s="24"/>
      <c r="Z82" s="24"/>
      <c r="AA82" s="24"/>
      <c r="AB82" s="24"/>
      <c r="AC82" s="24"/>
      <c r="AE82" s="24"/>
      <c r="AF82" s="47"/>
      <c r="AG82" s="24"/>
      <c r="AH82" s="24"/>
      <c r="AI82" s="24"/>
      <c r="AJ82" s="24"/>
      <c r="AK82" s="24"/>
    </row>
    <row r="83" spans="1:37" x14ac:dyDescent="0.3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/>
      <c r="W83" s="24" t="str">
        <f>IFERROR(IF(ISBLANK(V83),"",INDEX(Gen_Vessels!$A$3:$C$495,MATCH(InspectionSite!$V83,Gen_Vessels!$C$3:$C$495,0),1)),"")</f>
        <v/>
      </c>
      <c r="X83" s="24"/>
      <c r="Y83" s="24"/>
      <c r="Z83" s="24"/>
      <c r="AA83" s="24"/>
      <c r="AB83" s="24"/>
      <c r="AC83" s="24"/>
      <c r="AE83" s="24"/>
      <c r="AF83" s="47"/>
      <c r="AG83" s="24"/>
      <c r="AH83" s="24"/>
      <c r="AI83" s="24"/>
      <c r="AJ83" s="24"/>
      <c r="AK83" s="24"/>
    </row>
    <row r="84" spans="1:37" x14ac:dyDescent="0.3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/>
      <c r="W84" s="24" t="str">
        <f>IFERROR(IF(ISBLANK(V84),"",INDEX(Gen_Vessels!$A$3:$C$495,MATCH(InspectionSite!$V84,Gen_Vessels!$C$3:$C$495,0),1)),"")</f>
        <v/>
      </c>
      <c r="X84" s="24"/>
      <c r="Y84" s="24"/>
      <c r="Z84" s="24"/>
      <c r="AA84" s="24"/>
      <c r="AB84" s="24"/>
      <c r="AC84" s="24"/>
      <c r="AE84" s="24"/>
      <c r="AF84" s="47"/>
      <c r="AG84" s="24"/>
      <c r="AH84" s="24"/>
      <c r="AI84" s="24"/>
      <c r="AJ84" s="24"/>
      <c r="AK84" s="24"/>
    </row>
    <row r="85" spans="1:37" x14ac:dyDescent="0.3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/>
      <c r="W85" s="24" t="str">
        <f>IFERROR(IF(ISBLANK(V85),"",INDEX(Gen_Vessels!$A$3:$C$495,MATCH(InspectionSite!$V85,Gen_Vessels!$C$3:$C$495,0),1)),"")</f>
        <v/>
      </c>
      <c r="X85" s="24"/>
      <c r="Y85" s="24"/>
      <c r="Z85" s="24"/>
      <c r="AA85" s="24"/>
      <c r="AB85" s="24"/>
      <c r="AC85" s="24"/>
      <c r="AE85" s="24"/>
      <c r="AF85" s="47"/>
      <c r="AG85" s="24"/>
      <c r="AH85" s="24"/>
      <c r="AI85" s="24"/>
      <c r="AJ85" s="24"/>
      <c r="AK85" s="24"/>
    </row>
    <row r="86" spans="1:37" x14ac:dyDescent="0.3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/>
      <c r="W86" s="24" t="str">
        <f>IFERROR(IF(ISBLANK(V86),"",INDEX(Gen_Vessels!$A$3:$C$495,MATCH(InspectionSite!$V86,Gen_Vessels!$C$3:$C$495,0),1)),"")</f>
        <v/>
      </c>
      <c r="X86" s="24"/>
      <c r="Y86" s="24"/>
      <c r="Z86" s="24"/>
      <c r="AA86" s="24"/>
      <c r="AB86" s="24"/>
      <c r="AC86" s="24"/>
      <c r="AE86" s="24"/>
      <c r="AF86" s="47"/>
      <c r="AG86" s="24"/>
      <c r="AH86" s="24"/>
      <c r="AI86" s="24"/>
      <c r="AJ86" s="24"/>
      <c r="AK86" s="24"/>
    </row>
    <row r="87" spans="1:37" x14ac:dyDescent="0.3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/>
      <c r="W87" s="24" t="str">
        <f>IFERROR(IF(ISBLANK(V87),"",INDEX(Gen_Vessels!$A$3:$C$495,MATCH(InspectionSite!$V87,Gen_Vessels!$C$3:$C$495,0),1)),"")</f>
        <v/>
      </c>
      <c r="X87" s="24"/>
      <c r="Y87" s="24"/>
      <c r="Z87" s="24"/>
      <c r="AA87" s="24"/>
      <c r="AB87" s="24"/>
      <c r="AC87" s="24"/>
      <c r="AE87" s="24"/>
      <c r="AF87" s="47"/>
      <c r="AG87" s="24"/>
      <c r="AH87" s="24"/>
      <c r="AI87" s="24"/>
      <c r="AJ87" s="24"/>
      <c r="AK87" s="24"/>
    </row>
    <row r="88" spans="1:37" x14ac:dyDescent="0.3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/>
      <c r="W88" s="24" t="str">
        <f>IFERROR(IF(ISBLANK(V88),"",INDEX(Gen_Vessels!$A$3:$C$495,MATCH(InspectionSite!$V88,Gen_Vessels!$C$3:$C$495,0),1)),"")</f>
        <v/>
      </c>
      <c r="X88" s="24"/>
      <c r="Y88" s="24"/>
      <c r="Z88" s="24"/>
      <c r="AA88" s="24"/>
      <c r="AB88" s="24"/>
      <c r="AC88" s="24"/>
      <c r="AE88" s="24"/>
      <c r="AF88" s="47"/>
      <c r="AG88" s="24"/>
      <c r="AH88" s="24"/>
      <c r="AI88" s="24"/>
      <c r="AJ88" s="24"/>
      <c r="AK88" s="24"/>
    </row>
    <row r="89" spans="1:37" x14ac:dyDescent="0.3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/>
      <c r="W89" s="24" t="str">
        <f>IFERROR(IF(ISBLANK(V89),"",INDEX(Gen_Vessels!$A$3:$C$495,MATCH(InspectionSite!$V89,Gen_Vessels!$C$3:$C$495,0),1)),"")</f>
        <v/>
      </c>
      <c r="X89" s="24"/>
      <c r="Y89" s="24"/>
      <c r="Z89" s="24"/>
      <c r="AA89" s="24"/>
      <c r="AB89" s="24"/>
      <c r="AC89" s="24"/>
      <c r="AE89" s="24"/>
      <c r="AF89" s="47"/>
      <c r="AG89" s="24"/>
      <c r="AH89" s="24"/>
      <c r="AI89" s="24"/>
      <c r="AJ89" s="24"/>
      <c r="AK89" s="24"/>
    </row>
    <row r="90" spans="1:37" x14ac:dyDescent="0.3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/>
      <c r="W90" s="24" t="str">
        <f>IFERROR(IF(ISBLANK(V90),"",INDEX(Gen_Vessels!$A$3:$C$495,MATCH(InspectionSite!$V90,Gen_Vessels!$C$3:$C$495,0),1)),"")</f>
        <v/>
      </c>
      <c r="X90" s="24"/>
      <c r="Y90" s="24"/>
      <c r="Z90" s="24"/>
      <c r="AA90" s="24"/>
      <c r="AB90" s="24"/>
      <c r="AC90" s="24"/>
      <c r="AE90" s="24"/>
      <c r="AF90" s="47"/>
      <c r="AG90" s="24"/>
      <c r="AH90" s="24"/>
      <c r="AI90" s="24"/>
      <c r="AJ90" s="24"/>
      <c r="AK90" s="24"/>
    </row>
    <row r="91" spans="1:37" x14ac:dyDescent="0.3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/>
      <c r="W91" s="24" t="str">
        <f>IFERROR(IF(ISBLANK(V91),"",INDEX(Gen_Vessels!$A$3:$C$495,MATCH(InspectionSite!$V91,Gen_Vessels!$C$3:$C$495,0),1)),"")</f>
        <v/>
      </c>
      <c r="X91" s="24"/>
      <c r="Y91" s="24"/>
      <c r="Z91" s="24"/>
      <c r="AA91" s="24"/>
      <c r="AB91" s="24"/>
      <c r="AC91" s="24"/>
      <c r="AE91" s="24"/>
      <c r="AF91" s="47"/>
      <c r="AG91" s="24"/>
      <c r="AH91" s="24"/>
      <c r="AI91" s="24"/>
      <c r="AJ91" s="24"/>
      <c r="AK91" s="24"/>
    </row>
    <row r="92" spans="1:37" x14ac:dyDescent="0.3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/>
      <c r="W92" s="24" t="str">
        <f>IFERROR(IF(ISBLANK(V92),"",INDEX(Gen_Vessels!$A$3:$C$495,MATCH(InspectionSite!$V92,Gen_Vessels!$C$3:$C$495,0),1)),"")</f>
        <v/>
      </c>
      <c r="X92" s="24"/>
      <c r="Y92" s="24"/>
      <c r="Z92" s="24"/>
      <c r="AA92" s="24"/>
      <c r="AB92" s="24"/>
      <c r="AC92" s="24"/>
      <c r="AE92" s="24"/>
      <c r="AF92" s="47"/>
      <c r="AG92" s="24"/>
      <c r="AH92" s="24"/>
      <c r="AI92" s="24"/>
      <c r="AJ92" s="24"/>
      <c r="AK92" s="24"/>
    </row>
    <row r="93" spans="1:37" x14ac:dyDescent="0.3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/>
      <c r="W93" s="24" t="str">
        <f>IFERROR(IF(ISBLANK(V93),"",INDEX(Gen_Vessels!$A$3:$C$495,MATCH(InspectionSite!$V93,Gen_Vessels!$C$3:$C$495,0),1)),"")</f>
        <v/>
      </c>
      <c r="X93" s="24"/>
      <c r="Y93" s="24"/>
      <c r="Z93" s="24"/>
      <c r="AA93" s="24"/>
      <c r="AB93" s="24"/>
      <c r="AC93" s="24"/>
      <c r="AE93" s="24"/>
      <c r="AF93" s="47"/>
      <c r="AG93" s="24"/>
      <c r="AH93" s="24"/>
      <c r="AI93" s="24"/>
      <c r="AJ93" s="24"/>
      <c r="AK93" s="24"/>
    </row>
    <row r="94" spans="1:37" x14ac:dyDescent="0.3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/>
      <c r="W94" s="24" t="str">
        <f>IFERROR(IF(ISBLANK(V94),"",INDEX(Gen_Vessels!$A$3:$C$495,MATCH(InspectionSite!$V94,Gen_Vessels!$C$3:$C$495,0),1)),"")</f>
        <v/>
      </c>
      <c r="X94" s="24"/>
      <c r="Y94" s="24"/>
      <c r="Z94" s="24"/>
      <c r="AA94" s="24"/>
      <c r="AB94" s="24"/>
      <c r="AC94" s="24"/>
      <c r="AE94" s="24"/>
      <c r="AF94" s="47"/>
      <c r="AG94" s="24"/>
      <c r="AH94" s="24"/>
      <c r="AI94" s="24"/>
      <c r="AJ94" s="24"/>
      <c r="AK94" s="24"/>
    </row>
    <row r="95" spans="1:37" x14ac:dyDescent="0.3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/>
      <c r="W95" s="24" t="str">
        <f>IFERROR(IF(ISBLANK(V95),"",INDEX(Gen_Vessels!$A$3:$C$495,MATCH(InspectionSite!$V95,Gen_Vessels!$C$3:$C$495,0),1)),"")</f>
        <v/>
      </c>
      <c r="X95" s="24"/>
      <c r="Y95" s="24"/>
      <c r="Z95" s="24"/>
      <c r="AA95" s="24"/>
      <c r="AB95" s="24"/>
      <c r="AC95" s="24"/>
      <c r="AE95" s="24"/>
      <c r="AF95" s="47"/>
      <c r="AG95" s="24"/>
      <c r="AH95" s="24"/>
      <c r="AI95" s="24"/>
      <c r="AJ95" s="24"/>
      <c r="AK95" s="24"/>
    </row>
    <row r="96" spans="1:37" x14ac:dyDescent="0.3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/>
      <c r="W96" s="24" t="str">
        <f>IFERROR(IF(ISBLANK(V96),"",INDEX(Gen_Vessels!$A$3:$C$495,MATCH(InspectionSite!$V96,Gen_Vessels!$C$3:$C$495,0),1)),"")</f>
        <v/>
      </c>
      <c r="X96" s="24"/>
      <c r="Y96" s="24"/>
      <c r="Z96" s="24"/>
      <c r="AA96" s="24"/>
      <c r="AB96" s="24"/>
      <c r="AC96" s="24"/>
      <c r="AE96" s="24"/>
      <c r="AF96" s="47"/>
      <c r="AG96" s="24"/>
      <c r="AH96" s="24"/>
      <c r="AI96" s="24"/>
      <c r="AJ96" s="24"/>
      <c r="AK96" s="24"/>
    </row>
    <row r="97" spans="1:37" x14ac:dyDescent="0.3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/>
      <c r="W97" s="24" t="str">
        <f>IFERROR(IF(ISBLANK(V97),"",INDEX(Gen_Vessels!$A$3:$C$495,MATCH(InspectionSite!$V97,Gen_Vessels!$C$3:$C$495,0),1)),"")</f>
        <v/>
      </c>
      <c r="X97" s="24"/>
      <c r="Y97" s="24"/>
      <c r="Z97" s="24"/>
      <c r="AA97" s="24"/>
      <c r="AB97" s="24"/>
      <c r="AC97" s="24"/>
      <c r="AE97" s="24"/>
      <c r="AF97" s="47"/>
      <c r="AG97" s="24"/>
      <c r="AH97" s="24"/>
      <c r="AI97" s="24"/>
      <c r="AJ97" s="24"/>
      <c r="AK97" s="24"/>
    </row>
    <row r="98" spans="1:37" x14ac:dyDescent="0.3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/>
      <c r="W98" s="24" t="str">
        <f>IFERROR(IF(ISBLANK(V98),"",INDEX(Gen_Vessels!$A$3:$C$495,MATCH(InspectionSite!$V98,Gen_Vessels!$C$3:$C$495,0),1)),"")</f>
        <v/>
      </c>
      <c r="X98" s="24"/>
      <c r="Y98" s="24"/>
      <c r="Z98" s="24"/>
      <c r="AA98" s="24"/>
      <c r="AB98" s="24"/>
      <c r="AC98" s="24"/>
      <c r="AE98" s="24"/>
      <c r="AF98" s="47"/>
      <c r="AG98" s="24"/>
      <c r="AH98" s="24"/>
      <c r="AI98" s="24"/>
      <c r="AJ98" s="24"/>
      <c r="AK98" s="24"/>
    </row>
    <row r="99" spans="1:37" x14ac:dyDescent="0.3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/>
      <c r="W99" s="24" t="str">
        <f>IFERROR(IF(ISBLANK(V99),"",INDEX(Gen_Vessels!$A$3:$C$495,MATCH(InspectionSite!$V99,Gen_Vessels!$C$3:$C$495,0),1)),"")</f>
        <v/>
      </c>
      <c r="X99" s="24"/>
      <c r="Y99" s="24"/>
      <c r="Z99" s="24"/>
      <c r="AA99" s="24"/>
      <c r="AB99" s="24"/>
      <c r="AC99" s="24"/>
      <c r="AE99" s="24"/>
      <c r="AF99" s="47"/>
      <c r="AG99" s="24"/>
      <c r="AH99" s="24"/>
      <c r="AI99" s="24"/>
      <c r="AJ99" s="24"/>
      <c r="AK99" s="24"/>
    </row>
    <row r="100" spans="1:37" x14ac:dyDescent="0.3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/>
      <c r="W100" s="24" t="str">
        <f>IFERROR(IF(ISBLANK(V100),"",INDEX(Gen_Vessels!$A$3:$C$495,MATCH(InspectionSite!$V100,Gen_Vessels!$C$3:$C$495,0),1)),"")</f>
        <v/>
      </c>
      <c r="X100" s="24"/>
      <c r="Y100" s="24"/>
      <c r="Z100" s="24"/>
      <c r="AA100" s="24"/>
      <c r="AB100" s="24"/>
      <c r="AC100" s="24"/>
      <c r="AE100" s="24"/>
      <c r="AF100" s="47"/>
      <c r="AG100" s="24"/>
      <c r="AH100" s="24"/>
      <c r="AI100" s="24"/>
      <c r="AJ100" s="24"/>
      <c r="AK100" s="24"/>
    </row>
    <row r="101" spans="1:37" x14ac:dyDescent="0.3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/>
      <c r="W101" s="24" t="str">
        <f>IFERROR(IF(ISBLANK(V101),"",INDEX(Gen_Vessels!$A$3:$C$495,MATCH(InspectionSite!$V101,Gen_Vessels!$C$3:$C$495,0),1)),"")</f>
        <v/>
      </c>
      <c r="X101" s="24"/>
      <c r="Y101" s="24"/>
      <c r="Z101" s="24"/>
      <c r="AA101" s="24"/>
      <c r="AB101" s="24"/>
      <c r="AC101" s="24"/>
      <c r="AE101" s="24"/>
      <c r="AF101" s="47"/>
      <c r="AG101" s="24"/>
      <c r="AH101" s="24"/>
      <c r="AI101" s="24"/>
      <c r="AJ101" s="24"/>
      <c r="AK101" s="24"/>
    </row>
    <row r="102" spans="1:37" x14ac:dyDescent="0.3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/>
      <c r="W102" s="24" t="str">
        <f>IFERROR(IF(ISBLANK(V102),"",INDEX(Gen_Vessels!$A$3:$C$495,MATCH(InspectionSite!$V102,Gen_Vessels!$C$3:$C$495,0),1)),"")</f>
        <v/>
      </c>
      <c r="X102" s="24"/>
      <c r="Y102" s="24"/>
      <c r="Z102" s="24"/>
      <c r="AA102" s="24"/>
      <c r="AB102" s="24"/>
      <c r="AC102" s="24"/>
      <c r="AE102" s="24"/>
      <c r="AF102" s="47"/>
      <c r="AG102" s="24"/>
      <c r="AH102" s="24"/>
      <c r="AI102" s="24"/>
      <c r="AJ102" s="24"/>
      <c r="AK102" s="24"/>
    </row>
    <row r="103" spans="1:37" x14ac:dyDescent="0.3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/>
      <c r="W103" s="24" t="str">
        <f>IFERROR(IF(ISBLANK(V103),"",INDEX(Gen_Vessels!$A$3:$C$495,MATCH(InspectionSite!$V103,Gen_Vessels!$C$3:$C$495,0),1)),"")</f>
        <v/>
      </c>
      <c r="X103" s="24"/>
      <c r="Y103" s="24"/>
      <c r="Z103" s="24"/>
      <c r="AA103" s="24"/>
      <c r="AB103" s="24"/>
      <c r="AC103" s="24"/>
      <c r="AE103" s="24"/>
      <c r="AF103" s="47"/>
      <c r="AG103" s="24"/>
      <c r="AH103" s="24"/>
      <c r="AI103" s="24"/>
      <c r="AJ103" s="24"/>
      <c r="AK103" s="24"/>
    </row>
    <row r="104" spans="1:37" x14ac:dyDescent="0.3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/>
      <c r="W104" s="24" t="str">
        <f>IFERROR(IF(ISBLANK(V104),"",INDEX(Gen_Vessels!$A$3:$C$495,MATCH(InspectionSite!$V104,Gen_Vessels!$C$3:$C$495,0),1)),"")</f>
        <v/>
      </c>
      <c r="X104" s="24"/>
      <c r="Y104" s="24"/>
      <c r="Z104" s="24"/>
      <c r="AA104" s="24"/>
      <c r="AB104" s="24"/>
      <c r="AC104" s="24"/>
      <c r="AE104" s="24"/>
      <c r="AF104" s="47"/>
      <c r="AG104" s="24"/>
      <c r="AH104" s="24"/>
      <c r="AI104" s="24"/>
      <c r="AJ104" s="24"/>
      <c r="AK104" s="24"/>
    </row>
    <row r="105" spans="1:37" x14ac:dyDescent="0.3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/>
      <c r="W105" s="24" t="str">
        <f>IFERROR(IF(ISBLANK(V105),"",INDEX(Gen_Vessels!$A$3:$C$495,MATCH(InspectionSite!$V105,Gen_Vessels!$C$3:$C$495,0),1)),"")</f>
        <v/>
      </c>
      <c r="X105" s="24"/>
      <c r="Y105" s="24"/>
      <c r="Z105" s="24"/>
      <c r="AA105" s="24"/>
      <c r="AB105" s="24"/>
      <c r="AC105" s="24"/>
      <c r="AE105" s="24"/>
      <c r="AF105" s="47"/>
      <c r="AG105" s="24"/>
      <c r="AH105" s="24"/>
      <c r="AI105" s="24"/>
      <c r="AJ105" s="24"/>
      <c r="AK105" s="24"/>
    </row>
    <row r="106" spans="1:37" x14ac:dyDescent="0.3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/>
      <c r="W106" s="24" t="str">
        <f>IFERROR(IF(ISBLANK(V106),"",INDEX(Gen_Vessels!$A$3:$C$495,MATCH(InspectionSite!$V106,Gen_Vessels!$C$3:$C$495,0),1)),"")</f>
        <v/>
      </c>
      <c r="X106" s="24"/>
      <c r="Y106" s="24"/>
      <c r="Z106" s="24"/>
      <c r="AA106" s="24"/>
      <c r="AB106" s="24"/>
      <c r="AC106" s="24"/>
      <c r="AE106" s="24"/>
      <c r="AF106" s="47"/>
      <c r="AG106" s="24"/>
      <c r="AH106" s="24"/>
      <c r="AI106" s="24"/>
      <c r="AJ106" s="24"/>
      <c r="AK106" s="24"/>
    </row>
    <row r="107" spans="1:37" x14ac:dyDescent="0.3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/>
      <c r="W107" s="24" t="str">
        <f>IFERROR(IF(ISBLANK(V107),"",INDEX(Gen_Vessels!$A$3:$C$495,MATCH(InspectionSite!$V107,Gen_Vessels!$C$3:$C$495,0),1)),"")</f>
        <v/>
      </c>
      <c r="X107" s="24"/>
      <c r="Y107" s="24"/>
      <c r="Z107" s="24"/>
      <c r="AA107" s="24"/>
      <c r="AB107" s="24"/>
      <c r="AC107" s="24"/>
      <c r="AE107" s="24"/>
      <c r="AF107" s="47"/>
      <c r="AG107" s="24"/>
      <c r="AH107" s="24"/>
      <c r="AI107" s="24"/>
      <c r="AJ107" s="24"/>
      <c r="AK107" s="24"/>
    </row>
    <row r="108" spans="1:37" x14ac:dyDescent="0.3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/>
      <c r="W108" s="24" t="str">
        <f>IFERROR(IF(ISBLANK(V108),"",INDEX(Gen_Vessels!$A$3:$C$495,MATCH(InspectionSite!$V108,Gen_Vessels!$C$3:$C$495,0),1)),"")</f>
        <v/>
      </c>
      <c r="X108" s="24"/>
      <c r="Y108" s="24"/>
      <c r="Z108" s="24"/>
      <c r="AA108" s="24"/>
      <c r="AB108" s="24"/>
      <c r="AC108" s="24"/>
      <c r="AE108" s="24"/>
      <c r="AF108" s="47"/>
      <c r="AG108" s="24"/>
      <c r="AH108" s="24"/>
      <c r="AI108" s="24"/>
      <c r="AJ108" s="24"/>
      <c r="AK108" s="24"/>
    </row>
    <row r="109" spans="1:37" x14ac:dyDescent="0.3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/>
      <c r="W109" s="24" t="str">
        <f>IFERROR(IF(ISBLANK(V109),"",INDEX(Gen_Vessels!$A$3:$C$495,MATCH(InspectionSite!$V109,Gen_Vessels!$C$3:$C$495,0),1)),"")</f>
        <v/>
      </c>
      <c r="X109" s="24"/>
      <c r="Y109" s="24"/>
      <c r="Z109" s="24"/>
      <c r="AA109" s="24"/>
      <c r="AB109" s="24"/>
      <c r="AC109" s="24"/>
      <c r="AE109" s="24"/>
      <c r="AF109" s="47"/>
      <c r="AG109" s="24"/>
      <c r="AH109" s="24"/>
      <c r="AI109" s="24"/>
      <c r="AJ109" s="24"/>
      <c r="AK109" s="24"/>
    </row>
    <row r="110" spans="1:37" x14ac:dyDescent="0.3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/>
      <c r="W110" s="24" t="str">
        <f>IFERROR(IF(ISBLANK(V110),"",INDEX(Gen_Vessels!$A$3:$C$495,MATCH(InspectionSite!$V110,Gen_Vessels!$C$3:$C$495,0),1)),"")</f>
        <v/>
      </c>
      <c r="X110" s="24"/>
      <c r="Y110" s="24"/>
      <c r="Z110" s="24"/>
      <c r="AA110" s="24"/>
      <c r="AB110" s="24"/>
      <c r="AC110" s="24"/>
      <c r="AE110" s="24"/>
      <c r="AF110" s="47"/>
      <c r="AG110" s="24"/>
      <c r="AH110" s="24"/>
      <c r="AI110" s="24"/>
      <c r="AJ110" s="24"/>
      <c r="AK110" s="24"/>
    </row>
    <row r="111" spans="1:37" x14ac:dyDescent="0.3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/>
      <c r="W111" s="24" t="str">
        <f>IFERROR(IF(ISBLANK(V111),"",INDEX(Gen_Vessels!$A$3:$C$495,MATCH(InspectionSite!$V111,Gen_Vessels!$C$3:$C$495,0),1)),"")</f>
        <v/>
      </c>
      <c r="X111" s="24"/>
      <c r="Y111" s="24"/>
      <c r="Z111" s="24"/>
      <c r="AA111" s="24"/>
      <c r="AB111" s="24"/>
      <c r="AC111" s="24"/>
      <c r="AE111" s="24"/>
      <c r="AF111" s="47"/>
      <c r="AG111" s="24"/>
      <c r="AH111" s="24"/>
      <c r="AI111" s="24"/>
      <c r="AJ111" s="24"/>
      <c r="AK111" s="24"/>
    </row>
    <row r="112" spans="1:37" x14ac:dyDescent="0.3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/>
      <c r="W112" s="24" t="str">
        <f>IFERROR(IF(ISBLANK(V112),"",INDEX(Gen_Vessels!$A$3:$C$495,MATCH(InspectionSite!$V112,Gen_Vessels!$C$3:$C$495,0),1)),"")</f>
        <v/>
      </c>
      <c r="X112" s="24"/>
      <c r="Y112" s="24"/>
      <c r="Z112" s="24"/>
      <c r="AA112" s="24"/>
      <c r="AB112" s="24"/>
      <c r="AC112" s="24"/>
      <c r="AE112" s="24"/>
      <c r="AF112" s="47"/>
      <c r="AG112" s="24"/>
      <c r="AH112" s="24"/>
      <c r="AI112" s="24"/>
      <c r="AJ112" s="24"/>
      <c r="AK112" s="24"/>
    </row>
    <row r="113" spans="1:37" x14ac:dyDescent="0.3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/>
      <c r="W113" s="24" t="str">
        <f>IFERROR(IF(ISBLANK(V113),"",INDEX(Gen_Vessels!$A$3:$C$495,MATCH(InspectionSite!$V113,Gen_Vessels!$C$3:$C$495,0),1)),"")</f>
        <v/>
      </c>
      <c r="X113" s="24"/>
      <c r="Y113" s="24"/>
      <c r="Z113" s="24"/>
      <c r="AA113" s="24"/>
      <c r="AB113" s="24"/>
      <c r="AC113" s="24"/>
      <c r="AE113" s="24"/>
      <c r="AF113" s="47"/>
      <c r="AG113" s="24"/>
      <c r="AH113" s="24"/>
      <c r="AI113" s="24"/>
      <c r="AJ113" s="24"/>
      <c r="AK113" s="24"/>
    </row>
    <row r="114" spans="1:37" x14ac:dyDescent="0.3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/>
      <c r="W114" s="24" t="str">
        <f>IFERROR(IF(ISBLANK(V114),"",INDEX(Gen_Vessels!$A$3:$C$495,MATCH(InspectionSite!$V114,Gen_Vessels!$C$3:$C$495,0),1)),"")</f>
        <v/>
      </c>
      <c r="X114" s="24"/>
      <c r="Y114" s="24"/>
      <c r="Z114" s="24"/>
      <c r="AA114" s="24"/>
      <c r="AB114" s="24"/>
      <c r="AC114" s="24"/>
      <c r="AE114" s="24"/>
      <c r="AF114" s="47"/>
      <c r="AG114" s="24"/>
      <c r="AH114" s="24"/>
      <c r="AI114" s="24"/>
      <c r="AJ114" s="24"/>
      <c r="AK114" s="24"/>
    </row>
    <row r="115" spans="1:37" x14ac:dyDescent="0.3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/>
      <c r="W115" s="24" t="str">
        <f>IFERROR(IF(ISBLANK(V115),"",INDEX(Gen_Vessels!$A$3:$C$495,MATCH(InspectionSite!$V115,Gen_Vessels!$C$3:$C$495,0),1)),"")</f>
        <v/>
      </c>
      <c r="X115" s="24"/>
      <c r="Y115" s="24"/>
      <c r="Z115" s="24"/>
      <c r="AA115" s="24"/>
      <c r="AB115" s="24"/>
      <c r="AC115" s="24"/>
      <c r="AE115" s="24"/>
      <c r="AF115" s="47"/>
      <c r="AG115" s="24"/>
      <c r="AH115" s="24"/>
      <c r="AI115" s="24"/>
      <c r="AJ115" s="24"/>
      <c r="AK115" s="24"/>
    </row>
    <row r="116" spans="1:37" x14ac:dyDescent="0.3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/>
      <c r="W116" s="24" t="str">
        <f>IFERROR(IF(ISBLANK(V116),"",INDEX(Gen_Vessels!$A$3:$C$495,MATCH(InspectionSite!$V116,Gen_Vessels!$C$3:$C$495,0),1)),"")</f>
        <v/>
      </c>
      <c r="X116" s="24"/>
      <c r="Y116" s="24"/>
      <c r="Z116" s="24"/>
      <c r="AA116" s="24"/>
      <c r="AB116" s="24"/>
      <c r="AC116" s="24"/>
      <c r="AE116" s="24"/>
      <c r="AF116" s="47"/>
      <c r="AG116" s="24"/>
      <c r="AH116" s="24"/>
      <c r="AI116" s="24"/>
      <c r="AJ116" s="24"/>
      <c r="AK116" s="24"/>
    </row>
    <row r="117" spans="1:37" x14ac:dyDescent="0.3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/>
      <c r="W117" s="24" t="str">
        <f>IFERROR(IF(ISBLANK(V117),"",INDEX(Gen_Vessels!$A$3:$C$495,MATCH(InspectionSite!$V117,Gen_Vessels!$C$3:$C$495,0),1)),"")</f>
        <v/>
      </c>
      <c r="X117" s="24"/>
      <c r="Y117" s="24"/>
      <c r="Z117" s="24"/>
      <c r="AA117" s="24"/>
      <c r="AB117" s="24"/>
      <c r="AC117" s="24"/>
      <c r="AE117" s="24"/>
      <c r="AF117" s="47"/>
      <c r="AG117" s="24"/>
      <c r="AH117" s="24"/>
      <c r="AI117" s="24"/>
      <c r="AJ117" s="24"/>
      <c r="AK117" s="24"/>
    </row>
    <row r="118" spans="1:37" x14ac:dyDescent="0.3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/>
      <c r="W118" s="24" t="str">
        <f>IFERROR(IF(ISBLANK(V118),"",INDEX(Gen_Vessels!$A$3:$C$495,MATCH(InspectionSite!$V118,Gen_Vessels!$C$3:$C$495,0),1)),"")</f>
        <v/>
      </c>
      <c r="X118" s="24"/>
      <c r="Y118" s="24"/>
      <c r="Z118" s="24"/>
      <c r="AA118" s="24"/>
      <c r="AB118" s="24"/>
      <c r="AC118" s="24"/>
      <c r="AE118" s="24"/>
      <c r="AF118" s="47"/>
      <c r="AG118" s="24"/>
      <c r="AH118" s="24"/>
      <c r="AI118" s="24"/>
      <c r="AJ118" s="24"/>
      <c r="AK118" s="24"/>
    </row>
    <row r="119" spans="1:37" x14ac:dyDescent="0.3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/>
      <c r="W119" s="24" t="str">
        <f>IFERROR(IF(ISBLANK(V119),"",INDEX(Gen_Vessels!$A$3:$C$495,MATCH(InspectionSite!$V119,Gen_Vessels!$C$3:$C$495,0),1)),"")</f>
        <v/>
      </c>
      <c r="X119" s="24"/>
      <c r="Y119" s="24"/>
      <c r="Z119" s="24"/>
      <c r="AA119" s="24"/>
      <c r="AB119" s="24"/>
      <c r="AC119" s="24"/>
      <c r="AE119" s="24"/>
      <c r="AF119" s="47"/>
      <c r="AG119" s="24"/>
      <c r="AH119" s="24"/>
      <c r="AI119" s="24"/>
      <c r="AJ119" s="24"/>
      <c r="AK119" s="24"/>
    </row>
    <row r="120" spans="1:37" x14ac:dyDescent="0.3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/>
      <c r="W120" s="24" t="str">
        <f>IFERROR(IF(ISBLANK(V120),"",INDEX(Gen_Vessels!$A$3:$C$495,MATCH(InspectionSite!$V120,Gen_Vessels!$C$3:$C$495,0),1)),"")</f>
        <v/>
      </c>
      <c r="X120" s="24"/>
      <c r="Y120" s="24"/>
      <c r="Z120" s="24"/>
      <c r="AA120" s="24"/>
      <c r="AB120" s="24"/>
      <c r="AC120" s="24"/>
      <c r="AE120" s="24"/>
      <c r="AF120" s="47"/>
      <c r="AG120" s="24"/>
      <c r="AH120" s="24"/>
      <c r="AI120" s="24"/>
      <c r="AJ120" s="24"/>
      <c r="AK120" s="24"/>
    </row>
    <row r="121" spans="1:37" x14ac:dyDescent="0.3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/>
      <c r="W121" s="24" t="str">
        <f>IFERROR(IF(ISBLANK(V121),"",INDEX(Gen_Vessels!$A$3:$C$495,MATCH(InspectionSite!$V121,Gen_Vessels!$C$3:$C$495,0),1)),"")</f>
        <v/>
      </c>
      <c r="X121" s="24"/>
      <c r="Y121" s="24"/>
      <c r="Z121" s="24"/>
      <c r="AA121" s="24"/>
      <c r="AB121" s="24"/>
      <c r="AC121" s="24"/>
      <c r="AE121" s="24"/>
      <c r="AF121" s="47"/>
      <c r="AG121" s="24"/>
      <c r="AH121" s="24"/>
      <c r="AI121" s="24"/>
      <c r="AJ121" s="24"/>
      <c r="AK121" s="24"/>
    </row>
    <row r="122" spans="1:37" x14ac:dyDescent="0.3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/>
      <c r="W122" s="24" t="str">
        <f>IFERROR(IF(ISBLANK(V122),"",INDEX(Gen_Vessels!$A$3:$C$495,MATCH(InspectionSite!$V122,Gen_Vessels!$C$3:$C$495,0),1)),"")</f>
        <v/>
      </c>
      <c r="X122" s="24"/>
      <c r="Y122" s="24"/>
      <c r="Z122" s="24"/>
      <c r="AA122" s="24"/>
      <c r="AB122" s="24"/>
      <c r="AC122" s="24"/>
      <c r="AE122" s="24"/>
      <c r="AF122" s="47"/>
      <c r="AG122" s="24"/>
      <c r="AH122" s="24"/>
      <c r="AI122" s="24"/>
      <c r="AJ122" s="24"/>
      <c r="AK122" s="24"/>
    </row>
    <row r="123" spans="1:37" x14ac:dyDescent="0.3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/>
      <c r="W123" s="24" t="str">
        <f>IFERROR(IF(ISBLANK(V123),"",INDEX(Gen_Vessels!$A$3:$C$495,MATCH(InspectionSite!$V123,Gen_Vessels!$C$3:$C$495,0),1)),"")</f>
        <v/>
      </c>
      <c r="X123" s="24"/>
      <c r="Y123" s="24"/>
      <c r="Z123" s="24"/>
      <c r="AA123" s="24"/>
      <c r="AB123" s="24"/>
      <c r="AC123" s="24"/>
      <c r="AE123" s="24"/>
      <c r="AF123" s="47"/>
      <c r="AG123" s="24"/>
      <c r="AH123" s="24"/>
      <c r="AI123" s="24"/>
      <c r="AJ123" s="24"/>
      <c r="AK123" s="24"/>
    </row>
    <row r="124" spans="1:37" x14ac:dyDescent="0.3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/>
      <c r="W124" s="24" t="str">
        <f>IFERROR(IF(ISBLANK(V124),"",INDEX(Gen_Vessels!$A$3:$C$495,MATCH(InspectionSite!$V124,Gen_Vessels!$C$3:$C$495,0),1)),"")</f>
        <v/>
      </c>
      <c r="X124" s="24"/>
      <c r="Y124" s="24"/>
      <c r="Z124" s="24"/>
      <c r="AA124" s="24"/>
      <c r="AB124" s="24"/>
      <c r="AC124" s="24"/>
      <c r="AE124" s="24"/>
      <c r="AF124" s="47"/>
      <c r="AG124" s="24"/>
      <c r="AH124" s="24"/>
      <c r="AI124" s="24"/>
      <c r="AJ124" s="24"/>
      <c r="AK124" s="24"/>
    </row>
    <row r="125" spans="1:37" x14ac:dyDescent="0.3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/>
      <c r="W125" s="24" t="str">
        <f>IFERROR(IF(ISBLANK(V125),"",INDEX(Gen_Vessels!$A$3:$C$495,MATCH(InspectionSite!$V125,Gen_Vessels!$C$3:$C$495,0),1)),"")</f>
        <v/>
      </c>
      <c r="X125" s="24"/>
      <c r="Y125" s="24"/>
      <c r="Z125" s="24"/>
      <c r="AA125" s="24"/>
      <c r="AB125" s="24"/>
      <c r="AC125" s="24"/>
      <c r="AE125" s="24"/>
      <c r="AF125" s="47"/>
      <c r="AG125" s="24"/>
      <c r="AH125" s="24"/>
      <c r="AI125" s="24"/>
      <c r="AJ125" s="24"/>
      <c r="AK125" s="24"/>
    </row>
    <row r="126" spans="1:37" x14ac:dyDescent="0.3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/>
      <c r="W126" s="24" t="str">
        <f>IFERROR(IF(ISBLANK(V126),"",INDEX(Gen_Vessels!$A$3:$C$495,MATCH(InspectionSite!$V126,Gen_Vessels!$C$3:$C$495,0),1)),"")</f>
        <v/>
      </c>
      <c r="X126" s="24"/>
      <c r="Y126" s="24"/>
      <c r="Z126" s="24"/>
      <c r="AA126" s="24"/>
      <c r="AB126" s="24"/>
      <c r="AC126" s="24"/>
      <c r="AE126" s="24"/>
      <c r="AF126" s="47"/>
      <c r="AG126" s="24"/>
      <c r="AH126" s="24"/>
      <c r="AI126" s="24"/>
      <c r="AJ126" s="24"/>
      <c r="AK126" s="24"/>
    </row>
    <row r="127" spans="1:37" x14ac:dyDescent="0.3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/>
      <c r="W127" s="24" t="str">
        <f>IFERROR(IF(ISBLANK(V127),"",INDEX(Gen_Vessels!$A$3:$C$495,MATCH(InspectionSite!$V127,Gen_Vessels!$C$3:$C$495,0),1)),"")</f>
        <v/>
      </c>
      <c r="X127" s="24"/>
      <c r="Y127" s="24"/>
      <c r="Z127" s="24"/>
      <c r="AA127" s="24"/>
      <c r="AB127" s="24"/>
      <c r="AC127" s="24"/>
      <c r="AE127" s="24"/>
      <c r="AF127" s="47"/>
      <c r="AG127" s="24"/>
      <c r="AH127" s="24"/>
      <c r="AI127" s="24"/>
      <c r="AJ127" s="24"/>
      <c r="AK127" s="24"/>
    </row>
    <row r="128" spans="1:37" x14ac:dyDescent="0.3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/>
      <c r="W128" s="24" t="str">
        <f>IFERROR(IF(ISBLANK(V128),"",INDEX(Gen_Vessels!$A$3:$C$495,MATCH(InspectionSite!$V128,Gen_Vessels!$C$3:$C$495,0),1)),"")</f>
        <v/>
      </c>
      <c r="X128" s="24"/>
      <c r="Y128" s="24"/>
      <c r="Z128" s="24"/>
      <c r="AA128" s="24"/>
      <c r="AB128" s="24"/>
      <c r="AC128" s="24"/>
      <c r="AE128" s="24"/>
      <c r="AF128" s="47"/>
      <c r="AG128" s="24"/>
      <c r="AH128" s="24"/>
      <c r="AI128" s="24"/>
      <c r="AJ128" s="24"/>
      <c r="AK128" s="24"/>
    </row>
    <row r="129" spans="1:37" x14ac:dyDescent="0.3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/>
      <c r="W129" s="24" t="str">
        <f>IFERROR(IF(ISBLANK(V129),"",INDEX(Gen_Vessels!$A$3:$C$495,MATCH(InspectionSite!$V129,Gen_Vessels!$C$3:$C$495,0),1)),"")</f>
        <v/>
      </c>
      <c r="X129" s="24"/>
      <c r="Y129" s="24"/>
      <c r="Z129" s="24"/>
      <c r="AA129" s="24"/>
      <c r="AB129" s="24"/>
      <c r="AC129" s="24"/>
      <c r="AE129" s="24"/>
      <c r="AF129" s="47"/>
      <c r="AG129" s="24"/>
      <c r="AH129" s="24"/>
      <c r="AI129" s="24"/>
      <c r="AJ129" s="24"/>
      <c r="AK129" s="24"/>
    </row>
    <row r="130" spans="1:37" x14ac:dyDescent="0.3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/>
      <c r="W130" s="24" t="str">
        <f>IFERROR(IF(ISBLANK(V130),"",INDEX(Gen_Vessels!$A$3:$C$495,MATCH(InspectionSite!$V130,Gen_Vessels!$C$3:$C$495,0),1)),"")</f>
        <v/>
      </c>
      <c r="X130" s="24"/>
      <c r="Y130" s="24"/>
      <c r="Z130" s="24"/>
      <c r="AA130" s="24"/>
      <c r="AB130" s="24"/>
      <c r="AC130" s="24"/>
      <c r="AE130" s="24"/>
      <c r="AF130" s="47"/>
      <c r="AG130" s="24"/>
      <c r="AH130" s="24"/>
      <c r="AI130" s="24"/>
      <c r="AJ130" s="24"/>
      <c r="AK130" s="24"/>
    </row>
    <row r="131" spans="1:37" x14ac:dyDescent="0.3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/>
      <c r="W131" s="24" t="str">
        <f>IFERROR(IF(ISBLANK(V131),"",INDEX(Gen_Vessels!$A$3:$C$495,MATCH(InspectionSite!$V131,Gen_Vessels!$C$3:$C$495,0),1)),"")</f>
        <v/>
      </c>
      <c r="X131" s="24"/>
      <c r="Y131" s="24"/>
      <c r="Z131" s="24"/>
      <c r="AA131" s="24"/>
      <c r="AB131" s="24"/>
      <c r="AC131" s="24"/>
      <c r="AE131" s="24"/>
      <c r="AF131" s="47"/>
      <c r="AG131" s="24"/>
      <c r="AH131" s="24"/>
      <c r="AI131" s="24"/>
      <c r="AJ131" s="24"/>
      <c r="AK131" s="24"/>
    </row>
    <row r="132" spans="1:37" x14ac:dyDescent="0.3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/>
      <c r="W132" s="24" t="str">
        <f>IFERROR(IF(ISBLANK(V132),"",INDEX(Gen_Vessels!$A$3:$C$495,MATCH(InspectionSite!$V132,Gen_Vessels!$C$3:$C$495,0),1)),"")</f>
        <v/>
      </c>
      <c r="X132" s="24"/>
      <c r="Y132" s="24"/>
      <c r="Z132" s="24"/>
      <c r="AA132" s="24"/>
      <c r="AB132" s="24"/>
      <c r="AC132" s="24"/>
      <c r="AE132" s="24"/>
      <c r="AF132" s="47"/>
      <c r="AG132" s="24"/>
      <c r="AH132" s="24"/>
      <c r="AI132" s="24"/>
      <c r="AJ132" s="24"/>
      <c r="AK132" s="24"/>
    </row>
    <row r="133" spans="1:37" x14ac:dyDescent="0.3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/>
      <c r="W133" s="24" t="str">
        <f>IFERROR(IF(ISBLANK(V133),"",INDEX(Gen_Vessels!$A$3:$C$495,MATCH(InspectionSite!$V133,Gen_Vessels!$C$3:$C$495,0),1)),"")</f>
        <v/>
      </c>
      <c r="X133" s="24"/>
      <c r="Y133" s="24"/>
      <c r="Z133" s="24"/>
      <c r="AA133" s="24"/>
      <c r="AB133" s="24"/>
      <c r="AC133" s="24"/>
      <c r="AE133" s="24"/>
      <c r="AF133" s="47"/>
      <c r="AG133" s="24"/>
      <c r="AH133" s="24"/>
      <c r="AI133" s="24"/>
      <c r="AJ133" s="24"/>
      <c r="AK133" s="24"/>
    </row>
    <row r="134" spans="1:37" x14ac:dyDescent="0.3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/>
      <c r="W134" s="24" t="str">
        <f>IFERROR(IF(ISBLANK(V134),"",INDEX(Gen_Vessels!$A$3:$C$495,MATCH(InspectionSite!$V134,Gen_Vessels!$C$3:$C$495,0),1)),"")</f>
        <v/>
      </c>
      <c r="X134" s="24"/>
      <c r="Y134" s="24"/>
      <c r="Z134" s="24"/>
      <c r="AA134" s="24"/>
      <c r="AB134" s="24"/>
      <c r="AC134" s="24"/>
      <c r="AE134" s="24"/>
      <c r="AF134" s="47"/>
      <c r="AG134" s="24"/>
      <c r="AH134" s="24"/>
      <c r="AI134" s="24"/>
      <c r="AJ134" s="24"/>
      <c r="AK134" s="24"/>
    </row>
    <row r="135" spans="1:37" x14ac:dyDescent="0.3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/>
      <c r="W135" s="24" t="str">
        <f>IFERROR(IF(ISBLANK(V135),"",INDEX(Gen_Vessels!$A$3:$C$495,MATCH(InspectionSite!$V135,Gen_Vessels!$C$3:$C$495,0),1)),"")</f>
        <v/>
      </c>
      <c r="X135" s="24"/>
      <c r="Y135" s="24"/>
      <c r="Z135" s="24"/>
      <c r="AA135" s="24"/>
      <c r="AB135" s="24"/>
      <c r="AC135" s="24"/>
      <c r="AE135" s="24"/>
      <c r="AF135" s="47"/>
      <c r="AG135" s="24"/>
      <c r="AH135" s="24"/>
      <c r="AI135" s="24"/>
      <c r="AJ135" s="24"/>
      <c r="AK135" s="24"/>
    </row>
    <row r="136" spans="1:37" x14ac:dyDescent="0.3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/>
      <c r="W136" s="24" t="str">
        <f>IFERROR(IF(ISBLANK(V136),"",INDEX(Gen_Vessels!$A$3:$C$495,MATCH(InspectionSite!$V136,Gen_Vessels!$C$3:$C$495,0),1)),"")</f>
        <v/>
      </c>
      <c r="X136" s="24"/>
      <c r="Y136" s="24"/>
      <c r="Z136" s="24"/>
      <c r="AA136" s="24"/>
      <c r="AB136" s="24"/>
      <c r="AC136" s="24"/>
      <c r="AE136" s="24"/>
      <c r="AF136" s="47"/>
      <c r="AG136" s="24"/>
      <c r="AH136" s="24"/>
      <c r="AI136" s="24"/>
      <c r="AJ136" s="24"/>
      <c r="AK136" s="24"/>
    </row>
    <row r="137" spans="1:37" x14ac:dyDescent="0.3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/>
      <c r="W137" s="24" t="str">
        <f>IFERROR(IF(ISBLANK(V137),"",INDEX(Gen_Vessels!$A$3:$C$495,MATCH(InspectionSite!$V137,Gen_Vessels!$C$3:$C$495,0),1)),"")</f>
        <v/>
      </c>
      <c r="X137" s="24"/>
      <c r="Y137" s="24"/>
      <c r="Z137" s="24"/>
      <c r="AA137" s="24"/>
      <c r="AB137" s="24"/>
      <c r="AC137" s="24"/>
      <c r="AE137" s="24"/>
      <c r="AF137" s="47"/>
      <c r="AG137" s="24"/>
      <c r="AH137" s="24"/>
      <c r="AI137" s="24"/>
      <c r="AJ137" s="24"/>
      <c r="AK137" s="24"/>
    </row>
    <row r="138" spans="1:37" x14ac:dyDescent="0.3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/>
      <c r="W138" s="24" t="str">
        <f>IFERROR(IF(ISBLANK(V138),"",INDEX(Gen_Vessels!$A$3:$C$495,MATCH(InspectionSite!$V138,Gen_Vessels!$C$3:$C$495,0),1)),"")</f>
        <v/>
      </c>
      <c r="X138" s="24"/>
      <c r="Y138" s="24"/>
      <c r="Z138" s="24"/>
      <c r="AA138" s="24"/>
      <c r="AB138" s="24"/>
      <c r="AC138" s="24"/>
      <c r="AE138" s="24"/>
      <c r="AF138" s="47"/>
      <c r="AG138" s="24"/>
      <c r="AH138" s="24"/>
      <c r="AI138" s="24"/>
      <c r="AJ138" s="24"/>
      <c r="AK138" s="24"/>
    </row>
    <row r="139" spans="1:37" x14ac:dyDescent="0.3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/>
      <c r="W139" s="24" t="str">
        <f>IFERROR(IF(ISBLANK(V139),"",INDEX(Gen_Vessels!$A$3:$C$495,MATCH(InspectionSite!$V139,Gen_Vessels!$C$3:$C$495,0),1)),"")</f>
        <v/>
      </c>
      <c r="X139" s="24"/>
      <c r="Y139" s="24"/>
      <c r="Z139" s="24"/>
      <c r="AA139" s="24"/>
      <c r="AB139" s="24"/>
      <c r="AC139" s="24"/>
      <c r="AE139" s="24"/>
      <c r="AF139" s="47"/>
      <c r="AG139" s="24"/>
      <c r="AH139" s="24"/>
      <c r="AI139" s="24"/>
      <c r="AJ139" s="24"/>
      <c r="AK139" s="24"/>
    </row>
    <row r="140" spans="1:37" x14ac:dyDescent="0.3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/>
      <c r="W140" s="24" t="str">
        <f>IFERROR(IF(ISBLANK(V140),"",INDEX(Gen_Vessels!$A$3:$C$495,MATCH(InspectionSite!$V140,Gen_Vessels!$C$3:$C$495,0),1)),"")</f>
        <v/>
      </c>
      <c r="X140" s="24"/>
      <c r="Y140" s="24"/>
      <c r="Z140" s="24"/>
      <c r="AA140" s="24"/>
      <c r="AB140" s="24"/>
      <c r="AC140" s="24"/>
      <c r="AE140" s="24"/>
      <c r="AF140" s="47"/>
      <c r="AG140" s="24"/>
      <c r="AH140" s="24"/>
      <c r="AI140" s="24"/>
      <c r="AJ140" s="24"/>
      <c r="AK140" s="24"/>
    </row>
    <row r="141" spans="1:37" x14ac:dyDescent="0.3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/>
      <c r="W141" s="24" t="str">
        <f>IFERROR(IF(ISBLANK(V141),"",INDEX(Gen_Vessels!$A$3:$C$495,MATCH(InspectionSite!$V141,Gen_Vessels!$C$3:$C$495,0),1)),"")</f>
        <v/>
      </c>
      <c r="X141" s="24"/>
      <c r="Y141" s="24"/>
      <c r="Z141" s="24"/>
      <c r="AA141" s="24"/>
      <c r="AB141" s="24"/>
      <c r="AC141" s="24"/>
      <c r="AE141" s="24"/>
      <c r="AF141" s="47"/>
      <c r="AG141" s="24"/>
      <c r="AH141" s="24"/>
      <c r="AI141" s="24"/>
      <c r="AJ141" s="24"/>
      <c r="AK141" s="24"/>
    </row>
    <row r="142" spans="1:37" x14ac:dyDescent="0.3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/>
      <c r="W142" s="24" t="str">
        <f>IFERROR(IF(ISBLANK(V142),"",INDEX(Gen_Vessels!$A$3:$C$495,MATCH(InspectionSite!$V142,Gen_Vessels!$C$3:$C$495,0),1)),"")</f>
        <v/>
      </c>
      <c r="X142" s="24"/>
      <c r="Y142" s="24"/>
      <c r="Z142" s="24"/>
      <c r="AA142" s="24"/>
      <c r="AB142" s="24"/>
      <c r="AC142" s="24"/>
      <c r="AE142" s="24"/>
      <c r="AF142" s="47"/>
      <c r="AG142" s="24"/>
      <c r="AH142" s="24"/>
      <c r="AI142" s="24"/>
      <c r="AJ142" s="24"/>
      <c r="AK142" s="24"/>
    </row>
    <row r="143" spans="1:37" x14ac:dyDescent="0.3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/>
      <c r="W143" s="24" t="str">
        <f>IFERROR(IF(ISBLANK(V143),"",INDEX(Gen_Vessels!$A$3:$C$495,MATCH(InspectionSite!$V143,Gen_Vessels!$C$3:$C$495,0),1)),"")</f>
        <v/>
      </c>
      <c r="X143" s="24"/>
      <c r="Y143" s="24"/>
      <c r="Z143" s="24"/>
      <c r="AA143" s="24"/>
      <c r="AB143" s="24"/>
      <c r="AC143" s="24"/>
      <c r="AE143" s="24"/>
      <c r="AF143" s="47"/>
      <c r="AG143" s="24"/>
      <c r="AH143" s="24"/>
      <c r="AI143" s="24"/>
      <c r="AJ143" s="24"/>
      <c r="AK143" s="24"/>
    </row>
    <row r="144" spans="1:37" x14ac:dyDescent="0.3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/>
      <c r="W144" s="24" t="str">
        <f>IFERROR(IF(ISBLANK(V144),"",INDEX(Gen_Vessels!$A$3:$C$495,MATCH(InspectionSite!$V144,Gen_Vessels!$C$3:$C$495,0),1)),"")</f>
        <v/>
      </c>
      <c r="X144" s="24"/>
      <c r="Y144" s="24"/>
      <c r="Z144" s="24"/>
      <c r="AA144" s="24"/>
      <c r="AB144" s="24"/>
      <c r="AC144" s="24"/>
      <c r="AE144" s="24"/>
      <c r="AF144" s="47"/>
      <c r="AG144" s="24"/>
      <c r="AH144" s="24"/>
      <c r="AI144" s="24"/>
      <c r="AJ144" s="24"/>
      <c r="AK144" s="24"/>
    </row>
    <row r="145" spans="1:37" x14ac:dyDescent="0.3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/>
      <c r="W145" s="24" t="str">
        <f>IFERROR(IF(ISBLANK(V145),"",INDEX(Gen_Vessels!$A$3:$C$495,MATCH(InspectionSite!$V145,Gen_Vessels!$C$3:$C$495,0),1)),"")</f>
        <v/>
      </c>
      <c r="X145" s="24"/>
      <c r="Y145" s="24"/>
      <c r="Z145" s="24"/>
      <c r="AA145" s="24"/>
      <c r="AB145" s="24"/>
      <c r="AC145" s="24"/>
      <c r="AE145" s="24"/>
      <c r="AF145" s="47"/>
      <c r="AG145" s="24"/>
      <c r="AH145" s="24"/>
      <c r="AI145" s="24"/>
      <c r="AJ145" s="24"/>
      <c r="AK145" s="24"/>
    </row>
    <row r="146" spans="1:37" x14ac:dyDescent="0.3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/>
      <c r="W146" s="24" t="str">
        <f>IFERROR(IF(ISBLANK(V146),"",INDEX(Gen_Vessels!$A$3:$C$495,MATCH(InspectionSite!$V146,Gen_Vessels!$C$3:$C$495,0),1)),"")</f>
        <v/>
      </c>
      <c r="X146" s="24"/>
      <c r="Y146" s="24"/>
      <c r="Z146" s="24"/>
      <c r="AA146" s="24"/>
      <c r="AB146" s="24"/>
      <c r="AC146" s="24"/>
      <c r="AE146" s="24"/>
      <c r="AF146" s="47"/>
      <c r="AG146" s="24"/>
      <c r="AH146" s="24"/>
      <c r="AI146" s="24"/>
      <c r="AJ146" s="24"/>
      <c r="AK146" s="24"/>
    </row>
    <row r="147" spans="1:37" x14ac:dyDescent="0.3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/>
      <c r="W147" s="24" t="str">
        <f>IFERROR(IF(ISBLANK(V147),"",INDEX(Gen_Vessels!$A$3:$C$495,MATCH(InspectionSite!$V147,Gen_Vessels!$C$3:$C$495,0),1)),"")</f>
        <v/>
      </c>
      <c r="X147" s="24"/>
      <c r="Y147" s="24"/>
      <c r="Z147" s="24"/>
      <c r="AA147" s="24"/>
      <c r="AB147" s="24"/>
      <c r="AC147" s="24"/>
      <c r="AE147" s="24"/>
      <c r="AF147" s="47"/>
      <c r="AG147" s="24"/>
      <c r="AH147" s="24"/>
      <c r="AI147" s="24"/>
      <c r="AJ147" s="24"/>
      <c r="AK147" s="24"/>
    </row>
    <row r="148" spans="1:37" x14ac:dyDescent="0.3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/>
      <c r="W148" s="24" t="str">
        <f>IFERROR(IF(ISBLANK(V148),"",INDEX(Gen_Vessels!$A$3:$C$495,MATCH(InspectionSite!$V148,Gen_Vessels!$C$3:$C$495,0),1)),"")</f>
        <v/>
      </c>
      <c r="X148" s="24"/>
      <c r="Y148" s="24"/>
      <c r="Z148" s="24"/>
      <c r="AA148" s="24"/>
      <c r="AB148" s="24"/>
      <c r="AC148" s="24"/>
      <c r="AE148" s="24"/>
      <c r="AF148" s="47"/>
      <c r="AG148" s="24"/>
      <c r="AH148" s="24"/>
      <c r="AI148" s="24"/>
      <c r="AJ148" s="24"/>
      <c r="AK148" s="24"/>
    </row>
    <row r="149" spans="1:37" x14ac:dyDescent="0.3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/>
      <c r="W149" s="24" t="str">
        <f>IFERROR(IF(ISBLANK(V149),"",INDEX(Gen_Vessels!$A$3:$C$495,MATCH(InspectionSite!$V149,Gen_Vessels!$C$3:$C$495,0),1)),"")</f>
        <v/>
      </c>
      <c r="X149" s="24"/>
      <c r="Y149" s="24"/>
      <c r="Z149" s="24"/>
      <c r="AA149" s="24"/>
      <c r="AB149" s="24"/>
      <c r="AC149" s="24"/>
      <c r="AE149" s="24"/>
      <c r="AF149" s="47"/>
      <c r="AG149" s="24"/>
      <c r="AH149" s="24"/>
      <c r="AI149" s="24"/>
      <c r="AJ149" s="24"/>
      <c r="AK149" s="24"/>
    </row>
    <row r="150" spans="1:37" x14ac:dyDescent="0.3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/>
      <c r="W150" s="24" t="str">
        <f>IFERROR(IF(ISBLANK(V150),"",INDEX(Gen_Vessels!$A$3:$C$495,MATCH(InspectionSite!$V150,Gen_Vessels!$C$3:$C$495,0),1)),"")</f>
        <v/>
      </c>
      <c r="X150" s="24"/>
      <c r="Y150" s="24"/>
      <c r="Z150" s="24"/>
      <c r="AA150" s="24"/>
      <c r="AB150" s="24"/>
      <c r="AC150" s="24"/>
      <c r="AE150" s="24"/>
      <c r="AF150" s="47"/>
      <c r="AG150" s="24"/>
      <c r="AH150" s="24"/>
      <c r="AI150" s="24"/>
      <c r="AJ150" s="24"/>
      <c r="AK150" s="24"/>
    </row>
    <row r="151" spans="1:37" x14ac:dyDescent="0.3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/>
      <c r="W151" s="24" t="str">
        <f>IFERROR(IF(ISBLANK(V151),"",INDEX(Gen_Vessels!$A$3:$C$495,MATCH(InspectionSite!$V151,Gen_Vessels!$C$3:$C$495,0),1)),"")</f>
        <v/>
      </c>
      <c r="X151" s="24"/>
      <c r="Y151" s="24"/>
      <c r="Z151" s="24"/>
      <c r="AA151" s="24"/>
      <c r="AB151" s="24"/>
      <c r="AC151" s="24"/>
      <c r="AE151" s="24"/>
      <c r="AF151" s="47"/>
      <c r="AG151" s="24"/>
      <c r="AH151" s="24"/>
      <c r="AI151" s="24"/>
      <c r="AJ151" s="24"/>
      <c r="AK151" s="24"/>
    </row>
    <row r="152" spans="1:37" x14ac:dyDescent="0.3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/>
      <c r="W152" s="24" t="str">
        <f>IFERROR(IF(ISBLANK(V152),"",INDEX(Gen_Vessels!$A$3:$C$495,MATCH(InspectionSite!$V152,Gen_Vessels!$C$3:$C$495,0),1)),"")</f>
        <v/>
      </c>
      <c r="X152" s="24"/>
      <c r="Y152" s="24"/>
      <c r="Z152" s="24"/>
      <c r="AA152" s="24"/>
      <c r="AB152" s="24"/>
      <c r="AC152" s="24"/>
      <c r="AE152" s="24"/>
      <c r="AF152" s="47"/>
      <c r="AG152" s="24"/>
      <c r="AH152" s="24"/>
      <c r="AI152" s="24"/>
      <c r="AJ152" s="24"/>
      <c r="AK152" s="24"/>
    </row>
    <row r="153" spans="1:37" x14ac:dyDescent="0.3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/>
      <c r="W153" s="24" t="str">
        <f>IFERROR(IF(ISBLANK(V153),"",INDEX(Gen_Vessels!$A$3:$C$495,MATCH(InspectionSite!$V153,Gen_Vessels!$C$3:$C$495,0),1)),"")</f>
        <v/>
      </c>
      <c r="X153" s="24"/>
      <c r="Y153" s="24"/>
      <c r="Z153" s="24"/>
      <c r="AA153" s="24"/>
      <c r="AB153" s="24"/>
      <c r="AC153" s="24"/>
      <c r="AE153" s="24"/>
      <c r="AF153" s="47"/>
      <c r="AG153" s="24"/>
      <c r="AH153" s="24"/>
      <c r="AI153" s="24"/>
      <c r="AJ153" s="24"/>
      <c r="AK153" s="24"/>
    </row>
    <row r="154" spans="1:37" x14ac:dyDescent="0.3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/>
      <c r="W154" s="24" t="str">
        <f>IFERROR(IF(ISBLANK(V154),"",INDEX(Gen_Vessels!$A$3:$C$495,MATCH(InspectionSite!$V154,Gen_Vessels!$C$3:$C$495,0),1)),"")</f>
        <v/>
      </c>
      <c r="X154" s="24"/>
      <c r="Y154" s="24"/>
      <c r="Z154" s="24"/>
      <c r="AA154" s="24"/>
      <c r="AB154" s="24"/>
      <c r="AC154" s="24"/>
      <c r="AE154" s="24"/>
      <c r="AF154" s="47"/>
      <c r="AG154" s="24"/>
      <c r="AH154" s="24"/>
      <c r="AI154" s="24"/>
      <c r="AJ154" s="24"/>
      <c r="AK154" s="24"/>
    </row>
    <row r="155" spans="1:37" x14ac:dyDescent="0.3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/>
      <c r="W155" s="24" t="str">
        <f>IFERROR(IF(ISBLANK(V155),"",INDEX(Gen_Vessels!$A$3:$C$495,MATCH(InspectionSite!$V155,Gen_Vessels!$C$3:$C$495,0),1)),"")</f>
        <v/>
      </c>
      <c r="X155" s="24"/>
      <c r="Y155" s="24"/>
      <c r="Z155" s="24"/>
      <c r="AA155" s="24"/>
      <c r="AB155" s="24"/>
      <c r="AC155" s="24"/>
      <c r="AE155" s="24"/>
      <c r="AF155" s="47"/>
      <c r="AG155" s="24"/>
      <c r="AH155" s="24"/>
      <c r="AI155" s="24"/>
      <c r="AJ155" s="24"/>
      <c r="AK155" s="24"/>
    </row>
    <row r="156" spans="1:37" x14ac:dyDescent="0.3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/>
      <c r="W156" s="24" t="str">
        <f>IFERROR(IF(ISBLANK(V156),"",INDEX(Gen_Vessels!$A$3:$C$495,MATCH(InspectionSite!$V156,Gen_Vessels!$C$3:$C$495,0),1)),"")</f>
        <v/>
      </c>
      <c r="X156" s="24"/>
      <c r="Y156" s="24"/>
      <c r="Z156" s="24"/>
      <c r="AA156" s="24"/>
      <c r="AB156" s="24"/>
      <c r="AC156" s="24"/>
      <c r="AE156" s="24"/>
      <c r="AF156" s="47"/>
      <c r="AG156" s="24"/>
      <c r="AH156" s="24"/>
      <c r="AI156" s="24"/>
      <c r="AJ156" s="24"/>
      <c r="AK156" s="24"/>
    </row>
    <row r="157" spans="1:37" x14ac:dyDescent="0.3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/>
      <c r="W157" s="24" t="str">
        <f>IFERROR(IF(ISBLANK(V157),"",INDEX(Gen_Vessels!$A$3:$C$495,MATCH(InspectionSite!$V157,Gen_Vessels!$C$3:$C$495,0),1)),"")</f>
        <v/>
      </c>
      <c r="X157" s="24"/>
      <c r="Y157" s="24"/>
      <c r="Z157" s="24"/>
      <c r="AA157" s="24"/>
      <c r="AB157" s="24"/>
      <c r="AC157" s="24"/>
      <c r="AE157" s="24"/>
      <c r="AF157" s="47"/>
      <c r="AG157" s="24"/>
      <c r="AH157" s="24"/>
      <c r="AI157" s="24"/>
      <c r="AJ157" s="24"/>
      <c r="AK157" s="24"/>
    </row>
    <row r="158" spans="1:37" x14ac:dyDescent="0.3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/>
      <c r="W158" s="24" t="str">
        <f>IFERROR(IF(ISBLANK(V158),"",INDEX(Gen_Vessels!$A$3:$C$495,MATCH(InspectionSite!$V158,Gen_Vessels!$C$3:$C$495,0),1)),"")</f>
        <v/>
      </c>
      <c r="X158" s="24"/>
      <c r="Y158" s="24"/>
      <c r="Z158" s="24"/>
      <c r="AA158" s="24"/>
      <c r="AB158" s="24"/>
      <c r="AC158" s="24"/>
      <c r="AE158" s="24"/>
      <c r="AF158" s="47"/>
      <c r="AG158" s="24"/>
      <c r="AH158" s="24"/>
      <c r="AI158" s="24"/>
      <c r="AJ158" s="24"/>
      <c r="AK158" s="24"/>
    </row>
    <row r="159" spans="1:37" x14ac:dyDescent="0.3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/>
      <c r="W159" s="24" t="str">
        <f>IFERROR(IF(ISBLANK(V159),"",INDEX(Gen_Vessels!$A$3:$C$495,MATCH(InspectionSite!$V159,Gen_Vessels!$C$3:$C$495,0),1)),"")</f>
        <v/>
      </c>
      <c r="X159" s="24"/>
      <c r="Y159" s="24"/>
      <c r="Z159" s="24"/>
      <c r="AA159" s="24"/>
      <c r="AB159" s="24"/>
      <c r="AC159" s="24"/>
      <c r="AE159" s="24"/>
      <c r="AF159" s="47"/>
      <c r="AG159" s="24"/>
      <c r="AH159" s="24"/>
      <c r="AI159" s="24"/>
      <c r="AJ159" s="24"/>
      <c r="AK159" s="24"/>
    </row>
    <row r="160" spans="1:37" x14ac:dyDescent="0.3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/>
      <c r="W160" s="24" t="str">
        <f>IFERROR(IF(ISBLANK(V160),"",INDEX(Gen_Vessels!$A$3:$C$495,MATCH(InspectionSite!$V160,Gen_Vessels!$C$3:$C$495,0),1)),"")</f>
        <v/>
      </c>
      <c r="X160" s="24"/>
      <c r="Y160" s="24"/>
      <c r="Z160" s="24"/>
      <c r="AA160" s="24"/>
      <c r="AB160" s="24"/>
      <c r="AC160" s="24"/>
      <c r="AE160" s="24"/>
      <c r="AF160" s="47"/>
      <c r="AG160" s="24"/>
      <c r="AH160" s="24"/>
      <c r="AI160" s="24"/>
      <c r="AJ160" s="24"/>
      <c r="AK160" s="24"/>
    </row>
    <row r="161" spans="1:37" x14ac:dyDescent="0.3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/>
      <c r="W161" s="24" t="str">
        <f>IFERROR(IF(ISBLANK(V161),"",INDEX(Gen_Vessels!$A$3:$C$495,MATCH(InspectionSite!$V161,Gen_Vessels!$C$3:$C$495,0),1)),"")</f>
        <v/>
      </c>
      <c r="X161" s="24"/>
      <c r="Y161" s="24"/>
      <c r="Z161" s="24"/>
      <c r="AA161" s="24"/>
      <c r="AB161" s="24"/>
      <c r="AC161" s="24"/>
      <c r="AE161" s="24"/>
      <c r="AF161" s="47"/>
      <c r="AG161" s="24"/>
      <c r="AH161" s="24"/>
      <c r="AI161" s="24"/>
      <c r="AJ161" s="24"/>
      <c r="AK161" s="24"/>
    </row>
    <row r="162" spans="1:37" x14ac:dyDescent="0.3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/>
      <c r="W162" s="24" t="str">
        <f>IFERROR(IF(ISBLANK(V162),"",INDEX(Gen_Vessels!$A$3:$C$495,MATCH(InspectionSite!$V162,Gen_Vessels!$C$3:$C$495,0),1)),"")</f>
        <v/>
      </c>
      <c r="X162" s="24"/>
      <c r="Y162" s="24"/>
      <c r="Z162" s="24"/>
      <c r="AA162" s="24"/>
      <c r="AB162" s="24"/>
      <c r="AC162" s="24"/>
      <c r="AE162" s="24"/>
      <c r="AF162" s="47"/>
      <c r="AG162" s="24"/>
      <c r="AH162" s="24"/>
      <c r="AI162" s="24"/>
      <c r="AJ162" s="24"/>
      <c r="AK162" s="24"/>
    </row>
    <row r="163" spans="1:37" x14ac:dyDescent="0.3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/>
      <c r="W163" s="24" t="str">
        <f>IFERROR(IF(ISBLANK(V163),"",INDEX(Gen_Vessels!$A$3:$C$495,MATCH(InspectionSite!$V163,Gen_Vessels!$C$3:$C$495,0),1)),"")</f>
        <v/>
      </c>
      <c r="X163" s="24"/>
      <c r="Y163" s="24"/>
      <c r="Z163" s="24"/>
      <c r="AA163" s="24"/>
      <c r="AB163" s="24"/>
      <c r="AC163" s="24"/>
      <c r="AE163" s="24"/>
      <c r="AF163" s="47"/>
      <c r="AG163" s="24"/>
      <c r="AH163" s="24"/>
      <c r="AI163" s="24"/>
      <c r="AJ163" s="24"/>
      <c r="AK163" s="24"/>
    </row>
    <row r="164" spans="1:37" x14ac:dyDescent="0.3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/>
      <c r="W164" s="24" t="str">
        <f>IFERROR(IF(ISBLANK(V164),"",INDEX(Gen_Vessels!$A$3:$C$495,MATCH(InspectionSite!$V164,Gen_Vessels!$C$3:$C$495,0),1)),"")</f>
        <v/>
      </c>
      <c r="X164" s="24"/>
      <c r="Y164" s="24"/>
      <c r="Z164" s="24"/>
      <c r="AA164" s="24"/>
      <c r="AB164" s="24"/>
      <c r="AC164" s="24"/>
      <c r="AE164" s="24"/>
      <c r="AF164" s="47"/>
      <c r="AG164" s="24"/>
      <c r="AH164" s="24"/>
      <c r="AI164" s="24"/>
      <c r="AJ164" s="24"/>
      <c r="AK164" s="24"/>
    </row>
    <row r="165" spans="1:37" x14ac:dyDescent="0.3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/>
      <c r="W165" s="24" t="str">
        <f>IFERROR(IF(ISBLANK(V165),"",INDEX(Gen_Vessels!$A$3:$C$495,MATCH(InspectionSite!$V165,Gen_Vessels!$C$3:$C$495,0),1)),"")</f>
        <v/>
      </c>
      <c r="X165" s="24"/>
      <c r="Y165" s="24"/>
      <c r="Z165" s="24"/>
      <c r="AA165" s="24"/>
      <c r="AB165" s="24"/>
      <c r="AC165" s="24"/>
      <c r="AE165" s="24"/>
      <c r="AF165" s="47"/>
      <c r="AG165" s="24"/>
      <c r="AH165" s="24"/>
      <c r="AI165" s="24"/>
      <c r="AJ165" s="24"/>
      <c r="AK165" s="24"/>
    </row>
    <row r="166" spans="1:37" x14ac:dyDescent="0.3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/>
      <c r="W166" s="24" t="str">
        <f>IFERROR(IF(ISBLANK(V166),"",INDEX(Gen_Vessels!$A$3:$C$495,MATCH(InspectionSite!$V166,Gen_Vessels!$C$3:$C$495,0),1)),"")</f>
        <v/>
      </c>
      <c r="X166" s="24"/>
      <c r="Y166" s="24"/>
      <c r="Z166" s="24"/>
      <c r="AA166" s="24"/>
      <c r="AB166" s="24"/>
      <c r="AC166" s="24"/>
      <c r="AE166" s="24"/>
      <c r="AF166" s="47"/>
      <c r="AG166" s="24"/>
      <c r="AH166" s="24"/>
      <c r="AI166" s="24"/>
      <c r="AJ166" s="24"/>
      <c r="AK166" s="24"/>
    </row>
    <row r="167" spans="1:37" x14ac:dyDescent="0.3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/>
      <c r="W167" s="24" t="str">
        <f>IFERROR(IF(ISBLANK(V167),"",INDEX(Gen_Vessels!$A$3:$C$495,MATCH(InspectionSite!$V167,Gen_Vessels!$C$3:$C$495,0),1)),"")</f>
        <v/>
      </c>
      <c r="X167" s="24"/>
      <c r="Y167" s="24"/>
      <c r="Z167" s="24"/>
      <c r="AA167" s="24"/>
      <c r="AB167" s="24"/>
      <c r="AC167" s="24"/>
      <c r="AE167" s="24"/>
      <c r="AF167" s="47"/>
      <c r="AG167" s="24"/>
      <c r="AH167" s="24"/>
      <c r="AI167" s="24"/>
      <c r="AJ167" s="24"/>
      <c r="AK167" s="24"/>
    </row>
    <row r="168" spans="1:37" x14ac:dyDescent="0.3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/>
      <c r="W168" s="24" t="str">
        <f>IFERROR(IF(ISBLANK(V168),"",INDEX(Gen_Vessels!$A$3:$C$495,MATCH(InspectionSite!$V168,Gen_Vessels!$C$3:$C$495,0),1)),"")</f>
        <v/>
      </c>
      <c r="X168" s="24"/>
      <c r="Y168" s="24"/>
      <c r="Z168" s="24"/>
      <c r="AA168" s="24"/>
      <c r="AB168" s="24"/>
      <c r="AC168" s="24"/>
      <c r="AE168" s="24"/>
      <c r="AF168" s="47"/>
      <c r="AG168" s="24"/>
      <c r="AH168" s="24"/>
      <c r="AI168" s="24"/>
      <c r="AJ168" s="24"/>
      <c r="AK168" s="24"/>
    </row>
    <row r="169" spans="1:37" x14ac:dyDescent="0.3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/>
      <c r="W169" s="24" t="str">
        <f>IFERROR(IF(ISBLANK(V169),"",INDEX(Gen_Vessels!$A$3:$C$495,MATCH(InspectionSite!$V169,Gen_Vessels!$C$3:$C$495,0),1)),"")</f>
        <v/>
      </c>
      <c r="X169" s="24"/>
      <c r="Y169" s="24"/>
      <c r="Z169" s="24"/>
      <c r="AA169" s="24"/>
      <c r="AB169" s="24"/>
      <c r="AC169" s="24"/>
      <c r="AE169" s="24"/>
      <c r="AF169" s="47"/>
      <c r="AG169" s="24"/>
      <c r="AH169" s="24"/>
      <c r="AI169" s="24"/>
      <c r="AJ169" s="24"/>
      <c r="AK169" s="24"/>
    </row>
    <row r="170" spans="1:37" x14ac:dyDescent="0.3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/>
      <c r="W170" s="24" t="str">
        <f>IFERROR(IF(ISBLANK(V170),"",INDEX(Gen_Vessels!$A$3:$C$495,MATCH(InspectionSite!$V170,Gen_Vessels!$C$3:$C$495,0),1)),"")</f>
        <v/>
      </c>
      <c r="X170" s="24"/>
      <c r="Y170" s="24"/>
      <c r="Z170" s="24"/>
      <c r="AA170" s="24"/>
      <c r="AB170" s="24"/>
      <c r="AC170" s="24"/>
      <c r="AE170" s="24"/>
      <c r="AF170" s="47"/>
      <c r="AG170" s="24"/>
      <c r="AH170" s="24"/>
      <c r="AI170" s="24"/>
      <c r="AJ170" s="24"/>
      <c r="AK170" s="24"/>
    </row>
    <row r="171" spans="1:37" x14ac:dyDescent="0.3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/>
      <c r="W171" s="24" t="str">
        <f>IFERROR(IF(ISBLANK(V171),"",INDEX(Gen_Vessels!$A$3:$C$495,MATCH(InspectionSite!$V171,Gen_Vessels!$C$3:$C$495,0),1)),"")</f>
        <v/>
      </c>
      <c r="X171" s="24"/>
      <c r="Y171" s="24"/>
      <c r="Z171" s="24"/>
      <c r="AA171" s="24"/>
      <c r="AB171" s="24"/>
      <c r="AC171" s="24"/>
      <c r="AE171" s="24"/>
      <c r="AF171" s="47"/>
      <c r="AG171" s="24"/>
      <c r="AH171" s="24"/>
      <c r="AI171" s="24"/>
      <c r="AJ171" s="24"/>
      <c r="AK171" s="24"/>
    </row>
    <row r="172" spans="1:37" x14ac:dyDescent="0.3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/>
      <c r="W172" s="24" t="str">
        <f>IFERROR(IF(ISBLANK(V172),"",INDEX(Gen_Vessels!$A$3:$C$495,MATCH(InspectionSite!$V172,Gen_Vessels!$C$3:$C$495,0),1)),"")</f>
        <v/>
      </c>
      <c r="X172" s="24"/>
      <c r="Y172" s="24"/>
      <c r="Z172" s="24"/>
      <c r="AA172" s="24"/>
      <c r="AB172" s="24"/>
      <c r="AC172" s="24"/>
      <c r="AE172" s="24"/>
      <c r="AF172" s="47"/>
      <c r="AG172" s="24"/>
      <c r="AH172" s="24"/>
      <c r="AI172" s="24"/>
      <c r="AJ172" s="24"/>
      <c r="AK172" s="24"/>
    </row>
    <row r="173" spans="1:37" x14ac:dyDescent="0.3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/>
      <c r="W173" s="24" t="str">
        <f>IFERROR(IF(ISBLANK(V173),"",INDEX(Gen_Vessels!$A$3:$C$495,MATCH(InspectionSite!$V173,Gen_Vessels!$C$3:$C$495,0),1)),"")</f>
        <v/>
      </c>
      <c r="X173" s="24"/>
      <c r="Y173" s="24"/>
      <c r="Z173" s="24"/>
      <c r="AA173" s="24"/>
      <c r="AB173" s="24"/>
      <c r="AC173" s="24"/>
      <c r="AE173" s="24"/>
      <c r="AF173" s="47"/>
      <c r="AG173" s="24"/>
      <c r="AH173" s="24"/>
      <c r="AI173" s="24"/>
      <c r="AJ173" s="24"/>
      <c r="AK173" s="24"/>
    </row>
    <row r="174" spans="1:37" x14ac:dyDescent="0.3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/>
      <c r="W174" s="24" t="str">
        <f>IFERROR(IF(ISBLANK(V174),"",INDEX(Gen_Vessels!$A$3:$C$495,MATCH(InspectionSite!$V174,Gen_Vessels!$C$3:$C$495,0),1)),"")</f>
        <v/>
      </c>
      <c r="X174" s="24"/>
      <c r="Y174" s="24"/>
      <c r="Z174" s="24"/>
      <c r="AA174" s="24"/>
      <c r="AB174" s="24"/>
      <c r="AC174" s="24"/>
      <c r="AE174" s="24"/>
      <c r="AF174" s="47"/>
      <c r="AG174" s="24"/>
      <c r="AH174" s="24"/>
      <c r="AI174" s="24"/>
      <c r="AJ174" s="24"/>
      <c r="AK174" s="24"/>
    </row>
    <row r="175" spans="1:37" x14ac:dyDescent="0.3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/>
      <c r="W175" s="24" t="str">
        <f>IFERROR(IF(ISBLANK(V175),"",INDEX(Gen_Vessels!$A$3:$C$495,MATCH(InspectionSite!$V175,Gen_Vessels!$C$3:$C$495,0),1)),"")</f>
        <v/>
      </c>
      <c r="X175" s="24"/>
      <c r="Y175" s="24"/>
      <c r="Z175" s="24"/>
      <c r="AA175" s="24"/>
      <c r="AB175" s="24"/>
      <c r="AC175" s="24"/>
      <c r="AE175" s="24"/>
      <c r="AF175" s="47"/>
      <c r="AG175" s="24"/>
      <c r="AH175" s="24"/>
      <c r="AI175" s="24"/>
      <c r="AJ175" s="24"/>
      <c r="AK175" s="24"/>
    </row>
    <row r="176" spans="1:37" x14ac:dyDescent="0.3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/>
      <c r="W176" s="24" t="str">
        <f>IFERROR(IF(ISBLANK(V176),"",INDEX(Gen_Vessels!$A$3:$C$495,MATCH(InspectionSite!$V176,Gen_Vessels!$C$3:$C$495,0),1)),"")</f>
        <v/>
      </c>
      <c r="X176" s="24"/>
      <c r="Y176" s="24"/>
      <c r="Z176" s="24"/>
      <c r="AA176" s="24"/>
      <c r="AB176" s="24"/>
      <c r="AC176" s="24"/>
      <c r="AE176" s="24"/>
      <c r="AF176" s="47"/>
      <c r="AG176" s="24"/>
      <c r="AH176" s="24"/>
      <c r="AI176" s="24"/>
      <c r="AJ176" s="24"/>
      <c r="AK176" s="24"/>
    </row>
    <row r="177" spans="1:37" x14ac:dyDescent="0.3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/>
      <c r="W177" s="24" t="str">
        <f>IFERROR(IF(ISBLANK(V177),"",INDEX(Gen_Vessels!$A$3:$C$495,MATCH(InspectionSite!$V177,Gen_Vessels!$C$3:$C$495,0),1)),"")</f>
        <v/>
      </c>
      <c r="X177" s="24"/>
      <c r="Y177" s="24"/>
      <c r="Z177" s="24"/>
      <c r="AA177" s="24"/>
      <c r="AB177" s="24"/>
      <c r="AC177" s="24"/>
      <c r="AE177" s="24"/>
      <c r="AF177" s="47"/>
      <c r="AG177" s="24"/>
      <c r="AH177" s="24"/>
      <c r="AI177" s="24"/>
      <c r="AJ177" s="24"/>
      <c r="AK177" s="24"/>
    </row>
    <row r="178" spans="1:37" x14ac:dyDescent="0.3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/>
      <c r="W178" s="24" t="str">
        <f>IFERROR(IF(ISBLANK(V178),"",INDEX(Gen_Vessels!$A$3:$C$495,MATCH(InspectionSite!$V178,Gen_Vessels!$C$3:$C$495,0),1)),"")</f>
        <v/>
      </c>
      <c r="X178" s="24"/>
      <c r="Y178" s="24"/>
      <c r="Z178" s="24"/>
      <c r="AA178" s="24"/>
      <c r="AB178" s="24"/>
      <c r="AC178" s="24"/>
      <c r="AE178" s="24"/>
      <c r="AF178" s="47"/>
      <c r="AG178" s="24"/>
      <c r="AH178" s="24"/>
      <c r="AI178" s="24"/>
      <c r="AJ178" s="24"/>
      <c r="AK178" s="24"/>
    </row>
    <row r="179" spans="1:37" x14ac:dyDescent="0.3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/>
      <c r="W179" s="24" t="str">
        <f>IFERROR(IF(ISBLANK(V179),"",INDEX(Gen_Vessels!$A$3:$C$495,MATCH(InspectionSite!$V179,Gen_Vessels!$C$3:$C$495,0),1)),"")</f>
        <v/>
      </c>
      <c r="X179" s="24"/>
      <c r="Y179" s="24"/>
      <c r="Z179" s="24"/>
      <c r="AA179" s="24"/>
      <c r="AB179" s="24"/>
      <c r="AC179" s="24"/>
      <c r="AE179" s="24"/>
      <c r="AF179" s="47"/>
      <c r="AG179" s="24"/>
      <c r="AH179" s="24"/>
      <c r="AI179" s="24"/>
      <c r="AJ179" s="24"/>
      <c r="AK179" s="24"/>
    </row>
    <row r="180" spans="1:37" x14ac:dyDescent="0.3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/>
      <c r="W180" s="24" t="str">
        <f>IFERROR(IF(ISBLANK(V180),"",INDEX(Gen_Vessels!$A$3:$C$495,MATCH(InspectionSite!$V180,Gen_Vessels!$C$3:$C$495,0),1)),"")</f>
        <v/>
      </c>
      <c r="X180" s="24"/>
      <c r="Y180" s="24"/>
      <c r="Z180" s="24"/>
      <c r="AA180" s="24"/>
      <c r="AB180" s="24"/>
      <c r="AC180" s="24"/>
      <c r="AE180" s="24"/>
      <c r="AF180" s="47"/>
      <c r="AG180" s="24"/>
      <c r="AH180" s="24"/>
      <c r="AI180" s="24"/>
      <c r="AJ180" s="24"/>
      <c r="AK180" s="24"/>
    </row>
    <row r="181" spans="1:37" x14ac:dyDescent="0.3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/>
      <c r="W181" s="24" t="str">
        <f>IFERROR(IF(ISBLANK(V181),"",INDEX(Gen_Vessels!$A$3:$C$495,MATCH(InspectionSite!$V181,Gen_Vessels!$C$3:$C$495,0),1)),"")</f>
        <v/>
      </c>
      <c r="X181" s="24"/>
      <c r="Y181" s="24"/>
      <c r="Z181" s="24"/>
      <c r="AA181" s="24"/>
      <c r="AB181" s="24"/>
      <c r="AC181" s="24"/>
      <c r="AE181" s="24"/>
      <c r="AF181" s="47"/>
      <c r="AG181" s="24"/>
      <c r="AH181" s="24"/>
      <c r="AI181" s="24"/>
      <c r="AJ181" s="24"/>
      <c r="AK181" s="24"/>
    </row>
    <row r="182" spans="1:37" x14ac:dyDescent="0.3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/>
      <c r="W182" s="24" t="str">
        <f>IFERROR(IF(ISBLANK(V182),"",INDEX(Gen_Vessels!$A$3:$C$495,MATCH(InspectionSite!$V182,Gen_Vessels!$C$3:$C$495,0),1)),"")</f>
        <v/>
      </c>
      <c r="X182" s="24"/>
      <c r="Y182" s="24"/>
      <c r="Z182" s="24"/>
      <c r="AA182" s="24"/>
      <c r="AB182" s="24"/>
      <c r="AC182" s="24"/>
      <c r="AE182" s="24"/>
      <c r="AF182" s="47"/>
      <c r="AG182" s="24"/>
      <c r="AH182" s="24"/>
      <c r="AI182" s="24"/>
      <c r="AJ182" s="24"/>
      <c r="AK182" s="24"/>
    </row>
    <row r="183" spans="1:37" x14ac:dyDescent="0.3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/>
      <c r="W183" s="24" t="str">
        <f>IFERROR(IF(ISBLANK(V183),"",INDEX(Gen_Vessels!$A$3:$C$495,MATCH(InspectionSite!$V183,Gen_Vessels!$C$3:$C$495,0),1)),"")</f>
        <v/>
      </c>
      <c r="X183" s="24"/>
      <c r="Y183" s="24"/>
      <c r="Z183" s="24"/>
      <c r="AA183" s="24"/>
      <c r="AB183" s="24"/>
      <c r="AC183" s="24"/>
      <c r="AE183" s="24"/>
      <c r="AF183" s="47"/>
      <c r="AG183" s="24"/>
      <c r="AH183" s="24"/>
      <c r="AI183" s="24"/>
      <c r="AJ183" s="24"/>
      <c r="AK183" s="24"/>
    </row>
    <row r="184" spans="1:37" x14ac:dyDescent="0.3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/>
      <c r="W184" s="24" t="str">
        <f>IFERROR(IF(ISBLANK(V184),"",INDEX(Gen_Vessels!$A$3:$C$495,MATCH(InspectionSite!$V184,Gen_Vessels!$C$3:$C$495,0),1)),"")</f>
        <v/>
      </c>
      <c r="X184" s="24"/>
      <c r="Y184" s="24"/>
      <c r="Z184" s="24"/>
      <c r="AA184" s="24"/>
      <c r="AB184" s="24"/>
      <c r="AC184" s="24"/>
      <c r="AE184" s="24"/>
      <c r="AF184" s="47"/>
      <c r="AG184" s="24"/>
      <c r="AH184" s="24"/>
      <c r="AI184" s="24"/>
      <c r="AJ184" s="24"/>
      <c r="AK184" s="24"/>
    </row>
    <row r="185" spans="1:37" x14ac:dyDescent="0.3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/>
      <c r="W185" s="24" t="str">
        <f>IFERROR(IF(ISBLANK(V185),"",INDEX(Gen_Vessels!$A$3:$C$495,MATCH(InspectionSite!$V185,Gen_Vessels!$C$3:$C$495,0),1)),"")</f>
        <v/>
      </c>
      <c r="X185" s="24"/>
      <c r="Y185" s="24"/>
      <c r="Z185" s="24"/>
      <c r="AA185" s="24"/>
      <c r="AB185" s="24"/>
      <c r="AC185" s="24"/>
      <c r="AE185" s="24"/>
      <c r="AF185" s="47"/>
      <c r="AG185" s="24"/>
      <c r="AH185" s="24"/>
      <c r="AI185" s="24"/>
      <c r="AJ185" s="24"/>
      <c r="AK185" s="24"/>
    </row>
    <row r="186" spans="1:37" x14ac:dyDescent="0.3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/>
      <c r="W186" s="24" t="str">
        <f>IFERROR(IF(ISBLANK(V186),"",INDEX(Gen_Vessels!$A$3:$C$495,MATCH(InspectionSite!$V186,Gen_Vessels!$C$3:$C$495,0),1)),"")</f>
        <v/>
      </c>
      <c r="X186" s="24"/>
      <c r="Y186" s="24"/>
      <c r="Z186" s="24"/>
      <c r="AA186" s="24"/>
      <c r="AB186" s="24"/>
      <c r="AC186" s="24"/>
      <c r="AE186" s="24"/>
      <c r="AF186" s="47"/>
      <c r="AG186" s="24"/>
      <c r="AH186" s="24"/>
      <c r="AI186" s="24"/>
      <c r="AJ186" s="24"/>
      <c r="AK186" s="24"/>
    </row>
    <row r="187" spans="1:37" x14ac:dyDescent="0.3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/>
      <c r="W187" s="24" t="str">
        <f>IFERROR(IF(ISBLANK(V187),"",INDEX(Gen_Vessels!$A$3:$C$495,MATCH(InspectionSite!$V187,Gen_Vessels!$C$3:$C$495,0),1)),"")</f>
        <v/>
      </c>
      <c r="X187" s="24"/>
      <c r="Y187" s="24"/>
      <c r="Z187" s="24"/>
      <c r="AA187" s="24"/>
      <c r="AB187" s="24"/>
      <c r="AC187" s="24"/>
      <c r="AE187" s="24"/>
      <c r="AF187" s="47"/>
      <c r="AG187" s="24"/>
      <c r="AH187" s="24"/>
      <c r="AI187" s="24"/>
      <c r="AJ187" s="24"/>
      <c r="AK187" s="24"/>
    </row>
    <row r="188" spans="1:37" x14ac:dyDescent="0.3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/>
      <c r="W188" s="24" t="str">
        <f>IFERROR(IF(ISBLANK(V188),"",INDEX(Gen_Vessels!$A$3:$C$495,MATCH(InspectionSite!$V188,Gen_Vessels!$C$3:$C$495,0),1)),"")</f>
        <v/>
      </c>
      <c r="X188" s="24"/>
      <c r="Y188" s="24"/>
      <c r="Z188" s="24"/>
      <c r="AA188" s="24"/>
      <c r="AB188" s="24"/>
      <c r="AC188" s="24"/>
      <c r="AE188" s="24"/>
      <c r="AF188" s="47"/>
      <c r="AG188" s="24"/>
      <c r="AH188" s="24"/>
      <c r="AI188" s="24"/>
      <c r="AJ188" s="24"/>
      <c r="AK188" s="24"/>
    </row>
    <row r="189" spans="1:37" x14ac:dyDescent="0.3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/>
      <c r="W189" s="24" t="str">
        <f>IFERROR(IF(ISBLANK(V189),"",INDEX(Gen_Vessels!$A$3:$C$495,MATCH(InspectionSite!$V189,Gen_Vessels!$C$3:$C$495,0),1)),"")</f>
        <v/>
      </c>
      <c r="X189" s="24"/>
      <c r="Y189" s="24"/>
      <c r="Z189" s="24"/>
      <c r="AA189" s="24"/>
      <c r="AB189" s="24"/>
      <c r="AC189" s="24"/>
      <c r="AE189" s="24"/>
      <c r="AF189" s="47"/>
      <c r="AG189" s="24"/>
      <c r="AH189" s="24"/>
      <c r="AI189" s="24"/>
      <c r="AJ189" s="24"/>
      <c r="AK189" s="24"/>
    </row>
    <row r="190" spans="1:37" x14ac:dyDescent="0.3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/>
      <c r="W190" s="24" t="str">
        <f>IFERROR(IF(ISBLANK(V190),"",INDEX(Gen_Vessels!$A$3:$C$495,MATCH(InspectionSite!$V190,Gen_Vessels!$C$3:$C$495,0),1)),"")</f>
        <v/>
      </c>
      <c r="X190" s="24"/>
      <c r="Y190" s="24"/>
      <c r="Z190" s="24"/>
      <c r="AA190" s="24"/>
      <c r="AB190" s="24"/>
      <c r="AC190" s="24"/>
      <c r="AE190" s="24"/>
      <c r="AF190" s="47"/>
      <c r="AG190" s="24"/>
      <c r="AH190" s="24"/>
      <c r="AI190" s="24"/>
      <c r="AJ190" s="24"/>
      <c r="AK190" s="24"/>
    </row>
    <row r="191" spans="1:37" x14ac:dyDescent="0.3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/>
      <c r="W191" s="24" t="str">
        <f>IFERROR(IF(ISBLANK(V191),"",INDEX(Gen_Vessels!$A$3:$C$495,MATCH(InspectionSite!$V191,Gen_Vessels!$C$3:$C$495,0),1)),"")</f>
        <v/>
      </c>
      <c r="X191" s="24"/>
      <c r="Y191" s="24"/>
      <c r="Z191" s="24"/>
      <c r="AA191" s="24"/>
      <c r="AB191" s="24"/>
      <c r="AC191" s="24"/>
      <c r="AE191" s="24"/>
      <c r="AF191" s="47"/>
      <c r="AG191" s="24"/>
      <c r="AH191" s="24"/>
      <c r="AI191" s="24"/>
      <c r="AJ191" s="24"/>
      <c r="AK191" s="24"/>
    </row>
    <row r="192" spans="1:37" x14ac:dyDescent="0.3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/>
      <c r="W192" s="24" t="str">
        <f>IFERROR(IF(ISBLANK(V192),"",INDEX(Gen_Vessels!$A$3:$C$495,MATCH(InspectionSite!$V192,Gen_Vessels!$C$3:$C$495,0),1)),"")</f>
        <v/>
      </c>
      <c r="X192" s="24"/>
      <c r="Y192" s="24"/>
      <c r="Z192" s="24"/>
      <c r="AA192" s="24"/>
      <c r="AB192" s="24"/>
      <c r="AC192" s="24"/>
      <c r="AE192" s="24"/>
      <c r="AF192" s="47"/>
      <c r="AG192" s="24"/>
      <c r="AH192" s="24"/>
      <c r="AI192" s="24"/>
      <c r="AJ192" s="24"/>
      <c r="AK192" s="24"/>
    </row>
    <row r="193" spans="1:37" x14ac:dyDescent="0.3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/>
      <c r="W193" s="24" t="str">
        <f>IFERROR(IF(ISBLANK(V193),"",INDEX(Gen_Vessels!$A$3:$C$495,MATCH(InspectionSite!$V193,Gen_Vessels!$C$3:$C$495,0),1)),"")</f>
        <v/>
      </c>
      <c r="X193" s="24"/>
      <c r="Y193" s="24"/>
      <c r="Z193" s="24"/>
      <c r="AA193" s="24"/>
      <c r="AB193" s="24"/>
      <c r="AC193" s="24"/>
      <c r="AE193" s="24"/>
      <c r="AF193" s="47"/>
      <c r="AG193" s="24"/>
      <c r="AH193" s="24"/>
      <c r="AI193" s="24"/>
      <c r="AJ193" s="24"/>
      <c r="AK193" s="24"/>
    </row>
    <row r="194" spans="1:37" x14ac:dyDescent="0.3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/>
      <c r="W194" s="24" t="str">
        <f>IFERROR(IF(ISBLANK(V194),"",INDEX(Gen_Vessels!$A$3:$C$495,MATCH(InspectionSite!$V194,Gen_Vessels!$C$3:$C$495,0),1)),"")</f>
        <v/>
      </c>
      <c r="X194" s="24"/>
      <c r="Y194" s="24"/>
      <c r="Z194" s="24"/>
      <c r="AA194" s="24"/>
      <c r="AB194" s="24"/>
      <c r="AC194" s="24"/>
      <c r="AE194" s="24"/>
      <c r="AF194" s="47"/>
      <c r="AG194" s="24"/>
      <c r="AH194" s="24"/>
      <c r="AI194" s="24"/>
      <c r="AJ194" s="24"/>
      <c r="AK194" s="24"/>
    </row>
    <row r="195" spans="1:37" x14ac:dyDescent="0.3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/>
      <c r="W195" s="24" t="str">
        <f>IFERROR(IF(ISBLANK(V195),"",INDEX(Gen_Vessels!$A$3:$C$495,MATCH(InspectionSite!$V195,Gen_Vessels!$C$3:$C$495,0),1)),"")</f>
        <v/>
      </c>
      <c r="X195" s="24"/>
      <c r="Y195" s="24"/>
      <c r="Z195" s="24"/>
      <c r="AA195" s="24"/>
      <c r="AB195" s="24"/>
      <c r="AC195" s="24"/>
      <c r="AE195" s="24"/>
      <c r="AF195" s="47"/>
      <c r="AG195" s="24"/>
      <c r="AH195" s="24"/>
      <c r="AI195" s="24"/>
      <c r="AJ195" s="24"/>
      <c r="AK195" s="24"/>
    </row>
    <row r="196" spans="1:37" x14ac:dyDescent="0.3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/>
      <c r="W196" s="24" t="str">
        <f>IFERROR(IF(ISBLANK(V196),"",INDEX(Gen_Vessels!$A$3:$C$495,MATCH(InspectionSite!$V196,Gen_Vessels!$C$3:$C$495,0),1)),"")</f>
        <v/>
      </c>
      <c r="X196" s="24"/>
      <c r="Y196" s="24"/>
      <c r="Z196" s="24"/>
      <c r="AA196" s="24"/>
      <c r="AB196" s="24"/>
      <c r="AC196" s="24"/>
      <c r="AE196" s="24"/>
      <c r="AF196" s="47"/>
      <c r="AG196" s="24"/>
      <c r="AH196" s="24"/>
      <c r="AI196" s="24"/>
      <c r="AJ196" s="24"/>
      <c r="AK196" s="24"/>
    </row>
    <row r="197" spans="1:37" x14ac:dyDescent="0.3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/>
      <c r="W197" s="24" t="str">
        <f>IFERROR(IF(ISBLANK(V197),"",INDEX(Gen_Vessels!$A$3:$C$495,MATCH(InspectionSite!$V197,Gen_Vessels!$C$3:$C$495,0),1)),"")</f>
        <v/>
      </c>
      <c r="X197" s="24"/>
      <c r="Y197" s="24"/>
      <c r="Z197" s="24"/>
      <c r="AA197" s="24"/>
      <c r="AB197" s="24"/>
      <c r="AC197" s="24"/>
      <c r="AE197" s="24"/>
      <c r="AF197" s="47"/>
      <c r="AG197" s="24"/>
      <c r="AH197" s="24"/>
      <c r="AI197" s="24"/>
      <c r="AJ197" s="24"/>
      <c r="AK197" s="24"/>
    </row>
    <row r="198" spans="1:37" x14ac:dyDescent="0.3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/>
      <c r="W198" s="24" t="str">
        <f>IFERROR(IF(ISBLANK(V198),"",INDEX(Gen_Vessels!$A$3:$C$495,MATCH(InspectionSite!$V198,Gen_Vessels!$C$3:$C$495,0),1)),"")</f>
        <v/>
      </c>
      <c r="X198" s="24"/>
      <c r="Y198" s="24"/>
      <c r="Z198" s="24"/>
      <c r="AA198" s="24"/>
      <c r="AB198" s="24"/>
      <c r="AC198" s="24"/>
      <c r="AE198" s="24"/>
      <c r="AF198" s="47"/>
      <c r="AG198" s="24"/>
      <c r="AH198" s="24"/>
      <c r="AI198" s="24"/>
      <c r="AJ198" s="24"/>
      <c r="AK198" s="24"/>
    </row>
    <row r="199" spans="1:37" x14ac:dyDescent="0.3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/>
      <c r="W199" s="24" t="str">
        <f>IFERROR(IF(ISBLANK(V199),"",INDEX(Gen_Vessels!$A$3:$C$495,MATCH(InspectionSite!$V199,Gen_Vessels!$C$3:$C$495,0),1)),"")</f>
        <v/>
      </c>
      <c r="X199" s="24"/>
      <c r="Y199" s="24"/>
      <c r="Z199" s="24"/>
      <c r="AA199" s="24"/>
      <c r="AB199" s="24"/>
      <c r="AC199" s="24"/>
      <c r="AE199" s="24"/>
      <c r="AF199" s="47"/>
      <c r="AG199" s="24"/>
      <c r="AH199" s="24"/>
      <c r="AI199" s="24"/>
      <c r="AJ199" s="24"/>
      <c r="AK199" s="24"/>
    </row>
    <row r="200" spans="1:37" x14ac:dyDescent="0.3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/>
      <c r="W200" s="24" t="str">
        <f>IFERROR(IF(ISBLANK(V200),"",INDEX(Gen_Vessels!$A$3:$C$495,MATCH(InspectionSite!$V200,Gen_Vessels!$C$3:$C$495,0),1)),"")</f>
        <v/>
      </c>
      <c r="X200" s="24"/>
      <c r="Y200" s="24"/>
      <c r="Z200" s="24"/>
      <c r="AA200" s="24"/>
      <c r="AB200" s="24"/>
      <c r="AC200" s="24"/>
      <c r="AE200" s="24"/>
      <c r="AF200" s="47"/>
      <c r="AG200" s="24"/>
      <c r="AH200" s="24"/>
      <c r="AI200" s="24"/>
      <c r="AJ200" s="24"/>
      <c r="AK200" s="24"/>
    </row>
    <row r="201" spans="1:37" x14ac:dyDescent="0.3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/>
      <c r="W201" s="24" t="str">
        <f>IFERROR(IF(ISBLANK(V201),"",INDEX(Gen_Vessels!$A$3:$C$495,MATCH(InspectionSite!$V201,Gen_Vessels!$C$3:$C$495,0),1)),"")</f>
        <v/>
      </c>
      <c r="X201" s="24"/>
      <c r="Y201" s="24"/>
      <c r="Z201" s="24"/>
      <c r="AA201" s="24"/>
      <c r="AB201" s="24"/>
      <c r="AC201" s="24"/>
      <c r="AE201" s="24"/>
      <c r="AF201" s="47"/>
      <c r="AG201" s="24"/>
      <c r="AH201" s="24"/>
      <c r="AI201" s="24"/>
      <c r="AJ201" s="24"/>
      <c r="AK201" s="24"/>
    </row>
    <row r="202" spans="1:37" x14ac:dyDescent="0.3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/>
      <c r="W202" s="24" t="str">
        <f>IFERROR(IF(ISBLANK(V202),"",INDEX(Gen_Vessels!$A$3:$C$495,MATCH(InspectionSite!$V202,Gen_Vessels!$C$3:$C$495,0),1)),"")</f>
        <v/>
      </c>
      <c r="X202" s="24"/>
      <c r="Y202" s="24"/>
      <c r="Z202" s="24"/>
      <c r="AA202" s="24"/>
      <c r="AB202" s="24"/>
      <c r="AC202" s="24"/>
      <c r="AE202" s="24"/>
      <c r="AF202" s="47"/>
      <c r="AG202" s="24"/>
      <c r="AH202" s="24"/>
      <c r="AI202" s="24"/>
      <c r="AJ202" s="24"/>
      <c r="AK202" s="24"/>
    </row>
    <row r="203" spans="1:37" x14ac:dyDescent="0.3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/>
      <c r="W203" s="24" t="str">
        <f>IFERROR(IF(ISBLANK(V203),"",INDEX(Gen_Vessels!$A$3:$C$495,MATCH(InspectionSite!$V203,Gen_Vessels!$C$3:$C$495,0),1)),"")</f>
        <v/>
      </c>
      <c r="X203" s="24"/>
      <c r="Y203" s="24"/>
      <c r="Z203" s="24"/>
      <c r="AA203" s="24"/>
      <c r="AB203" s="24"/>
      <c r="AC203" s="24"/>
      <c r="AE203" s="24"/>
      <c r="AF203" s="47"/>
      <c r="AG203" s="24"/>
      <c r="AH203" s="24"/>
      <c r="AI203" s="24"/>
      <c r="AJ203" s="24"/>
      <c r="AK203" s="24"/>
    </row>
    <row r="204" spans="1:37" x14ac:dyDescent="0.3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/>
      <c r="W204" s="24" t="str">
        <f>IFERROR(IF(ISBLANK(V204),"",INDEX(Gen_Vessels!$A$3:$C$495,MATCH(InspectionSite!$V204,Gen_Vessels!$C$3:$C$495,0),1)),"")</f>
        <v/>
      </c>
      <c r="X204" s="24"/>
      <c r="Y204" s="24"/>
      <c r="Z204" s="24"/>
      <c r="AA204" s="24"/>
      <c r="AB204" s="24"/>
      <c r="AC204" s="24"/>
      <c r="AE204" s="24"/>
      <c r="AF204" s="47"/>
      <c r="AG204" s="24"/>
      <c r="AH204" s="24"/>
      <c r="AI204" s="24"/>
      <c r="AJ204" s="24"/>
      <c r="AK204" s="24"/>
    </row>
    <row r="205" spans="1:37" x14ac:dyDescent="0.3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/>
      <c r="W205" s="24" t="str">
        <f>IFERROR(IF(ISBLANK(V205),"",INDEX(Gen_Vessels!$A$3:$C$495,MATCH(InspectionSite!$V205,Gen_Vessels!$C$3:$C$495,0),1)),"")</f>
        <v/>
      </c>
      <c r="X205" s="24"/>
      <c r="Y205" s="24"/>
      <c r="Z205" s="24"/>
      <c r="AA205" s="24"/>
      <c r="AB205" s="24"/>
      <c r="AC205" s="24"/>
      <c r="AE205" s="24"/>
      <c r="AF205" s="47"/>
      <c r="AG205" s="24"/>
      <c r="AH205" s="24"/>
      <c r="AI205" s="24"/>
      <c r="AJ205" s="24"/>
      <c r="AK205" s="24"/>
    </row>
    <row r="206" spans="1:37" x14ac:dyDescent="0.3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/>
      <c r="W206" s="24" t="str">
        <f>IFERROR(IF(ISBLANK(V206),"",INDEX(Gen_Vessels!$A$3:$C$495,MATCH(InspectionSite!$V206,Gen_Vessels!$C$3:$C$495,0),1)),"")</f>
        <v/>
      </c>
      <c r="X206" s="24"/>
      <c r="Y206" s="24"/>
      <c r="Z206" s="24"/>
      <c r="AA206" s="24"/>
      <c r="AB206" s="24"/>
      <c r="AC206" s="24"/>
      <c r="AE206" s="24"/>
      <c r="AF206" s="47"/>
      <c r="AG206" s="24"/>
      <c r="AH206" s="24"/>
      <c r="AI206" s="24"/>
      <c r="AJ206" s="24"/>
      <c r="AK206" s="24"/>
    </row>
    <row r="207" spans="1:37" x14ac:dyDescent="0.3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/>
      <c r="W207" s="24" t="str">
        <f>IFERROR(IF(ISBLANK(V207),"",INDEX(Gen_Vessels!$A$3:$C$495,MATCH(InspectionSite!$V207,Gen_Vessels!$C$3:$C$495,0),1)),"")</f>
        <v/>
      </c>
      <c r="X207" s="24"/>
      <c r="Y207" s="24"/>
      <c r="Z207" s="24"/>
      <c r="AA207" s="24"/>
      <c r="AB207" s="24"/>
      <c r="AC207" s="24"/>
      <c r="AE207" s="24"/>
      <c r="AF207" s="47"/>
      <c r="AG207" s="24"/>
      <c r="AH207" s="24"/>
      <c r="AI207" s="24"/>
      <c r="AJ207" s="24"/>
      <c r="AK207" s="24"/>
    </row>
    <row r="208" spans="1:37" x14ac:dyDescent="0.3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/>
      <c r="W208" s="24" t="str">
        <f>IFERROR(IF(ISBLANK(V208),"",INDEX(Gen_Vessels!$A$3:$C$495,MATCH(InspectionSite!$V208,Gen_Vessels!$C$3:$C$495,0),1)),"")</f>
        <v/>
      </c>
      <c r="X208" s="24"/>
      <c r="Y208" s="24"/>
      <c r="Z208" s="24"/>
      <c r="AA208" s="24"/>
      <c r="AB208" s="24"/>
      <c r="AC208" s="24"/>
      <c r="AE208" s="24"/>
      <c r="AF208" s="47"/>
      <c r="AG208" s="24"/>
      <c r="AH208" s="24"/>
      <c r="AI208" s="24"/>
      <c r="AJ208" s="24"/>
      <c r="AK208" s="24"/>
    </row>
    <row r="209" spans="1:37" x14ac:dyDescent="0.3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/>
      <c r="W209" s="24" t="str">
        <f>IFERROR(IF(ISBLANK(V209),"",INDEX(Gen_Vessels!$A$3:$C$495,MATCH(InspectionSite!$V209,Gen_Vessels!$C$3:$C$495,0),1)),"")</f>
        <v/>
      </c>
      <c r="X209" s="24"/>
      <c r="Y209" s="24"/>
      <c r="Z209" s="24"/>
      <c r="AA209" s="24"/>
      <c r="AB209" s="24"/>
      <c r="AC209" s="24"/>
      <c r="AE209" s="24"/>
      <c r="AF209" s="47"/>
      <c r="AG209" s="24"/>
      <c r="AH209" s="24"/>
      <c r="AI209" s="24"/>
      <c r="AJ209" s="24"/>
      <c r="AK209" s="24"/>
    </row>
    <row r="210" spans="1:37" x14ac:dyDescent="0.3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/>
      <c r="W210" s="24" t="str">
        <f>IFERROR(IF(ISBLANK(V210),"",INDEX(Gen_Vessels!$A$3:$C$495,MATCH(InspectionSite!$V210,Gen_Vessels!$C$3:$C$495,0),1)),"")</f>
        <v/>
      </c>
      <c r="X210" s="24"/>
      <c r="Y210" s="24"/>
      <c r="Z210" s="24"/>
      <c r="AA210" s="24"/>
      <c r="AB210" s="24"/>
      <c r="AC210" s="24"/>
      <c r="AE210" s="24"/>
      <c r="AF210" s="47"/>
      <c r="AG210" s="24"/>
      <c r="AH210" s="24"/>
      <c r="AI210" s="24"/>
      <c r="AJ210" s="24"/>
      <c r="AK210" s="24"/>
    </row>
    <row r="211" spans="1:37" x14ac:dyDescent="0.3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/>
      <c r="W211" s="24" t="str">
        <f>IFERROR(IF(ISBLANK(V211),"",INDEX(Gen_Vessels!$A$3:$C$495,MATCH(InspectionSite!$V211,Gen_Vessels!$C$3:$C$495,0),1)),"")</f>
        <v/>
      </c>
      <c r="X211" s="24"/>
      <c r="Y211" s="24"/>
      <c r="Z211" s="24"/>
      <c r="AA211" s="24"/>
      <c r="AB211" s="24"/>
      <c r="AC211" s="24"/>
      <c r="AE211" s="24"/>
      <c r="AF211" s="47"/>
      <c r="AG211" s="24"/>
      <c r="AH211" s="24"/>
      <c r="AI211" s="24"/>
      <c r="AJ211" s="24"/>
      <c r="AK211" s="24"/>
    </row>
    <row r="212" spans="1:37" x14ac:dyDescent="0.3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/>
      <c r="W212" s="24" t="str">
        <f>IFERROR(IF(ISBLANK(V212),"",INDEX(Gen_Vessels!$A$3:$C$495,MATCH(InspectionSite!$V212,Gen_Vessels!$C$3:$C$495,0),1)),"")</f>
        <v/>
      </c>
      <c r="X212" s="24"/>
      <c r="Y212" s="24"/>
      <c r="Z212" s="24"/>
      <c r="AA212" s="24"/>
      <c r="AB212" s="24"/>
      <c r="AC212" s="24"/>
      <c r="AE212" s="24"/>
      <c r="AF212" s="47"/>
      <c r="AG212" s="24"/>
      <c r="AH212" s="24"/>
      <c r="AI212" s="24"/>
      <c r="AJ212" s="24"/>
      <c r="AK212" s="24"/>
    </row>
    <row r="213" spans="1:37" x14ac:dyDescent="0.3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/>
      <c r="W213" s="24" t="str">
        <f>IFERROR(IF(ISBLANK(V213),"",INDEX(Gen_Vessels!$A$3:$C$495,MATCH(InspectionSite!$V213,Gen_Vessels!$C$3:$C$495,0),1)),"")</f>
        <v/>
      </c>
      <c r="X213" s="24"/>
      <c r="Y213" s="24"/>
      <c r="Z213" s="24"/>
      <c r="AA213" s="24"/>
      <c r="AB213" s="24"/>
      <c r="AC213" s="24"/>
      <c r="AE213" s="24"/>
      <c r="AF213" s="47"/>
      <c r="AG213" s="24"/>
      <c r="AH213" s="24"/>
      <c r="AI213" s="24"/>
      <c r="AJ213" s="24"/>
      <c r="AK213" s="24"/>
    </row>
    <row r="214" spans="1:37" x14ac:dyDescent="0.3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/>
      <c r="W214" s="24" t="str">
        <f>IFERROR(IF(ISBLANK(V214),"",INDEX(Gen_Vessels!$A$3:$C$495,MATCH(InspectionSite!$V214,Gen_Vessels!$C$3:$C$495,0),1)),"")</f>
        <v/>
      </c>
      <c r="X214" s="24"/>
      <c r="Y214" s="24"/>
      <c r="Z214" s="24"/>
      <c r="AA214" s="24"/>
      <c r="AB214" s="24"/>
      <c r="AC214" s="24"/>
      <c r="AE214" s="24"/>
      <c r="AF214" s="47"/>
      <c r="AG214" s="24"/>
      <c r="AH214" s="24"/>
      <c r="AI214" s="24"/>
      <c r="AJ214" s="24"/>
      <c r="AK214" s="24"/>
    </row>
    <row r="215" spans="1:37" x14ac:dyDescent="0.3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/>
      <c r="W215" s="24" t="str">
        <f>IFERROR(IF(ISBLANK(V215),"",INDEX(Gen_Vessels!$A$3:$C$495,MATCH(InspectionSite!$V215,Gen_Vessels!$C$3:$C$495,0),1)),"")</f>
        <v/>
      </c>
      <c r="X215" s="24"/>
      <c r="Y215" s="24"/>
      <c r="Z215" s="24"/>
      <c r="AA215" s="24"/>
      <c r="AB215" s="24"/>
      <c r="AC215" s="24"/>
      <c r="AE215" s="24"/>
      <c r="AF215" s="47"/>
      <c r="AG215" s="24"/>
      <c r="AH215" s="24"/>
      <c r="AI215" s="24"/>
      <c r="AJ215" s="24"/>
      <c r="AK215" s="24"/>
    </row>
    <row r="216" spans="1:37" x14ac:dyDescent="0.3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/>
      <c r="W216" s="24" t="str">
        <f>IFERROR(IF(ISBLANK(V216),"",INDEX(Gen_Vessels!$A$3:$C$495,MATCH(InspectionSite!$V216,Gen_Vessels!$C$3:$C$495,0),1)),"")</f>
        <v/>
      </c>
      <c r="X216" s="24"/>
      <c r="Y216" s="24"/>
      <c r="Z216" s="24"/>
      <c r="AA216" s="24"/>
      <c r="AB216" s="24"/>
      <c r="AC216" s="24"/>
      <c r="AE216" s="24"/>
      <c r="AF216" s="47"/>
      <c r="AG216" s="24"/>
      <c r="AH216" s="24"/>
      <c r="AI216" s="24"/>
      <c r="AJ216" s="24"/>
      <c r="AK216" s="24"/>
    </row>
    <row r="217" spans="1:37" x14ac:dyDescent="0.3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/>
      <c r="W217" s="24" t="str">
        <f>IFERROR(IF(ISBLANK(V217),"",INDEX(Gen_Vessels!$A$3:$C$495,MATCH(InspectionSite!$V217,Gen_Vessels!$C$3:$C$495,0),1)),"")</f>
        <v/>
      </c>
      <c r="X217" s="24"/>
      <c r="Y217" s="24"/>
      <c r="Z217" s="24"/>
      <c r="AA217" s="24"/>
      <c r="AB217" s="24"/>
      <c r="AC217" s="24"/>
      <c r="AE217" s="24"/>
      <c r="AF217" s="47"/>
      <c r="AG217" s="24"/>
      <c r="AH217" s="24"/>
      <c r="AI217" s="24"/>
      <c r="AJ217" s="24"/>
      <c r="AK217" s="24"/>
    </row>
    <row r="218" spans="1:37" x14ac:dyDescent="0.3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/>
      <c r="W218" s="24" t="str">
        <f>IFERROR(IF(ISBLANK(V218),"",INDEX(Gen_Vessels!$A$3:$C$495,MATCH(InspectionSite!$V218,Gen_Vessels!$C$3:$C$495,0),1)),"")</f>
        <v/>
      </c>
      <c r="X218" s="24"/>
      <c r="Y218" s="24"/>
      <c r="Z218" s="24"/>
      <c r="AA218" s="24"/>
      <c r="AB218" s="24"/>
      <c r="AC218" s="24"/>
      <c r="AE218" s="24"/>
      <c r="AF218" s="47"/>
      <c r="AG218" s="24"/>
      <c r="AH218" s="24"/>
      <c r="AI218" s="24"/>
      <c r="AJ218" s="24"/>
      <c r="AK218" s="24"/>
    </row>
    <row r="219" spans="1:37" x14ac:dyDescent="0.3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/>
      <c r="W219" s="24" t="str">
        <f>IFERROR(IF(ISBLANK(V219),"",INDEX(Gen_Vessels!$A$3:$C$495,MATCH(InspectionSite!$V219,Gen_Vessels!$C$3:$C$495,0),1)),"")</f>
        <v/>
      </c>
      <c r="X219" s="24"/>
      <c r="Y219" s="24"/>
      <c r="Z219" s="24"/>
      <c r="AA219" s="24"/>
      <c r="AB219" s="24"/>
      <c r="AC219" s="24"/>
      <c r="AE219" s="24"/>
      <c r="AF219" s="47"/>
      <c r="AG219" s="24"/>
      <c r="AH219" s="24"/>
      <c r="AI219" s="24"/>
      <c r="AJ219" s="24"/>
      <c r="AK219" s="24"/>
    </row>
    <row r="220" spans="1:37" x14ac:dyDescent="0.3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/>
      <c r="W220" s="24" t="str">
        <f>IFERROR(IF(ISBLANK(V220),"",INDEX(Gen_Vessels!$A$3:$C$495,MATCH(InspectionSite!$V220,Gen_Vessels!$C$3:$C$495,0),1)),"")</f>
        <v/>
      </c>
      <c r="X220" s="24"/>
      <c r="Y220" s="24"/>
      <c r="Z220" s="24"/>
      <c r="AA220" s="24"/>
      <c r="AB220" s="24"/>
      <c r="AC220" s="24"/>
      <c r="AE220" s="24"/>
      <c r="AF220" s="47"/>
      <c r="AG220" s="24"/>
      <c r="AH220" s="24"/>
      <c r="AI220" s="24"/>
      <c r="AJ220" s="24"/>
      <c r="AK220" s="24"/>
    </row>
    <row r="221" spans="1:37" x14ac:dyDescent="0.3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/>
      <c r="W221" s="24" t="str">
        <f>IFERROR(IF(ISBLANK(V221),"",INDEX(Gen_Vessels!$A$3:$C$495,MATCH(InspectionSite!$V221,Gen_Vessels!$C$3:$C$495,0),1)),"")</f>
        <v/>
      </c>
      <c r="X221" s="24"/>
      <c r="Y221" s="24"/>
      <c r="Z221" s="24"/>
      <c r="AA221" s="24"/>
      <c r="AB221" s="24"/>
      <c r="AC221" s="24"/>
      <c r="AE221" s="24"/>
      <c r="AF221" s="47"/>
      <c r="AG221" s="24"/>
      <c r="AH221" s="24"/>
      <c r="AI221" s="24"/>
      <c r="AJ221" s="24"/>
      <c r="AK221" s="24"/>
    </row>
    <row r="222" spans="1:37" x14ac:dyDescent="0.3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/>
      <c r="W222" s="24" t="str">
        <f>IFERROR(IF(ISBLANK(V222),"",INDEX(Gen_Vessels!$A$3:$C$495,MATCH(InspectionSite!$V222,Gen_Vessels!$C$3:$C$495,0),1)),"")</f>
        <v/>
      </c>
      <c r="X222" s="24"/>
      <c r="Y222" s="24"/>
      <c r="Z222" s="24"/>
      <c r="AA222" s="24"/>
      <c r="AB222" s="24"/>
      <c r="AC222" s="24"/>
      <c r="AE222" s="24"/>
      <c r="AF222" s="47"/>
      <c r="AG222" s="24"/>
      <c r="AH222" s="24"/>
      <c r="AI222" s="24"/>
      <c r="AJ222" s="24"/>
      <c r="AK222" s="24"/>
    </row>
    <row r="223" spans="1:37" x14ac:dyDescent="0.3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/>
      <c r="W223" s="24" t="str">
        <f>IFERROR(IF(ISBLANK(V223),"",INDEX(Gen_Vessels!$A$3:$C$495,MATCH(InspectionSite!$V223,Gen_Vessels!$C$3:$C$495,0),1)),"")</f>
        <v/>
      </c>
      <c r="X223" s="24"/>
      <c r="Y223" s="24"/>
      <c r="Z223" s="24"/>
      <c r="AA223" s="24"/>
      <c r="AB223" s="24"/>
      <c r="AC223" s="24"/>
      <c r="AE223" s="24"/>
      <c r="AF223" s="47"/>
      <c r="AG223" s="24"/>
      <c r="AH223" s="24"/>
      <c r="AI223" s="24"/>
      <c r="AJ223" s="24"/>
      <c r="AK223" s="24"/>
    </row>
    <row r="224" spans="1:37" x14ac:dyDescent="0.3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/>
      <c r="W224" s="24" t="str">
        <f>IFERROR(IF(ISBLANK(V224),"",INDEX(Gen_Vessels!$A$3:$C$495,MATCH(InspectionSite!$V224,Gen_Vessels!$C$3:$C$495,0),1)),"")</f>
        <v/>
      </c>
      <c r="X224" s="24"/>
      <c r="Y224" s="24"/>
      <c r="Z224" s="24"/>
      <c r="AA224" s="24"/>
      <c r="AB224" s="24"/>
      <c r="AC224" s="24"/>
      <c r="AE224" s="24"/>
      <c r="AF224" s="47"/>
      <c r="AG224" s="24"/>
      <c r="AH224" s="24"/>
      <c r="AI224" s="24"/>
      <c r="AJ224" s="24"/>
      <c r="AK224" s="24"/>
    </row>
    <row r="225" spans="1:37" x14ac:dyDescent="0.3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/>
      <c r="W225" s="24" t="str">
        <f>IFERROR(IF(ISBLANK(V225),"",INDEX(Gen_Vessels!$A$3:$C$495,MATCH(InspectionSite!$V225,Gen_Vessels!$C$3:$C$495,0),1)),"")</f>
        <v/>
      </c>
      <c r="X225" s="24"/>
      <c r="Y225" s="24"/>
      <c r="Z225" s="24"/>
      <c r="AA225" s="24"/>
      <c r="AB225" s="24"/>
      <c r="AC225" s="24"/>
      <c r="AE225" s="24"/>
      <c r="AF225" s="47"/>
      <c r="AG225" s="24"/>
      <c r="AH225" s="24"/>
      <c r="AI225" s="24"/>
      <c r="AJ225" s="24"/>
      <c r="AK225" s="24"/>
    </row>
    <row r="226" spans="1:37" x14ac:dyDescent="0.3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/>
      <c r="W226" s="24" t="str">
        <f>IFERROR(IF(ISBLANK(V226),"",INDEX(Gen_Vessels!$A$3:$C$495,MATCH(InspectionSite!$V226,Gen_Vessels!$C$3:$C$495,0),1)),"")</f>
        <v/>
      </c>
      <c r="X226" s="24"/>
      <c r="Y226" s="24"/>
      <c r="Z226" s="24"/>
      <c r="AA226" s="24"/>
      <c r="AB226" s="24"/>
      <c r="AC226" s="24"/>
      <c r="AE226" s="24"/>
      <c r="AF226" s="47"/>
      <c r="AG226" s="24"/>
      <c r="AH226" s="24"/>
      <c r="AI226" s="24"/>
      <c r="AJ226" s="24"/>
      <c r="AK226" s="24"/>
    </row>
    <row r="227" spans="1:37" x14ac:dyDescent="0.3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/>
      <c r="W227" s="24" t="str">
        <f>IFERROR(IF(ISBLANK(V227),"",INDEX(Gen_Vessels!$A$3:$C$495,MATCH(InspectionSite!$V227,Gen_Vessels!$C$3:$C$495,0),1)),"")</f>
        <v/>
      </c>
      <c r="X227" s="24"/>
      <c r="Y227" s="24"/>
      <c r="Z227" s="24"/>
      <c r="AA227" s="24"/>
      <c r="AB227" s="24"/>
      <c r="AC227" s="24"/>
      <c r="AE227" s="24"/>
      <c r="AF227" s="47"/>
      <c r="AG227" s="24"/>
      <c r="AH227" s="24"/>
      <c r="AI227" s="24"/>
      <c r="AJ227" s="24"/>
      <c r="AK227" s="24"/>
    </row>
    <row r="228" spans="1:37" x14ac:dyDescent="0.3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/>
      <c r="W228" s="24" t="str">
        <f>IFERROR(IF(ISBLANK(V228),"",INDEX(Gen_Vessels!$A$3:$C$495,MATCH(InspectionSite!$V228,Gen_Vessels!$C$3:$C$495,0),1)),"")</f>
        <v/>
      </c>
      <c r="X228" s="24"/>
      <c r="Y228" s="24"/>
      <c r="Z228" s="24"/>
      <c r="AA228" s="24"/>
      <c r="AB228" s="24"/>
      <c r="AC228" s="24"/>
      <c r="AE228" s="24"/>
      <c r="AF228" s="47"/>
      <c r="AG228" s="24"/>
      <c r="AH228" s="24"/>
      <c r="AI228" s="24"/>
      <c r="AJ228" s="24"/>
      <c r="AK228" s="24"/>
    </row>
    <row r="229" spans="1:37" x14ac:dyDescent="0.3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/>
      <c r="W229" s="24" t="str">
        <f>IFERROR(IF(ISBLANK(V229),"",INDEX(Gen_Vessels!$A$3:$C$495,MATCH(InspectionSite!$V229,Gen_Vessels!$C$3:$C$495,0),1)),"")</f>
        <v/>
      </c>
      <c r="X229" s="24"/>
      <c r="Y229" s="24"/>
      <c r="Z229" s="24"/>
      <c r="AA229" s="24"/>
      <c r="AB229" s="24"/>
      <c r="AC229" s="24"/>
      <c r="AE229" s="24"/>
      <c r="AF229" s="47"/>
      <c r="AG229" s="24"/>
      <c r="AH229" s="24"/>
      <c r="AI229" s="24"/>
      <c r="AJ229" s="24"/>
      <c r="AK229" s="24"/>
    </row>
    <row r="230" spans="1:37" x14ac:dyDescent="0.3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/>
      <c r="W230" s="24" t="str">
        <f>IFERROR(IF(ISBLANK(V230),"",INDEX(Gen_Vessels!$A$3:$C$495,MATCH(InspectionSite!$V230,Gen_Vessels!$C$3:$C$495,0),1)),"")</f>
        <v/>
      </c>
      <c r="X230" s="24"/>
      <c r="Y230" s="24"/>
      <c r="Z230" s="24"/>
      <c r="AA230" s="24"/>
      <c r="AB230" s="24"/>
      <c r="AC230" s="24"/>
      <c r="AE230" s="24"/>
      <c r="AF230" s="47"/>
      <c r="AG230" s="24"/>
      <c r="AH230" s="24"/>
      <c r="AI230" s="24"/>
      <c r="AJ230" s="24"/>
      <c r="AK230" s="24"/>
    </row>
    <row r="231" spans="1:37" x14ac:dyDescent="0.3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/>
      <c r="W231" s="24" t="str">
        <f>IFERROR(IF(ISBLANK(V231),"",INDEX(Gen_Vessels!$A$3:$C$495,MATCH(InspectionSite!$V231,Gen_Vessels!$C$3:$C$495,0),1)),"")</f>
        <v/>
      </c>
      <c r="X231" s="24"/>
      <c r="Y231" s="24"/>
      <c r="Z231" s="24"/>
      <c r="AA231" s="24"/>
      <c r="AB231" s="24"/>
      <c r="AC231" s="24"/>
      <c r="AE231" s="24"/>
      <c r="AF231" s="47"/>
      <c r="AG231" s="24"/>
      <c r="AH231" s="24"/>
      <c r="AI231" s="24"/>
      <c r="AJ231" s="24"/>
      <c r="AK231" s="24"/>
    </row>
    <row r="232" spans="1:37" x14ac:dyDescent="0.3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/>
      <c r="W232" s="24" t="str">
        <f>IFERROR(IF(ISBLANK(V232),"",INDEX(Gen_Vessels!$A$3:$C$495,MATCH(InspectionSite!$V232,Gen_Vessels!$C$3:$C$495,0),1)),"")</f>
        <v/>
      </c>
      <c r="X232" s="24"/>
      <c r="Y232" s="24"/>
      <c r="Z232" s="24"/>
      <c r="AA232" s="24"/>
      <c r="AB232" s="24"/>
      <c r="AC232" s="24"/>
      <c r="AE232" s="24"/>
      <c r="AF232" s="47"/>
      <c r="AG232" s="24"/>
      <c r="AH232" s="24"/>
      <c r="AI232" s="24"/>
      <c r="AJ232" s="24"/>
      <c r="AK232" s="24"/>
    </row>
    <row r="233" spans="1:37" x14ac:dyDescent="0.3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/>
      <c r="W233" s="24" t="str">
        <f>IFERROR(IF(ISBLANK(V233),"",INDEX(Gen_Vessels!$A$3:$C$495,MATCH(InspectionSite!$V233,Gen_Vessels!$C$3:$C$495,0),1)),"")</f>
        <v/>
      </c>
      <c r="X233" s="24"/>
      <c r="Y233" s="24"/>
      <c r="Z233" s="24"/>
      <c r="AA233" s="24"/>
      <c r="AB233" s="24"/>
      <c r="AC233" s="24"/>
      <c r="AE233" s="24"/>
      <c r="AF233" s="47"/>
      <c r="AG233" s="24"/>
      <c r="AH233" s="24"/>
      <c r="AI233" s="24"/>
      <c r="AJ233" s="24"/>
      <c r="AK233" s="24"/>
    </row>
    <row r="234" spans="1:37" x14ac:dyDescent="0.3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/>
      <c r="W234" s="24" t="str">
        <f>IFERROR(IF(ISBLANK(V234),"",INDEX(Gen_Vessels!$A$3:$C$495,MATCH(InspectionSite!$V234,Gen_Vessels!$C$3:$C$495,0),1)),"")</f>
        <v/>
      </c>
      <c r="X234" s="24"/>
      <c r="Y234" s="24"/>
      <c r="Z234" s="24"/>
      <c r="AA234" s="24"/>
      <c r="AB234" s="24"/>
      <c r="AC234" s="24"/>
      <c r="AE234" s="24"/>
      <c r="AF234" s="47"/>
      <c r="AG234" s="24"/>
      <c r="AH234" s="24"/>
      <c r="AI234" s="24"/>
      <c r="AJ234" s="24"/>
      <c r="AK234" s="24"/>
    </row>
    <row r="235" spans="1:37" x14ac:dyDescent="0.3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/>
      <c r="W235" s="24" t="str">
        <f>IFERROR(IF(ISBLANK(V235),"",INDEX(Gen_Vessels!$A$3:$C$495,MATCH(InspectionSite!$V235,Gen_Vessels!$C$3:$C$495,0),1)),"")</f>
        <v/>
      </c>
      <c r="X235" s="24"/>
      <c r="Y235" s="24"/>
      <c r="Z235" s="24"/>
      <c r="AA235" s="24"/>
      <c r="AB235" s="24"/>
      <c r="AC235" s="24"/>
      <c r="AE235" s="24"/>
      <c r="AF235" s="47"/>
      <c r="AG235" s="24"/>
      <c r="AH235" s="24"/>
      <c r="AI235" s="24"/>
      <c r="AJ235" s="24"/>
      <c r="AK235" s="24"/>
    </row>
    <row r="236" spans="1:37" x14ac:dyDescent="0.3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/>
      <c r="W236" s="24" t="str">
        <f>IFERROR(IF(ISBLANK(V236),"",INDEX(Gen_Vessels!$A$3:$C$495,MATCH(InspectionSite!$V236,Gen_Vessels!$C$3:$C$495,0),1)),"")</f>
        <v/>
      </c>
      <c r="X236" s="24"/>
      <c r="Y236" s="24"/>
      <c r="Z236" s="24"/>
      <c r="AA236" s="24"/>
      <c r="AB236" s="24"/>
      <c r="AC236" s="24"/>
      <c r="AE236" s="24"/>
      <c r="AF236" s="47"/>
      <c r="AG236" s="24"/>
      <c r="AH236" s="24"/>
      <c r="AI236" s="24"/>
      <c r="AJ236" s="24"/>
      <c r="AK236" s="24"/>
    </row>
    <row r="237" spans="1:37" x14ac:dyDescent="0.3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/>
      <c r="W237" s="24" t="str">
        <f>IFERROR(IF(ISBLANK(V237),"",INDEX(Gen_Vessels!$A$3:$C$495,MATCH(InspectionSite!$V237,Gen_Vessels!$C$3:$C$495,0),1)),"")</f>
        <v/>
      </c>
      <c r="X237" s="24"/>
      <c r="Y237" s="24"/>
      <c r="Z237" s="24"/>
      <c r="AA237" s="24"/>
      <c r="AB237" s="24"/>
      <c r="AC237" s="24"/>
      <c r="AE237" s="24"/>
      <c r="AF237" s="47"/>
      <c r="AG237" s="24"/>
      <c r="AH237" s="24"/>
      <c r="AI237" s="24"/>
      <c r="AJ237" s="24"/>
      <c r="AK237" s="24"/>
    </row>
    <row r="238" spans="1:37" x14ac:dyDescent="0.3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/>
      <c r="W238" s="24" t="str">
        <f>IFERROR(IF(ISBLANK(V238),"",INDEX(Gen_Vessels!$A$3:$C$495,MATCH(InspectionSite!$V238,Gen_Vessels!$C$3:$C$495,0),1)),"")</f>
        <v/>
      </c>
      <c r="X238" s="24"/>
      <c r="Y238" s="24"/>
      <c r="Z238" s="24"/>
      <c r="AA238" s="24"/>
      <c r="AB238" s="24"/>
      <c r="AC238" s="24"/>
      <c r="AE238" s="24"/>
      <c r="AF238" s="47"/>
      <c r="AG238" s="24"/>
      <c r="AH238" s="24"/>
      <c r="AI238" s="24"/>
      <c r="AJ238" s="24"/>
      <c r="AK238" s="24"/>
    </row>
    <row r="239" spans="1:37" x14ac:dyDescent="0.3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/>
      <c r="W239" s="24" t="str">
        <f>IFERROR(IF(ISBLANK(V239),"",INDEX(Gen_Vessels!$A$3:$C$495,MATCH(InspectionSite!$V239,Gen_Vessels!$C$3:$C$495,0),1)),"")</f>
        <v/>
      </c>
      <c r="X239" s="24"/>
      <c r="Y239" s="24"/>
      <c r="Z239" s="24"/>
      <c r="AA239" s="24"/>
      <c r="AB239" s="24"/>
      <c r="AC239" s="24"/>
      <c r="AE239" s="24"/>
      <c r="AF239" s="47"/>
      <c r="AG239" s="24"/>
      <c r="AH239" s="24"/>
      <c r="AI239" s="24"/>
      <c r="AJ239" s="24"/>
      <c r="AK239" s="24"/>
    </row>
    <row r="240" spans="1:37" x14ac:dyDescent="0.3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/>
      <c r="W240" s="24" t="str">
        <f>IFERROR(IF(ISBLANK(V240),"",INDEX(Gen_Vessels!$A$3:$C$495,MATCH(InspectionSite!$V240,Gen_Vessels!$C$3:$C$495,0),1)),"")</f>
        <v/>
      </c>
      <c r="X240" s="24"/>
      <c r="Y240" s="24"/>
      <c r="Z240" s="24"/>
      <c r="AA240" s="24"/>
      <c r="AB240" s="24"/>
      <c r="AC240" s="24"/>
      <c r="AE240" s="24"/>
      <c r="AF240" s="47"/>
      <c r="AG240" s="24"/>
      <c r="AH240" s="24"/>
      <c r="AI240" s="24"/>
      <c r="AJ240" s="24"/>
      <c r="AK240" s="24"/>
    </row>
    <row r="241" spans="1:37" x14ac:dyDescent="0.3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/>
      <c r="W241" s="24" t="str">
        <f>IFERROR(IF(ISBLANK(V241),"",INDEX(Gen_Vessels!$A$3:$C$495,MATCH(InspectionSite!$V241,Gen_Vessels!$C$3:$C$495,0),1)),"")</f>
        <v/>
      </c>
      <c r="X241" s="24"/>
      <c r="Y241" s="24"/>
      <c r="Z241" s="24"/>
      <c r="AA241" s="24"/>
      <c r="AB241" s="24"/>
      <c r="AC241" s="24"/>
      <c r="AE241" s="24"/>
      <c r="AF241" s="47"/>
      <c r="AG241" s="24"/>
      <c r="AH241" s="24"/>
      <c r="AI241" s="24"/>
      <c r="AJ241" s="24"/>
      <c r="AK241" s="24"/>
    </row>
    <row r="242" spans="1:37" x14ac:dyDescent="0.3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/>
      <c r="W242" s="24" t="str">
        <f>IFERROR(IF(ISBLANK(V242),"",INDEX(Gen_Vessels!$A$3:$C$495,MATCH(InspectionSite!$V242,Gen_Vessels!$C$3:$C$495,0),1)),"")</f>
        <v/>
      </c>
      <c r="X242" s="24"/>
      <c r="Y242" s="24"/>
      <c r="Z242" s="24"/>
      <c r="AA242" s="24"/>
      <c r="AB242" s="24"/>
      <c r="AC242" s="24"/>
      <c r="AE242" s="24"/>
      <c r="AF242" s="47"/>
      <c r="AG242" s="24"/>
      <c r="AH242" s="24"/>
      <c r="AI242" s="24"/>
      <c r="AJ242" s="24"/>
      <c r="AK242" s="24"/>
    </row>
    <row r="243" spans="1:37" x14ac:dyDescent="0.3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/>
      <c r="W243" s="24" t="str">
        <f>IFERROR(IF(ISBLANK(V243),"",INDEX(Gen_Vessels!$A$3:$C$495,MATCH(InspectionSite!$V243,Gen_Vessels!$C$3:$C$495,0),1)),"")</f>
        <v/>
      </c>
      <c r="X243" s="24"/>
      <c r="Y243" s="24"/>
      <c r="Z243" s="24"/>
      <c r="AA243" s="24"/>
      <c r="AB243" s="24"/>
      <c r="AC243" s="24"/>
      <c r="AE243" s="24"/>
      <c r="AF243" s="47"/>
      <c r="AG243" s="24"/>
      <c r="AH243" s="24"/>
      <c r="AI243" s="24"/>
      <c r="AJ243" s="24"/>
      <c r="AK243" s="24"/>
    </row>
    <row r="244" spans="1:37" x14ac:dyDescent="0.3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/>
      <c r="W244" s="24" t="str">
        <f>IFERROR(IF(ISBLANK(V244),"",INDEX(Gen_Vessels!$A$3:$C$495,MATCH(InspectionSite!$V244,Gen_Vessels!$C$3:$C$495,0),1)),"")</f>
        <v/>
      </c>
      <c r="X244" s="24"/>
      <c r="Y244" s="24"/>
      <c r="Z244" s="24"/>
      <c r="AA244" s="24"/>
      <c r="AB244" s="24"/>
      <c r="AC244" s="24"/>
      <c r="AE244" s="24"/>
      <c r="AF244" s="47"/>
      <c r="AG244" s="24"/>
      <c r="AH244" s="24"/>
      <c r="AI244" s="24"/>
      <c r="AJ244" s="24"/>
      <c r="AK244" s="24"/>
    </row>
    <row r="245" spans="1:37" x14ac:dyDescent="0.3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/>
      <c r="W245" s="24" t="str">
        <f>IFERROR(IF(ISBLANK(V245),"",INDEX(Gen_Vessels!$A$3:$C$495,MATCH(InspectionSite!$V245,Gen_Vessels!$C$3:$C$495,0),1)),"")</f>
        <v/>
      </c>
      <c r="X245" s="24"/>
      <c r="Y245" s="24"/>
      <c r="Z245" s="24"/>
      <c r="AA245" s="24"/>
      <c r="AB245" s="24"/>
      <c r="AC245" s="24"/>
      <c r="AE245" s="24"/>
      <c r="AF245" s="47"/>
      <c r="AG245" s="24"/>
      <c r="AH245" s="24"/>
      <c r="AI245" s="24"/>
      <c r="AJ245" s="24"/>
      <c r="AK245" s="24"/>
    </row>
    <row r="246" spans="1:37" x14ac:dyDescent="0.3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/>
      <c r="W246" s="24" t="str">
        <f>IFERROR(IF(ISBLANK(V246),"",INDEX(Gen_Vessels!$A$3:$C$495,MATCH(InspectionSite!$V246,Gen_Vessels!$C$3:$C$495,0),1)),"")</f>
        <v/>
      </c>
      <c r="X246" s="24"/>
      <c r="Y246" s="24"/>
      <c r="Z246" s="24"/>
      <c r="AA246" s="24"/>
      <c r="AB246" s="24"/>
      <c r="AC246" s="24"/>
      <c r="AE246" s="24"/>
      <c r="AF246" s="47"/>
      <c r="AG246" s="24"/>
      <c r="AH246" s="24"/>
      <c r="AI246" s="24"/>
      <c r="AJ246" s="24"/>
      <c r="AK246" s="24"/>
    </row>
    <row r="247" spans="1:37" x14ac:dyDescent="0.3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/>
      <c r="W247" s="24" t="str">
        <f>IFERROR(IF(ISBLANK(V247),"",INDEX(Gen_Vessels!$A$3:$C$495,MATCH(InspectionSite!$V247,Gen_Vessels!$C$3:$C$495,0),1)),"")</f>
        <v/>
      </c>
      <c r="X247" s="24"/>
      <c r="Y247" s="24"/>
      <c r="Z247" s="24"/>
      <c r="AA247" s="24"/>
      <c r="AB247" s="24"/>
      <c r="AC247" s="24"/>
      <c r="AE247" s="24"/>
      <c r="AF247" s="47"/>
      <c r="AG247" s="24"/>
      <c r="AH247" s="24"/>
      <c r="AI247" s="24"/>
      <c r="AJ247" s="24"/>
      <c r="AK247" s="24"/>
    </row>
    <row r="248" spans="1:37" x14ac:dyDescent="0.3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/>
      <c r="W248" s="24" t="str">
        <f>IFERROR(IF(ISBLANK(V248),"",INDEX(Gen_Vessels!$A$3:$C$495,MATCH(InspectionSite!$V248,Gen_Vessels!$C$3:$C$495,0),1)),"")</f>
        <v/>
      </c>
      <c r="X248" s="24"/>
      <c r="Y248" s="24"/>
      <c r="Z248" s="24"/>
      <c r="AA248" s="24"/>
      <c r="AB248" s="24"/>
      <c r="AC248" s="24"/>
      <c r="AE248" s="24"/>
      <c r="AF248" s="47"/>
      <c r="AG248" s="24"/>
      <c r="AH248" s="24"/>
      <c r="AI248" s="24"/>
      <c r="AJ248" s="24"/>
      <c r="AK248" s="24"/>
    </row>
    <row r="249" spans="1:37" x14ac:dyDescent="0.3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/>
      <c r="W249" s="24" t="str">
        <f>IFERROR(IF(ISBLANK(V249),"",INDEX(Gen_Vessels!$A$3:$C$495,MATCH(InspectionSite!$V249,Gen_Vessels!$C$3:$C$495,0),1)),"")</f>
        <v/>
      </c>
      <c r="X249" s="24"/>
      <c r="Y249" s="24"/>
      <c r="Z249" s="24"/>
      <c r="AA249" s="24"/>
      <c r="AB249" s="24"/>
      <c r="AC249" s="24"/>
      <c r="AE249" s="24"/>
      <c r="AF249" s="47"/>
      <c r="AG249" s="24"/>
      <c r="AH249" s="24"/>
      <c r="AI249" s="24"/>
      <c r="AJ249" s="24"/>
      <c r="AK249" s="24"/>
    </row>
    <row r="250" spans="1:37" x14ac:dyDescent="0.3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/>
      <c r="W250" s="24" t="str">
        <f>IFERROR(IF(ISBLANK(V250),"",INDEX(Gen_Vessels!$A$3:$C$495,MATCH(InspectionSite!$V250,Gen_Vessels!$C$3:$C$495,0),1)),"")</f>
        <v/>
      </c>
      <c r="X250" s="24"/>
      <c r="Y250" s="24"/>
      <c r="Z250" s="24"/>
      <c r="AA250" s="24"/>
      <c r="AB250" s="24"/>
      <c r="AC250" s="24"/>
      <c r="AE250" s="24"/>
      <c r="AF250" s="47"/>
      <c r="AG250" s="24"/>
      <c r="AH250" s="24"/>
      <c r="AI250" s="24"/>
      <c r="AJ250" s="24"/>
      <c r="AK250" s="24"/>
    </row>
    <row r="251" spans="1:37" x14ac:dyDescent="0.3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/>
      <c r="W251" s="24" t="str">
        <f>IFERROR(IF(ISBLANK(V251),"",INDEX(Gen_Vessels!$A$3:$C$495,MATCH(InspectionSite!$V251,Gen_Vessels!$C$3:$C$495,0),1)),"")</f>
        <v/>
      </c>
      <c r="X251" s="24"/>
      <c r="Y251" s="24"/>
      <c r="Z251" s="24"/>
      <c r="AA251" s="24"/>
      <c r="AB251" s="24"/>
      <c r="AC251" s="24"/>
      <c r="AE251" s="24"/>
      <c r="AF251" s="47"/>
      <c r="AG251" s="24"/>
      <c r="AH251" s="24"/>
      <c r="AI251" s="24"/>
      <c r="AJ251" s="24"/>
      <c r="AK251" s="24"/>
    </row>
    <row r="252" spans="1:37" x14ac:dyDescent="0.3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/>
      <c r="W252" s="24" t="str">
        <f>IFERROR(IF(ISBLANK(V252),"",INDEX(Gen_Vessels!$A$3:$C$495,MATCH(InspectionSite!$V252,Gen_Vessels!$C$3:$C$495,0),1)),"")</f>
        <v/>
      </c>
      <c r="X252" s="24"/>
      <c r="Y252" s="24"/>
      <c r="Z252" s="24"/>
      <c r="AA252" s="24"/>
      <c r="AB252" s="24"/>
      <c r="AC252" s="24"/>
      <c r="AE252" s="24"/>
      <c r="AF252" s="47"/>
      <c r="AG252" s="24"/>
      <c r="AH252" s="24"/>
      <c r="AI252" s="24"/>
      <c r="AJ252" s="24"/>
      <c r="AK252" s="24"/>
    </row>
    <row r="253" spans="1:37" x14ac:dyDescent="0.3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/>
      <c r="W253" s="24" t="str">
        <f>IFERROR(IF(ISBLANK(V253),"",INDEX(Gen_Vessels!$A$3:$C$495,MATCH(InspectionSite!$V253,Gen_Vessels!$C$3:$C$495,0),1)),"")</f>
        <v/>
      </c>
      <c r="X253" s="24"/>
      <c r="Y253" s="24"/>
      <c r="Z253" s="24"/>
      <c r="AA253" s="24"/>
      <c r="AB253" s="24"/>
      <c r="AC253" s="24"/>
      <c r="AE253" s="24"/>
      <c r="AF253" s="47"/>
      <c r="AG253" s="24"/>
      <c r="AH253" s="24"/>
      <c r="AI253" s="24"/>
      <c r="AJ253" s="24"/>
      <c r="AK253" s="24"/>
    </row>
    <row r="254" spans="1:37" x14ac:dyDescent="0.3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/>
      <c r="W254" s="24" t="str">
        <f>IFERROR(IF(ISBLANK(V254),"",INDEX(Gen_Vessels!$A$3:$C$495,MATCH(InspectionSite!$V254,Gen_Vessels!$C$3:$C$495,0),1)),"")</f>
        <v/>
      </c>
      <c r="X254" s="24"/>
      <c r="Y254" s="24"/>
      <c r="Z254" s="24"/>
      <c r="AA254" s="24"/>
      <c r="AB254" s="24"/>
      <c r="AC254" s="24"/>
      <c r="AE254" s="24"/>
      <c r="AF254" s="47"/>
      <c r="AG254" s="24"/>
      <c r="AH254" s="24"/>
      <c r="AI254" s="24"/>
      <c r="AJ254" s="24"/>
      <c r="AK254" s="24"/>
    </row>
    <row r="255" spans="1:37" x14ac:dyDescent="0.3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/>
      <c r="W255" s="24" t="str">
        <f>IFERROR(IF(ISBLANK(V255),"",INDEX(Gen_Vessels!$A$3:$C$495,MATCH(InspectionSite!$V255,Gen_Vessels!$C$3:$C$495,0),1)),"")</f>
        <v/>
      </c>
      <c r="X255" s="24"/>
      <c r="Y255" s="24"/>
      <c r="Z255" s="24"/>
      <c r="AA255" s="24"/>
      <c r="AB255" s="24"/>
      <c r="AC255" s="24"/>
      <c r="AE255" s="24"/>
      <c r="AF255" s="47"/>
      <c r="AG255" s="24"/>
      <c r="AH255" s="24"/>
      <c r="AI255" s="24"/>
      <c r="AJ255" s="24"/>
      <c r="AK255" s="24"/>
    </row>
    <row r="256" spans="1:37" x14ac:dyDescent="0.3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/>
      <c r="W256" s="24" t="str">
        <f>IFERROR(IF(ISBLANK(V256),"",INDEX(Gen_Vessels!$A$3:$C$495,MATCH(InspectionSite!$V256,Gen_Vessels!$C$3:$C$495,0),1)),"")</f>
        <v/>
      </c>
      <c r="X256" s="24"/>
      <c r="Y256" s="24"/>
      <c r="Z256" s="24"/>
      <c r="AA256" s="24"/>
      <c r="AB256" s="24"/>
      <c r="AC256" s="24"/>
      <c r="AE256" s="24"/>
      <c r="AF256" s="47"/>
      <c r="AG256" s="24"/>
      <c r="AH256" s="24"/>
      <c r="AI256" s="24"/>
      <c r="AJ256" s="24"/>
      <c r="AK256" s="24"/>
    </row>
    <row r="257" spans="1:37" x14ac:dyDescent="0.3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/>
      <c r="W257" s="24" t="str">
        <f>IFERROR(IF(ISBLANK(V257),"",INDEX(Gen_Vessels!$A$3:$C$495,MATCH(InspectionSite!$V257,Gen_Vessels!$C$3:$C$495,0),1)),"")</f>
        <v/>
      </c>
      <c r="X257" s="24"/>
      <c r="Y257" s="24"/>
      <c r="Z257" s="24"/>
      <c r="AA257" s="24"/>
      <c r="AB257" s="24"/>
      <c r="AC257" s="24"/>
      <c r="AE257" s="24"/>
      <c r="AF257" s="47"/>
      <c r="AG257" s="24"/>
      <c r="AH257" s="24"/>
      <c r="AI257" s="24"/>
      <c r="AJ257" s="24"/>
      <c r="AK257" s="24"/>
    </row>
    <row r="258" spans="1:37" x14ac:dyDescent="0.3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/>
      <c r="W258" s="24" t="str">
        <f>IFERROR(IF(ISBLANK(V258),"",INDEX(Gen_Vessels!$A$3:$C$495,MATCH(InspectionSite!$V258,Gen_Vessels!$C$3:$C$495,0),1)),"")</f>
        <v/>
      </c>
      <c r="X258" s="24"/>
      <c r="Y258" s="24"/>
      <c r="Z258" s="24"/>
      <c r="AA258" s="24"/>
      <c r="AB258" s="24"/>
      <c r="AC258" s="24"/>
      <c r="AE258" s="24"/>
      <c r="AF258" s="47"/>
      <c r="AG258" s="24"/>
      <c r="AH258" s="24"/>
      <c r="AI258" s="24"/>
      <c r="AJ258" s="24"/>
      <c r="AK258" s="24"/>
    </row>
    <row r="259" spans="1:37" x14ac:dyDescent="0.3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/>
      <c r="W259" s="24" t="str">
        <f>IFERROR(IF(ISBLANK(V259),"",INDEX(Gen_Vessels!$A$3:$C$495,MATCH(InspectionSite!$V259,Gen_Vessels!$C$3:$C$495,0),1)),"")</f>
        <v/>
      </c>
      <c r="X259" s="24"/>
      <c r="Y259" s="24"/>
      <c r="Z259" s="24"/>
      <c r="AA259" s="24"/>
      <c r="AB259" s="24"/>
      <c r="AC259" s="24"/>
      <c r="AE259" s="24"/>
      <c r="AF259" s="47"/>
      <c r="AG259" s="24"/>
      <c r="AH259" s="24"/>
      <c r="AI259" s="24"/>
      <c r="AJ259" s="24"/>
      <c r="AK259" s="24"/>
    </row>
    <row r="260" spans="1:37" x14ac:dyDescent="0.3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/>
      <c r="W260" s="24" t="str">
        <f>IFERROR(IF(ISBLANK(V260),"",INDEX(Gen_Vessels!$A$3:$C$495,MATCH(InspectionSite!$V260,Gen_Vessels!$C$3:$C$495,0),1)),"")</f>
        <v/>
      </c>
      <c r="X260" s="24"/>
      <c r="Y260" s="24"/>
      <c r="Z260" s="24"/>
      <c r="AA260" s="24"/>
      <c r="AB260" s="24"/>
      <c r="AC260" s="24"/>
      <c r="AE260" s="24"/>
      <c r="AF260" s="47"/>
      <c r="AG260" s="24"/>
      <c r="AH260" s="24"/>
      <c r="AI260" s="24"/>
      <c r="AJ260" s="24"/>
      <c r="AK260" s="24"/>
    </row>
    <row r="261" spans="1:37" x14ac:dyDescent="0.3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/>
      <c r="W261" s="24" t="str">
        <f>IFERROR(IF(ISBLANK(V261),"",INDEX(Gen_Vessels!$A$3:$C$495,MATCH(InspectionSite!$V261,Gen_Vessels!$C$3:$C$495,0),1)),"")</f>
        <v/>
      </c>
      <c r="X261" s="24"/>
      <c r="Y261" s="24"/>
      <c r="Z261" s="24"/>
      <c r="AA261" s="24"/>
      <c r="AB261" s="24"/>
      <c r="AC261" s="24"/>
      <c r="AE261" s="24"/>
      <c r="AF261" s="47"/>
      <c r="AG261" s="24"/>
      <c r="AH261" s="24"/>
      <c r="AI261" s="24"/>
      <c r="AJ261" s="24"/>
      <c r="AK261" s="24"/>
    </row>
    <row r="262" spans="1:37" x14ac:dyDescent="0.3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/>
      <c r="W262" s="24" t="str">
        <f>IFERROR(IF(ISBLANK(V262),"",INDEX(Gen_Vessels!$A$3:$C$495,MATCH(InspectionSite!$V262,Gen_Vessels!$C$3:$C$495,0),1)),"")</f>
        <v/>
      </c>
      <c r="X262" s="24"/>
      <c r="Y262" s="24"/>
      <c r="Z262" s="24"/>
      <c r="AA262" s="24"/>
      <c r="AB262" s="24"/>
      <c r="AC262" s="24"/>
      <c r="AE262" s="24"/>
      <c r="AF262" s="47"/>
      <c r="AG262" s="24"/>
      <c r="AH262" s="24"/>
      <c r="AI262" s="24"/>
      <c r="AJ262" s="24"/>
      <c r="AK262" s="24"/>
    </row>
    <row r="263" spans="1:37" x14ac:dyDescent="0.3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/>
      <c r="W263" s="24" t="str">
        <f>IFERROR(IF(ISBLANK(V263),"",INDEX(Gen_Vessels!$A$3:$C$495,MATCH(InspectionSite!$V263,Gen_Vessels!$C$3:$C$495,0),1)),"")</f>
        <v/>
      </c>
      <c r="X263" s="24"/>
      <c r="Y263" s="24"/>
      <c r="Z263" s="24"/>
      <c r="AA263" s="24"/>
      <c r="AB263" s="24"/>
      <c r="AC263" s="24"/>
      <c r="AE263" s="24"/>
      <c r="AF263" s="47"/>
      <c r="AG263" s="24"/>
      <c r="AH263" s="24"/>
      <c r="AI263" s="24"/>
      <c r="AJ263" s="24"/>
      <c r="AK263" s="24"/>
    </row>
    <row r="264" spans="1:37" x14ac:dyDescent="0.3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/>
      <c r="W264" s="24" t="str">
        <f>IFERROR(IF(ISBLANK(V264),"",INDEX(Gen_Vessels!$A$3:$C$495,MATCH(InspectionSite!$V264,Gen_Vessels!$C$3:$C$495,0),1)),"")</f>
        <v/>
      </c>
      <c r="X264" s="24"/>
      <c r="Y264" s="24"/>
      <c r="Z264" s="24"/>
      <c r="AA264" s="24"/>
      <c r="AB264" s="24"/>
      <c r="AC264" s="24"/>
      <c r="AE264" s="24"/>
      <c r="AF264" s="47"/>
      <c r="AG264" s="24"/>
      <c r="AH264" s="24"/>
      <c r="AI264" s="24"/>
      <c r="AJ264" s="24"/>
      <c r="AK264" s="24"/>
    </row>
    <row r="265" spans="1:37" x14ac:dyDescent="0.3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/>
      <c r="W265" s="24" t="str">
        <f>IFERROR(IF(ISBLANK(V265),"",INDEX(Gen_Vessels!$A$3:$C$495,MATCH(InspectionSite!$V265,Gen_Vessels!$C$3:$C$495,0),1)),"")</f>
        <v/>
      </c>
      <c r="X265" s="24"/>
      <c r="Y265" s="24"/>
      <c r="Z265" s="24"/>
      <c r="AA265" s="24"/>
      <c r="AB265" s="24"/>
      <c r="AC265" s="24"/>
      <c r="AE265" s="24"/>
      <c r="AF265" s="47"/>
      <c r="AG265" s="24"/>
      <c r="AH265" s="24"/>
      <c r="AI265" s="24"/>
      <c r="AJ265" s="24"/>
      <c r="AK265" s="24"/>
    </row>
    <row r="266" spans="1:37" x14ac:dyDescent="0.3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/>
      <c r="W266" s="24" t="str">
        <f>IFERROR(IF(ISBLANK(V266),"",INDEX(Gen_Vessels!$A$3:$C$495,MATCH(InspectionSite!$V266,Gen_Vessels!$C$3:$C$495,0),1)),"")</f>
        <v/>
      </c>
      <c r="X266" s="24"/>
      <c r="Y266" s="24"/>
      <c r="Z266" s="24"/>
      <c r="AA266" s="24"/>
      <c r="AB266" s="24"/>
      <c r="AC266" s="24"/>
      <c r="AE266" s="24"/>
      <c r="AF266" s="47"/>
      <c r="AG266" s="24"/>
      <c r="AH266" s="24"/>
      <c r="AI266" s="24"/>
      <c r="AJ266" s="24"/>
      <c r="AK266" s="24"/>
    </row>
    <row r="267" spans="1:37" x14ac:dyDescent="0.3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/>
      <c r="W267" s="24" t="str">
        <f>IFERROR(IF(ISBLANK(V267),"",INDEX(Gen_Vessels!$A$3:$C$495,MATCH(InspectionSite!$V267,Gen_Vessels!$C$3:$C$495,0),1)),"")</f>
        <v/>
      </c>
      <c r="X267" s="24"/>
      <c r="Y267" s="24"/>
      <c r="Z267" s="24"/>
      <c r="AA267" s="24"/>
      <c r="AB267" s="24"/>
      <c r="AC267" s="24"/>
      <c r="AE267" s="24"/>
      <c r="AF267" s="47"/>
      <c r="AG267" s="24"/>
      <c r="AH267" s="24"/>
      <c r="AI267" s="24"/>
      <c r="AJ267" s="24"/>
      <c r="AK267" s="24"/>
    </row>
    <row r="268" spans="1:37" x14ac:dyDescent="0.3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/>
      <c r="W268" s="24" t="str">
        <f>IFERROR(IF(ISBLANK(V268),"",INDEX(Gen_Vessels!$A$3:$C$495,MATCH(InspectionSite!$V268,Gen_Vessels!$C$3:$C$495,0),1)),"")</f>
        <v/>
      </c>
      <c r="X268" s="24"/>
      <c r="Y268" s="24"/>
      <c r="Z268" s="24"/>
      <c r="AA268" s="24"/>
      <c r="AB268" s="24"/>
      <c r="AC268" s="24"/>
      <c r="AE268" s="24"/>
      <c r="AF268" s="47"/>
      <c r="AG268" s="24"/>
      <c r="AH268" s="24"/>
      <c r="AI268" s="24"/>
      <c r="AJ268" s="24"/>
      <c r="AK268" s="24"/>
    </row>
    <row r="269" spans="1:37" x14ac:dyDescent="0.3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/>
      <c r="W269" s="24" t="str">
        <f>IFERROR(IF(ISBLANK(V269),"",INDEX(Gen_Vessels!$A$3:$C$495,MATCH(InspectionSite!$V269,Gen_Vessels!$C$3:$C$495,0),1)),"")</f>
        <v/>
      </c>
      <c r="X269" s="24"/>
      <c r="Y269" s="24"/>
      <c r="Z269" s="24"/>
      <c r="AA269" s="24"/>
      <c r="AB269" s="24"/>
      <c r="AC269" s="24"/>
      <c r="AE269" s="24"/>
      <c r="AF269" s="47"/>
      <c r="AG269" s="24"/>
      <c r="AH269" s="24"/>
      <c r="AI269" s="24"/>
      <c r="AJ269" s="24"/>
      <c r="AK269" s="24"/>
    </row>
    <row r="270" spans="1:37" x14ac:dyDescent="0.3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/>
      <c r="W270" s="24" t="str">
        <f>IFERROR(IF(ISBLANK(V270),"",INDEX(Gen_Vessels!$A$3:$C$495,MATCH(InspectionSite!$V270,Gen_Vessels!$C$3:$C$495,0),1)),"")</f>
        <v/>
      </c>
      <c r="X270" s="24"/>
      <c r="Y270" s="24"/>
      <c r="Z270" s="24"/>
      <c r="AA270" s="24"/>
      <c r="AB270" s="24"/>
      <c r="AC270" s="24"/>
      <c r="AE270" s="24"/>
      <c r="AF270" s="47"/>
      <c r="AG270" s="24"/>
      <c r="AH270" s="24"/>
      <c r="AI270" s="24"/>
      <c r="AJ270" s="24"/>
      <c r="AK270" s="24"/>
    </row>
    <row r="271" spans="1:37" x14ac:dyDescent="0.3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/>
      <c r="W271" s="24" t="str">
        <f>IFERROR(IF(ISBLANK(V271),"",INDEX(Gen_Vessels!$A$3:$C$495,MATCH(InspectionSite!$V271,Gen_Vessels!$C$3:$C$495,0),1)),"")</f>
        <v/>
      </c>
      <c r="X271" s="24"/>
      <c r="Y271" s="24"/>
      <c r="Z271" s="24"/>
      <c r="AA271" s="24"/>
      <c r="AB271" s="24"/>
      <c r="AC271" s="24"/>
      <c r="AE271" s="24"/>
      <c r="AF271" s="47"/>
      <c r="AG271" s="24"/>
      <c r="AH271" s="24"/>
      <c r="AI271" s="24"/>
      <c r="AJ271" s="24"/>
      <c r="AK271" s="24"/>
    </row>
    <row r="272" spans="1:37" x14ac:dyDescent="0.3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/>
      <c r="W272" s="24" t="str">
        <f>IFERROR(IF(ISBLANK(V272),"",INDEX(Gen_Vessels!$A$3:$C$495,MATCH(InspectionSite!$V272,Gen_Vessels!$C$3:$C$495,0),1)),"")</f>
        <v/>
      </c>
      <c r="X272" s="24"/>
      <c r="Y272" s="24"/>
      <c r="Z272" s="24"/>
      <c r="AA272" s="24"/>
      <c r="AB272" s="24"/>
      <c r="AC272" s="24"/>
      <c r="AE272" s="24"/>
      <c r="AF272" s="47"/>
      <c r="AG272" s="24"/>
      <c r="AH272" s="24"/>
      <c r="AI272" s="24"/>
      <c r="AJ272" s="24"/>
      <c r="AK272" s="24"/>
    </row>
    <row r="273" spans="1:37" x14ac:dyDescent="0.3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/>
      <c r="W273" s="24" t="str">
        <f>IFERROR(IF(ISBLANK(V273),"",INDEX(Gen_Vessels!$A$3:$C$495,MATCH(InspectionSite!$V273,Gen_Vessels!$C$3:$C$495,0),1)),"")</f>
        <v/>
      </c>
      <c r="X273" s="24"/>
      <c r="Y273" s="24"/>
      <c r="Z273" s="24"/>
      <c r="AA273" s="24"/>
      <c r="AB273" s="24"/>
      <c r="AC273" s="24"/>
      <c r="AE273" s="24"/>
      <c r="AF273" s="47"/>
      <c r="AG273" s="24"/>
      <c r="AH273" s="24"/>
      <c r="AI273" s="24"/>
      <c r="AJ273" s="24"/>
      <c r="AK273" s="24"/>
    </row>
    <row r="274" spans="1:37" x14ac:dyDescent="0.3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/>
      <c r="W274" s="24" t="str">
        <f>IFERROR(IF(ISBLANK(V274),"",INDEX(Gen_Vessels!$A$3:$C$495,MATCH(InspectionSite!$V274,Gen_Vessels!$C$3:$C$495,0),1)),"")</f>
        <v/>
      </c>
      <c r="X274" s="24"/>
      <c r="Y274" s="24"/>
      <c r="Z274" s="24"/>
      <c r="AA274" s="24"/>
      <c r="AB274" s="24"/>
      <c r="AC274" s="24"/>
      <c r="AE274" s="24"/>
      <c r="AF274" s="47"/>
      <c r="AG274" s="24"/>
      <c r="AH274" s="24"/>
      <c r="AI274" s="24"/>
      <c r="AJ274" s="24"/>
      <c r="AK274" s="24"/>
    </row>
    <row r="275" spans="1:37" x14ac:dyDescent="0.3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/>
      <c r="W275" s="24" t="str">
        <f>IFERROR(IF(ISBLANK(V275),"",INDEX(Gen_Vessels!$A$3:$C$495,MATCH(InspectionSite!$V275,Gen_Vessels!$C$3:$C$495,0),1)),"")</f>
        <v/>
      </c>
      <c r="X275" s="24"/>
      <c r="Y275" s="24"/>
      <c r="Z275" s="24"/>
      <c r="AA275" s="24"/>
      <c r="AB275" s="24"/>
      <c r="AC275" s="24"/>
      <c r="AE275" s="24"/>
      <c r="AF275" s="47"/>
      <c r="AG275" s="24"/>
      <c r="AH275" s="24"/>
      <c r="AI275" s="24"/>
      <c r="AJ275" s="24"/>
      <c r="AK275" s="24"/>
    </row>
    <row r="276" spans="1:37" x14ac:dyDescent="0.3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/>
      <c r="W276" s="24" t="str">
        <f>IFERROR(IF(ISBLANK(V276),"",INDEX(Gen_Vessels!$A$3:$C$495,MATCH(InspectionSite!$V276,Gen_Vessels!$C$3:$C$495,0),1)),"")</f>
        <v/>
      </c>
      <c r="X276" s="24"/>
      <c r="Y276" s="24"/>
      <c r="Z276" s="24"/>
      <c r="AA276" s="24"/>
      <c r="AB276" s="24"/>
      <c r="AC276" s="24"/>
      <c r="AE276" s="24"/>
      <c r="AF276" s="47"/>
      <c r="AG276" s="24"/>
      <c r="AH276" s="24"/>
      <c r="AI276" s="24"/>
      <c r="AJ276" s="24"/>
      <c r="AK276" s="24"/>
    </row>
    <row r="277" spans="1:37" x14ac:dyDescent="0.3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/>
      <c r="W277" s="24" t="str">
        <f>IFERROR(IF(ISBLANK(V277),"",INDEX(Gen_Vessels!$A$3:$C$495,MATCH(InspectionSite!$V277,Gen_Vessels!$C$3:$C$495,0),1)),"")</f>
        <v/>
      </c>
      <c r="X277" s="24"/>
      <c r="Y277" s="24"/>
      <c r="Z277" s="24"/>
      <c r="AA277" s="24"/>
      <c r="AB277" s="24"/>
      <c r="AC277" s="24"/>
      <c r="AE277" s="24"/>
      <c r="AF277" s="47"/>
      <c r="AG277" s="24"/>
      <c r="AH277" s="24"/>
      <c r="AI277" s="24"/>
      <c r="AJ277" s="24"/>
      <c r="AK277" s="24"/>
    </row>
    <row r="278" spans="1:37" x14ac:dyDescent="0.3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/>
      <c r="W278" s="24" t="str">
        <f>IFERROR(IF(ISBLANK(V278),"",INDEX(Gen_Vessels!$A$3:$C$495,MATCH(InspectionSite!$V278,Gen_Vessels!$C$3:$C$495,0),1)),"")</f>
        <v/>
      </c>
      <c r="X278" s="24"/>
      <c r="Y278" s="24"/>
      <c r="Z278" s="24"/>
      <c r="AA278" s="24"/>
      <c r="AB278" s="24"/>
      <c r="AC278" s="24"/>
      <c r="AE278" s="24"/>
      <c r="AF278" s="47"/>
      <c r="AG278" s="24"/>
      <c r="AH278" s="24"/>
      <c r="AI278" s="24"/>
      <c r="AJ278" s="24"/>
      <c r="AK278" s="24"/>
    </row>
    <row r="279" spans="1:37" x14ac:dyDescent="0.3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/>
      <c r="W279" s="24" t="str">
        <f>IFERROR(IF(ISBLANK(V279),"",INDEX(Gen_Vessels!$A$3:$C$495,MATCH(InspectionSite!$V279,Gen_Vessels!$C$3:$C$495,0),1)),"")</f>
        <v/>
      </c>
      <c r="X279" s="24"/>
      <c r="Y279" s="24"/>
      <c r="Z279" s="24"/>
      <c r="AA279" s="24"/>
      <c r="AB279" s="24"/>
      <c r="AC279" s="24"/>
      <c r="AE279" s="24"/>
      <c r="AF279" s="47"/>
      <c r="AG279" s="24"/>
      <c r="AH279" s="24"/>
      <c r="AI279" s="24"/>
      <c r="AJ279" s="24"/>
      <c r="AK279" s="24"/>
    </row>
    <row r="280" spans="1:37" x14ac:dyDescent="0.3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/>
      <c r="W280" s="24" t="str">
        <f>IFERROR(IF(ISBLANK(V280),"",INDEX(Gen_Vessels!$A$3:$C$495,MATCH(InspectionSite!$V280,Gen_Vessels!$C$3:$C$495,0),1)),"")</f>
        <v/>
      </c>
      <c r="X280" s="24"/>
      <c r="Y280" s="24"/>
      <c r="Z280" s="24"/>
      <c r="AA280" s="24"/>
      <c r="AB280" s="24"/>
      <c r="AC280" s="24"/>
      <c r="AE280" s="24"/>
      <c r="AF280" s="47"/>
      <c r="AG280" s="24"/>
      <c r="AH280" s="24"/>
      <c r="AI280" s="24"/>
      <c r="AJ280" s="24"/>
      <c r="AK280" s="24"/>
    </row>
    <row r="281" spans="1:37" x14ac:dyDescent="0.3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/>
      <c r="W281" s="24" t="str">
        <f>IFERROR(IF(ISBLANK(V281),"",INDEX(Gen_Vessels!$A$3:$C$495,MATCH(InspectionSite!$V281,Gen_Vessels!$C$3:$C$495,0),1)),"")</f>
        <v/>
      </c>
      <c r="X281" s="24"/>
      <c r="Y281" s="24"/>
      <c r="Z281" s="24"/>
      <c r="AA281" s="24"/>
      <c r="AB281" s="24"/>
      <c r="AC281" s="24"/>
      <c r="AE281" s="24"/>
      <c r="AF281" s="47"/>
      <c r="AG281" s="24"/>
      <c r="AH281" s="24"/>
      <c r="AI281" s="24"/>
      <c r="AJ281" s="24"/>
      <c r="AK281" s="24"/>
    </row>
    <row r="282" spans="1:37" x14ac:dyDescent="0.3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/>
      <c r="W282" s="24" t="str">
        <f>IFERROR(IF(ISBLANK(V282),"",INDEX(Gen_Vessels!$A$3:$C$495,MATCH(InspectionSite!$V282,Gen_Vessels!$C$3:$C$495,0),1)),"")</f>
        <v/>
      </c>
      <c r="X282" s="24"/>
      <c r="Y282" s="24"/>
      <c r="Z282" s="24"/>
      <c r="AA282" s="24"/>
      <c r="AB282" s="24"/>
      <c r="AC282" s="24"/>
      <c r="AE282" s="24"/>
      <c r="AF282" s="47"/>
      <c r="AG282" s="24"/>
      <c r="AH282" s="24"/>
      <c r="AI282" s="24"/>
      <c r="AJ282" s="24"/>
      <c r="AK282" s="24"/>
    </row>
    <row r="283" spans="1:37" x14ac:dyDescent="0.3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/>
      <c r="W283" s="24" t="str">
        <f>IFERROR(IF(ISBLANK(V283),"",INDEX(Gen_Vessels!$A$3:$C$495,MATCH(InspectionSite!$V283,Gen_Vessels!$C$3:$C$495,0),1)),"")</f>
        <v/>
      </c>
      <c r="X283" s="24"/>
      <c r="Y283" s="24"/>
      <c r="Z283" s="24"/>
      <c r="AA283" s="24"/>
      <c r="AB283" s="24"/>
      <c r="AC283" s="24"/>
      <c r="AE283" s="24"/>
      <c r="AF283" s="47"/>
      <c r="AG283" s="24"/>
      <c r="AH283" s="24"/>
      <c r="AI283" s="24"/>
      <c r="AJ283" s="24"/>
      <c r="AK283" s="24"/>
    </row>
    <row r="284" spans="1:37" x14ac:dyDescent="0.3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/>
      <c r="W284" s="24" t="str">
        <f>IFERROR(IF(ISBLANK(V284),"",INDEX(Gen_Vessels!$A$3:$C$495,MATCH(InspectionSite!$V284,Gen_Vessels!$C$3:$C$495,0),1)),"")</f>
        <v/>
      </c>
      <c r="X284" s="24"/>
      <c r="Y284" s="24"/>
      <c r="Z284" s="24"/>
      <c r="AA284" s="24"/>
      <c r="AB284" s="24"/>
      <c r="AC284" s="24"/>
      <c r="AE284" s="24"/>
      <c r="AF284" s="47"/>
      <c r="AG284" s="24"/>
      <c r="AH284" s="24"/>
      <c r="AI284" s="24"/>
      <c r="AJ284" s="24"/>
      <c r="AK284" s="24"/>
    </row>
    <row r="285" spans="1:37" x14ac:dyDescent="0.3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/>
      <c r="W285" s="24" t="str">
        <f>IFERROR(IF(ISBLANK(V285),"",INDEX(Gen_Vessels!$A$3:$C$495,MATCH(InspectionSite!$V285,Gen_Vessels!$C$3:$C$495,0),1)),"")</f>
        <v/>
      </c>
      <c r="X285" s="24"/>
      <c r="Y285" s="24"/>
      <c r="Z285" s="24"/>
      <c r="AA285" s="24"/>
      <c r="AB285" s="24"/>
      <c r="AC285" s="24"/>
      <c r="AE285" s="24"/>
      <c r="AF285" s="47"/>
      <c r="AG285" s="24"/>
      <c r="AH285" s="24"/>
      <c r="AI285" s="24"/>
      <c r="AJ285" s="24"/>
      <c r="AK285" s="24"/>
    </row>
    <row r="286" spans="1:37" x14ac:dyDescent="0.3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/>
      <c r="W286" s="24" t="str">
        <f>IFERROR(IF(ISBLANK(V286),"",INDEX(Gen_Vessels!$A$3:$C$495,MATCH(InspectionSite!$V286,Gen_Vessels!$C$3:$C$495,0),1)),"")</f>
        <v/>
      </c>
      <c r="X286" s="24"/>
      <c r="Y286" s="24"/>
      <c r="Z286" s="24"/>
      <c r="AA286" s="24"/>
      <c r="AB286" s="24"/>
      <c r="AC286" s="24"/>
      <c r="AE286" s="24"/>
      <c r="AF286" s="47"/>
      <c r="AG286" s="24"/>
      <c r="AH286" s="24"/>
      <c r="AI286" s="24"/>
      <c r="AJ286" s="24"/>
      <c r="AK286" s="24"/>
    </row>
    <row r="287" spans="1:37" x14ac:dyDescent="0.3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/>
      <c r="W287" s="24" t="str">
        <f>IFERROR(IF(ISBLANK(V287),"",INDEX(Gen_Vessels!$A$3:$C$495,MATCH(InspectionSite!$V287,Gen_Vessels!$C$3:$C$495,0),1)),"")</f>
        <v/>
      </c>
      <c r="X287" s="24"/>
      <c r="Y287" s="24"/>
      <c r="Z287" s="24"/>
      <c r="AA287" s="24"/>
      <c r="AB287" s="24"/>
      <c r="AC287" s="24"/>
      <c r="AE287" s="24"/>
      <c r="AF287" s="47"/>
      <c r="AG287" s="24"/>
      <c r="AH287" s="24"/>
      <c r="AI287" s="24"/>
      <c r="AJ287" s="24"/>
      <c r="AK287" s="24"/>
    </row>
    <row r="288" spans="1:37" x14ac:dyDescent="0.3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/>
      <c r="W288" s="24" t="str">
        <f>IFERROR(IF(ISBLANK(V288),"",INDEX(Gen_Vessels!$A$3:$C$495,MATCH(InspectionSite!$V288,Gen_Vessels!$C$3:$C$495,0),1)),"")</f>
        <v/>
      </c>
      <c r="X288" s="24"/>
      <c r="Y288" s="24"/>
      <c r="Z288" s="24"/>
      <c r="AA288" s="24"/>
      <c r="AB288" s="24"/>
      <c r="AC288" s="24"/>
      <c r="AE288" s="24"/>
      <c r="AF288" s="47"/>
      <c r="AG288" s="24"/>
      <c r="AH288" s="24"/>
      <c r="AI288" s="24"/>
      <c r="AJ288" s="24"/>
      <c r="AK288" s="24"/>
    </row>
    <row r="289" spans="1:37" x14ac:dyDescent="0.3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/>
      <c r="W289" s="24" t="str">
        <f>IFERROR(IF(ISBLANK(V289),"",INDEX(Gen_Vessels!$A$3:$C$495,MATCH(InspectionSite!$V289,Gen_Vessels!$C$3:$C$495,0),1)),"")</f>
        <v/>
      </c>
      <c r="X289" s="24"/>
      <c r="Y289" s="24"/>
      <c r="Z289" s="24"/>
      <c r="AA289" s="24"/>
      <c r="AB289" s="24"/>
      <c r="AC289" s="24"/>
      <c r="AE289" s="24"/>
      <c r="AF289" s="47"/>
      <c r="AG289" s="24"/>
      <c r="AH289" s="24"/>
      <c r="AI289" s="24"/>
      <c r="AJ289" s="24"/>
      <c r="AK289" s="24"/>
    </row>
    <row r="290" spans="1:37" x14ac:dyDescent="0.3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/>
      <c r="W290" s="24" t="str">
        <f>IFERROR(IF(ISBLANK(V290),"",INDEX(Gen_Vessels!$A$3:$C$495,MATCH(InspectionSite!$V290,Gen_Vessels!$C$3:$C$495,0),1)),"")</f>
        <v/>
      </c>
      <c r="X290" s="24"/>
      <c r="Y290" s="24"/>
      <c r="Z290" s="24"/>
      <c r="AA290" s="24"/>
      <c r="AB290" s="24"/>
      <c r="AC290" s="24"/>
      <c r="AE290" s="24"/>
      <c r="AF290" s="47"/>
      <c r="AG290" s="24"/>
      <c r="AH290" s="24"/>
      <c r="AI290" s="24"/>
      <c r="AJ290" s="24"/>
      <c r="AK290" s="24"/>
    </row>
    <row r="291" spans="1:37" x14ac:dyDescent="0.3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/>
      <c r="W291" s="24" t="str">
        <f>IFERROR(IF(ISBLANK(V291),"",INDEX(Gen_Vessels!$A$3:$C$495,MATCH(InspectionSite!$V291,Gen_Vessels!$C$3:$C$495,0),1)),"")</f>
        <v/>
      </c>
      <c r="X291" s="24"/>
      <c r="Y291" s="24"/>
      <c r="Z291" s="24"/>
      <c r="AA291" s="24"/>
      <c r="AB291" s="24"/>
      <c r="AC291" s="24"/>
      <c r="AE291" s="24"/>
      <c r="AF291" s="47"/>
      <c r="AG291" s="24"/>
      <c r="AH291" s="24"/>
      <c r="AI291" s="24"/>
      <c r="AJ291" s="24"/>
      <c r="AK291" s="24"/>
    </row>
    <row r="292" spans="1:37" x14ac:dyDescent="0.3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/>
      <c r="W292" s="24" t="str">
        <f>IFERROR(IF(ISBLANK(V292),"",INDEX(Gen_Vessels!$A$3:$C$495,MATCH(InspectionSite!$V292,Gen_Vessels!$C$3:$C$495,0),1)),"")</f>
        <v/>
      </c>
      <c r="X292" s="24"/>
      <c r="Y292" s="24"/>
      <c r="Z292" s="24"/>
      <c r="AA292" s="24"/>
      <c r="AB292" s="24"/>
      <c r="AC292" s="24"/>
      <c r="AE292" s="24"/>
      <c r="AF292" s="47"/>
      <c r="AG292" s="24"/>
      <c r="AH292" s="24"/>
      <c r="AI292" s="24"/>
      <c r="AJ292" s="24"/>
      <c r="AK292" s="24"/>
    </row>
    <row r="293" spans="1:37" x14ac:dyDescent="0.3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/>
      <c r="W293" s="24" t="str">
        <f>IFERROR(IF(ISBLANK(V293),"",INDEX(Gen_Vessels!$A$3:$C$495,MATCH(InspectionSite!$V293,Gen_Vessels!$C$3:$C$495,0),1)),"")</f>
        <v/>
      </c>
      <c r="X293" s="24"/>
      <c r="Y293" s="24"/>
      <c r="Z293" s="24"/>
      <c r="AA293" s="24"/>
      <c r="AB293" s="24"/>
      <c r="AC293" s="24"/>
      <c r="AE293" s="24"/>
      <c r="AF293" s="47"/>
      <c r="AG293" s="24"/>
      <c r="AH293" s="24"/>
      <c r="AI293" s="24"/>
      <c r="AJ293" s="24"/>
      <c r="AK293" s="24"/>
    </row>
    <row r="294" spans="1:37" x14ac:dyDescent="0.3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/>
      <c r="W294" s="24" t="str">
        <f>IFERROR(IF(ISBLANK(V294),"",INDEX(Gen_Vessels!$A$3:$C$495,MATCH(InspectionSite!$V294,Gen_Vessels!$C$3:$C$495,0),1)),"")</f>
        <v/>
      </c>
      <c r="X294" s="24"/>
      <c r="Y294" s="24"/>
      <c r="Z294" s="24"/>
      <c r="AA294" s="24"/>
      <c r="AB294" s="24"/>
      <c r="AC294" s="24"/>
      <c r="AE294" s="24"/>
      <c r="AF294" s="47"/>
      <c r="AG294" s="24"/>
      <c r="AH294" s="24"/>
      <c r="AI294" s="24"/>
      <c r="AJ294" s="24"/>
      <c r="AK294" s="24"/>
    </row>
    <row r="295" spans="1:37" x14ac:dyDescent="0.3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/>
      <c r="W295" s="24" t="str">
        <f>IFERROR(IF(ISBLANK(V295),"",INDEX(Gen_Vessels!$A$3:$C$495,MATCH(InspectionSite!$V295,Gen_Vessels!$C$3:$C$495,0),1)),"")</f>
        <v/>
      </c>
      <c r="X295" s="24"/>
      <c r="Y295" s="24"/>
      <c r="Z295" s="24"/>
      <c r="AA295" s="24"/>
      <c r="AB295" s="24"/>
      <c r="AC295" s="24"/>
      <c r="AE295" s="24"/>
      <c r="AF295" s="47"/>
      <c r="AG295" s="24"/>
      <c r="AH295" s="24"/>
      <c r="AI295" s="24"/>
      <c r="AJ295" s="24"/>
      <c r="AK295" s="24"/>
    </row>
    <row r="296" spans="1:37" x14ac:dyDescent="0.3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/>
      <c r="W296" s="24" t="str">
        <f>IFERROR(IF(ISBLANK(V296),"",INDEX(Gen_Vessels!$A$3:$C$495,MATCH(InspectionSite!$V296,Gen_Vessels!$C$3:$C$495,0),1)),"")</f>
        <v/>
      </c>
      <c r="X296" s="24"/>
      <c r="Y296" s="24"/>
      <c r="Z296" s="24"/>
      <c r="AA296" s="24"/>
      <c r="AB296" s="24"/>
      <c r="AC296" s="24"/>
      <c r="AE296" s="24"/>
      <c r="AF296" s="47"/>
      <c r="AG296" s="24"/>
      <c r="AH296" s="24"/>
      <c r="AI296" s="24"/>
      <c r="AJ296" s="24"/>
      <c r="AK296" s="24"/>
    </row>
    <row r="297" spans="1:37" x14ac:dyDescent="0.3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/>
      <c r="W297" s="24" t="str">
        <f>IFERROR(IF(ISBLANK(V297),"",INDEX(Gen_Vessels!$A$3:$C$495,MATCH(InspectionSite!$V297,Gen_Vessels!$C$3:$C$495,0),1)),"")</f>
        <v/>
      </c>
      <c r="X297" s="24"/>
      <c r="Y297" s="24"/>
      <c r="Z297" s="24"/>
      <c r="AA297" s="24"/>
      <c r="AB297" s="24"/>
      <c r="AC297" s="24"/>
      <c r="AE297" s="24"/>
      <c r="AF297" s="47"/>
      <c r="AG297" s="24"/>
      <c r="AH297" s="24"/>
      <c r="AI297" s="24"/>
      <c r="AJ297" s="24"/>
      <c r="AK297" s="24"/>
    </row>
    <row r="298" spans="1:37" x14ac:dyDescent="0.3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/>
      <c r="W298" s="24" t="str">
        <f>IFERROR(IF(ISBLANK(V298),"",INDEX(Gen_Vessels!$A$3:$C$495,MATCH(InspectionSite!$V298,Gen_Vessels!$C$3:$C$495,0),1)),"")</f>
        <v/>
      </c>
      <c r="X298" s="24"/>
      <c r="Y298" s="24"/>
      <c r="Z298" s="24"/>
      <c r="AA298" s="24"/>
      <c r="AB298" s="24"/>
      <c r="AC298" s="24"/>
      <c r="AE298" s="24"/>
      <c r="AF298" s="47"/>
      <c r="AG298" s="24"/>
      <c r="AH298" s="24"/>
      <c r="AI298" s="24"/>
      <c r="AJ298" s="24"/>
      <c r="AK298" s="24"/>
    </row>
    <row r="299" spans="1:37" x14ac:dyDescent="0.3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/>
      <c r="W299" s="24" t="str">
        <f>IFERROR(IF(ISBLANK(V299),"",INDEX(Gen_Vessels!$A$3:$C$495,MATCH(InspectionSite!$V299,Gen_Vessels!$C$3:$C$495,0),1)),"")</f>
        <v/>
      </c>
      <c r="X299" s="24"/>
      <c r="Y299" s="24"/>
      <c r="Z299" s="24"/>
      <c r="AA299" s="24"/>
      <c r="AB299" s="24"/>
      <c r="AC299" s="24"/>
      <c r="AE299" s="24"/>
      <c r="AF299" s="47"/>
      <c r="AG299" s="24"/>
      <c r="AH299" s="24"/>
      <c r="AI299" s="24"/>
      <c r="AJ299" s="24"/>
      <c r="AK299" s="24"/>
    </row>
    <row r="300" spans="1:37" x14ac:dyDescent="0.3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/>
      <c r="W300" s="24" t="str">
        <f>IFERROR(IF(ISBLANK(V300),"",INDEX(Gen_Vessels!$A$3:$C$495,MATCH(InspectionSite!$V300,Gen_Vessels!$C$3:$C$495,0),1)),"")</f>
        <v/>
      </c>
      <c r="X300" s="24"/>
      <c r="Y300" s="24"/>
      <c r="Z300" s="24"/>
      <c r="AA300" s="24"/>
      <c r="AB300" s="24"/>
      <c r="AC300" s="24"/>
      <c r="AE300" s="24"/>
      <c r="AF300" s="47"/>
      <c r="AG300" s="24"/>
      <c r="AH300" s="24"/>
      <c r="AI300" s="24"/>
      <c r="AJ300" s="24"/>
      <c r="AK300" s="24"/>
    </row>
    <row r="301" spans="1:37" x14ac:dyDescent="0.3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/>
      <c r="W301" s="24" t="str">
        <f>IFERROR(IF(ISBLANK(V301),"",INDEX(Gen_Vessels!$A$3:$C$495,MATCH(InspectionSite!$V301,Gen_Vessels!$C$3:$C$495,0),1)),"")</f>
        <v/>
      </c>
      <c r="X301" s="24"/>
      <c r="Y301" s="24"/>
      <c r="Z301" s="24"/>
      <c r="AA301" s="24"/>
      <c r="AB301" s="24"/>
      <c r="AC301" s="24"/>
      <c r="AE301" s="24"/>
      <c r="AF301" s="47"/>
      <c r="AG301" s="24"/>
      <c r="AH301" s="24"/>
      <c r="AI301" s="24"/>
      <c r="AJ301" s="24"/>
      <c r="AK301" s="24"/>
    </row>
    <row r="302" spans="1:37" x14ac:dyDescent="0.3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/>
      <c r="W302" s="24" t="str">
        <f>IFERROR(IF(ISBLANK(V302),"",INDEX(Gen_Vessels!$A$3:$C$495,MATCH(InspectionSite!$V302,Gen_Vessels!$C$3:$C$495,0),1)),"")</f>
        <v/>
      </c>
      <c r="X302" s="24"/>
      <c r="Y302" s="24"/>
      <c r="Z302" s="24"/>
      <c r="AA302" s="24"/>
      <c r="AB302" s="24"/>
      <c r="AC302" s="24"/>
      <c r="AE302" s="24"/>
      <c r="AF302" s="47"/>
      <c r="AG302" s="24"/>
      <c r="AH302" s="24"/>
      <c r="AI302" s="24"/>
      <c r="AJ302" s="24"/>
      <c r="AK302" s="24"/>
    </row>
    <row r="303" spans="1:37" x14ac:dyDescent="0.3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/>
      <c r="W303" s="24" t="str">
        <f>IFERROR(IF(ISBLANK(V303),"",INDEX(Gen_Vessels!$A$3:$C$495,MATCH(InspectionSite!$V303,Gen_Vessels!$C$3:$C$495,0),1)),"")</f>
        <v/>
      </c>
      <c r="X303" s="24"/>
      <c r="Y303" s="24"/>
      <c r="Z303" s="24"/>
      <c r="AA303" s="24"/>
      <c r="AB303" s="24"/>
      <c r="AC303" s="24"/>
      <c r="AE303" s="24"/>
      <c r="AF303" s="47"/>
      <c r="AG303" s="24"/>
      <c r="AH303" s="24"/>
      <c r="AI303" s="24"/>
      <c r="AJ303" s="24"/>
      <c r="AK303" s="24"/>
    </row>
    <row r="304" spans="1:37" x14ac:dyDescent="0.3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/>
      <c r="W304" s="24" t="str">
        <f>IFERROR(IF(ISBLANK(V304),"",INDEX(Gen_Vessels!$A$3:$C$495,MATCH(InspectionSite!$V304,Gen_Vessels!$C$3:$C$495,0),1)),"")</f>
        <v/>
      </c>
      <c r="X304" s="24"/>
      <c r="Y304" s="24"/>
      <c r="Z304" s="24"/>
      <c r="AA304" s="24"/>
      <c r="AB304" s="24"/>
      <c r="AC304" s="24"/>
      <c r="AE304" s="24"/>
      <c r="AF304" s="47"/>
      <c r="AG304" s="24"/>
      <c r="AH304" s="24"/>
      <c r="AI304" s="24"/>
      <c r="AJ304" s="24"/>
      <c r="AK304" s="24"/>
    </row>
    <row r="305" spans="1:37" x14ac:dyDescent="0.3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/>
      <c r="W305" s="24" t="str">
        <f>IFERROR(IF(ISBLANK(V305),"",INDEX(Gen_Vessels!$A$3:$C$495,MATCH(InspectionSite!$V305,Gen_Vessels!$C$3:$C$495,0),1)),"")</f>
        <v/>
      </c>
      <c r="X305" s="24"/>
      <c r="Y305" s="24"/>
      <c r="Z305" s="24"/>
      <c r="AA305" s="24"/>
      <c r="AB305" s="24"/>
      <c r="AC305" s="24"/>
      <c r="AE305" s="24"/>
      <c r="AF305" s="47"/>
      <c r="AG305" s="24"/>
      <c r="AH305" s="24"/>
      <c r="AI305" s="24"/>
      <c r="AJ305" s="24"/>
      <c r="AK305" s="24"/>
    </row>
    <row r="306" spans="1:37" x14ac:dyDescent="0.3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/>
      <c r="W306" s="24" t="str">
        <f>IFERROR(IF(ISBLANK(V306),"",INDEX(Gen_Vessels!$A$3:$C$495,MATCH(InspectionSite!$V306,Gen_Vessels!$C$3:$C$495,0),1)),"")</f>
        <v/>
      </c>
      <c r="X306" s="24"/>
      <c r="Y306" s="24"/>
      <c r="Z306" s="24"/>
      <c r="AA306" s="24"/>
      <c r="AB306" s="24"/>
      <c r="AC306" s="24"/>
      <c r="AE306" s="24"/>
      <c r="AF306" s="47"/>
      <c r="AG306" s="24"/>
      <c r="AH306" s="24"/>
      <c r="AI306" s="24"/>
      <c r="AJ306" s="24"/>
      <c r="AK306" s="24"/>
    </row>
    <row r="307" spans="1:37" x14ac:dyDescent="0.3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/>
      <c r="W307" s="24" t="str">
        <f>IFERROR(IF(ISBLANK(V307),"",INDEX(Gen_Vessels!$A$3:$C$495,MATCH(InspectionSite!$V307,Gen_Vessels!$C$3:$C$495,0),1)),"")</f>
        <v/>
      </c>
      <c r="X307" s="24"/>
      <c r="Y307" s="24"/>
      <c r="Z307" s="24"/>
      <c r="AA307" s="24"/>
      <c r="AB307" s="24"/>
      <c r="AC307" s="24"/>
      <c r="AE307" s="24"/>
      <c r="AF307" s="47"/>
      <c r="AG307" s="24"/>
      <c r="AH307" s="24"/>
      <c r="AI307" s="24"/>
      <c r="AJ307" s="24"/>
      <c r="AK307" s="24"/>
    </row>
    <row r="308" spans="1:37" x14ac:dyDescent="0.3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/>
      <c r="W308" s="24" t="str">
        <f>IFERROR(IF(ISBLANK(V308),"",INDEX(Gen_Vessels!$A$3:$C$495,MATCH(InspectionSite!$V308,Gen_Vessels!$C$3:$C$495,0),1)),"")</f>
        <v/>
      </c>
      <c r="X308" s="24"/>
      <c r="Y308" s="24"/>
      <c r="Z308" s="24"/>
      <c r="AA308" s="24"/>
      <c r="AB308" s="24"/>
      <c r="AC308" s="24"/>
      <c r="AE308" s="24"/>
      <c r="AF308" s="47"/>
      <c r="AG308" s="24"/>
      <c r="AH308" s="24"/>
      <c r="AI308" s="24"/>
      <c r="AJ308" s="24"/>
      <c r="AK308" s="24"/>
    </row>
    <row r="309" spans="1:37" x14ac:dyDescent="0.3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/>
      <c r="W309" s="24" t="str">
        <f>IFERROR(IF(ISBLANK(V309),"",INDEX(Gen_Vessels!$A$3:$C$495,MATCH(InspectionSite!$V309,Gen_Vessels!$C$3:$C$495,0),1)),"")</f>
        <v/>
      </c>
      <c r="X309" s="24"/>
      <c r="Y309" s="24"/>
      <c r="Z309" s="24"/>
      <c r="AA309" s="24"/>
      <c r="AB309" s="24"/>
      <c r="AC309" s="24"/>
      <c r="AE309" s="24"/>
      <c r="AF309" s="47"/>
      <c r="AG309" s="24"/>
      <c r="AH309" s="24"/>
      <c r="AI309" s="24"/>
      <c r="AJ309" s="24"/>
      <c r="AK309" s="24"/>
    </row>
    <row r="310" spans="1:37" x14ac:dyDescent="0.3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/>
      <c r="W310" s="24" t="str">
        <f>IFERROR(IF(ISBLANK(V310),"",INDEX(Gen_Vessels!$A$3:$C$495,MATCH(InspectionSite!$V310,Gen_Vessels!$C$3:$C$495,0),1)),"")</f>
        <v/>
      </c>
      <c r="X310" s="24"/>
      <c r="Y310" s="24"/>
      <c r="Z310" s="24"/>
      <c r="AA310" s="24"/>
      <c r="AB310" s="24"/>
      <c r="AC310" s="24"/>
      <c r="AE310" s="24"/>
      <c r="AF310" s="47"/>
      <c r="AG310" s="24"/>
      <c r="AH310" s="24"/>
      <c r="AI310" s="24"/>
      <c r="AJ310" s="24"/>
      <c r="AK310" s="24"/>
    </row>
    <row r="311" spans="1:37" x14ac:dyDescent="0.3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/>
      <c r="W311" s="24" t="str">
        <f>IFERROR(IF(ISBLANK(V311),"",INDEX(Gen_Vessels!$A$3:$C$495,MATCH(InspectionSite!$V311,Gen_Vessels!$C$3:$C$495,0),1)),"")</f>
        <v/>
      </c>
      <c r="X311" s="24"/>
      <c r="Y311" s="24"/>
      <c r="Z311" s="24"/>
      <c r="AA311" s="24"/>
      <c r="AB311" s="24"/>
      <c r="AC311" s="24"/>
      <c r="AE311" s="24"/>
      <c r="AF311" s="47"/>
      <c r="AG311" s="24"/>
      <c r="AH311" s="24"/>
      <c r="AI311" s="24"/>
      <c r="AJ311" s="24"/>
      <c r="AK311" s="24"/>
    </row>
    <row r="312" spans="1:37" x14ac:dyDescent="0.3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/>
      <c r="W312" s="24" t="str">
        <f>IFERROR(IF(ISBLANK(V312),"",INDEX(Gen_Vessels!$A$3:$C$495,MATCH(InspectionSite!$V312,Gen_Vessels!$C$3:$C$495,0),1)),"")</f>
        <v/>
      </c>
      <c r="X312" s="24"/>
      <c r="Y312" s="24"/>
      <c r="Z312" s="24"/>
      <c r="AA312" s="24"/>
      <c r="AB312" s="24"/>
      <c r="AC312" s="24"/>
      <c r="AE312" s="24"/>
      <c r="AF312" s="47"/>
      <c r="AG312" s="24"/>
      <c r="AH312" s="24"/>
      <c r="AI312" s="24"/>
      <c r="AJ312" s="24"/>
      <c r="AK312" s="24"/>
    </row>
    <row r="313" spans="1:37" x14ac:dyDescent="0.3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/>
      <c r="W313" s="24" t="str">
        <f>IFERROR(IF(ISBLANK(V313),"",INDEX(Gen_Vessels!$A$3:$C$495,MATCH(InspectionSite!$V313,Gen_Vessels!$C$3:$C$495,0),1)),"")</f>
        <v/>
      </c>
      <c r="X313" s="24"/>
      <c r="Y313" s="24"/>
      <c r="Z313" s="24"/>
      <c r="AA313" s="24"/>
      <c r="AB313" s="24"/>
      <c r="AC313" s="24"/>
      <c r="AE313" s="24"/>
      <c r="AF313" s="47"/>
      <c r="AG313" s="24"/>
      <c r="AH313" s="24"/>
      <c r="AI313" s="24"/>
      <c r="AJ313" s="24"/>
      <c r="AK313" s="24"/>
    </row>
    <row r="314" spans="1:37" x14ac:dyDescent="0.3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/>
      <c r="W314" s="24" t="str">
        <f>IFERROR(IF(ISBLANK(V314),"",INDEX(Gen_Vessels!$A$3:$C$495,MATCH(InspectionSite!$V314,Gen_Vessels!$C$3:$C$495,0),1)),"")</f>
        <v/>
      </c>
      <c r="X314" s="24"/>
      <c r="Y314" s="24"/>
      <c r="Z314" s="24"/>
      <c r="AA314" s="24"/>
      <c r="AB314" s="24"/>
      <c r="AC314" s="24"/>
      <c r="AE314" s="24"/>
      <c r="AF314" s="47"/>
      <c r="AG314" s="24"/>
      <c r="AH314" s="24"/>
      <c r="AI314" s="24"/>
      <c r="AJ314" s="24"/>
      <c r="AK314" s="24"/>
    </row>
    <row r="315" spans="1:37" x14ac:dyDescent="0.3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/>
      <c r="W315" s="24" t="str">
        <f>IFERROR(IF(ISBLANK(V315),"",INDEX(Gen_Vessels!$A$3:$C$495,MATCH(InspectionSite!$V315,Gen_Vessels!$C$3:$C$495,0),1)),"")</f>
        <v/>
      </c>
      <c r="X315" s="24"/>
      <c r="Y315" s="24"/>
      <c r="Z315" s="24"/>
      <c r="AA315" s="24"/>
      <c r="AB315" s="24"/>
      <c r="AC315" s="24"/>
      <c r="AE315" s="24"/>
      <c r="AF315" s="47"/>
      <c r="AG315" s="24"/>
      <c r="AH315" s="24"/>
      <c r="AI315" s="24"/>
      <c r="AJ315" s="24"/>
      <c r="AK315" s="24"/>
    </row>
    <row r="316" spans="1:37" x14ac:dyDescent="0.3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/>
      <c r="W316" s="24" t="str">
        <f>IFERROR(IF(ISBLANK(V316),"",INDEX(Gen_Vessels!$A$3:$C$495,MATCH(InspectionSite!$V316,Gen_Vessels!$C$3:$C$495,0),1)),"")</f>
        <v/>
      </c>
      <c r="X316" s="24"/>
      <c r="Y316" s="24"/>
      <c r="Z316" s="24"/>
      <c r="AA316" s="24"/>
      <c r="AB316" s="24"/>
      <c r="AC316" s="24"/>
      <c r="AE316" s="24"/>
      <c r="AF316" s="47"/>
      <c r="AG316" s="24"/>
      <c r="AH316" s="24"/>
      <c r="AI316" s="24"/>
      <c r="AJ316" s="24"/>
      <c r="AK316" s="24"/>
    </row>
    <row r="317" spans="1:37" x14ac:dyDescent="0.3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/>
      <c r="W317" s="24" t="str">
        <f>IFERROR(IF(ISBLANK(V317),"",INDEX(Gen_Vessels!$A$3:$C$495,MATCH(InspectionSite!$V317,Gen_Vessels!$C$3:$C$495,0),1)),"")</f>
        <v/>
      </c>
      <c r="X317" s="24"/>
      <c r="Y317" s="24"/>
      <c r="Z317" s="24"/>
      <c r="AA317" s="24"/>
      <c r="AB317" s="24"/>
      <c r="AC317" s="24"/>
      <c r="AE317" s="24"/>
      <c r="AF317" s="47"/>
      <c r="AG317" s="24"/>
      <c r="AH317" s="24"/>
      <c r="AI317" s="24"/>
      <c r="AJ317" s="24"/>
      <c r="AK317" s="24"/>
    </row>
    <row r="318" spans="1:37" x14ac:dyDescent="0.3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/>
      <c r="W318" s="24" t="str">
        <f>IFERROR(IF(ISBLANK(V318),"",INDEX(Gen_Vessels!$A$3:$C$495,MATCH(InspectionSite!$V318,Gen_Vessels!$C$3:$C$495,0),1)),"")</f>
        <v/>
      </c>
      <c r="X318" s="24"/>
      <c r="Y318" s="24"/>
      <c r="Z318" s="24"/>
      <c r="AA318" s="24"/>
      <c r="AB318" s="24"/>
      <c r="AC318" s="24"/>
      <c r="AE318" s="24"/>
      <c r="AF318" s="47"/>
      <c r="AG318" s="24"/>
      <c r="AH318" s="24"/>
      <c r="AI318" s="24"/>
      <c r="AJ318" s="24"/>
      <c r="AK318" s="24"/>
    </row>
    <row r="319" spans="1:37" x14ac:dyDescent="0.3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/>
      <c r="W319" s="24" t="str">
        <f>IFERROR(IF(ISBLANK(V319),"",INDEX(Gen_Vessels!$A$3:$C$495,MATCH(InspectionSite!$V319,Gen_Vessels!$C$3:$C$495,0),1)),"")</f>
        <v/>
      </c>
      <c r="X319" s="24"/>
      <c r="Y319" s="24"/>
      <c r="Z319" s="24"/>
      <c r="AA319" s="24"/>
      <c r="AB319" s="24"/>
      <c r="AC319" s="24"/>
      <c r="AE319" s="24"/>
      <c r="AF319" s="47"/>
      <c r="AG319" s="24"/>
      <c r="AH319" s="24"/>
      <c r="AI319" s="24"/>
      <c r="AJ319" s="24"/>
      <c r="AK319" s="24"/>
    </row>
    <row r="320" spans="1:37" x14ac:dyDescent="0.3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/>
      <c r="W320" s="24" t="str">
        <f>IFERROR(IF(ISBLANK(V320),"",INDEX(Gen_Vessels!$A$3:$C$495,MATCH(InspectionSite!$V320,Gen_Vessels!$C$3:$C$495,0),1)),"")</f>
        <v/>
      </c>
      <c r="X320" s="24"/>
      <c r="Y320" s="24"/>
      <c r="Z320" s="24"/>
      <c r="AA320" s="24"/>
      <c r="AB320" s="24"/>
      <c r="AC320" s="24"/>
      <c r="AE320" s="24"/>
      <c r="AF320" s="47"/>
      <c r="AG320" s="24"/>
      <c r="AH320" s="24"/>
      <c r="AI320" s="24"/>
      <c r="AJ320" s="24"/>
      <c r="AK320" s="24"/>
    </row>
    <row r="321" spans="1:37" x14ac:dyDescent="0.3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/>
      <c r="W321" s="24" t="str">
        <f>IFERROR(IF(ISBLANK(V321),"",INDEX(Gen_Vessels!$A$3:$C$495,MATCH(InspectionSite!$V321,Gen_Vessels!$C$3:$C$495,0),1)),"")</f>
        <v/>
      </c>
      <c r="X321" s="24"/>
      <c r="Y321" s="24"/>
      <c r="Z321" s="24"/>
      <c r="AA321" s="24"/>
      <c r="AB321" s="24"/>
      <c r="AC321" s="24"/>
      <c r="AE321" s="24"/>
      <c r="AF321" s="47"/>
      <c r="AG321" s="24"/>
      <c r="AH321" s="24"/>
      <c r="AI321" s="24"/>
      <c r="AJ321" s="24"/>
      <c r="AK321" s="24"/>
    </row>
    <row r="322" spans="1:37" x14ac:dyDescent="0.3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/>
      <c r="W322" s="24" t="str">
        <f>IFERROR(IF(ISBLANK(V322),"",INDEX(Gen_Vessels!$A$3:$C$495,MATCH(InspectionSite!$V322,Gen_Vessels!$C$3:$C$495,0),1)),"")</f>
        <v/>
      </c>
      <c r="X322" s="24"/>
      <c r="Y322" s="24"/>
      <c r="Z322" s="24"/>
      <c r="AA322" s="24"/>
      <c r="AB322" s="24"/>
      <c r="AC322" s="24"/>
      <c r="AE322" s="24"/>
      <c r="AF322" s="47"/>
      <c r="AG322" s="24"/>
      <c r="AH322" s="24"/>
      <c r="AI322" s="24"/>
      <c r="AJ322" s="24"/>
      <c r="AK322" s="24"/>
    </row>
    <row r="323" spans="1:37" x14ac:dyDescent="0.3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/>
      <c r="W323" s="24" t="str">
        <f>IFERROR(IF(ISBLANK(V323),"",INDEX(Gen_Vessels!$A$3:$C$495,MATCH(InspectionSite!$V323,Gen_Vessels!$C$3:$C$495,0),1)),"")</f>
        <v/>
      </c>
      <c r="X323" s="24"/>
      <c r="Y323" s="24"/>
      <c r="Z323" s="24"/>
      <c r="AA323" s="24"/>
      <c r="AB323" s="24"/>
      <c r="AC323" s="24"/>
      <c r="AE323" s="24"/>
      <c r="AF323" s="47"/>
      <c r="AG323" s="24"/>
      <c r="AH323" s="24"/>
      <c r="AI323" s="24"/>
      <c r="AJ323" s="24"/>
      <c r="AK323" s="24"/>
    </row>
    <row r="324" spans="1:37" x14ac:dyDescent="0.3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/>
      <c r="W324" s="24" t="str">
        <f>IFERROR(IF(ISBLANK(V324),"",INDEX(Gen_Vessels!$A$3:$C$495,MATCH(InspectionSite!$V324,Gen_Vessels!$C$3:$C$495,0),1)),"")</f>
        <v/>
      </c>
      <c r="X324" s="24"/>
      <c r="Y324" s="24"/>
      <c r="Z324" s="24"/>
      <c r="AA324" s="24"/>
      <c r="AB324" s="24"/>
      <c r="AC324" s="24"/>
      <c r="AE324" s="24"/>
      <c r="AF324" s="47"/>
      <c r="AG324" s="24"/>
      <c r="AH324" s="24"/>
      <c r="AI324" s="24"/>
      <c r="AJ324" s="24"/>
      <c r="AK324" s="24"/>
    </row>
    <row r="325" spans="1:37" x14ac:dyDescent="0.3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/>
      <c r="W325" s="24" t="str">
        <f>IFERROR(IF(ISBLANK(V325),"",INDEX(Gen_Vessels!$A$3:$C$495,MATCH(InspectionSite!$V325,Gen_Vessels!$C$3:$C$495,0),1)),"")</f>
        <v/>
      </c>
      <c r="X325" s="24"/>
      <c r="Y325" s="24"/>
      <c r="Z325" s="24"/>
      <c r="AA325" s="24"/>
      <c r="AB325" s="24"/>
      <c r="AC325" s="24"/>
      <c r="AE325" s="24"/>
      <c r="AF325" s="47"/>
      <c r="AG325" s="24"/>
      <c r="AH325" s="24"/>
      <c r="AI325" s="24"/>
      <c r="AJ325" s="24"/>
      <c r="AK325" s="24"/>
    </row>
    <row r="326" spans="1:37" x14ac:dyDescent="0.3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/>
      <c r="W326" s="24" t="str">
        <f>IFERROR(IF(ISBLANK(V326),"",INDEX(Gen_Vessels!$A$3:$C$495,MATCH(InspectionSite!$V326,Gen_Vessels!$C$3:$C$495,0),1)),"")</f>
        <v/>
      </c>
      <c r="X326" s="24"/>
      <c r="Y326" s="24"/>
      <c r="Z326" s="24"/>
      <c r="AA326" s="24"/>
      <c r="AB326" s="24"/>
      <c r="AC326" s="24"/>
      <c r="AE326" s="24"/>
      <c r="AF326" s="47"/>
      <c r="AG326" s="24"/>
      <c r="AH326" s="24"/>
      <c r="AI326" s="24"/>
      <c r="AJ326" s="24"/>
      <c r="AK326" s="24"/>
    </row>
    <row r="327" spans="1:37" x14ac:dyDescent="0.3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/>
      <c r="W327" s="24" t="str">
        <f>IFERROR(IF(ISBLANK(V327),"",INDEX(Gen_Vessels!$A$3:$C$495,MATCH(InspectionSite!$V327,Gen_Vessels!$C$3:$C$495,0),1)),"")</f>
        <v/>
      </c>
      <c r="X327" s="24"/>
      <c r="Y327" s="24"/>
      <c r="Z327" s="24"/>
      <c r="AA327" s="24"/>
      <c r="AB327" s="24"/>
      <c r="AC327" s="24"/>
      <c r="AE327" s="24"/>
      <c r="AF327" s="47"/>
      <c r="AG327" s="24"/>
      <c r="AH327" s="24"/>
      <c r="AI327" s="24"/>
      <c r="AJ327" s="24"/>
      <c r="AK327" s="24"/>
    </row>
    <row r="328" spans="1:37" x14ac:dyDescent="0.3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/>
      <c r="W328" s="24" t="str">
        <f>IFERROR(IF(ISBLANK(V328),"",INDEX(Gen_Vessels!$A$3:$C$495,MATCH(InspectionSite!$V328,Gen_Vessels!$C$3:$C$495,0),1)),"")</f>
        <v/>
      </c>
      <c r="X328" s="24"/>
      <c r="Y328" s="24"/>
      <c r="Z328" s="24"/>
      <c r="AA328" s="24"/>
      <c r="AB328" s="24"/>
      <c r="AC328" s="24"/>
      <c r="AE328" s="24"/>
      <c r="AF328" s="47"/>
      <c r="AG328" s="24"/>
      <c r="AH328" s="24"/>
      <c r="AI328" s="24"/>
      <c r="AJ328" s="24"/>
      <c r="AK328" s="24"/>
    </row>
    <row r="329" spans="1:37" x14ac:dyDescent="0.3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/>
      <c r="W329" s="24" t="str">
        <f>IFERROR(IF(ISBLANK(V329),"",INDEX(Gen_Vessels!$A$3:$C$495,MATCH(InspectionSite!$V329,Gen_Vessels!$C$3:$C$495,0),1)),"")</f>
        <v/>
      </c>
      <c r="X329" s="24"/>
      <c r="Y329" s="24"/>
      <c r="Z329" s="24"/>
      <c r="AA329" s="24"/>
      <c r="AB329" s="24"/>
      <c r="AC329" s="24"/>
      <c r="AE329" s="24"/>
      <c r="AF329" s="47"/>
      <c r="AG329" s="24"/>
      <c r="AH329" s="24"/>
      <c r="AI329" s="24"/>
      <c r="AJ329" s="24"/>
      <c r="AK329" s="24"/>
    </row>
    <row r="330" spans="1:37" x14ac:dyDescent="0.3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/>
      <c r="W330" s="24" t="str">
        <f>IFERROR(IF(ISBLANK(V330),"",INDEX(Gen_Vessels!$A$3:$C$495,MATCH(InspectionSite!$V330,Gen_Vessels!$C$3:$C$495,0),1)),"")</f>
        <v/>
      </c>
      <c r="X330" s="24"/>
      <c r="Y330" s="24"/>
      <c r="Z330" s="24"/>
      <c r="AA330" s="24"/>
      <c r="AB330" s="24"/>
      <c r="AC330" s="24"/>
      <c r="AE330" s="24"/>
      <c r="AF330" s="47"/>
      <c r="AG330" s="24"/>
      <c r="AH330" s="24"/>
      <c r="AI330" s="24"/>
      <c r="AJ330" s="24"/>
      <c r="AK330" s="24"/>
    </row>
    <row r="331" spans="1:37" x14ac:dyDescent="0.3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/>
      <c r="W331" s="24" t="str">
        <f>IFERROR(IF(ISBLANK(V331),"",INDEX(Gen_Vessels!$A$3:$C$495,MATCH(InspectionSite!$V331,Gen_Vessels!$C$3:$C$495,0),1)),"")</f>
        <v/>
      </c>
      <c r="X331" s="24"/>
      <c r="Y331" s="24"/>
      <c r="Z331" s="24"/>
      <c r="AA331" s="24"/>
      <c r="AB331" s="24"/>
      <c r="AC331" s="24"/>
      <c r="AE331" s="24"/>
      <c r="AF331" s="47"/>
      <c r="AG331" s="24"/>
      <c r="AH331" s="24"/>
      <c r="AI331" s="24"/>
      <c r="AJ331" s="24"/>
      <c r="AK331" s="24"/>
    </row>
    <row r="332" spans="1:37" x14ac:dyDescent="0.3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/>
      <c r="W332" s="24" t="str">
        <f>IFERROR(IF(ISBLANK(V332),"",INDEX(Gen_Vessels!$A$3:$C$495,MATCH(InspectionSite!$V332,Gen_Vessels!$C$3:$C$495,0),1)),"")</f>
        <v/>
      </c>
      <c r="X332" s="24"/>
      <c r="Y332" s="24"/>
      <c r="Z332" s="24"/>
      <c r="AA332" s="24"/>
      <c r="AB332" s="24"/>
      <c r="AC332" s="24"/>
      <c r="AE332" s="24"/>
      <c r="AF332" s="47"/>
      <c r="AG332" s="24"/>
      <c r="AH332" s="24"/>
      <c r="AI332" s="24"/>
      <c r="AJ332" s="24"/>
      <c r="AK332" s="24"/>
    </row>
    <row r="333" spans="1:37" x14ac:dyDescent="0.3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/>
      <c r="W333" s="24" t="str">
        <f>IFERROR(IF(ISBLANK(V333),"",INDEX(Gen_Vessels!$A$3:$C$495,MATCH(InspectionSite!$V333,Gen_Vessels!$C$3:$C$495,0),1)),"")</f>
        <v/>
      </c>
      <c r="X333" s="24"/>
      <c r="Y333" s="24"/>
      <c r="Z333" s="24"/>
      <c r="AA333" s="24"/>
      <c r="AB333" s="24"/>
      <c r="AC333" s="24"/>
      <c r="AE333" s="24"/>
      <c r="AF333" s="47"/>
      <c r="AG333" s="24"/>
      <c r="AH333" s="24"/>
      <c r="AI333" s="24"/>
      <c r="AJ333" s="24"/>
      <c r="AK333" s="24"/>
    </row>
    <row r="334" spans="1:37" x14ac:dyDescent="0.3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/>
      <c r="W334" s="24" t="str">
        <f>IFERROR(IF(ISBLANK(V334),"",INDEX(Gen_Vessels!$A$3:$C$495,MATCH(InspectionSite!$V334,Gen_Vessels!$C$3:$C$495,0),1)),"")</f>
        <v/>
      </c>
      <c r="X334" s="24"/>
      <c r="Y334" s="24"/>
      <c r="Z334" s="24"/>
      <c r="AA334" s="24"/>
      <c r="AB334" s="24"/>
      <c r="AC334" s="24"/>
      <c r="AE334" s="24"/>
      <c r="AF334" s="47"/>
      <c r="AG334" s="24"/>
      <c r="AH334" s="24"/>
      <c r="AI334" s="24"/>
      <c r="AJ334" s="24"/>
      <c r="AK334" s="24"/>
    </row>
    <row r="335" spans="1:37" x14ac:dyDescent="0.3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/>
      <c r="W335" s="24" t="str">
        <f>IFERROR(IF(ISBLANK(V335),"",INDEX(Gen_Vessels!$A$3:$C$495,MATCH(InspectionSite!$V335,Gen_Vessels!$C$3:$C$495,0),1)),"")</f>
        <v/>
      </c>
      <c r="X335" s="24"/>
      <c r="Y335" s="24"/>
      <c r="Z335" s="24"/>
      <c r="AA335" s="24"/>
      <c r="AB335" s="24"/>
      <c r="AC335" s="24"/>
      <c r="AE335" s="24"/>
      <c r="AF335" s="47"/>
      <c r="AG335" s="24"/>
      <c r="AH335" s="24"/>
      <c r="AI335" s="24"/>
      <c r="AJ335" s="24"/>
      <c r="AK335" s="24"/>
    </row>
    <row r="336" spans="1:37" x14ac:dyDescent="0.3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/>
      <c r="W336" s="24" t="str">
        <f>IFERROR(IF(ISBLANK(V336),"",INDEX(Gen_Vessels!$A$3:$C$495,MATCH(InspectionSite!$V336,Gen_Vessels!$C$3:$C$495,0),1)),"")</f>
        <v/>
      </c>
      <c r="X336" s="24"/>
      <c r="Y336" s="24"/>
      <c r="Z336" s="24"/>
      <c r="AA336" s="24"/>
      <c r="AB336" s="24"/>
      <c r="AC336" s="24"/>
      <c r="AE336" s="24"/>
      <c r="AF336" s="47"/>
      <c r="AG336" s="24"/>
      <c r="AH336" s="24"/>
      <c r="AI336" s="24"/>
      <c r="AJ336" s="24"/>
      <c r="AK336" s="24"/>
    </row>
    <row r="337" spans="1:37" x14ac:dyDescent="0.3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/>
      <c r="W337" s="24" t="str">
        <f>IFERROR(IF(ISBLANK(V337),"",INDEX(Gen_Vessels!$A$3:$C$495,MATCH(InspectionSite!$V337,Gen_Vessels!$C$3:$C$495,0),1)),"")</f>
        <v/>
      </c>
      <c r="X337" s="24"/>
      <c r="Y337" s="24"/>
      <c r="Z337" s="24"/>
      <c r="AA337" s="24"/>
      <c r="AB337" s="24"/>
      <c r="AC337" s="24"/>
      <c r="AE337" s="24"/>
      <c r="AF337" s="47"/>
      <c r="AG337" s="24"/>
      <c r="AH337" s="24"/>
      <c r="AI337" s="24"/>
      <c r="AJ337" s="24"/>
      <c r="AK337" s="24"/>
    </row>
    <row r="338" spans="1:37" x14ac:dyDescent="0.3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/>
      <c r="W338" s="24" t="str">
        <f>IFERROR(IF(ISBLANK(V338),"",INDEX(Gen_Vessels!$A$3:$C$495,MATCH(InspectionSite!$V338,Gen_Vessels!$C$3:$C$495,0),1)),"")</f>
        <v/>
      </c>
      <c r="X338" s="24"/>
      <c r="Y338" s="24"/>
      <c r="Z338" s="24"/>
      <c r="AA338" s="24"/>
      <c r="AB338" s="24"/>
      <c r="AC338" s="24"/>
      <c r="AE338" s="24"/>
      <c r="AF338" s="47"/>
      <c r="AG338" s="24"/>
      <c r="AH338" s="24"/>
      <c r="AI338" s="24"/>
      <c r="AJ338" s="24"/>
      <c r="AK338" s="24"/>
    </row>
    <row r="339" spans="1:37" x14ac:dyDescent="0.3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/>
      <c r="W339" s="24" t="str">
        <f>IFERROR(IF(ISBLANK(V339),"",INDEX(Gen_Vessels!$A$3:$C$495,MATCH(InspectionSite!$V339,Gen_Vessels!$C$3:$C$495,0),1)),"")</f>
        <v/>
      </c>
      <c r="X339" s="24"/>
      <c r="Y339" s="24"/>
      <c r="Z339" s="24"/>
      <c r="AA339" s="24"/>
      <c r="AB339" s="24"/>
      <c r="AC339" s="24"/>
      <c r="AE339" s="24"/>
      <c r="AF339" s="47"/>
      <c r="AG339" s="24"/>
      <c r="AH339" s="24"/>
      <c r="AI339" s="24"/>
      <c r="AJ339" s="24"/>
      <c r="AK339" s="24"/>
    </row>
    <row r="340" spans="1:37" x14ac:dyDescent="0.3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/>
      <c r="W340" s="24" t="str">
        <f>IFERROR(IF(ISBLANK(V340),"",INDEX(Gen_Vessels!$A$3:$C$495,MATCH(InspectionSite!$V340,Gen_Vessels!$C$3:$C$495,0),1)),"")</f>
        <v/>
      </c>
      <c r="X340" s="24"/>
      <c r="Y340" s="24"/>
      <c r="Z340" s="24"/>
      <c r="AA340" s="24"/>
      <c r="AB340" s="24"/>
      <c r="AC340" s="24"/>
      <c r="AE340" s="24"/>
      <c r="AF340" s="47"/>
      <c r="AG340" s="24"/>
      <c r="AH340" s="24"/>
      <c r="AI340" s="24"/>
      <c r="AJ340" s="24"/>
      <c r="AK340" s="24"/>
    </row>
    <row r="341" spans="1:37" x14ac:dyDescent="0.3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/>
      <c r="W341" s="24" t="str">
        <f>IFERROR(IF(ISBLANK(V341),"",INDEX(Gen_Vessels!$A$3:$C$495,MATCH(InspectionSite!$V341,Gen_Vessels!$C$3:$C$495,0),1)),"")</f>
        <v/>
      </c>
      <c r="X341" s="24"/>
      <c r="Y341" s="24"/>
      <c r="Z341" s="24"/>
      <c r="AA341" s="24"/>
      <c r="AB341" s="24"/>
      <c r="AC341" s="24"/>
      <c r="AE341" s="24"/>
      <c r="AF341" s="47"/>
      <c r="AG341" s="24"/>
      <c r="AH341" s="24"/>
      <c r="AI341" s="24"/>
      <c r="AJ341" s="24"/>
      <c r="AK341" s="24"/>
    </row>
    <row r="342" spans="1:37" x14ac:dyDescent="0.3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/>
      <c r="W342" s="24" t="str">
        <f>IFERROR(IF(ISBLANK(V342),"",INDEX(Gen_Vessels!$A$3:$C$495,MATCH(InspectionSite!$V342,Gen_Vessels!$C$3:$C$495,0),1)),"")</f>
        <v/>
      </c>
      <c r="X342" s="24"/>
      <c r="Y342" s="24"/>
      <c r="Z342" s="24"/>
      <c r="AA342" s="24"/>
      <c r="AB342" s="24"/>
      <c r="AC342" s="24"/>
      <c r="AE342" s="24"/>
      <c r="AF342" s="47"/>
      <c r="AG342" s="24"/>
      <c r="AH342" s="24"/>
      <c r="AI342" s="24"/>
      <c r="AJ342" s="24"/>
      <c r="AK342" s="24"/>
    </row>
    <row r="343" spans="1:37" x14ac:dyDescent="0.3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/>
      <c r="W343" s="24" t="str">
        <f>IFERROR(IF(ISBLANK(V343),"",INDEX(Gen_Vessels!$A$3:$C$495,MATCH(InspectionSite!$V343,Gen_Vessels!$C$3:$C$495,0),1)),"")</f>
        <v/>
      </c>
      <c r="X343" s="24"/>
      <c r="Y343" s="24"/>
      <c r="Z343" s="24"/>
      <c r="AA343" s="24"/>
      <c r="AB343" s="24"/>
      <c r="AC343" s="24"/>
      <c r="AE343" s="24"/>
      <c r="AF343" s="47"/>
      <c r="AG343" s="24"/>
      <c r="AH343" s="24"/>
      <c r="AI343" s="24"/>
      <c r="AJ343" s="24"/>
      <c r="AK343" s="24"/>
    </row>
    <row r="344" spans="1:37" x14ac:dyDescent="0.3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/>
      <c r="W344" s="24" t="str">
        <f>IFERROR(IF(ISBLANK(V344),"",INDEX(Gen_Vessels!$A$3:$C$495,MATCH(InspectionSite!$V344,Gen_Vessels!$C$3:$C$495,0),1)),"")</f>
        <v/>
      </c>
      <c r="X344" s="24"/>
      <c r="Y344" s="24"/>
      <c r="Z344" s="24"/>
      <c r="AA344" s="24"/>
      <c r="AB344" s="24"/>
      <c r="AC344" s="24"/>
      <c r="AE344" s="24"/>
      <c r="AF344" s="47"/>
      <c r="AG344" s="24"/>
      <c r="AH344" s="24"/>
      <c r="AI344" s="24"/>
      <c r="AJ344" s="24"/>
      <c r="AK344" s="24"/>
    </row>
    <row r="345" spans="1:37" x14ac:dyDescent="0.3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/>
      <c r="W345" s="24" t="str">
        <f>IFERROR(IF(ISBLANK(V345),"",INDEX(Gen_Vessels!$A$3:$C$495,MATCH(InspectionSite!$V345,Gen_Vessels!$C$3:$C$495,0),1)),"")</f>
        <v/>
      </c>
      <c r="X345" s="24"/>
      <c r="Y345" s="24"/>
      <c r="Z345" s="24"/>
      <c r="AA345" s="24"/>
      <c r="AB345" s="24"/>
      <c r="AC345" s="24"/>
      <c r="AE345" s="24"/>
      <c r="AF345" s="47"/>
      <c r="AG345" s="24"/>
      <c r="AH345" s="24"/>
      <c r="AI345" s="24"/>
      <c r="AJ345" s="24"/>
      <c r="AK345" s="24"/>
    </row>
    <row r="346" spans="1:37" x14ac:dyDescent="0.3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/>
      <c r="W346" s="24" t="str">
        <f>IFERROR(IF(ISBLANK(V346),"",INDEX(Gen_Vessels!$A$3:$C$495,MATCH(InspectionSite!$V346,Gen_Vessels!$C$3:$C$495,0),1)),"")</f>
        <v/>
      </c>
      <c r="X346" s="24"/>
      <c r="Y346" s="24"/>
      <c r="Z346" s="24"/>
      <c r="AA346" s="24"/>
      <c r="AB346" s="24"/>
      <c r="AC346" s="24"/>
      <c r="AE346" s="24"/>
      <c r="AF346" s="47"/>
      <c r="AG346" s="24"/>
      <c r="AH346" s="24"/>
      <c r="AI346" s="24"/>
      <c r="AJ346" s="24"/>
      <c r="AK346" s="24"/>
    </row>
    <row r="347" spans="1:37" x14ac:dyDescent="0.3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/>
      <c r="W347" s="24" t="str">
        <f>IFERROR(IF(ISBLANK(V347),"",INDEX(Gen_Vessels!$A$3:$C$495,MATCH(InspectionSite!$V347,Gen_Vessels!$C$3:$C$495,0),1)),"")</f>
        <v/>
      </c>
      <c r="X347" s="24"/>
      <c r="Y347" s="24"/>
      <c r="Z347" s="24"/>
      <c r="AA347" s="24"/>
      <c r="AB347" s="24"/>
      <c r="AC347" s="24"/>
      <c r="AE347" s="24"/>
      <c r="AF347" s="47"/>
      <c r="AG347" s="24"/>
      <c r="AH347" s="24"/>
      <c r="AI347" s="24"/>
      <c r="AJ347" s="24"/>
      <c r="AK347" s="24"/>
    </row>
    <row r="348" spans="1:37" x14ac:dyDescent="0.3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/>
      <c r="W348" s="24" t="str">
        <f>IFERROR(IF(ISBLANK(V348),"",INDEX(Gen_Vessels!$A$3:$C$495,MATCH(InspectionSite!$V348,Gen_Vessels!$C$3:$C$495,0),1)),"")</f>
        <v/>
      </c>
      <c r="X348" s="24"/>
      <c r="Y348" s="24"/>
      <c r="Z348" s="24"/>
      <c r="AA348" s="24"/>
      <c r="AB348" s="24"/>
      <c r="AC348" s="24"/>
      <c r="AE348" s="24"/>
      <c r="AF348" s="47"/>
      <c r="AG348" s="24"/>
      <c r="AH348" s="24"/>
      <c r="AI348" s="24"/>
      <c r="AJ348" s="24"/>
      <c r="AK348" s="24"/>
    </row>
    <row r="349" spans="1:37" x14ac:dyDescent="0.3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/>
      <c r="W349" s="24" t="str">
        <f>IFERROR(IF(ISBLANK(V349),"",INDEX(Gen_Vessels!$A$3:$C$495,MATCH(InspectionSite!$V349,Gen_Vessels!$C$3:$C$495,0),1)),"")</f>
        <v/>
      </c>
      <c r="X349" s="24"/>
      <c r="Y349" s="24"/>
      <c r="Z349" s="24"/>
      <c r="AA349" s="24"/>
      <c r="AB349" s="24"/>
      <c r="AC349" s="24"/>
      <c r="AE349" s="24"/>
      <c r="AF349" s="47"/>
      <c r="AG349" s="24"/>
      <c r="AH349" s="24"/>
      <c r="AI349" s="24"/>
      <c r="AJ349" s="24"/>
      <c r="AK349" s="24"/>
    </row>
    <row r="350" spans="1:37" x14ac:dyDescent="0.3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/>
      <c r="W350" s="24" t="str">
        <f>IFERROR(IF(ISBLANK(V350),"",INDEX(Gen_Vessels!$A$3:$C$495,MATCH(InspectionSite!$V350,Gen_Vessels!$C$3:$C$495,0),1)),"")</f>
        <v/>
      </c>
      <c r="X350" s="24"/>
      <c r="Y350" s="24"/>
      <c r="Z350" s="24"/>
      <c r="AA350" s="24"/>
      <c r="AB350" s="24"/>
      <c r="AC350" s="24"/>
      <c r="AE350" s="24"/>
      <c r="AF350" s="47"/>
      <c r="AG350" s="24"/>
      <c r="AH350" s="24"/>
      <c r="AI350" s="24"/>
      <c r="AJ350" s="24"/>
      <c r="AK350" s="24"/>
    </row>
    <row r="351" spans="1:37" x14ac:dyDescent="0.3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/>
      <c r="W351" s="24" t="str">
        <f>IFERROR(IF(ISBLANK(V351),"",INDEX(Gen_Vessels!$A$3:$C$495,MATCH(InspectionSite!$V351,Gen_Vessels!$C$3:$C$495,0),1)),"")</f>
        <v/>
      </c>
      <c r="X351" s="24"/>
      <c r="Y351" s="24"/>
      <c r="Z351" s="24"/>
      <c r="AA351" s="24"/>
      <c r="AB351" s="24"/>
      <c r="AC351" s="24"/>
      <c r="AE351" s="24"/>
      <c r="AF351" s="47"/>
      <c r="AG351" s="24"/>
      <c r="AH351" s="24"/>
      <c r="AI351" s="24"/>
      <c r="AJ351" s="24"/>
      <c r="AK351" s="24"/>
    </row>
    <row r="352" spans="1:37" x14ac:dyDescent="0.3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/>
      <c r="W352" s="24" t="str">
        <f>IFERROR(IF(ISBLANK(V352),"",INDEX(Gen_Vessels!$A$3:$C$495,MATCH(InspectionSite!$V352,Gen_Vessels!$C$3:$C$495,0),1)),"")</f>
        <v/>
      </c>
      <c r="X352" s="24"/>
      <c r="Y352" s="24"/>
      <c r="Z352" s="24"/>
      <c r="AA352" s="24"/>
      <c r="AB352" s="24"/>
      <c r="AC352" s="24"/>
      <c r="AE352" s="24"/>
      <c r="AF352" s="47"/>
      <c r="AG352" s="24"/>
      <c r="AH352" s="24"/>
      <c r="AI352" s="24"/>
      <c r="AJ352" s="24"/>
      <c r="AK352" s="24"/>
    </row>
    <row r="353" spans="1:37" x14ac:dyDescent="0.3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/>
      <c r="W353" s="24" t="str">
        <f>IFERROR(IF(ISBLANK(V353),"",INDEX(Gen_Vessels!$A$3:$C$495,MATCH(InspectionSite!$V353,Gen_Vessels!$C$3:$C$495,0),1)),"")</f>
        <v/>
      </c>
      <c r="X353" s="24"/>
      <c r="Y353" s="24"/>
      <c r="Z353" s="24"/>
      <c r="AA353" s="24"/>
      <c r="AB353" s="24"/>
      <c r="AC353" s="24"/>
      <c r="AE353" s="24"/>
      <c r="AF353" s="47"/>
      <c r="AG353" s="24"/>
      <c r="AH353" s="24"/>
      <c r="AI353" s="24"/>
      <c r="AJ353" s="24"/>
      <c r="AK353" s="24"/>
    </row>
    <row r="354" spans="1:37" x14ac:dyDescent="0.3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/>
      <c r="W354" s="24" t="str">
        <f>IFERROR(IF(ISBLANK(V354),"",INDEX(Gen_Vessels!$A$3:$C$495,MATCH(InspectionSite!$V354,Gen_Vessels!$C$3:$C$495,0),1)),"")</f>
        <v/>
      </c>
      <c r="X354" s="24"/>
      <c r="Y354" s="24"/>
      <c r="Z354" s="24"/>
      <c r="AA354" s="24"/>
      <c r="AB354" s="24"/>
      <c r="AC354" s="24"/>
      <c r="AE354" s="24"/>
      <c r="AF354" s="47"/>
      <c r="AG354" s="24"/>
      <c r="AH354" s="24"/>
      <c r="AI354" s="24"/>
      <c r="AJ354" s="24"/>
      <c r="AK354" s="24"/>
    </row>
    <row r="355" spans="1:37" x14ac:dyDescent="0.3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/>
      <c r="W355" s="24" t="str">
        <f>IFERROR(IF(ISBLANK(V355),"",INDEX(Gen_Vessels!$A$3:$C$495,MATCH(InspectionSite!$V355,Gen_Vessels!$C$3:$C$495,0),1)),"")</f>
        <v/>
      </c>
      <c r="X355" s="24"/>
      <c r="Y355" s="24"/>
      <c r="Z355" s="24"/>
      <c r="AA355" s="24"/>
      <c r="AB355" s="24"/>
      <c r="AC355" s="24"/>
      <c r="AE355" s="24"/>
      <c r="AF355" s="47"/>
      <c r="AG355" s="24"/>
      <c r="AH355" s="24"/>
      <c r="AI355" s="24"/>
      <c r="AJ355" s="24"/>
      <c r="AK355" s="24"/>
    </row>
    <row r="356" spans="1:37" x14ac:dyDescent="0.3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/>
      <c r="W356" s="24" t="str">
        <f>IFERROR(IF(ISBLANK(V356),"",INDEX(Gen_Vessels!$A$3:$C$495,MATCH(InspectionSite!$V356,Gen_Vessels!$C$3:$C$495,0),1)),"")</f>
        <v/>
      </c>
      <c r="X356" s="24"/>
      <c r="Y356" s="24"/>
      <c r="Z356" s="24"/>
      <c r="AA356" s="24"/>
      <c r="AB356" s="24"/>
      <c r="AC356" s="24"/>
      <c r="AE356" s="24"/>
      <c r="AF356" s="47"/>
      <c r="AG356" s="24"/>
      <c r="AH356" s="24"/>
      <c r="AI356" s="24"/>
      <c r="AJ356" s="24"/>
      <c r="AK356" s="24"/>
    </row>
    <row r="357" spans="1:37" x14ac:dyDescent="0.3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/>
      <c r="W357" s="24" t="str">
        <f>IFERROR(IF(ISBLANK(V357),"",INDEX(Gen_Vessels!$A$3:$C$495,MATCH(InspectionSite!$V357,Gen_Vessels!$C$3:$C$495,0),1)),"")</f>
        <v/>
      </c>
      <c r="X357" s="24"/>
      <c r="Y357" s="24"/>
      <c r="Z357" s="24"/>
      <c r="AA357" s="24"/>
      <c r="AB357" s="24"/>
      <c r="AC357" s="24"/>
      <c r="AE357" s="24"/>
      <c r="AF357" s="47"/>
      <c r="AG357" s="24"/>
      <c r="AH357" s="24"/>
      <c r="AI357" s="24"/>
      <c r="AJ357" s="24"/>
      <c r="AK357" s="24"/>
    </row>
    <row r="358" spans="1:37" x14ac:dyDescent="0.3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/>
      <c r="W358" s="24" t="str">
        <f>IFERROR(IF(ISBLANK(V358),"",INDEX(Gen_Vessels!$A$3:$C$495,MATCH(InspectionSite!$V358,Gen_Vessels!$C$3:$C$495,0),1)),"")</f>
        <v/>
      </c>
      <c r="X358" s="24"/>
      <c r="Y358" s="24"/>
      <c r="Z358" s="24"/>
      <c r="AA358" s="24"/>
      <c r="AB358" s="24"/>
      <c r="AC358" s="24"/>
      <c r="AE358" s="24"/>
      <c r="AF358" s="47"/>
      <c r="AG358" s="24"/>
      <c r="AH358" s="24"/>
      <c r="AI358" s="24"/>
      <c r="AJ358" s="24"/>
      <c r="AK358" s="24"/>
    </row>
    <row r="359" spans="1:37" x14ac:dyDescent="0.3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/>
      <c r="W359" s="24" t="str">
        <f>IFERROR(IF(ISBLANK(V359),"",INDEX(Gen_Vessels!$A$3:$C$495,MATCH(InspectionSite!$V359,Gen_Vessels!$C$3:$C$495,0),1)),"")</f>
        <v/>
      </c>
      <c r="X359" s="24"/>
      <c r="Y359" s="24"/>
      <c r="Z359" s="24"/>
      <c r="AA359" s="24"/>
      <c r="AB359" s="24"/>
      <c r="AC359" s="24"/>
      <c r="AE359" s="24"/>
      <c r="AF359" s="47"/>
      <c r="AG359" s="24"/>
      <c r="AH359" s="24"/>
      <c r="AI359" s="24"/>
      <c r="AJ359" s="24"/>
      <c r="AK359" s="24"/>
    </row>
    <row r="360" spans="1:37" x14ac:dyDescent="0.3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/>
      <c r="W360" s="24" t="str">
        <f>IFERROR(IF(ISBLANK(V360),"",INDEX(Gen_Vessels!$A$3:$C$495,MATCH(InspectionSite!$V360,Gen_Vessels!$C$3:$C$495,0),1)),"")</f>
        <v/>
      </c>
      <c r="X360" s="24"/>
      <c r="Y360" s="24"/>
      <c r="Z360" s="24"/>
      <c r="AA360" s="24"/>
      <c r="AB360" s="24"/>
      <c r="AC360" s="24"/>
      <c r="AE360" s="24"/>
      <c r="AF360" s="47"/>
      <c r="AG360" s="24"/>
      <c r="AH360" s="24"/>
      <c r="AI360" s="24"/>
      <c r="AJ360" s="24"/>
      <c r="AK360" s="24"/>
    </row>
    <row r="361" spans="1:37" x14ac:dyDescent="0.3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/>
      <c r="W361" s="24" t="str">
        <f>IFERROR(IF(ISBLANK(V361),"",INDEX(Gen_Vessels!$A$3:$C$495,MATCH(InspectionSite!$V361,Gen_Vessels!$C$3:$C$495,0),1)),"")</f>
        <v/>
      </c>
      <c r="X361" s="24"/>
      <c r="Y361" s="24"/>
      <c r="Z361" s="24"/>
      <c r="AA361" s="24"/>
      <c r="AB361" s="24"/>
      <c r="AC361" s="24"/>
      <c r="AE361" s="24"/>
      <c r="AF361" s="47"/>
      <c r="AG361" s="24"/>
      <c r="AH361" s="24"/>
      <c r="AI361" s="24"/>
      <c r="AJ361" s="24"/>
      <c r="AK361" s="24"/>
    </row>
    <row r="362" spans="1:37" x14ac:dyDescent="0.3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/>
      <c r="W362" s="24" t="str">
        <f>IFERROR(IF(ISBLANK(V362),"",INDEX(Gen_Vessels!$A$3:$C$495,MATCH(InspectionSite!$V362,Gen_Vessels!$C$3:$C$495,0),1)),"")</f>
        <v/>
      </c>
      <c r="X362" s="24"/>
      <c r="Y362" s="24"/>
      <c r="Z362" s="24"/>
      <c r="AA362" s="24"/>
      <c r="AB362" s="24"/>
      <c r="AC362" s="24"/>
      <c r="AE362" s="24"/>
      <c r="AF362" s="47"/>
      <c r="AG362" s="24"/>
      <c r="AH362" s="24"/>
      <c r="AI362" s="24"/>
      <c r="AJ362" s="24"/>
      <c r="AK362" s="24"/>
    </row>
    <row r="363" spans="1:37" x14ac:dyDescent="0.3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/>
      <c r="W363" s="24" t="str">
        <f>IFERROR(IF(ISBLANK(V363),"",INDEX(Gen_Vessels!$A$3:$C$495,MATCH(InspectionSite!$V363,Gen_Vessels!$C$3:$C$495,0),1)),"")</f>
        <v/>
      </c>
      <c r="X363" s="24"/>
      <c r="Y363" s="24"/>
      <c r="Z363" s="24"/>
      <c r="AA363" s="24"/>
      <c r="AB363" s="24"/>
      <c r="AC363" s="24"/>
      <c r="AE363" s="24"/>
      <c r="AF363" s="47"/>
      <c r="AG363" s="24"/>
      <c r="AH363" s="24"/>
      <c r="AI363" s="24"/>
      <c r="AJ363" s="24"/>
      <c r="AK363" s="24"/>
    </row>
    <row r="364" spans="1:37" x14ac:dyDescent="0.3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/>
      <c r="W364" s="24" t="str">
        <f>IFERROR(IF(ISBLANK(V364),"",INDEX(Gen_Vessels!$A$3:$C$495,MATCH(InspectionSite!$V364,Gen_Vessels!$C$3:$C$495,0),1)),"")</f>
        <v/>
      </c>
      <c r="X364" s="24"/>
      <c r="Y364" s="24"/>
      <c r="Z364" s="24"/>
      <c r="AA364" s="24"/>
      <c r="AB364" s="24"/>
      <c r="AC364" s="24"/>
      <c r="AE364" s="24"/>
      <c r="AF364" s="47"/>
      <c r="AG364" s="24"/>
      <c r="AH364" s="24"/>
      <c r="AI364" s="24"/>
      <c r="AJ364" s="24"/>
      <c r="AK364" s="24"/>
    </row>
    <row r="365" spans="1:37" x14ac:dyDescent="0.3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/>
      <c r="W365" s="24" t="str">
        <f>IFERROR(IF(ISBLANK(V365),"",INDEX(Gen_Vessels!$A$3:$C$495,MATCH(InspectionSite!$V365,Gen_Vessels!$C$3:$C$495,0),1)),"")</f>
        <v/>
      </c>
      <c r="X365" s="24"/>
      <c r="Y365" s="24"/>
      <c r="Z365" s="24"/>
      <c r="AA365" s="24"/>
      <c r="AB365" s="24"/>
      <c r="AC365" s="24"/>
      <c r="AE365" s="24"/>
      <c r="AF365" s="47"/>
      <c r="AG365" s="24"/>
      <c r="AH365" s="24"/>
      <c r="AI365" s="24"/>
      <c r="AJ365" s="24"/>
      <c r="AK365" s="24"/>
    </row>
    <row r="366" spans="1:37" x14ac:dyDescent="0.3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/>
      <c r="W366" s="24" t="str">
        <f>IFERROR(IF(ISBLANK(V366),"",INDEX(Gen_Vessels!$A$3:$C$495,MATCH(InspectionSite!$V366,Gen_Vessels!$C$3:$C$495,0),1)),"")</f>
        <v/>
      </c>
      <c r="X366" s="24"/>
      <c r="Y366" s="24"/>
      <c r="Z366" s="24"/>
      <c r="AA366" s="24"/>
      <c r="AB366" s="24"/>
      <c r="AC366" s="24"/>
      <c r="AE366" s="24"/>
      <c r="AF366" s="47"/>
      <c r="AG366" s="24"/>
      <c r="AH366" s="24"/>
      <c r="AI366" s="24"/>
      <c r="AJ366" s="24"/>
      <c r="AK366" s="24"/>
    </row>
    <row r="367" spans="1:37" x14ac:dyDescent="0.3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/>
      <c r="W367" s="24" t="str">
        <f>IFERROR(IF(ISBLANK(V367),"",INDEX(Gen_Vessels!$A$3:$C$495,MATCH(InspectionSite!$V367,Gen_Vessels!$C$3:$C$495,0),1)),"")</f>
        <v/>
      </c>
      <c r="X367" s="24"/>
      <c r="Y367" s="24"/>
      <c r="Z367" s="24"/>
      <c r="AA367" s="24"/>
      <c r="AB367" s="24"/>
      <c r="AC367" s="24"/>
      <c r="AE367" s="24"/>
      <c r="AF367" s="47"/>
      <c r="AG367" s="24"/>
      <c r="AH367" s="24"/>
      <c r="AI367" s="24"/>
      <c r="AJ367" s="24"/>
      <c r="AK367" s="24"/>
    </row>
    <row r="368" spans="1:37" x14ac:dyDescent="0.3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/>
      <c r="W368" s="24" t="str">
        <f>IFERROR(IF(ISBLANK(V368),"",INDEX(Gen_Vessels!$A$3:$C$495,MATCH(InspectionSite!$V368,Gen_Vessels!$C$3:$C$495,0),1)),"")</f>
        <v/>
      </c>
      <c r="X368" s="24"/>
      <c r="Y368" s="24"/>
      <c r="Z368" s="24"/>
      <c r="AA368" s="24"/>
      <c r="AB368" s="24"/>
      <c r="AC368" s="24"/>
      <c r="AE368" s="24"/>
      <c r="AF368" s="47"/>
      <c r="AG368" s="24"/>
      <c r="AH368" s="24"/>
      <c r="AI368" s="24"/>
      <c r="AJ368" s="24"/>
      <c r="AK368" s="24"/>
    </row>
    <row r="369" spans="1:37" x14ac:dyDescent="0.3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/>
      <c r="W369" s="24" t="str">
        <f>IFERROR(IF(ISBLANK(V369),"",INDEX(Gen_Vessels!$A$3:$C$495,MATCH(InspectionSite!$V369,Gen_Vessels!$C$3:$C$495,0),1)),"")</f>
        <v/>
      </c>
      <c r="X369" s="24"/>
      <c r="Y369" s="24"/>
      <c r="Z369" s="24"/>
      <c r="AA369" s="24"/>
      <c r="AB369" s="24"/>
      <c r="AC369" s="24"/>
      <c r="AE369" s="24"/>
      <c r="AF369" s="47"/>
      <c r="AG369" s="24"/>
      <c r="AH369" s="24"/>
      <c r="AI369" s="24"/>
      <c r="AJ369" s="24"/>
      <c r="AK369" s="24"/>
    </row>
    <row r="370" spans="1:37" x14ac:dyDescent="0.3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/>
      <c r="W370" s="24" t="str">
        <f>IFERROR(IF(ISBLANK(V370),"",INDEX(Gen_Vessels!$A$3:$C$495,MATCH(InspectionSite!$V370,Gen_Vessels!$C$3:$C$495,0),1)),"")</f>
        <v/>
      </c>
      <c r="X370" s="24"/>
      <c r="Y370" s="24"/>
      <c r="Z370" s="24"/>
      <c r="AA370" s="24"/>
      <c r="AB370" s="24"/>
      <c r="AC370" s="24"/>
      <c r="AE370" s="24"/>
      <c r="AF370" s="47"/>
      <c r="AG370" s="24"/>
      <c r="AH370" s="24"/>
      <c r="AI370" s="24"/>
      <c r="AJ370" s="24"/>
      <c r="AK370" s="24"/>
    </row>
    <row r="371" spans="1:37" x14ac:dyDescent="0.3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/>
      <c r="W371" s="24" t="str">
        <f>IFERROR(IF(ISBLANK(V371),"",INDEX(Gen_Vessels!$A$3:$C$495,MATCH(InspectionSite!$V371,Gen_Vessels!$C$3:$C$495,0),1)),"")</f>
        <v/>
      </c>
      <c r="X371" s="24"/>
      <c r="Y371" s="24"/>
      <c r="Z371" s="24"/>
      <c r="AA371" s="24"/>
      <c r="AB371" s="24"/>
      <c r="AC371" s="24"/>
      <c r="AE371" s="24"/>
      <c r="AF371" s="47"/>
      <c r="AG371" s="24"/>
      <c r="AH371" s="24"/>
      <c r="AI371" s="24"/>
      <c r="AJ371" s="24"/>
      <c r="AK371" s="24"/>
    </row>
    <row r="372" spans="1:37" x14ac:dyDescent="0.3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/>
      <c r="W372" s="24" t="str">
        <f>IFERROR(IF(ISBLANK(V372),"",INDEX(Gen_Vessels!$A$3:$C$495,MATCH(InspectionSite!$V372,Gen_Vessels!$C$3:$C$495,0),1)),"")</f>
        <v/>
      </c>
      <c r="X372" s="24"/>
      <c r="Y372" s="24"/>
      <c r="Z372" s="24"/>
      <c r="AA372" s="24"/>
      <c r="AB372" s="24"/>
      <c r="AC372" s="24"/>
      <c r="AE372" s="24"/>
      <c r="AF372" s="47"/>
      <c r="AG372" s="24"/>
      <c r="AH372" s="24"/>
      <c r="AI372" s="24"/>
      <c r="AJ372" s="24"/>
      <c r="AK372" s="24"/>
    </row>
    <row r="373" spans="1:37" x14ac:dyDescent="0.3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/>
      <c r="W373" s="24" t="str">
        <f>IFERROR(IF(ISBLANK(V373),"",INDEX(Gen_Vessels!$A$3:$C$495,MATCH(InspectionSite!$V373,Gen_Vessels!$C$3:$C$495,0),1)),"")</f>
        <v/>
      </c>
      <c r="X373" s="24"/>
      <c r="Y373" s="24"/>
      <c r="Z373" s="24"/>
      <c r="AA373" s="24"/>
      <c r="AB373" s="24"/>
      <c r="AC373" s="24"/>
      <c r="AE373" s="24"/>
      <c r="AF373" s="47"/>
      <c r="AG373" s="24"/>
      <c r="AH373" s="24"/>
      <c r="AI373" s="24"/>
      <c r="AJ373" s="24"/>
      <c r="AK373" s="24"/>
    </row>
    <row r="374" spans="1:37" x14ac:dyDescent="0.3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/>
      <c r="W374" s="24" t="str">
        <f>IFERROR(IF(ISBLANK(V374),"",INDEX(Gen_Vessels!$A$3:$C$495,MATCH(InspectionSite!$V374,Gen_Vessels!$C$3:$C$495,0),1)),"")</f>
        <v/>
      </c>
      <c r="X374" s="24"/>
      <c r="Y374" s="24"/>
      <c r="Z374" s="24"/>
      <c r="AA374" s="24"/>
      <c r="AB374" s="24"/>
      <c r="AC374" s="24"/>
      <c r="AE374" s="24"/>
      <c r="AF374" s="47"/>
      <c r="AG374" s="24"/>
      <c r="AH374" s="24"/>
      <c r="AI374" s="24"/>
      <c r="AJ374" s="24"/>
      <c r="AK374" s="24"/>
    </row>
    <row r="375" spans="1:37" x14ac:dyDescent="0.3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/>
      <c r="W375" s="24" t="str">
        <f>IFERROR(IF(ISBLANK(V375),"",INDEX(Gen_Vessels!$A$3:$C$495,MATCH(InspectionSite!$V375,Gen_Vessels!$C$3:$C$495,0),1)),"")</f>
        <v/>
      </c>
      <c r="X375" s="24"/>
      <c r="Y375" s="24"/>
      <c r="Z375" s="24"/>
      <c r="AA375" s="24"/>
      <c r="AB375" s="24"/>
      <c r="AC375" s="24"/>
      <c r="AE375" s="24"/>
      <c r="AF375" s="47"/>
      <c r="AG375" s="24"/>
      <c r="AH375" s="24"/>
      <c r="AI375" s="24"/>
      <c r="AJ375" s="24"/>
      <c r="AK375" s="24"/>
    </row>
    <row r="376" spans="1:37" x14ac:dyDescent="0.3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/>
      <c r="W376" s="24" t="str">
        <f>IFERROR(IF(ISBLANK(V376),"",INDEX(Gen_Vessels!$A$3:$C$495,MATCH(InspectionSite!$V376,Gen_Vessels!$C$3:$C$495,0),1)),"")</f>
        <v/>
      </c>
      <c r="X376" s="24"/>
      <c r="Y376" s="24"/>
      <c r="Z376" s="24"/>
      <c r="AA376" s="24"/>
      <c r="AB376" s="24"/>
      <c r="AC376" s="24"/>
      <c r="AE376" s="24"/>
      <c r="AF376" s="47"/>
      <c r="AG376" s="24"/>
      <c r="AH376" s="24"/>
      <c r="AI376" s="24"/>
      <c r="AJ376" s="24"/>
      <c r="AK376" s="24"/>
    </row>
    <row r="377" spans="1:37" x14ac:dyDescent="0.3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/>
      <c r="W377" s="24" t="str">
        <f>IFERROR(IF(ISBLANK(V377),"",INDEX(Gen_Vessels!$A$3:$C$495,MATCH(InspectionSite!$V377,Gen_Vessels!$C$3:$C$495,0),1)),"")</f>
        <v/>
      </c>
      <c r="X377" s="24"/>
      <c r="Y377" s="24"/>
      <c r="Z377" s="24"/>
      <c r="AA377" s="24"/>
      <c r="AB377" s="24"/>
      <c r="AC377" s="24"/>
      <c r="AE377" s="24"/>
      <c r="AF377" s="47"/>
      <c r="AG377" s="24"/>
      <c r="AH377" s="24"/>
      <c r="AI377" s="24"/>
      <c r="AJ377" s="24"/>
      <c r="AK377" s="24"/>
    </row>
    <row r="378" spans="1:37" x14ac:dyDescent="0.3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/>
      <c r="W378" s="24" t="str">
        <f>IFERROR(IF(ISBLANK(V378),"",INDEX(Gen_Vessels!$A$3:$C$495,MATCH(InspectionSite!$V378,Gen_Vessels!$C$3:$C$495,0),1)),"")</f>
        <v/>
      </c>
      <c r="X378" s="24"/>
      <c r="Y378" s="24"/>
      <c r="Z378" s="24"/>
      <c r="AA378" s="24"/>
      <c r="AB378" s="24"/>
      <c r="AC378" s="24"/>
      <c r="AE378" s="24"/>
      <c r="AF378" s="47"/>
      <c r="AG378" s="24"/>
      <c r="AH378" s="24"/>
      <c r="AI378" s="24"/>
      <c r="AJ378" s="24"/>
      <c r="AK378" s="24"/>
    </row>
    <row r="379" spans="1:37" x14ac:dyDescent="0.3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/>
      <c r="W379" s="24" t="str">
        <f>IFERROR(IF(ISBLANK(V379),"",INDEX(Gen_Vessels!$A$3:$C$495,MATCH(InspectionSite!$V379,Gen_Vessels!$C$3:$C$495,0),1)),"")</f>
        <v/>
      </c>
      <c r="X379" s="24"/>
      <c r="Y379" s="24"/>
      <c r="Z379" s="24"/>
      <c r="AA379" s="24"/>
      <c r="AB379" s="24"/>
      <c r="AC379" s="24"/>
      <c r="AE379" s="24"/>
      <c r="AF379" s="47"/>
      <c r="AG379" s="24"/>
      <c r="AH379" s="24"/>
      <c r="AI379" s="24"/>
      <c r="AJ379" s="24"/>
      <c r="AK379" s="24"/>
    </row>
    <row r="380" spans="1:37" x14ac:dyDescent="0.3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/>
      <c r="W380" s="24" t="str">
        <f>IFERROR(IF(ISBLANK(V380),"",INDEX(Gen_Vessels!$A$3:$C$495,MATCH(InspectionSite!$V380,Gen_Vessels!$C$3:$C$495,0),1)),"")</f>
        <v/>
      </c>
      <c r="X380" s="24"/>
      <c r="Y380" s="24"/>
      <c r="Z380" s="24"/>
      <c r="AA380" s="24"/>
      <c r="AB380" s="24"/>
      <c r="AC380" s="24"/>
      <c r="AE380" s="24"/>
      <c r="AF380" s="47"/>
      <c r="AG380" s="24"/>
      <c r="AH380" s="24"/>
      <c r="AI380" s="24"/>
      <c r="AJ380" s="24"/>
      <c r="AK380" s="24"/>
    </row>
    <row r="381" spans="1:37" x14ac:dyDescent="0.3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/>
      <c r="W381" s="24" t="str">
        <f>IFERROR(IF(ISBLANK(V381),"",INDEX(Gen_Vessels!$A$3:$C$495,MATCH(InspectionSite!$V381,Gen_Vessels!$C$3:$C$495,0),1)),"")</f>
        <v/>
      </c>
      <c r="X381" s="24"/>
      <c r="Y381" s="24"/>
      <c r="Z381" s="24"/>
      <c r="AA381" s="24"/>
      <c r="AB381" s="24"/>
      <c r="AC381" s="24"/>
      <c r="AE381" s="24"/>
      <c r="AF381" s="47"/>
      <c r="AG381" s="24"/>
      <c r="AH381" s="24"/>
      <c r="AI381" s="24"/>
      <c r="AJ381" s="24"/>
      <c r="AK381" s="24"/>
    </row>
    <row r="382" spans="1:37" x14ac:dyDescent="0.3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/>
      <c r="W382" s="24" t="str">
        <f>IFERROR(IF(ISBLANK(V382),"",INDEX(Gen_Vessels!$A$3:$C$495,MATCH(InspectionSite!$V382,Gen_Vessels!$C$3:$C$495,0),1)),"")</f>
        <v/>
      </c>
      <c r="X382" s="24"/>
      <c r="Y382" s="24"/>
      <c r="Z382" s="24"/>
      <c r="AA382" s="24"/>
      <c r="AB382" s="24"/>
      <c r="AC382" s="24"/>
      <c r="AE382" s="24"/>
      <c r="AF382" s="47"/>
      <c r="AG382" s="24"/>
      <c r="AH382" s="24"/>
      <c r="AI382" s="24"/>
      <c r="AJ382" s="24"/>
      <c r="AK382" s="24"/>
    </row>
    <row r="383" spans="1:37" x14ac:dyDescent="0.3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/>
      <c r="W383" s="24" t="str">
        <f>IFERROR(IF(ISBLANK(V383),"",INDEX(Gen_Vessels!$A$3:$C$495,MATCH(InspectionSite!$V383,Gen_Vessels!$C$3:$C$495,0),1)),"")</f>
        <v/>
      </c>
      <c r="X383" s="24"/>
      <c r="Y383" s="24"/>
      <c r="Z383" s="24"/>
      <c r="AA383" s="24"/>
      <c r="AB383" s="24"/>
      <c r="AC383" s="24"/>
      <c r="AE383" s="24"/>
      <c r="AF383" s="47"/>
      <c r="AG383" s="24"/>
      <c r="AH383" s="24"/>
      <c r="AI383" s="24"/>
      <c r="AJ383" s="24"/>
      <c r="AK383" s="24"/>
    </row>
    <row r="384" spans="1:37" x14ac:dyDescent="0.3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/>
      <c r="W384" s="24" t="str">
        <f>IFERROR(IF(ISBLANK(V384),"",INDEX(Gen_Vessels!$A$3:$C$495,MATCH(InspectionSite!$V384,Gen_Vessels!$C$3:$C$495,0),1)),"")</f>
        <v/>
      </c>
      <c r="X384" s="24"/>
      <c r="Y384" s="24"/>
      <c r="Z384" s="24"/>
      <c r="AA384" s="24"/>
      <c r="AB384" s="24"/>
      <c r="AC384" s="24"/>
      <c r="AE384" s="24"/>
      <c r="AF384" s="47"/>
      <c r="AG384" s="24"/>
      <c r="AH384" s="24"/>
      <c r="AI384" s="24"/>
      <c r="AJ384" s="24"/>
      <c r="AK384" s="24"/>
    </row>
    <row r="385" spans="1:37" x14ac:dyDescent="0.3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/>
      <c r="W385" s="24" t="str">
        <f>IFERROR(IF(ISBLANK(V385),"",INDEX(Gen_Vessels!$A$3:$C$495,MATCH(InspectionSite!$V385,Gen_Vessels!$C$3:$C$495,0),1)),"")</f>
        <v/>
      </c>
      <c r="X385" s="24"/>
      <c r="Y385" s="24"/>
      <c r="Z385" s="24"/>
      <c r="AA385" s="24"/>
      <c r="AB385" s="24"/>
      <c r="AC385" s="24"/>
      <c r="AE385" s="24"/>
      <c r="AF385" s="47"/>
      <c r="AG385" s="24"/>
      <c r="AH385" s="24"/>
      <c r="AI385" s="24"/>
      <c r="AJ385" s="24"/>
      <c r="AK385" s="24"/>
    </row>
    <row r="386" spans="1:37" x14ac:dyDescent="0.3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/>
      <c r="W386" s="24" t="str">
        <f>IFERROR(IF(ISBLANK(V386),"",INDEX(Gen_Vessels!$A$3:$C$495,MATCH(InspectionSite!$V386,Gen_Vessels!$C$3:$C$495,0),1)),"")</f>
        <v/>
      </c>
      <c r="X386" s="24"/>
      <c r="Y386" s="24"/>
      <c r="Z386" s="24"/>
      <c r="AA386" s="24"/>
      <c r="AB386" s="24"/>
      <c r="AC386" s="24"/>
      <c r="AE386" s="24"/>
      <c r="AF386" s="47"/>
      <c r="AG386" s="24"/>
      <c r="AH386" s="24"/>
      <c r="AI386" s="24"/>
      <c r="AJ386" s="24"/>
      <c r="AK386" s="24"/>
    </row>
    <row r="387" spans="1:37" x14ac:dyDescent="0.3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/>
      <c r="W387" s="24" t="str">
        <f>IFERROR(IF(ISBLANK(V387),"",INDEX(Gen_Vessels!$A$3:$C$495,MATCH(InspectionSite!$V387,Gen_Vessels!$C$3:$C$495,0),1)),"")</f>
        <v/>
      </c>
      <c r="X387" s="24"/>
      <c r="Y387" s="24"/>
      <c r="Z387" s="24"/>
      <c r="AA387" s="24"/>
      <c r="AB387" s="24"/>
      <c r="AC387" s="24"/>
      <c r="AE387" s="24"/>
      <c r="AF387" s="47"/>
      <c r="AG387" s="24"/>
      <c r="AH387" s="24"/>
      <c r="AI387" s="24"/>
      <c r="AJ387" s="24"/>
      <c r="AK387" s="24"/>
    </row>
    <row r="388" spans="1:37" x14ac:dyDescent="0.3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/>
      <c r="W388" s="24" t="str">
        <f>IFERROR(IF(ISBLANK(V388),"",INDEX(Gen_Vessels!$A$3:$C$495,MATCH(InspectionSite!$V388,Gen_Vessels!$C$3:$C$495,0),1)),"")</f>
        <v/>
      </c>
      <c r="X388" s="24"/>
      <c r="Y388" s="24"/>
      <c r="Z388" s="24"/>
      <c r="AA388" s="24"/>
      <c r="AB388" s="24"/>
      <c r="AC388" s="24"/>
      <c r="AE388" s="24"/>
      <c r="AF388" s="47"/>
      <c r="AG388" s="24"/>
      <c r="AH388" s="24"/>
      <c r="AI388" s="24"/>
      <c r="AJ388" s="24"/>
      <c r="AK388" s="24"/>
    </row>
    <row r="389" spans="1:37" x14ac:dyDescent="0.3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/>
      <c r="W389" s="24" t="str">
        <f>IFERROR(IF(ISBLANK(V389),"",INDEX(Gen_Vessels!$A$3:$C$495,MATCH(InspectionSite!$V389,Gen_Vessels!$C$3:$C$495,0),1)),"")</f>
        <v/>
      </c>
      <c r="X389" s="24"/>
      <c r="Y389" s="24"/>
      <c r="Z389" s="24"/>
      <c r="AA389" s="24"/>
      <c r="AB389" s="24"/>
      <c r="AC389" s="24"/>
      <c r="AE389" s="24"/>
      <c r="AF389" s="47"/>
      <c r="AG389" s="24"/>
      <c r="AH389" s="24"/>
      <c r="AI389" s="24"/>
      <c r="AJ389" s="24"/>
      <c r="AK389" s="24"/>
    </row>
    <row r="390" spans="1:37" x14ac:dyDescent="0.3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/>
      <c r="W390" s="24" t="str">
        <f>IFERROR(IF(ISBLANK(V390),"",INDEX(Gen_Vessels!$A$3:$C$495,MATCH(InspectionSite!$V390,Gen_Vessels!$C$3:$C$495,0),1)),"")</f>
        <v/>
      </c>
      <c r="X390" s="24"/>
      <c r="Y390" s="24"/>
      <c r="Z390" s="24"/>
      <c r="AA390" s="24"/>
      <c r="AB390" s="24"/>
      <c r="AC390" s="24"/>
      <c r="AE390" s="24"/>
      <c r="AF390" s="47"/>
      <c r="AG390" s="24"/>
      <c r="AH390" s="24"/>
      <c r="AI390" s="24"/>
      <c r="AJ390" s="24"/>
      <c r="AK390" s="24"/>
    </row>
    <row r="391" spans="1:37" x14ac:dyDescent="0.3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/>
      <c r="W391" s="24" t="str">
        <f>IFERROR(IF(ISBLANK(V391),"",INDEX(Gen_Vessels!$A$3:$C$495,MATCH(InspectionSite!$V391,Gen_Vessels!$C$3:$C$495,0),1)),"")</f>
        <v/>
      </c>
      <c r="X391" s="24"/>
      <c r="Y391" s="24"/>
      <c r="Z391" s="24"/>
      <c r="AA391" s="24"/>
      <c r="AB391" s="24"/>
      <c r="AC391" s="24"/>
      <c r="AE391" s="24"/>
      <c r="AF391" s="47"/>
      <c r="AG391" s="24"/>
      <c r="AH391" s="24"/>
      <c r="AI391" s="24"/>
      <c r="AJ391" s="24"/>
      <c r="AK391" s="24"/>
    </row>
    <row r="392" spans="1:37" x14ac:dyDescent="0.3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/>
      <c r="W392" s="24" t="str">
        <f>IFERROR(IF(ISBLANK(V392),"",INDEX(Gen_Vessels!$A$3:$C$495,MATCH(InspectionSite!$V392,Gen_Vessels!$C$3:$C$495,0),1)),"")</f>
        <v/>
      </c>
      <c r="X392" s="24"/>
      <c r="Y392" s="24"/>
      <c r="Z392" s="24"/>
      <c r="AA392" s="24"/>
      <c r="AB392" s="24"/>
      <c r="AC392" s="24"/>
      <c r="AE392" s="24"/>
      <c r="AF392" s="47"/>
      <c r="AG392" s="24"/>
      <c r="AH392" s="24"/>
      <c r="AI392" s="24"/>
      <c r="AJ392" s="24"/>
      <c r="AK392" s="24"/>
    </row>
    <row r="393" spans="1:37" x14ac:dyDescent="0.3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/>
      <c r="W393" s="24" t="str">
        <f>IFERROR(IF(ISBLANK(V393),"",INDEX(Gen_Vessels!$A$3:$C$495,MATCH(InspectionSite!$V393,Gen_Vessels!$C$3:$C$495,0),1)),"")</f>
        <v/>
      </c>
      <c r="X393" s="24"/>
      <c r="Y393" s="24"/>
      <c r="Z393" s="24"/>
      <c r="AA393" s="24"/>
      <c r="AB393" s="24"/>
      <c r="AC393" s="24"/>
      <c r="AE393" s="24"/>
      <c r="AF393" s="47"/>
      <c r="AG393" s="24"/>
      <c r="AH393" s="24"/>
      <c r="AI393" s="24"/>
      <c r="AJ393" s="24"/>
      <c r="AK393" s="24"/>
    </row>
    <row r="394" spans="1:37" x14ac:dyDescent="0.3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/>
      <c r="W394" s="24" t="str">
        <f>IFERROR(IF(ISBLANK(V394),"",INDEX(Gen_Vessels!$A$3:$C$495,MATCH(InspectionSite!$V394,Gen_Vessels!$C$3:$C$495,0),1)),"")</f>
        <v/>
      </c>
      <c r="X394" s="24"/>
      <c r="Y394" s="24"/>
      <c r="Z394" s="24"/>
      <c r="AA394" s="24"/>
      <c r="AB394" s="24"/>
      <c r="AC394" s="24"/>
      <c r="AE394" s="24"/>
      <c r="AF394" s="47"/>
      <c r="AG394" s="24"/>
      <c r="AH394" s="24"/>
      <c r="AI394" s="24"/>
      <c r="AJ394" s="24"/>
      <c r="AK394" s="24"/>
    </row>
    <row r="395" spans="1:37" x14ac:dyDescent="0.3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/>
      <c r="W395" s="24" t="str">
        <f>IFERROR(IF(ISBLANK(V395),"",INDEX(Gen_Vessels!$A$3:$C$495,MATCH(InspectionSite!$V395,Gen_Vessels!$C$3:$C$495,0),1)),"")</f>
        <v/>
      </c>
      <c r="X395" s="24"/>
      <c r="Y395" s="24"/>
      <c r="Z395" s="24"/>
      <c r="AA395" s="24"/>
      <c r="AB395" s="24"/>
      <c r="AC395" s="24"/>
      <c r="AE395" s="24"/>
      <c r="AF395" s="47"/>
      <c r="AG395" s="24"/>
      <c r="AH395" s="24"/>
      <c r="AI395" s="24"/>
      <c r="AJ395" s="24"/>
      <c r="AK395" s="24"/>
    </row>
    <row r="396" spans="1:37" x14ac:dyDescent="0.3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/>
      <c r="W396" s="24" t="str">
        <f>IFERROR(IF(ISBLANK(V396),"",INDEX(Gen_Vessels!$A$3:$C$495,MATCH(InspectionSite!$V396,Gen_Vessels!$C$3:$C$495,0),1)),"")</f>
        <v/>
      </c>
      <c r="X396" s="24"/>
      <c r="Y396" s="24"/>
      <c r="Z396" s="24"/>
      <c r="AA396" s="24"/>
      <c r="AB396" s="24"/>
      <c r="AC396" s="24"/>
      <c r="AE396" s="24"/>
      <c r="AF396" s="47"/>
      <c r="AG396" s="24"/>
      <c r="AH396" s="24"/>
      <c r="AI396" s="24"/>
      <c r="AJ396" s="24"/>
      <c r="AK396" s="24"/>
    </row>
    <row r="397" spans="1:37" x14ac:dyDescent="0.3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/>
      <c r="W397" s="24" t="str">
        <f>IFERROR(IF(ISBLANK(V397),"",INDEX(Gen_Vessels!$A$3:$C$495,MATCH(InspectionSite!$V397,Gen_Vessels!$C$3:$C$495,0),1)),"")</f>
        <v/>
      </c>
      <c r="X397" s="24"/>
      <c r="Y397" s="24"/>
      <c r="Z397" s="24"/>
      <c r="AA397" s="24"/>
      <c r="AB397" s="24"/>
      <c r="AC397" s="24"/>
      <c r="AE397" s="24"/>
      <c r="AF397" s="47"/>
      <c r="AG397" s="24"/>
      <c r="AH397" s="24"/>
      <c r="AI397" s="24"/>
      <c r="AJ397" s="24"/>
      <c r="AK397" s="24"/>
    </row>
    <row r="398" spans="1:37" x14ac:dyDescent="0.3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/>
      <c r="W398" s="24" t="str">
        <f>IFERROR(IF(ISBLANK(V398),"",INDEX(Gen_Vessels!$A$3:$C$495,MATCH(InspectionSite!$V398,Gen_Vessels!$C$3:$C$495,0),1)),"")</f>
        <v/>
      </c>
      <c r="X398" s="24"/>
      <c r="Y398" s="24"/>
      <c r="Z398" s="24"/>
      <c r="AA398" s="24"/>
      <c r="AB398" s="24"/>
      <c r="AC398" s="24"/>
      <c r="AE398" s="24"/>
      <c r="AF398" s="47"/>
      <c r="AG398" s="24"/>
      <c r="AH398" s="24"/>
      <c r="AI398" s="24"/>
      <c r="AJ398" s="24"/>
      <c r="AK398" s="24"/>
    </row>
    <row r="399" spans="1:37" x14ac:dyDescent="0.3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/>
      <c r="W399" s="24" t="str">
        <f>IFERROR(IF(ISBLANK(V399),"",INDEX(Gen_Vessels!$A$3:$C$495,MATCH(InspectionSite!$V399,Gen_Vessels!$C$3:$C$495,0),1)),"")</f>
        <v/>
      </c>
      <c r="X399" s="24"/>
      <c r="Y399" s="24"/>
      <c r="Z399" s="24"/>
      <c r="AA399" s="24"/>
      <c r="AB399" s="24"/>
      <c r="AC399" s="24"/>
      <c r="AE399" s="24"/>
      <c r="AF399" s="47"/>
      <c r="AG399" s="24"/>
      <c r="AH399" s="24"/>
      <c r="AI399" s="24"/>
      <c r="AJ399" s="24"/>
      <c r="AK399" s="24"/>
    </row>
    <row r="400" spans="1:37" x14ac:dyDescent="0.3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/>
      <c r="W400" s="24" t="str">
        <f>IFERROR(IF(ISBLANK(V400),"",INDEX(Gen_Vessels!$A$3:$C$495,MATCH(InspectionSite!$V400,Gen_Vessels!$C$3:$C$495,0),1)),"")</f>
        <v/>
      </c>
      <c r="X400" s="24"/>
      <c r="Y400" s="24"/>
      <c r="Z400" s="24"/>
      <c r="AA400" s="24"/>
      <c r="AB400" s="24"/>
      <c r="AC400" s="24"/>
      <c r="AE400" s="24"/>
      <c r="AF400" s="47"/>
      <c r="AG400" s="24"/>
      <c r="AH400" s="24"/>
      <c r="AI400" s="24"/>
      <c r="AJ400" s="24"/>
      <c r="AK400" s="24"/>
    </row>
    <row r="401" spans="1:37" x14ac:dyDescent="0.3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/>
      <c r="W401" s="24" t="str">
        <f>IFERROR(IF(ISBLANK(V401),"",INDEX(Gen_Vessels!$A$3:$C$495,MATCH(InspectionSite!$V401,Gen_Vessels!$C$3:$C$495,0),1)),"")</f>
        <v/>
      </c>
      <c r="X401" s="24"/>
      <c r="Y401" s="24"/>
      <c r="Z401" s="24"/>
      <c r="AA401" s="24"/>
      <c r="AB401" s="24"/>
      <c r="AC401" s="24"/>
      <c r="AE401" s="24"/>
      <c r="AF401" s="47"/>
      <c r="AG401" s="24"/>
      <c r="AH401" s="24"/>
      <c r="AI401" s="24"/>
      <c r="AJ401" s="24"/>
      <c r="AK401" s="24"/>
    </row>
    <row r="402" spans="1:37" x14ac:dyDescent="0.3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/>
      <c r="W402" s="24" t="str">
        <f>IFERROR(IF(ISBLANK(V402),"",INDEX(Gen_Vessels!$A$3:$C$495,MATCH(InspectionSite!$V402,Gen_Vessels!$C$3:$C$495,0),1)),"")</f>
        <v/>
      </c>
      <c r="X402" s="24"/>
      <c r="Y402" s="24"/>
      <c r="Z402" s="24"/>
      <c r="AA402" s="24"/>
      <c r="AB402" s="24"/>
      <c r="AC402" s="24"/>
      <c r="AE402" s="24"/>
      <c r="AF402" s="47"/>
      <c r="AG402" s="24"/>
      <c r="AH402" s="24"/>
      <c r="AI402" s="24"/>
      <c r="AJ402" s="24"/>
      <c r="AK402" s="24"/>
    </row>
    <row r="403" spans="1:37" x14ac:dyDescent="0.3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/>
      <c r="W403" s="24" t="str">
        <f>IFERROR(IF(ISBLANK(V403),"",INDEX(Gen_Vessels!$A$3:$C$495,MATCH(InspectionSite!$V403,Gen_Vessels!$C$3:$C$495,0),1)),"")</f>
        <v/>
      </c>
      <c r="X403" s="24"/>
      <c r="Y403" s="24"/>
      <c r="Z403" s="24"/>
      <c r="AA403" s="24"/>
      <c r="AB403" s="24"/>
      <c r="AC403" s="24"/>
      <c r="AE403" s="24"/>
      <c r="AF403" s="47"/>
      <c r="AG403" s="24"/>
      <c r="AH403" s="24"/>
      <c r="AI403" s="24"/>
      <c r="AJ403" s="24"/>
      <c r="AK403" s="24"/>
    </row>
    <row r="404" spans="1:37" x14ac:dyDescent="0.3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/>
      <c r="W404" s="24" t="str">
        <f>IFERROR(IF(ISBLANK(V404),"",INDEX(Gen_Vessels!$A$3:$C$495,MATCH(InspectionSite!$V404,Gen_Vessels!$C$3:$C$495,0),1)),"")</f>
        <v/>
      </c>
      <c r="X404" s="24"/>
      <c r="Y404" s="24"/>
      <c r="Z404" s="24"/>
      <c r="AA404" s="24"/>
      <c r="AB404" s="24"/>
      <c r="AC404" s="24"/>
      <c r="AE404" s="24"/>
      <c r="AF404" s="47"/>
      <c r="AG404" s="24"/>
      <c r="AH404" s="24"/>
      <c r="AI404" s="24"/>
      <c r="AJ404" s="24"/>
      <c r="AK404" s="24"/>
    </row>
    <row r="405" spans="1:37" x14ac:dyDescent="0.3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/>
      <c r="W405" s="24" t="str">
        <f>IFERROR(IF(ISBLANK(V405),"",INDEX(Gen_Vessels!$A$3:$C$495,MATCH(InspectionSite!$V405,Gen_Vessels!$C$3:$C$495,0),1)),"")</f>
        <v/>
      </c>
      <c r="X405" s="24"/>
      <c r="Y405" s="24"/>
      <c r="Z405" s="24"/>
      <c r="AA405" s="24"/>
      <c r="AB405" s="24"/>
      <c r="AC405" s="24"/>
      <c r="AE405" s="24"/>
      <c r="AF405" s="47"/>
      <c r="AG405" s="24"/>
      <c r="AH405" s="24"/>
      <c r="AI405" s="24"/>
      <c r="AJ405" s="24"/>
      <c r="AK405" s="24"/>
    </row>
    <row r="406" spans="1:37" x14ac:dyDescent="0.3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/>
      <c r="W406" s="24" t="str">
        <f>IFERROR(IF(ISBLANK(V406),"",INDEX(Gen_Vessels!$A$3:$C$495,MATCH(InspectionSite!$V406,Gen_Vessels!$C$3:$C$495,0),1)),"")</f>
        <v/>
      </c>
      <c r="X406" s="24"/>
      <c r="Y406" s="24"/>
      <c r="Z406" s="24"/>
      <c r="AA406" s="24"/>
      <c r="AB406" s="24"/>
      <c r="AC406" s="24"/>
      <c r="AE406" s="24"/>
      <c r="AF406" s="47"/>
      <c r="AG406" s="24"/>
      <c r="AH406" s="24"/>
      <c r="AI406" s="24"/>
      <c r="AJ406" s="24"/>
      <c r="AK406" s="24"/>
    </row>
    <row r="407" spans="1:37" x14ac:dyDescent="0.3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/>
      <c r="W407" s="24" t="str">
        <f>IFERROR(IF(ISBLANK(V407),"",INDEX(Gen_Vessels!$A$3:$C$495,MATCH(InspectionSite!$V407,Gen_Vessels!$C$3:$C$495,0),1)),"")</f>
        <v/>
      </c>
      <c r="X407" s="24"/>
      <c r="Y407" s="24"/>
      <c r="Z407" s="24"/>
      <c r="AA407" s="24"/>
      <c r="AB407" s="24"/>
      <c r="AC407" s="24"/>
      <c r="AE407" s="24"/>
      <c r="AF407" s="47"/>
      <c r="AG407" s="24"/>
      <c r="AH407" s="24"/>
      <c r="AI407" s="24"/>
      <c r="AJ407" s="24"/>
      <c r="AK407" s="24"/>
    </row>
    <row r="408" spans="1:37" x14ac:dyDescent="0.3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/>
      <c r="W408" s="24" t="str">
        <f>IFERROR(IF(ISBLANK(V408),"",INDEX(Gen_Vessels!$A$3:$C$495,MATCH(InspectionSite!$V408,Gen_Vessels!$C$3:$C$495,0),1)),"")</f>
        <v/>
      </c>
      <c r="X408" s="24"/>
      <c r="Y408" s="24"/>
      <c r="Z408" s="24"/>
      <c r="AA408" s="24"/>
      <c r="AB408" s="24"/>
      <c r="AC408" s="24"/>
      <c r="AE408" s="24"/>
      <c r="AF408" s="47"/>
      <c r="AG408" s="24"/>
      <c r="AH408" s="24"/>
      <c r="AI408" s="24"/>
      <c r="AJ408" s="24"/>
      <c r="AK408" s="24"/>
    </row>
    <row r="409" spans="1:37" x14ac:dyDescent="0.3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/>
      <c r="W409" s="24" t="str">
        <f>IFERROR(IF(ISBLANK(V409),"",INDEX(Gen_Vessels!$A$3:$C$495,MATCH(InspectionSite!$V409,Gen_Vessels!$C$3:$C$495,0),1)),"")</f>
        <v/>
      </c>
      <c r="X409" s="24"/>
      <c r="Y409" s="24"/>
      <c r="Z409" s="24"/>
      <c r="AA409" s="24"/>
      <c r="AB409" s="24"/>
      <c r="AC409" s="24"/>
      <c r="AE409" s="24"/>
      <c r="AF409" s="47"/>
      <c r="AG409" s="24"/>
      <c r="AH409" s="24"/>
      <c r="AI409" s="24"/>
      <c r="AJ409" s="24"/>
      <c r="AK409" s="24"/>
    </row>
    <row r="410" spans="1:37" x14ac:dyDescent="0.3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/>
      <c r="W410" s="24" t="str">
        <f>IFERROR(IF(ISBLANK(V410),"",INDEX(Gen_Vessels!$A$3:$C$495,MATCH(InspectionSite!$V410,Gen_Vessels!$C$3:$C$495,0),1)),"")</f>
        <v/>
      </c>
      <c r="X410" s="24"/>
      <c r="Y410" s="24"/>
      <c r="Z410" s="24"/>
      <c r="AA410" s="24"/>
      <c r="AB410" s="24"/>
      <c r="AC410" s="24"/>
      <c r="AE410" s="24"/>
      <c r="AF410" s="47"/>
      <c r="AG410" s="24"/>
      <c r="AH410" s="24"/>
      <c r="AI410" s="24"/>
      <c r="AJ410" s="24"/>
      <c r="AK410" s="24"/>
    </row>
    <row r="411" spans="1:37" x14ac:dyDescent="0.3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/>
      <c r="W411" s="24" t="str">
        <f>IFERROR(IF(ISBLANK(V411),"",INDEX(Gen_Vessels!$A$3:$C$495,MATCH(InspectionSite!$V411,Gen_Vessels!$C$3:$C$495,0),1)),"")</f>
        <v/>
      </c>
      <c r="X411" s="24"/>
      <c r="Y411" s="24"/>
      <c r="Z411" s="24"/>
      <c r="AA411" s="24"/>
      <c r="AB411" s="24"/>
      <c r="AC411" s="24"/>
      <c r="AE411" s="24"/>
      <c r="AF411" s="47"/>
      <c r="AG411" s="24"/>
      <c r="AH411" s="24"/>
      <c r="AI411" s="24"/>
      <c r="AJ411" s="24"/>
      <c r="AK411" s="24"/>
    </row>
    <row r="412" spans="1:37" x14ac:dyDescent="0.3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/>
      <c r="W412" s="24" t="str">
        <f>IFERROR(IF(ISBLANK(V412),"",INDEX(Gen_Vessels!$A$3:$C$495,MATCH(InspectionSite!$V412,Gen_Vessels!$C$3:$C$495,0),1)),"")</f>
        <v/>
      </c>
      <c r="X412" s="24"/>
      <c r="Y412" s="24"/>
      <c r="Z412" s="24"/>
      <c r="AA412" s="24"/>
      <c r="AB412" s="24"/>
      <c r="AC412" s="24"/>
      <c r="AE412" s="24"/>
      <c r="AF412" s="47"/>
      <c r="AG412" s="24"/>
      <c r="AH412" s="24"/>
      <c r="AI412" s="24"/>
      <c r="AJ412" s="24"/>
      <c r="AK412" s="24"/>
    </row>
    <row r="413" spans="1:37" x14ac:dyDescent="0.3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/>
      <c r="W413" s="24" t="str">
        <f>IFERROR(IF(ISBLANK(V413),"",INDEX(Gen_Vessels!$A$3:$C$495,MATCH(InspectionSite!$V413,Gen_Vessels!$C$3:$C$495,0),1)),"")</f>
        <v/>
      </c>
      <c r="X413" s="24"/>
      <c r="Y413" s="24"/>
      <c r="Z413" s="24"/>
      <c r="AA413" s="24"/>
      <c r="AB413" s="24"/>
      <c r="AC413" s="24"/>
      <c r="AE413" s="24"/>
      <c r="AF413" s="47"/>
      <c r="AG413" s="24"/>
      <c r="AH413" s="24"/>
      <c r="AI413" s="24"/>
      <c r="AJ413" s="24"/>
      <c r="AK413" s="24"/>
    </row>
    <row r="414" spans="1:37" x14ac:dyDescent="0.3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/>
      <c r="W414" s="24" t="str">
        <f>IFERROR(IF(ISBLANK(V414),"",INDEX(Gen_Vessels!$A$3:$C$495,MATCH(InspectionSite!$V414,Gen_Vessels!$C$3:$C$495,0),1)),"")</f>
        <v/>
      </c>
      <c r="X414" s="24"/>
      <c r="Y414" s="24"/>
      <c r="Z414" s="24"/>
      <c r="AA414" s="24"/>
      <c r="AB414" s="24"/>
      <c r="AC414" s="24"/>
      <c r="AE414" s="24"/>
      <c r="AF414" s="47"/>
      <c r="AG414" s="24"/>
      <c r="AH414" s="24"/>
      <c r="AI414" s="24"/>
      <c r="AJ414" s="24"/>
      <c r="AK414" s="24"/>
    </row>
    <row r="415" spans="1:37" x14ac:dyDescent="0.3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/>
      <c r="W415" s="24" t="str">
        <f>IFERROR(IF(ISBLANK(V415),"",INDEX(Gen_Vessels!$A$3:$C$495,MATCH(InspectionSite!$V415,Gen_Vessels!$C$3:$C$495,0),1)),"")</f>
        <v/>
      </c>
      <c r="X415" s="24"/>
      <c r="Y415" s="24"/>
      <c r="Z415" s="24"/>
      <c r="AA415" s="24"/>
      <c r="AB415" s="24"/>
      <c r="AC415" s="24"/>
      <c r="AE415" s="24"/>
      <c r="AF415" s="47"/>
      <c r="AG415" s="24"/>
      <c r="AH415" s="24"/>
      <c r="AI415" s="24"/>
      <c r="AJ415" s="24"/>
      <c r="AK415" s="24"/>
    </row>
    <row r="416" spans="1:37" x14ac:dyDescent="0.3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/>
      <c r="W416" s="24" t="str">
        <f>IFERROR(IF(ISBLANK(V416),"",INDEX(Gen_Vessels!$A$3:$C$495,MATCH(InspectionSite!$V416,Gen_Vessels!$C$3:$C$495,0),1)),"")</f>
        <v/>
      </c>
      <c r="X416" s="24"/>
      <c r="Y416" s="24"/>
      <c r="Z416" s="24"/>
      <c r="AA416" s="24"/>
      <c r="AB416" s="24"/>
      <c r="AC416" s="24"/>
      <c r="AE416" s="24"/>
      <c r="AF416" s="47"/>
      <c r="AG416" s="24"/>
      <c r="AH416" s="24"/>
      <c r="AI416" s="24"/>
      <c r="AJ416" s="24"/>
      <c r="AK416" s="24"/>
    </row>
    <row r="417" spans="1:37" x14ac:dyDescent="0.3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/>
      <c r="W417" s="24" t="str">
        <f>IFERROR(IF(ISBLANK(V417),"",INDEX(Gen_Vessels!$A$3:$C$495,MATCH(InspectionSite!$V417,Gen_Vessels!$C$3:$C$495,0),1)),"")</f>
        <v/>
      </c>
      <c r="X417" s="24"/>
      <c r="Y417" s="24"/>
      <c r="Z417" s="24"/>
      <c r="AA417" s="24"/>
      <c r="AB417" s="24"/>
      <c r="AC417" s="24"/>
      <c r="AE417" s="24"/>
      <c r="AF417" s="47"/>
      <c r="AG417" s="24"/>
      <c r="AH417" s="24"/>
      <c r="AI417" s="24"/>
      <c r="AJ417" s="24"/>
      <c r="AK417" s="24"/>
    </row>
    <row r="418" spans="1:37" x14ac:dyDescent="0.3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/>
      <c r="W418" s="24" t="str">
        <f>IFERROR(IF(ISBLANK(V418),"",INDEX(Gen_Vessels!$A$3:$C$495,MATCH(InspectionSite!$V418,Gen_Vessels!$C$3:$C$495,0),1)),"")</f>
        <v/>
      </c>
      <c r="X418" s="24"/>
      <c r="Y418" s="24"/>
      <c r="Z418" s="24"/>
      <c r="AA418" s="24"/>
      <c r="AB418" s="24"/>
      <c r="AC418" s="24"/>
      <c r="AE418" s="24"/>
      <c r="AF418" s="47"/>
      <c r="AG418" s="24"/>
      <c r="AH418" s="24"/>
      <c r="AI418" s="24"/>
      <c r="AJ418" s="24"/>
      <c r="AK418" s="24"/>
    </row>
    <row r="419" spans="1:37" x14ac:dyDescent="0.3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/>
      <c r="W419" s="24" t="str">
        <f>IFERROR(IF(ISBLANK(V419),"",INDEX(Gen_Vessels!$A$3:$C$495,MATCH(InspectionSite!$V419,Gen_Vessels!$C$3:$C$495,0),1)),"")</f>
        <v/>
      </c>
      <c r="X419" s="24"/>
      <c r="Y419" s="24"/>
      <c r="Z419" s="24"/>
      <c r="AA419" s="24"/>
      <c r="AB419" s="24"/>
      <c r="AC419" s="24"/>
      <c r="AE419" s="24"/>
      <c r="AF419" s="47"/>
      <c r="AG419" s="24"/>
      <c r="AH419" s="24"/>
      <c r="AI419" s="24"/>
      <c r="AJ419" s="24"/>
      <c r="AK419" s="24"/>
    </row>
    <row r="420" spans="1:37" x14ac:dyDescent="0.3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/>
      <c r="W420" s="24" t="str">
        <f>IFERROR(IF(ISBLANK(V420),"",INDEX(Gen_Vessels!$A$3:$C$495,MATCH(InspectionSite!$V420,Gen_Vessels!$C$3:$C$495,0),1)),"")</f>
        <v/>
      </c>
      <c r="X420" s="24"/>
      <c r="Y420" s="24"/>
      <c r="Z420" s="24"/>
      <c r="AA420" s="24"/>
      <c r="AB420" s="24"/>
      <c r="AC420" s="24"/>
      <c r="AE420" s="24"/>
      <c r="AF420" s="47"/>
      <c r="AG420" s="24"/>
      <c r="AH420" s="24"/>
      <c r="AI420" s="24"/>
      <c r="AJ420" s="24"/>
      <c r="AK420" s="24"/>
    </row>
    <row r="421" spans="1:37" x14ac:dyDescent="0.3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/>
      <c r="W421" s="24" t="str">
        <f>IFERROR(IF(ISBLANK(V421),"",INDEX(Gen_Vessels!$A$3:$C$495,MATCH(InspectionSite!$V421,Gen_Vessels!$C$3:$C$495,0),1)),"")</f>
        <v/>
      </c>
      <c r="X421" s="24"/>
      <c r="Y421" s="24"/>
      <c r="Z421" s="24"/>
      <c r="AA421" s="24"/>
      <c r="AB421" s="24"/>
      <c r="AC421" s="24"/>
      <c r="AE421" s="24"/>
      <c r="AF421" s="47"/>
      <c r="AG421" s="24"/>
      <c r="AH421" s="24"/>
      <c r="AI421" s="24"/>
      <c r="AJ421" s="24"/>
      <c r="AK421" s="24"/>
    </row>
    <row r="422" spans="1:37" x14ac:dyDescent="0.3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/>
      <c r="W422" s="24" t="str">
        <f>IFERROR(IF(ISBLANK(V422),"",INDEX(Gen_Vessels!$A$3:$C$495,MATCH(InspectionSite!$V422,Gen_Vessels!$C$3:$C$495,0),1)),"")</f>
        <v/>
      </c>
      <c r="X422" s="24"/>
      <c r="Y422" s="24"/>
      <c r="Z422" s="24"/>
      <c r="AA422" s="24"/>
      <c r="AB422" s="24"/>
      <c r="AC422" s="24"/>
      <c r="AE422" s="24"/>
      <c r="AF422" s="47"/>
      <c r="AG422" s="24"/>
      <c r="AH422" s="24"/>
      <c r="AI422" s="24"/>
      <c r="AJ422" s="24"/>
      <c r="AK422" s="24"/>
    </row>
    <row r="423" spans="1:37" x14ac:dyDescent="0.3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/>
      <c r="W423" s="24" t="str">
        <f>IFERROR(IF(ISBLANK(V423),"",INDEX(Gen_Vessels!$A$3:$C$495,MATCH(InspectionSite!$V423,Gen_Vessels!$C$3:$C$495,0),1)),"")</f>
        <v/>
      </c>
      <c r="X423" s="24"/>
      <c r="Y423" s="24"/>
      <c r="Z423" s="24"/>
      <c r="AA423" s="24"/>
      <c r="AB423" s="24"/>
      <c r="AC423" s="24"/>
      <c r="AE423" s="24"/>
      <c r="AF423" s="47"/>
      <c r="AG423" s="24"/>
      <c r="AH423" s="24"/>
      <c r="AI423" s="24"/>
      <c r="AJ423" s="24"/>
      <c r="AK423" s="24"/>
    </row>
    <row r="424" spans="1:37" x14ac:dyDescent="0.3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/>
      <c r="W424" s="24" t="str">
        <f>IFERROR(IF(ISBLANK(V424),"",INDEX(Gen_Vessels!$A$3:$C$495,MATCH(InspectionSite!$V424,Gen_Vessels!$C$3:$C$495,0),1)),"")</f>
        <v/>
      </c>
      <c r="X424" s="24"/>
      <c r="Y424" s="24"/>
      <c r="Z424" s="24"/>
      <c r="AA424" s="24"/>
      <c r="AB424" s="24"/>
      <c r="AC424" s="24"/>
      <c r="AE424" s="24"/>
      <c r="AF424" s="47"/>
      <c r="AG424" s="24"/>
      <c r="AH424" s="24"/>
      <c r="AI424" s="24"/>
      <c r="AJ424" s="24"/>
      <c r="AK424" s="24"/>
    </row>
    <row r="425" spans="1:37" x14ac:dyDescent="0.3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/>
      <c r="W425" s="24" t="str">
        <f>IFERROR(IF(ISBLANK(V425),"",INDEX(Gen_Vessels!$A$3:$C$495,MATCH(InspectionSite!$V425,Gen_Vessels!$C$3:$C$495,0),1)),"")</f>
        <v/>
      </c>
      <c r="X425" s="24"/>
      <c r="Y425" s="24"/>
      <c r="Z425" s="24"/>
      <c r="AA425" s="24"/>
      <c r="AB425" s="24"/>
      <c r="AC425" s="24"/>
      <c r="AE425" s="24"/>
      <c r="AF425" s="47"/>
      <c r="AG425" s="24"/>
      <c r="AH425" s="24"/>
      <c r="AI425" s="24"/>
      <c r="AJ425" s="24"/>
      <c r="AK425" s="24"/>
    </row>
    <row r="426" spans="1:37" x14ac:dyDescent="0.3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/>
      <c r="W426" s="24" t="str">
        <f>IFERROR(IF(ISBLANK(V426),"",INDEX(Gen_Vessels!$A$3:$C$495,MATCH(InspectionSite!$V426,Gen_Vessels!$C$3:$C$495,0),1)),"")</f>
        <v/>
      </c>
      <c r="X426" s="24"/>
      <c r="Y426" s="24"/>
      <c r="Z426" s="24"/>
      <c r="AA426" s="24"/>
      <c r="AB426" s="24"/>
      <c r="AC426" s="24"/>
      <c r="AE426" s="24"/>
      <c r="AF426" s="47"/>
      <c r="AG426" s="24"/>
      <c r="AH426" s="24"/>
      <c r="AI426" s="24"/>
      <c r="AJ426" s="24"/>
      <c r="AK426" s="24"/>
    </row>
    <row r="427" spans="1:37" x14ac:dyDescent="0.3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/>
      <c r="W427" s="24" t="str">
        <f>IFERROR(IF(ISBLANK(V427),"",INDEX(Gen_Vessels!$A$3:$C$495,MATCH(InspectionSite!$V427,Gen_Vessels!$C$3:$C$495,0),1)),"")</f>
        <v/>
      </c>
      <c r="X427" s="24"/>
      <c r="Y427" s="24"/>
      <c r="Z427" s="24"/>
      <c r="AA427" s="24"/>
      <c r="AB427" s="24"/>
      <c r="AC427" s="24"/>
      <c r="AE427" s="24"/>
      <c r="AF427" s="47"/>
      <c r="AG427" s="24"/>
      <c r="AH427" s="24"/>
      <c r="AI427" s="24"/>
      <c r="AJ427" s="24"/>
      <c r="AK427" s="24"/>
    </row>
    <row r="428" spans="1:37" x14ac:dyDescent="0.3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/>
      <c r="W428" s="24" t="str">
        <f>IFERROR(IF(ISBLANK(V428),"",INDEX(Gen_Vessels!$A$3:$C$495,MATCH(InspectionSite!$V428,Gen_Vessels!$C$3:$C$495,0),1)),"")</f>
        <v/>
      </c>
      <c r="X428" s="24"/>
      <c r="Y428" s="24"/>
      <c r="Z428" s="24"/>
      <c r="AA428" s="24"/>
      <c r="AB428" s="24"/>
      <c r="AC428" s="24"/>
      <c r="AE428" s="24"/>
      <c r="AF428" s="47"/>
      <c r="AG428" s="24"/>
      <c r="AH428" s="24"/>
      <c r="AI428" s="24"/>
      <c r="AJ428" s="24"/>
      <c r="AK428" s="24"/>
    </row>
    <row r="429" spans="1:37" x14ac:dyDescent="0.3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/>
      <c r="W429" s="24" t="str">
        <f>IFERROR(IF(ISBLANK(V429),"",INDEX(Gen_Vessels!$A$3:$C$495,MATCH(InspectionSite!$V429,Gen_Vessels!$C$3:$C$495,0),1)),"")</f>
        <v/>
      </c>
      <c r="X429" s="24"/>
      <c r="Y429" s="24"/>
      <c r="Z429" s="24"/>
      <c r="AA429" s="24"/>
      <c r="AB429" s="24"/>
      <c r="AC429" s="24"/>
      <c r="AE429" s="24"/>
      <c r="AF429" s="47"/>
      <c r="AG429" s="24"/>
      <c r="AH429" s="24"/>
      <c r="AI429" s="24"/>
      <c r="AJ429" s="24"/>
      <c r="AK429" s="24"/>
    </row>
    <row r="430" spans="1:37" x14ac:dyDescent="0.3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/>
      <c r="W430" s="24" t="str">
        <f>IFERROR(IF(ISBLANK(V430),"",INDEX(Gen_Vessels!$A$3:$C$495,MATCH(InspectionSite!$V430,Gen_Vessels!$C$3:$C$495,0),1)),"")</f>
        <v/>
      </c>
      <c r="X430" s="24"/>
      <c r="Y430" s="24"/>
      <c r="Z430" s="24"/>
      <c r="AA430" s="24"/>
      <c r="AB430" s="24"/>
      <c r="AC430" s="24"/>
      <c r="AE430" s="24"/>
      <c r="AF430" s="47"/>
      <c r="AG430" s="24"/>
      <c r="AH430" s="24"/>
      <c r="AI430" s="24"/>
      <c r="AJ430" s="24"/>
      <c r="AK430" s="24"/>
    </row>
    <row r="431" spans="1:37" x14ac:dyDescent="0.3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/>
      <c r="W431" s="24" t="str">
        <f>IFERROR(IF(ISBLANK(V431),"",INDEX(Gen_Vessels!$A$3:$C$495,MATCH(InspectionSite!$V431,Gen_Vessels!$C$3:$C$495,0),1)),"")</f>
        <v/>
      </c>
      <c r="X431" s="24"/>
      <c r="Y431" s="24"/>
      <c r="Z431" s="24"/>
      <c r="AA431" s="24"/>
      <c r="AB431" s="24"/>
      <c r="AC431" s="24"/>
      <c r="AE431" s="24"/>
      <c r="AF431" s="47"/>
      <c r="AG431" s="24"/>
      <c r="AH431" s="24"/>
      <c r="AI431" s="24"/>
      <c r="AJ431" s="24"/>
      <c r="AK431" s="24"/>
    </row>
    <row r="432" spans="1:37" x14ac:dyDescent="0.3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/>
      <c r="W432" s="24" t="str">
        <f>IFERROR(IF(ISBLANK(V432),"",INDEX(Gen_Vessels!$A$3:$C$495,MATCH(InspectionSite!$V432,Gen_Vessels!$C$3:$C$495,0),1)),"")</f>
        <v/>
      </c>
      <c r="X432" s="24"/>
      <c r="Y432" s="24"/>
      <c r="Z432" s="24"/>
      <c r="AA432" s="24"/>
      <c r="AB432" s="24"/>
      <c r="AC432" s="24"/>
      <c r="AE432" s="24"/>
      <c r="AF432" s="47"/>
      <c r="AG432" s="24"/>
      <c r="AH432" s="24"/>
      <c r="AI432" s="24"/>
      <c r="AJ432" s="24"/>
      <c r="AK432" s="24"/>
    </row>
    <row r="433" spans="1:37" x14ac:dyDescent="0.3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/>
      <c r="W433" s="24" t="str">
        <f>IFERROR(IF(ISBLANK(V433),"",INDEX(Gen_Vessels!$A$3:$C$495,MATCH(InspectionSite!$V433,Gen_Vessels!$C$3:$C$495,0),1)),"")</f>
        <v/>
      </c>
      <c r="X433" s="24"/>
      <c r="Y433" s="24"/>
      <c r="Z433" s="24"/>
      <c r="AA433" s="24"/>
      <c r="AB433" s="24"/>
      <c r="AC433" s="24"/>
      <c r="AE433" s="24"/>
      <c r="AF433" s="47"/>
      <c r="AG433" s="24"/>
      <c r="AH433" s="24"/>
      <c r="AI433" s="24"/>
      <c r="AJ433" s="24"/>
      <c r="AK433" s="24"/>
    </row>
    <row r="434" spans="1:37" x14ac:dyDescent="0.3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/>
      <c r="W434" s="24" t="str">
        <f>IFERROR(IF(ISBLANK(V434),"",INDEX(Gen_Vessels!$A$3:$C$495,MATCH(InspectionSite!$V434,Gen_Vessels!$C$3:$C$495,0),1)),"")</f>
        <v/>
      </c>
      <c r="X434" s="24"/>
      <c r="Y434" s="24"/>
      <c r="Z434" s="24"/>
      <c r="AA434" s="24"/>
      <c r="AB434" s="24"/>
      <c r="AC434" s="24"/>
      <c r="AE434" s="24"/>
      <c r="AF434" s="47"/>
      <c r="AG434" s="24"/>
      <c r="AH434" s="24"/>
      <c r="AI434" s="24"/>
      <c r="AJ434" s="24"/>
      <c r="AK434" s="24"/>
    </row>
    <row r="435" spans="1:37" x14ac:dyDescent="0.3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/>
      <c r="W435" s="24" t="str">
        <f>IFERROR(IF(ISBLANK(V435),"",INDEX(Gen_Vessels!$A$3:$C$495,MATCH(InspectionSite!$V435,Gen_Vessels!$C$3:$C$495,0),1)),"")</f>
        <v/>
      </c>
      <c r="X435" s="24"/>
      <c r="Y435" s="24"/>
      <c r="Z435" s="24"/>
      <c r="AA435" s="24"/>
      <c r="AB435" s="24"/>
      <c r="AC435" s="24"/>
      <c r="AE435" s="24"/>
      <c r="AF435" s="47"/>
      <c r="AG435" s="24"/>
      <c r="AH435" s="24"/>
      <c r="AI435" s="24"/>
      <c r="AJ435" s="24"/>
      <c r="AK435" s="24"/>
    </row>
    <row r="436" spans="1:37" x14ac:dyDescent="0.3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/>
      <c r="W436" s="24" t="str">
        <f>IFERROR(IF(ISBLANK(V436),"",INDEX(Gen_Vessels!$A$3:$C$495,MATCH(InspectionSite!$V436,Gen_Vessels!$C$3:$C$495,0),1)),"")</f>
        <v/>
      </c>
      <c r="X436" s="24"/>
      <c r="Y436" s="24"/>
      <c r="Z436" s="24"/>
      <c r="AA436" s="24"/>
      <c r="AB436" s="24"/>
      <c r="AC436" s="24"/>
      <c r="AE436" s="24"/>
      <c r="AF436" s="47"/>
      <c r="AG436" s="24"/>
      <c r="AH436" s="24"/>
      <c r="AI436" s="24"/>
      <c r="AJ436" s="24"/>
      <c r="AK436" s="24"/>
    </row>
    <row r="437" spans="1:37" x14ac:dyDescent="0.3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/>
      <c r="W437" s="24" t="str">
        <f>IFERROR(IF(ISBLANK(V437),"",INDEX(Gen_Vessels!$A$3:$C$495,MATCH(InspectionSite!$V437,Gen_Vessels!$C$3:$C$495,0),1)),"")</f>
        <v/>
      </c>
      <c r="X437" s="24"/>
      <c r="Y437" s="24"/>
      <c r="Z437" s="24"/>
      <c r="AA437" s="24"/>
      <c r="AB437" s="24"/>
      <c r="AC437" s="24"/>
      <c r="AE437" s="24"/>
      <c r="AF437" s="47"/>
      <c r="AG437" s="24"/>
      <c r="AH437" s="24"/>
      <c r="AI437" s="24"/>
      <c r="AJ437" s="24"/>
      <c r="AK437" s="24"/>
    </row>
    <row r="438" spans="1:37" x14ac:dyDescent="0.3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/>
      <c r="W438" s="24" t="str">
        <f>IFERROR(IF(ISBLANK(V438),"",INDEX(Gen_Vessels!$A$3:$C$495,MATCH(InspectionSite!$V438,Gen_Vessels!$C$3:$C$495,0),1)),"")</f>
        <v/>
      </c>
      <c r="X438" s="24"/>
      <c r="Y438" s="24"/>
      <c r="Z438" s="24"/>
      <c r="AA438" s="24"/>
      <c r="AB438" s="24"/>
      <c r="AC438" s="24"/>
      <c r="AE438" s="24"/>
      <c r="AF438" s="47"/>
      <c r="AG438" s="24"/>
      <c r="AH438" s="24"/>
      <c r="AI438" s="24"/>
      <c r="AJ438" s="24"/>
      <c r="AK438" s="24"/>
    </row>
    <row r="439" spans="1:37" x14ac:dyDescent="0.3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/>
      <c r="W439" s="24" t="str">
        <f>IFERROR(IF(ISBLANK(V439),"",INDEX(Gen_Vessels!$A$3:$C$495,MATCH(InspectionSite!$V439,Gen_Vessels!$C$3:$C$495,0),1)),"")</f>
        <v/>
      </c>
      <c r="X439" s="24"/>
      <c r="Y439" s="24"/>
      <c r="Z439" s="24"/>
      <c r="AA439" s="24"/>
      <c r="AB439" s="24"/>
      <c r="AC439" s="24"/>
      <c r="AE439" s="24"/>
      <c r="AF439" s="47"/>
      <c r="AG439" s="24"/>
      <c r="AH439" s="24"/>
      <c r="AI439" s="24"/>
      <c r="AJ439" s="24"/>
      <c r="AK439" s="24"/>
    </row>
    <row r="440" spans="1:37" x14ac:dyDescent="0.3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/>
      <c r="W440" s="24" t="str">
        <f>IFERROR(IF(ISBLANK(V440),"",INDEX(Gen_Vessels!$A$3:$C$495,MATCH(InspectionSite!$V440,Gen_Vessels!$C$3:$C$495,0),1)),"")</f>
        <v/>
      </c>
      <c r="X440" s="24"/>
      <c r="Y440" s="24"/>
      <c r="Z440" s="24"/>
      <c r="AA440" s="24"/>
      <c r="AB440" s="24"/>
      <c r="AC440" s="24"/>
      <c r="AE440" s="24"/>
      <c r="AF440" s="47"/>
      <c r="AG440" s="24"/>
      <c r="AH440" s="24"/>
      <c r="AI440" s="24"/>
      <c r="AJ440" s="24"/>
      <c r="AK440" s="24"/>
    </row>
    <row r="441" spans="1:37" x14ac:dyDescent="0.3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/>
      <c r="W441" s="24" t="str">
        <f>IFERROR(IF(ISBLANK(V441),"",INDEX(Gen_Vessels!$A$3:$C$495,MATCH(InspectionSite!$V441,Gen_Vessels!$C$3:$C$495,0),1)),"")</f>
        <v/>
      </c>
      <c r="X441" s="24"/>
      <c r="Y441" s="24"/>
      <c r="Z441" s="24"/>
      <c r="AA441" s="24"/>
      <c r="AB441" s="24"/>
      <c r="AC441" s="24"/>
      <c r="AE441" s="24"/>
      <c r="AF441" s="47"/>
      <c r="AG441" s="24"/>
      <c r="AH441" s="24"/>
      <c r="AI441" s="24"/>
      <c r="AJ441" s="24"/>
      <c r="AK441" s="24"/>
    </row>
    <row r="442" spans="1:37" x14ac:dyDescent="0.3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/>
      <c r="W442" s="24" t="str">
        <f>IFERROR(IF(ISBLANK(V442),"",INDEX(Gen_Vessels!$A$3:$C$495,MATCH(InspectionSite!$V442,Gen_Vessels!$C$3:$C$495,0),1)),"")</f>
        <v/>
      </c>
      <c r="X442" s="24"/>
      <c r="Y442" s="24"/>
      <c r="Z442" s="24"/>
      <c r="AA442" s="24"/>
      <c r="AB442" s="24"/>
      <c r="AC442" s="24"/>
      <c r="AE442" s="24"/>
      <c r="AF442" s="47"/>
      <c r="AG442" s="24"/>
      <c r="AH442" s="24"/>
      <c r="AI442" s="24"/>
      <c r="AJ442" s="24"/>
      <c r="AK442" s="24"/>
    </row>
    <row r="443" spans="1:37" x14ac:dyDescent="0.3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/>
      <c r="W443" s="24" t="str">
        <f>IFERROR(IF(ISBLANK(V443),"",INDEX(Gen_Vessels!$A$3:$C$495,MATCH(InspectionSite!$V443,Gen_Vessels!$C$3:$C$495,0),1)),"")</f>
        <v/>
      </c>
      <c r="X443" s="24"/>
      <c r="Y443" s="24"/>
      <c r="Z443" s="24"/>
      <c r="AA443" s="24"/>
      <c r="AB443" s="24"/>
      <c r="AC443" s="24"/>
      <c r="AE443" s="24"/>
      <c r="AF443" s="47"/>
      <c r="AG443" s="24"/>
      <c r="AH443" s="24"/>
      <c r="AI443" s="24"/>
      <c r="AJ443" s="24"/>
      <c r="AK443" s="24"/>
    </row>
    <row r="444" spans="1:37" x14ac:dyDescent="0.3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/>
      <c r="W444" s="24" t="str">
        <f>IFERROR(IF(ISBLANK(V444),"",INDEX(Gen_Vessels!$A$3:$C$495,MATCH(InspectionSite!$V444,Gen_Vessels!$C$3:$C$495,0),1)),"")</f>
        <v/>
      </c>
      <c r="X444" s="24"/>
      <c r="Y444" s="24"/>
      <c r="Z444" s="24"/>
      <c r="AA444" s="24"/>
      <c r="AB444" s="24"/>
      <c r="AC444" s="24"/>
      <c r="AE444" s="24"/>
      <c r="AF444" s="47"/>
      <c r="AG444" s="24"/>
      <c r="AH444" s="24"/>
      <c r="AI444" s="24"/>
      <c r="AJ444" s="24"/>
      <c r="AK444" s="24"/>
    </row>
    <row r="445" spans="1:37" x14ac:dyDescent="0.3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/>
      <c r="W445" s="24" t="str">
        <f>IFERROR(IF(ISBLANK(V445),"",INDEX(Gen_Vessels!$A$3:$C$495,MATCH(InspectionSite!$V445,Gen_Vessels!$C$3:$C$495,0),1)),"")</f>
        <v/>
      </c>
      <c r="X445" s="24"/>
      <c r="Y445" s="24"/>
      <c r="Z445" s="24"/>
      <c r="AA445" s="24"/>
      <c r="AB445" s="24"/>
      <c r="AC445" s="24"/>
      <c r="AE445" s="24"/>
      <c r="AF445" s="47"/>
      <c r="AG445" s="24"/>
      <c r="AH445" s="24"/>
      <c r="AI445" s="24"/>
      <c r="AJ445" s="24"/>
      <c r="AK445" s="24"/>
    </row>
    <row r="446" spans="1:37" x14ac:dyDescent="0.3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/>
      <c r="W446" s="24" t="str">
        <f>IFERROR(IF(ISBLANK(V446),"",INDEX(Gen_Vessels!$A$3:$C$495,MATCH(InspectionSite!$V446,Gen_Vessels!$C$3:$C$495,0),1)),"")</f>
        <v/>
      </c>
      <c r="X446" s="24"/>
      <c r="Y446" s="24"/>
      <c r="Z446" s="24"/>
      <c r="AA446" s="24"/>
      <c r="AB446" s="24"/>
      <c r="AC446" s="24"/>
      <c r="AE446" s="24"/>
      <c r="AF446" s="47"/>
      <c r="AG446" s="24"/>
      <c r="AH446" s="24"/>
      <c r="AI446" s="24"/>
      <c r="AJ446" s="24"/>
      <c r="AK446" s="24"/>
    </row>
    <row r="447" spans="1:37" x14ac:dyDescent="0.3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/>
      <c r="W447" s="24" t="str">
        <f>IFERROR(IF(ISBLANK(V447),"",INDEX(Gen_Vessels!$A$3:$C$495,MATCH(InspectionSite!$V447,Gen_Vessels!$C$3:$C$495,0),1)),"")</f>
        <v/>
      </c>
      <c r="X447" s="24"/>
      <c r="Y447" s="24"/>
      <c r="Z447" s="24"/>
      <c r="AA447" s="24"/>
      <c r="AB447" s="24"/>
      <c r="AC447" s="24"/>
      <c r="AE447" s="24"/>
      <c r="AF447" s="47"/>
      <c r="AG447" s="24"/>
      <c r="AH447" s="24"/>
      <c r="AI447" s="24"/>
      <c r="AJ447" s="24"/>
      <c r="AK447" s="24"/>
    </row>
    <row r="448" spans="1:37" x14ac:dyDescent="0.3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/>
      <c r="W448" s="24" t="str">
        <f>IFERROR(IF(ISBLANK(V448),"",INDEX(Gen_Vessels!$A$3:$C$495,MATCH(InspectionSite!$V448,Gen_Vessels!$C$3:$C$495,0),1)),"")</f>
        <v/>
      </c>
      <c r="X448" s="24"/>
      <c r="Y448" s="24"/>
      <c r="Z448" s="24"/>
      <c r="AA448" s="24"/>
      <c r="AB448" s="24"/>
      <c r="AC448" s="24"/>
      <c r="AE448" s="24"/>
      <c r="AF448" s="47"/>
      <c r="AG448" s="24"/>
      <c r="AH448" s="24"/>
      <c r="AI448" s="24"/>
      <c r="AJ448" s="24"/>
      <c r="AK448" s="24"/>
    </row>
    <row r="449" spans="1:37" x14ac:dyDescent="0.3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/>
      <c r="W449" s="24" t="str">
        <f>IFERROR(IF(ISBLANK(V449),"",INDEX(Gen_Vessels!$A$3:$C$495,MATCH(InspectionSite!$V449,Gen_Vessels!$C$3:$C$495,0),1)),"")</f>
        <v/>
      </c>
      <c r="X449" s="24"/>
      <c r="Y449" s="24"/>
      <c r="Z449" s="24"/>
      <c r="AA449" s="24"/>
      <c r="AB449" s="24"/>
      <c r="AC449" s="24"/>
      <c r="AE449" s="24"/>
      <c r="AF449" s="47"/>
      <c r="AG449" s="24"/>
      <c r="AH449" s="24"/>
      <c r="AI449" s="24"/>
      <c r="AJ449" s="24"/>
      <c r="AK449" s="24"/>
    </row>
    <row r="450" spans="1:37" x14ac:dyDescent="0.3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/>
      <c r="W450" s="24" t="str">
        <f>IFERROR(IF(ISBLANK(V450),"",INDEX(Gen_Vessels!$A$3:$C$495,MATCH(InspectionSite!$V450,Gen_Vessels!$C$3:$C$495,0),1)),"")</f>
        <v/>
      </c>
      <c r="X450" s="24"/>
      <c r="Y450" s="24"/>
      <c r="Z450" s="24"/>
      <c r="AA450" s="24"/>
      <c r="AB450" s="24"/>
      <c r="AC450" s="24"/>
      <c r="AE450" s="24"/>
      <c r="AF450" s="47"/>
      <c r="AG450" s="24"/>
      <c r="AH450" s="24"/>
      <c r="AI450" s="24"/>
      <c r="AJ450" s="24"/>
      <c r="AK450" s="24"/>
    </row>
    <row r="451" spans="1:37" x14ac:dyDescent="0.3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/>
      <c r="W451" s="24" t="str">
        <f>IFERROR(IF(ISBLANK(V451),"",INDEX(Gen_Vessels!$A$3:$C$495,MATCH(InspectionSite!$V451,Gen_Vessels!$C$3:$C$495,0),1)),"")</f>
        <v/>
      </c>
      <c r="X451" s="24"/>
      <c r="Y451" s="24"/>
      <c r="Z451" s="24"/>
      <c r="AA451" s="24"/>
      <c r="AB451" s="24"/>
      <c r="AC451" s="24"/>
      <c r="AE451" s="24"/>
      <c r="AF451" s="47"/>
      <c r="AG451" s="24"/>
      <c r="AH451" s="24"/>
      <c r="AI451" s="24"/>
      <c r="AJ451" s="24"/>
      <c r="AK451" s="24"/>
    </row>
    <row r="452" spans="1:37" x14ac:dyDescent="0.3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/>
      <c r="W452" s="24" t="str">
        <f>IFERROR(IF(ISBLANK(V452),"",INDEX(Gen_Vessels!$A$3:$C$495,MATCH(InspectionSite!$V452,Gen_Vessels!$C$3:$C$495,0),1)),"")</f>
        <v/>
      </c>
      <c r="X452" s="24"/>
      <c r="Y452" s="24"/>
      <c r="Z452" s="24"/>
      <c r="AA452" s="24"/>
      <c r="AB452" s="24"/>
      <c r="AC452" s="24"/>
      <c r="AE452" s="24"/>
      <c r="AF452" s="47"/>
      <c r="AG452" s="24"/>
      <c r="AH452" s="24"/>
      <c r="AI452" s="24"/>
      <c r="AJ452" s="24"/>
      <c r="AK452" s="24"/>
    </row>
    <row r="453" spans="1:37" x14ac:dyDescent="0.3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/>
      <c r="W453" s="24" t="str">
        <f>IFERROR(IF(ISBLANK(V453),"",INDEX(Gen_Vessels!$A$3:$C$495,MATCH(InspectionSite!$V453,Gen_Vessels!$C$3:$C$495,0),1)),"")</f>
        <v/>
      </c>
      <c r="X453" s="24"/>
      <c r="Y453" s="24"/>
      <c r="Z453" s="24"/>
      <c r="AA453" s="24"/>
      <c r="AB453" s="24"/>
      <c r="AC453" s="24"/>
      <c r="AE453" s="24"/>
      <c r="AF453" s="47"/>
      <c r="AG453" s="24"/>
      <c r="AH453" s="24"/>
      <c r="AI453" s="24"/>
      <c r="AJ453" s="24"/>
      <c r="AK453" s="24"/>
    </row>
    <row r="454" spans="1:37" x14ac:dyDescent="0.3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/>
      <c r="W454" s="24" t="str">
        <f>IFERROR(IF(ISBLANK(V454),"",INDEX(Gen_Vessels!$A$3:$C$495,MATCH(InspectionSite!$V454,Gen_Vessels!$C$3:$C$495,0),1)),"")</f>
        <v/>
      </c>
      <c r="X454" s="24"/>
      <c r="Y454" s="24"/>
      <c r="Z454" s="24"/>
      <c r="AA454" s="24"/>
      <c r="AB454" s="24"/>
      <c r="AC454" s="24"/>
      <c r="AE454" s="24"/>
      <c r="AF454" s="47"/>
      <c r="AG454" s="24"/>
      <c r="AH454" s="24"/>
      <c r="AI454" s="24"/>
      <c r="AJ454" s="24"/>
      <c r="AK454" s="24"/>
    </row>
    <row r="455" spans="1:37" x14ac:dyDescent="0.3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/>
      <c r="W455" s="24" t="str">
        <f>IFERROR(IF(ISBLANK(V455),"",INDEX(Gen_Vessels!$A$3:$C$495,MATCH(InspectionSite!$V455,Gen_Vessels!$C$3:$C$495,0),1)),"")</f>
        <v/>
      </c>
      <c r="X455" s="24"/>
      <c r="Y455" s="24"/>
      <c r="Z455" s="24"/>
      <c r="AA455" s="24"/>
      <c r="AB455" s="24"/>
      <c r="AC455" s="24"/>
      <c r="AE455" s="24"/>
      <c r="AF455" s="47"/>
      <c r="AG455" s="24"/>
      <c r="AH455" s="24"/>
      <c r="AI455" s="24"/>
      <c r="AJ455" s="24"/>
      <c r="AK455" s="24"/>
    </row>
    <row r="456" spans="1:37" x14ac:dyDescent="0.3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/>
      <c r="W456" s="24" t="str">
        <f>IFERROR(IF(ISBLANK(V456),"",INDEX(Gen_Vessels!$A$3:$C$495,MATCH(InspectionSite!$V456,Gen_Vessels!$C$3:$C$495,0),1)),"")</f>
        <v/>
      </c>
      <c r="X456" s="24"/>
      <c r="Y456" s="24"/>
      <c r="Z456" s="24"/>
      <c r="AA456" s="24"/>
      <c r="AB456" s="24"/>
      <c r="AC456" s="24"/>
      <c r="AE456" s="24"/>
      <c r="AF456" s="47"/>
      <c r="AG456" s="24"/>
      <c r="AH456" s="24"/>
      <c r="AI456" s="24"/>
      <c r="AJ456" s="24"/>
      <c r="AK456" s="24"/>
    </row>
    <row r="457" spans="1:37" x14ac:dyDescent="0.3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/>
      <c r="W457" s="24" t="str">
        <f>IFERROR(IF(ISBLANK(V457),"",INDEX(Gen_Vessels!$A$3:$C$495,MATCH(InspectionSite!$V457,Gen_Vessels!$C$3:$C$495,0),1)),"")</f>
        <v/>
      </c>
      <c r="X457" s="24"/>
      <c r="Y457" s="24"/>
      <c r="Z457" s="24"/>
      <c r="AA457" s="24"/>
      <c r="AB457" s="24"/>
      <c r="AC457" s="24"/>
      <c r="AE457" s="24"/>
      <c r="AF457" s="47"/>
      <c r="AG457" s="24"/>
      <c r="AH457" s="24"/>
      <c r="AI457" s="24"/>
      <c r="AJ457" s="24"/>
      <c r="AK457" s="24"/>
    </row>
    <row r="458" spans="1:37" x14ac:dyDescent="0.3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/>
      <c r="W458" s="24" t="str">
        <f>IFERROR(IF(ISBLANK(V458),"",INDEX(Gen_Vessels!$A$3:$C$495,MATCH(InspectionSite!$V458,Gen_Vessels!$C$3:$C$495,0),1)),"")</f>
        <v/>
      </c>
      <c r="X458" s="24"/>
      <c r="Y458" s="24"/>
      <c r="Z458" s="24"/>
      <c r="AA458" s="24"/>
      <c r="AB458" s="24"/>
      <c r="AC458" s="24"/>
      <c r="AE458" s="24"/>
      <c r="AF458" s="47"/>
      <c r="AG458" s="24"/>
      <c r="AH458" s="24"/>
      <c r="AI458" s="24"/>
      <c r="AJ458" s="24"/>
      <c r="AK458" s="24"/>
    </row>
    <row r="459" spans="1:37" x14ac:dyDescent="0.3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/>
      <c r="W459" s="24" t="str">
        <f>IFERROR(IF(ISBLANK(V459),"",INDEX(Gen_Vessels!$A$3:$C$495,MATCH(InspectionSite!$V459,Gen_Vessels!$C$3:$C$495,0),1)),"")</f>
        <v/>
      </c>
      <c r="X459" s="24"/>
      <c r="Y459" s="24"/>
      <c r="Z459" s="24"/>
      <c r="AA459" s="24"/>
      <c r="AB459" s="24"/>
      <c r="AC459" s="24"/>
      <c r="AE459" s="24"/>
      <c r="AF459" s="47"/>
      <c r="AG459" s="24"/>
      <c r="AH459" s="24"/>
      <c r="AI459" s="24"/>
      <c r="AJ459" s="24"/>
      <c r="AK459" s="24"/>
    </row>
    <row r="460" spans="1:37" x14ac:dyDescent="0.3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/>
      <c r="W460" s="24" t="str">
        <f>IFERROR(IF(ISBLANK(V460),"",INDEX(Gen_Vessels!$A$3:$C$495,MATCH(InspectionSite!$V460,Gen_Vessels!$C$3:$C$495,0),1)),"")</f>
        <v/>
      </c>
      <c r="X460" s="24"/>
      <c r="Y460" s="24"/>
      <c r="Z460" s="24"/>
      <c r="AA460" s="24"/>
      <c r="AB460" s="24"/>
      <c r="AC460" s="24"/>
      <c r="AE460" s="24"/>
      <c r="AF460" s="47"/>
      <c r="AG460" s="24"/>
      <c r="AH460" s="24"/>
      <c r="AI460" s="24"/>
      <c r="AJ460" s="24"/>
      <c r="AK460" s="24"/>
    </row>
    <row r="461" spans="1:37" x14ac:dyDescent="0.3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/>
      <c r="W461" s="24" t="str">
        <f>IFERROR(IF(ISBLANK(V461),"",INDEX(Gen_Vessels!$A$3:$C$495,MATCH(InspectionSite!$V461,Gen_Vessels!$C$3:$C$495,0),1)),"")</f>
        <v/>
      </c>
      <c r="X461" s="24"/>
      <c r="Y461" s="24"/>
      <c r="Z461" s="24"/>
      <c r="AA461" s="24"/>
      <c r="AB461" s="24"/>
      <c r="AC461" s="24"/>
      <c r="AE461" s="24"/>
      <c r="AF461" s="47"/>
      <c r="AG461" s="24"/>
      <c r="AH461" s="24"/>
      <c r="AI461" s="24"/>
      <c r="AJ461" s="24"/>
      <c r="AK461" s="24"/>
    </row>
    <row r="462" spans="1:37" x14ac:dyDescent="0.3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/>
      <c r="W462" s="24" t="str">
        <f>IFERROR(IF(ISBLANK(V462),"",INDEX(Gen_Vessels!$A$3:$C$495,MATCH(InspectionSite!$V462,Gen_Vessels!$C$3:$C$495,0),1)),"")</f>
        <v/>
      </c>
      <c r="X462" s="24"/>
      <c r="Y462" s="24"/>
      <c r="Z462" s="24"/>
      <c r="AA462" s="24"/>
      <c r="AB462" s="24"/>
      <c r="AC462" s="24"/>
      <c r="AE462" s="24"/>
      <c r="AF462" s="47"/>
      <c r="AG462" s="24"/>
      <c r="AH462" s="24"/>
      <c r="AI462" s="24"/>
      <c r="AJ462" s="24"/>
      <c r="AK462" s="24"/>
    </row>
    <row r="463" spans="1:37" x14ac:dyDescent="0.3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/>
      <c r="W463" s="24" t="str">
        <f>IFERROR(IF(ISBLANK(V463),"",INDEX(Gen_Vessels!$A$3:$C$495,MATCH(InspectionSite!$V463,Gen_Vessels!$C$3:$C$495,0),1)),"")</f>
        <v/>
      </c>
      <c r="X463" s="24"/>
      <c r="Y463" s="24"/>
      <c r="Z463" s="24"/>
      <c r="AA463" s="24"/>
      <c r="AB463" s="24"/>
      <c r="AC463" s="24"/>
      <c r="AE463" s="24"/>
      <c r="AF463" s="47"/>
      <c r="AG463" s="24"/>
      <c r="AH463" s="24"/>
      <c r="AI463" s="24"/>
      <c r="AJ463" s="24"/>
      <c r="AK463" s="24"/>
    </row>
    <row r="464" spans="1:37" x14ac:dyDescent="0.3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/>
      <c r="W464" s="24" t="str">
        <f>IFERROR(IF(ISBLANK(V464),"",INDEX(Gen_Vessels!$A$3:$C$495,MATCH(InspectionSite!$V464,Gen_Vessels!$C$3:$C$495,0),1)),"")</f>
        <v/>
      </c>
      <c r="X464" s="24"/>
      <c r="Y464" s="24"/>
      <c r="Z464" s="24"/>
      <c r="AA464" s="24"/>
      <c r="AB464" s="24"/>
      <c r="AC464" s="24"/>
      <c r="AE464" s="24"/>
      <c r="AF464" s="47"/>
      <c r="AG464" s="24"/>
      <c r="AH464" s="24"/>
      <c r="AI464" s="24"/>
      <c r="AJ464" s="24"/>
      <c r="AK464" s="24"/>
    </row>
    <row r="465" spans="1:37" x14ac:dyDescent="0.3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/>
      <c r="W465" s="24" t="str">
        <f>IFERROR(IF(ISBLANK(V465),"",INDEX(Gen_Vessels!$A$3:$C$495,MATCH(InspectionSite!$V465,Gen_Vessels!$C$3:$C$495,0),1)),"")</f>
        <v/>
      </c>
      <c r="X465" s="24"/>
      <c r="Y465" s="24"/>
      <c r="Z465" s="24"/>
      <c r="AA465" s="24"/>
      <c r="AB465" s="24"/>
      <c r="AC465" s="24"/>
      <c r="AE465" s="24"/>
      <c r="AF465" s="47"/>
      <c r="AG465" s="24"/>
      <c r="AH465" s="24"/>
      <c r="AI465" s="24"/>
      <c r="AJ465" s="24"/>
      <c r="AK465" s="24"/>
    </row>
    <row r="466" spans="1:37" x14ac:dyDescent="0.3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/>
      <c r="W466" s="24" t="str">
        <f>IFERROR(IF(ISBLANK(V466),"",INDEX(Gen_Vessels!$A$3:$C$495,MATCH(InspectionSite!$V466,Gen_Vessels!$C$3:$C$495,0),1)),"")</f>
        <v/>
      </c>
      <c r="X466" s="24"/>
      <c r="Y466" s="24"/>
      <c r="Z466" s="24"/>
      <c r="AA466" s="24"/>
      <c r="AB466" s="24"/>
      <c r="AC466" s="24"/>
      <c r="AE466" s="24"/>
      <c r="AF466" s="47"/>
      <c r="AG466" s="24"/>
      <c r="AH466" s="24"/>
      <c r="AI466" s="24"/>
      <c r="AJ466" s="24"/>
      <c r="AK466" s="24"/>
    </row>
    <row r="467" spans="1:37" x14ac:dyDescent="0.3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/>
      <c r="W467" s="24" t="str">
        <f>IFERROR(IF(ISBLANK(V467),"",INDEX(Gen_Vessels!$A$3:$C$495,MATCH(InspectionSite!$V467,Gen_Vessels!$C$3:$C$495,0),1)),"")</f>
        <v/>
      </c>
      <c r="X467" s="24"/>
      <c r="Y467" s="24"/>
      <c r="Z467" s="24"/>
      <c r="AA467" s="24"/>
      <c r="AB467" s="24"/>
      <c r="AC467" s="24"/>
      <c r="AE467" s="24"/>
      <c r="AF467" s="47"/>
      <c r="AG467" s="24"/>
      <c r="AH467" s="24"/>
      <c r="AI467" s="24"/>
      <c r="AJ467" s="24"/>
      <c r="AK467" s="24"/>
    </row>
    <row r="468" spans="1:37" x14ac:dyDescent="0.3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/>
      <c r="W468" s="24" t="str">
        <f>IFERROR(IF(ISBLANK(V468),"",INDEX(Gen_Vessels!$A$3:$C$495,MATCH(InspectionSite!$V468,Gen_Vessels!$C$3:$C$495,0),1)),"")</f>
        <v/>
      </c>
      <c r="X468" s="24"/>
      <c r="Y468" s="24"/>
      <c r="Z468" s="24"/>
      <c r="AA468" s="24"/>
      <c r="AB468" s="24"/>
      <c r="AC468" s="24"/>
      <c r="AE468" s="24"/>
      <c r="AF468" s="47"/>
      <c r="AG468" s="24"/>
      <c r="AH468" s="24"/>
      <c r="AI468" s="24"/>
      <c r="AJ468" s="24"/>
      <c r="AK468" s="24"/>
    </row>
    <row r="469" spans="1:37" x14ac:dyDescent="0.3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/>
      <c r="W469" s="24" t="str">
        <f>IFERROR(IF(ISBLANK(V469),"",INDEX(Gen_Vessels!$A$3:$C$495,MATCH(InspectionSite!$V469,Gen_Vessels!$C$3:$C$495,0),1)),"")</f>
        <v/>
      </c>
      <c r="X469" s="24"/>
      <c r="Y469" s="24"/>
      <c r="Z469" s="24"/>
      <c r="AA469" s="24"/>
      <c r="AB469" s="24"/>
      <c r="AC469" s="24"/>
      <c r="AE469" s="24"/>
      <c r="AF469" s="47"/>
      <c r="AG469" s="24"/>
      <c r="AH469" s="24"/>
      <c r="AI469" s="24"/>
      <c r="AJ469" s="24"/>
      <c r="AK469" s="24"/>
    </row>
    <row r="470" spans="1:37" x14ac:dyDescent="0.3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/>
      <c r="W470" s="24" t="str">
        <f>IFERROR(IF(ISBLANK(V470),"",INDEX(Gen_Vessels!$A$3:$C$495,MATCH(InspectionSite!$V470,Gen_Vessels!$C$3:$C$495,0),1)),"")</f>
        <v/>
      </c>
      <c r="X470" s="24"/>
      <c r="Y470" s="24"/>
      <c r="Z470" s="24"/>
      <c r="AA470" s="24"/>
      <c r="AB470" s="24"/>
      <c r="AC470" s="24"/>
      <c r="AE470" s="24"/>
      <c r="AF470" s="47"/>
      <c r="AG470" s="24"/>
      <c r="AH470" s="24"/>
      <c r="AI470" s="24"/>
      <c r="AJ470" s="24"/>
      <c r="AK470" s="24"/>
    </row>
    <row r="471" spans="1:37" x14ac:dyDescent="0.3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/>
      <c r="W471" s="24" t="str">
        <f>IFERROR(IF(ISBLANK(V471),"",INDEX(Gen_Vessels!$A$3:$C$495,MATCH(InspectionSite!$V471,Gen_Vessels!$C$3:$C$495,0),1)),"")</f>
        <v/>
      </c>
      <c r="X471" s="24"/>
      <c r="Y471" s="24"/>
      <c r="Z471" s="24"/>
      <c r="AA471" s="24"/>
      <c r="AB471" s="24"/>
      <c r="AC471" s="24"/>
      <c r="AE471" s="24"/>
      <c r="AF471" s="47"/>
      <c r="AG471" s="24"/>
      <c r="AH471" s="24"/>
      <c r="AI471" s="24"/>
      <c r="AJ471" s="24"/>
      <c r="AK471" s="24"/>
    </row>
    <row r="472" spans="1:37" x14ac:dyDescent="0.3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/>
      <c r="W472" s="24" t="str">
        <f>IFERROR(IF(ISBLANK(V472),"",INDEX(Gen_Vessels!$A$3:$C$495,MATCH(InspectionSite!$V472,Gen_Vessels!$C$3:$C$495,0),1)),"")</f>
        <v/>
      </c>
      <c r="X472" s="24"/>
      <c r="Y472" s="24"/>
      <c r="Z472" s="24"/>
      <c r="AA472" s="24"/>
      <c r="AB472" s="24"/>
      <c r="AC472" s="24"/>
      <c r="AE472" s="24"/>
      <c r="AF472" s="47"/>
      <c r="AG472" s="24"/>
      <c r="AH472" s="24"/>
      <c r="AI472" s="24"/>
      <c r="AJ472" s="24"/>
      <c r="AK472" s="24"/>
    </row>
    <row r="473" spans="1:37" x14ac:dyDescent="0.3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/>
      <c r="W473" s="24" t="str">
        <f>IFERROR(IF(ISBLANK(V473),"",INDEX(Gen_Vessels!$A$3:$C$495,MATCH(InspectionSite!$V473,Gen_Vessels!$C$3:$C$495,0),1)),"")</f>
        <v/>
      </c>
      <c r="X473" s="24"/>
      <c r="Y473" s="24"/>
      <c r="Z473" s="24"/>
      <c r="AA473" s="24"/>
      <c r="AB473" s="24"/>
      <c r="AC473" s="24"/>
      <c r="AE473" s="24"/>
      <c r="AF473" s="47"/>
      <c r="AG473" s="24"/>
      <c r="AH473" s="24"/>
      <c r="AI473" s="24"/>
      <c r="AJ473" s="24"/>
      <c r="AK473" s="24"/>
    </row>
    <row r="474" spans="1:37" x14ac:dyDescent="0.3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/>
      <c r="W474" s="24" t="str">
        <f>IFERROR(IF(ISBLANK(V474),"",INDEX(Gen_Vessels!$A$3:$C$495,MATCH(InspectionSite!$V474,Gen_Vessels!$C$3:$C$495,0),1)),"")</f>
        <v/>
      </c>
      <c r="X474" s="24"/>
      <c r="Y474" s="24"/>
      <c r="Z474" s="24"/>
      <c r="AA474" s="24"/>
      <c r="AB474" s="24"/>
      <c r="AC474" s="24"/>
      <c r="AE474" s="24"/>
      <c r="AF474" s="47"/>
      <c r="AG474" s="24"/>
      <c r="AH474" s="24"/>
      <c r="AI474" s="24"/>
      <c r="AJ474" s="24"/>
      <c r="AK474" s="24"/>
    </row>
    <row r="475" spans="1:37" x14ac:dyDescent="0.3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/>
      <c r="W475" s="24" t="str">
        <f>IFERROR(IF(ISBLANK(V475),"",INDEX(Gen_Vessels!$A$3:$C$495,MATCH(InspectionSite!$V475,Gen_Vessels!$C$3:$C$495,0),1)),"")</f>
        <v/>
      </c>
      <c r="X475" s="24"/>
      <c r="Y475" s="24"/>
      <c r="Z475" s="24"/>
      <c r="AA475" s="24"/>
      <c r="AB475" s="24"/>
      <c r="AC475" s="24"/>
      <c r="AE475" s="24"/>
      <c r="AF475" s="47"/>
      <c r="AG475" s="24"/>
      <c r="AH475" s="24"/>
      <c r="AI475" s="24"/>
      <c r="AJ475" s="24"/>
      <c r="AK475" s="24"/>
    </row>
    <row r="476" spans="1:37" x14ac:dyDescent="0.3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/>
      <c r="W476" s="24" t="str">
        <f>IFERROR(IF(ISBLANK(V476),"",INDEX(Gen_Vessels!$A$3:$C$495,MATCH(InspectionSite!$V476,Gen_Vessels!$C$3:$C$495,0),1)),"")</f>
        <v/>
      </c>
      <c r="X476" s="24"/>
      <c r="Y476" s="24"/>
      <c r="Z476" s="24"/>
      <c r="AA476" s="24"/>
      <c r="AB476" s="24"/>
      <c r="AC476" s="24"/>
      <c r="AE476" s="24"/>
      <c r="AF476" s="47"/>
      <c r="AG476" s="24"/>
      <c r="AH476" s="24"/>
      <c r="AI476" s="24"/>
      <c r="AJ476" s="24"/>
      <c r="AK476" s="24"/>
    </row>
    <row r="477" spans="1:37" x14ac:dyDescent="0.3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/>
      <c r="W477" s="24" t="str">
        <f>IFERROR(IF(ISBLANK(V477),"",INDEX(Gen_Vessels!$A$3:$C$495,MATCH(InspectionSite!$V477,Gen_Vessels!$C$3:$C$495,0),1)),"")</f>
        <v/>
      </c>
      <c r="X477" s="24"/>
      <c r="Y477" s="24"/>
      <c r="Z477" s="24"/>
      <c r="AA477" s="24"/>
      <c r="AB477" s="24"/>
      <c r="AC477" s="24"/>
      <c r="AE477" s="24"/>
      <c r="AF477" s="47"/>
      <c r="AG477" s="24"/>
      <c r="AH477" s="24"/>
      <c r="AI477" s="24"/>
      <c r="AJ477" s="24"/>
      <c r="AK477" s="24"/>
    </row>
    <row r="478" spans="1:37" x14ac:dyDescent="0.3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/>
      <c r="W478" s="24" t="str">
        <f>IFERROR(IF(ISBLANK(V478),"",INDEX(Gen_Vessels!$A$3:$C$495,MATCH(InspectionSite!$V478,Gen_Vessels!$C$3:$C$495,0),1)),"")</f>
        <v/>
      </c>
      <c r="X478" s="24"/>
      <c r="Y478" s="24"/>
      <c r="Z478" s="24"/>
      <c r="AA478" s="24"/>
      <c r="AB478" s="24"/>
      <c r="AC478" s="24"/>
      <c r="AE478" s="24"/>
      <c r="AF478" s="47"/>
      <c r="AG478" s="24"/>
      <c r="AH478" s="24"/>
      <c r="AI478" s="24"/>
      <c r="AJ478" s="24"/>
      <c r="AK478" s="24"/>
    </row>
    <row r="479" spans="1:37" x14ac:dyDescent="0.3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/>
      <c r="W479" s="24" t="str">
        <f>IFERROR(IF(ISBLANK(V479),"",INDEX(Gen_Vessels!$A$3:$C$495,MATCH(InspectionSite!$V479,Gen_Vessels!$C$3:$C$495,0),1)),"")</f>
        <v/>
      </c>
      <c r="X479" s="24"/>
      <c r="Y479" s="24"/>
      <c r="Z479" s="24"/>
      <c r="AA479" s="24"/>
      <c r="AB479" s="24"/>
      <c r="AC479" s="24"/>
      <c r="AE479" s="24"/>
      <c r="AF479" s="47"/>
      <c r="AG479" s="24"/>
      <c r="AH479" s="24"/>
      <c r="AI479" s="24"/>
      <c r="AJ479" s="24"/>
      <c r="AK479" s="24"/>
    </row>
    <row r="480" spans="1:37" x14ac:dyDescent="0.3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/>
      <c r="W480" s="24" t="str">
        <f>IFERROR(IF(ISBLANK(V480),"",INDEX(Gen_Vessels!$A$3:$C$495,MATCH(InspectionSite!$V480,Gen_Vessels!$C$3:$C$495,0),1)),"")</f>
        <v/>
      </c>
      <c r="X480" s="24"/>
      <c r="Y480" s="24"/>
      <c r="Z480" s="24"/>
      <c r="AA480" s="24"/>
      <c r="AB480" s="24"/>
      <c r="AC480" s="24"/>
      <c r="AE480" s="24"/>
      <c r="AF480" s="47"/>
      <c r="AG480" s="24"/>
      <c r="AH480" s="24"/>
      <c r="AI480" s="24"/>
      <c r="AJ480" s="24"/>
      <c r="AK480" s="24"/>
    </row>
    <row r="481" spans="1:37" x14ac:dyDescent="0.3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/>
      <c r="W481" s="24" t="str">
        <f>IFERROR(IF(ISBLANK(V481),"",INDEX(Gen_Vessels!$A$3:$C$495,MATCH(InspectionSite!$V481,Gen_Vessels!$C$3:$C$495,0),1)),"")</f>
        <v/>
      </c>
      <c r="X481" s="24"/>
      <c r="Y481" s="24"/>
      <c r="Z481" s="24"/>
      <c r="AA481" s="24"/>
      <c r="AB481" s="24"/>
      <c r="AC481" s="24"/>
      <c r="AE481" s="24"/>
      <c r="AF481" s="47"/>
      <c r="AG481" s="24"/>
      <c r="AH481" s="24"/>
      <c r="AI481" s="24"/>
      <c r="AJ481" s="24"/>
      <c r="AK481" s="24"/>
    </row>
    <row r="482" spans="1:37" x14ac:dyDescent="0.3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/>
      <c r="W482" s="24" t="str">
        <f>IFERROR(IF(ISBLANK(V482),"",INDEX(Gen_Vessels!$A$3:$C$495,MATCH(InspectionSite!$V482,Gen_Vessels!$C$3:$C$495,0),1)),"")</f>
        <v/>
      </c>
      <c r="X482" s="24"/>
      <c r="Y482" s="24"/>
      <c r="Z482" s="24"/>
      <c r="AA482" s="24"/>
      <c r="AB482" s="24"/>
      <c r="AC482" s="24"/>
      <c r="AE482" s="24"/>
      <c r="AF482" s="47"/>
      <c r="AG482" s="24"/>
      <c r="AH482" s="24"/>
      <c r="AI482" s="24"/>
      <c r="AJ482" s="24"/>
      <c r="AK482" s="24"/>
    </row>
    <row r="483" spans="1:37" x14ac:dyDescent="0.3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/>
      <c r="W483" s="24" t="str">
        <f>IFERROR(IF(ISBLANK(V483),"",INDEX(Gen_Vessels!$A$3:$C$495,MATCH(InspectionSite!$V483,Gen_Vessels!$C$3:$C$495,0),1)),"")</f>
        <v/>
      </c>
      <c r="X483" s="24"/>
      <c r="Y483" s="24"/>
      <c r="Z483" s="24"/>
      <c r="AA483" s="24"/>
      <c r="AB483" s="24"/>
      <c r="AC483" s="24"/>
      <c r="AE483" s="24"/>
      <c r="AF483" s="47"/>
      <c r="AG483" s="24"/>
      <c r="AH483" s="24"/>
      <c r="AI483" s="24"/>
      <c r="AJ483" s="24"/>
      <c r="AK483" s="24"/>
    </row>
    <row r="484" spans="1:37" x14ac:dyDescent="0.3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/>
      <c r="W484" s="24" t="str">
        <f>IFERROR(IF(ISBLANK(V484),"",INDEX(Gen_Vessels!$A$3:$C$495,MATCH(InspectionSite!$V484,Gen_Vessels!$C$3:$C$495,0),1)),"")</f>
        <v/>
      </c>
      <c r="X484" s="24"/>
      <c r="Y484" s="24"/>
      <c r="Z484" s="24"/>
      <c r="AA484" s="24"/>
      <c r="AB484" s="24"/>
      <c r="AC484" s="24"/>
      <c r="AE484" s="24"/>
      <c r="AF484" s="47"/>
      <c r="AG484" s="24"/>
      <c r="AH484" s="24"/>
      <c r="AI484" s="24"/>
      <c r="AJ484" s="24"/>
      <c r="AK484" s="24"/>
    </row>
    <row r="485" spans="1:37" x14ac:dyDescent="0.3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/>
      <c r="W485" s="24" t="str">
        <f>IFERROR(IF(ISBLANK(V485),"",INDEX(Gen_Vessels!$A$3:$C$495,MATCH(InspectionSite!$V485,Gen_Vessels!$C$3:$C$495,0),1)),"")</f>
        <v/>
      </c>
      <c r="X485" s="24"/>
      <c r="Y485" s="24"/>
      <c r="Z485" s="24"/>
      <c r="AA485" s="24"/>
      <c r="AB485" s="24"/>
      <c r="AC485" s="24"/>
      <c r="AE485" s="24"/>
      <c r="AF485" s="47"/>
      <c r="AG485" s="24"/>
      <c r="AH485" s="24"/>
      <c r="AI485" s="24"/>
      <c r="AJ485" s="24"/>
      <c r="AK485" s="24"/>
    </row>
    <row r="486" spans="1:37" x14ac:dyDescent="0.3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/>
      <c r="W486" s="24" t="str">
        <f>IFERROR(IF(ISBLANK(V486),"",INDEX(Gen_Vessels!$A$3:$C$495,MATCH(InspectionSite!$V486,Gen_Vessels!$C$3:$C$495,0),1)),"")</f>
        <v/>
      </c>
      <c r="X486" s="24"/>
      <c r="Y486" s="24"/>
      <c r="Z486" s="24"/>
      <c r="AA486" s="24"/>
      <c r="AB486" s="24"/>
      <c r="AC486" s="24"/>
      <c r="AE486" s="24"/>
      <c r="AF486" s="47"/>
      <c r="AG486" s="24"/>
      <c r="AH486" s="24"/>
      <c r="AI486" s="24"/>
      <c r="AJ486" s="24"/>
      <c r="AK486" s="24"/>
    </row>
    <row r="487" spans="1:37" x14ac:dyDescent="0.3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/>
      <c r="W487" s="24" t="str">
        <f>IFERROR(IF(ISBLANK(V487),"",INDEX(Gen_Vessels!$A$3:$C$495,MATCH(InspectionSite!$V487,Gen_Vessels!$C$3:$C$495,0),1)),"")</f>
        <v/>
      </c>
      <c r="X487" s="24"/>
      <c r="Y487" s="24"/>
      <c r="Z487" s="24"/>
      <c r="AA487" s="24"/>
      <c r="AB487" s="24"/>
      <c r="AC487" s="24"/>
      <c r="AE487" s="24"/>
      <c r="AF487" s="47"/>
      <c r="AG487" s="24"/>
      <c r="AH487" s="24"/>
      <c r="AI487" s="24"/>
      <c r="AJ487" s="24"/>
      <c r="AK487" s="24"/>
    </row>
    <row r="488" spans="1:37" x14ac:dyDescent="0.3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/>
      <c r="W488" s="24" t="str">
        <f>IFERROR(IF(ISBLANK(V488),"",INDEX(Gen_Vessels!$A$3:$C$495,MATCH(InspectionSite!$V488,Gen_Vessels!$C$3:$C$495,0),1)),"")</f>
        <v/>
      </c>
      <c r="X488" s="24"/>
      <c r="Y488" s="24"/>
      <c r="Z488" s="24"/>
      <c r="AA488" s="24"/>
      <c r="AB488" s="24"/>
      <c r="AC488" s="24"/>
      <c r="AE488" s="24"/>
      <c r="AF488" s="47"/>
      <c r="AG488" s="24"/>
      <c r="AH488" s="24"/>
      <c r="AI488" s="24"/>
      <c r="AJ488" s="24"/>
      <c r="AK488" s="24"/>
    </row>
    <row r="489" spans="1:37" x14ac:dyDescent="0.3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/>
      <c r="W489" s="24" t="str">
        <f>IFERROR(IF(ISBLANK(V489),"",INDEX(Gen_Vessels!$A$3:$C$495,MATCH(InspectionSite!$V489,Gen_Vessels!$C$3:$C$495,0),1)),"")</f>
        <v/>
      </c>
      <c r="X489" s="24"/>
      <c r="Y489" s="24"/>
      <c r="Z489" s="24"/>
      <c r="AA489" s="24"/>
      <c r="AB489" s="24"/>
      <c r="AC489" s="24"/>
      <c r="AE489" s="24"/>
      <c r="AF489" s="47"/>
      <c r="AG489" s="24"/>
      <c r="AH489" s="24"/>
      <c r="AI489" s="24"/>
      <c r="AJ489" s="24"/>
      <c r="AK489" s="24"/>
    </row>
    <row r="490" spans="1:37" x14ac:dyDescent="0.3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/>
      <c r="W490" s="24" t="str">
        <f>IFERROR(IF(ISBLANK(V490),"",INDEX(Gen_Vessels!$A$3:$C$495,MATCH(InspectionSite!$V490,Gen_Vessels!$C$3:$C$495,0),1)),"")</f>
        <v/>
      </c>
      <c r="X490" s="24"/>
      <c r="Y490" s="24"/>
      <c r="Z490" s="24"/>
      <c r="AA490" s="24"/>
      <c r="AB490" s="24"/>
      <c r="AC490" s="24"/>
      <c r="AE490" s="24"/>
      <c r="AF490" s="47"/>
      <c r="AG490" s="24"/>
      <c r="AH490" s="24"/>
      <c r="AI490" s="24"/>
      <c r="AJ490" s="24"/>
      <c r="AK490" s="24"/>
    </row>
    <row r="491" spans="1:37" x14ac:dyDescent="0.35">
      <c r="T491" s="24" t="str">
        <f>IFERROR(IF(ISBLANK(S491),"",INDEX(Gen_Vessels!$A$3:$C$495,MATCH(InspectionSite!$S491,Gen_Vessels!$C$3:$C$495,0),1)),"")</f>
        <v/>
      </c>
      <c r="U491" s="24"/>
      <c r="W491" s="24" t="str">
        <f>IFERROR(IF(ISBLANK(V491),"",INDEX(Gen_Vessels!$A$3:$C$495,MATCH(InspectionSite!$V491,Gen_Vessels!$C$3:$C$495,0),1)),"")</f>
        <v/>
      </c>
      <c r="X491" s="24"/>
      <c r="AF491" s="47"/>
    </row>
    <row r="492" spans="1:37" x14ac:dyDescent="0.35">
      <c r="T492" s="24" t="str">
        <f>IFERROR(IF(ISBLANK(S492),"",INDEX(Gen_Vessels!$A$3:$C$495,MATCH(InspectionSite!$S492,Gen_Vessels!$C$3:$C$495,0),1)),"")</f>
        <v/>
      </c>
      <c r="U492" s="24"/>
      <c r="W492" s="24" t="str">
        <f>IFERROR(IF(ISBLANK(V492),"",INDEX(Gen_Vessels!$A$3:$C$495,MATCH(InspectionSite!$V492,Gen_Vessels!$C$3:$C$495,0),1)),"")</f>
        <v/>
      </c>
      <c r="X492" s="24"/>
      <c r="AF492" s="47"/>
    </row>
    <row r="493" spans="1:37" x14ac:dyDescent="0.35">
      <c r="T493" s="24" t="str">
        <f>IFERROR(IF(ISBLANK(S493),"",INDEX(Gen_Vessels!$A$3:$C$495,MATCH(InspectionSite!$S493,Gen_Vessels!$C$3:$C$495,0),1)),"")</f>
        <v/>
      </c>
      <c r="U493" s="24"/>
      <c r="W493" s="24" t="str">
        <f>IFERROR(IF(ISBLANK(V493),"",INDEX(Gen_Vessels!$A$3:$C$495,MATCH(InspectionSite!$V493,Gen_Vessels!$C$3:$C$495,0),1)),"")</f>
        <v/>
      </c>
      <c r="X493" s="24"/>
      <c r="AF493" s="47"/>
    </row>
    <row r="494" spans="1:37" x14ac:dyDescent="0.35">
      <c r="T494" s="24" t="str">
        <f>IFERROR(IF(ISBLANK(S494),"",INDEX(Gen_Vessels!$A$3:$C$495,MATCH(InspectionSite!$S494,Gen_Vessels!$C$3:$C$495,0),1)),"")</f>
        <v/>
      </c>
      <c r="U494" s="24"/>
      <c r="W494" s="24" t="str">
        <f>IFERROR(IF(ISBLANK(V494),"",INDEX(Gen_Vessels!$A$3:$C$495,MATCH(InspectionSite!$V494,Gen_Vessels!$C$3:$C$495,0),1)),"")</f>
        <v/>
      </c>
      <c r="X494" s="24"/>
      <c r="AF494" s="47"/>
    </row>
    <row r="495" spans="1:37" x14ac:dyDescent="0.35">
      <c r="T495" s="24" t="str">
        <f>IFERROR(IF(ISBLANK(S495),"",INDEX(Gen_Vessels!$A$3:$C$495,MATCH(InspectionSite!$S495,Gen_Vessels!$C$3:$C$495,0),1)),"")</f>
        <v/>
      </c>
      <c r="U495" s="24"/>
      <c r="W495" s="24" t="str">
        <f>IFERROR(IF(ISBLANK(V495),"",INDEX(Gen_Vessels!$A$3:$C$495,MATCH(InspectionSite!$V495,Gen_Vessels!$C$3:$C$495,0),1)),"")</f>
        <v/>
      </c>
      <c r="X495" s="24"/>
      <c r="AF495" s="47"/>
    </row>
    <row r="496" spans="1:37" x14ac:dyDescent="0.35">
      <c r="T496" s="24" t="str">
        <f>IFERROR(IF(ISBLANK(S496),"",INDEX(Gen_Vessels!$A$3:$C$495,MATCH(InspectionSite!$S496,Gen_Vessels!$C$3:$C$495,0),1)),"")</f>
        <v/>
      </c>
      <c r="U496" s="24"/>
      <c r="W496" s="24" t="str">
        <f>IFERROR(IF(ISBLANK(V496),"",INDEX(Gen_Vessels!$A$3:$C$495,MATCH(InspectionSite!$V496,Gen_Vessels!$C$3:$C$495,0),1)),"")</f>
        <v/>
      </c>
      <c r="X496" s="24"/>
      <c r="AF496" s="47"/>
    </row>
    <row r="497" spans="20:32" x14ac:dyDescent="0.35">
      <c r="T497" s="24" t="str">
        <f>IFERROR(IF(ISBLANK(S497),"",INDEX(Gen_Vessels!$A$3:$C$495,MATCH(InspectionSite!$S497,Gen_Vessels!$C$3:$C$495,0),1)),"")</f>
        <v/>
      </c>
      <c r="U497" s="24"/>
      <c r="W497" s="24" t="str">
        <f>IFERROR(IF(ISBLANK(V497),"",INDEX(Gen_Vessels!$A$3:$C$495,MATCH(InspectionSite!$V497,Gen_Vessels!$C$3:$C$495,0),1)),"")</f>
        <v/>
      </c>
      <c r="X497" s="24"/>
      <c r="AF497" s="47"/>
    </row>
    <row r="498" spans="20:32" x14ac:dyDescent="0.35">
      <c r="T498" s="24" t="str">
        <f>IFERROR(IF(ISBLANK(S498),"",INDEX(Gen_Vessels!$A$3:$C$495,MATCH(InspectionSite!$S498,Gen_Vessels!$C$3:$C$495,0),1)),"")</f>
        <v/>
      </c>
      <c r="U498" s="24"/>
      <c r="W498" s="24" t="str">
        <f>IFERROR(IF(ISBLANK(V498),"",INDEX(Gen_Vessels!$A$3:$C$495,MATCH(InspectionSite!$V498,Gen_Vessels!$C$3:$C$495,0),1)),"")</f>
        <v/>
      </c>
      <c r="X498" s="24"/>
      <c r="AF498" s="47"/>
    </row>
    <row r="499" spans="20:32" x14ac:dyDescent="0.35">
      <c r="U499" s="24"/>
      <c r="X499" s="24"/>
    </row>
    <row r="500" spans="20:32" x14ac:dyDescent="0.35">
      <c r="U500" s="24"/>
      <c r="X500" s="24"/>
    </row>
  </sheetData>
  <conditionalFormatting sqref="A1:B2 A6:B1048576">
    <cfRule type="expression" dxfId="71" priority="6">
      <formula>AND(COUNTIF(A:A,$A1)&gt;1,$A1&lt;&gt;"")</formula>
    </cfRule>
  </conditionalFormatting>
  <conditionalFormatting sqref="D6:D500 L6:L500">
    <cfRule type="expression" dxfId="70" priority="8">
      <formula>AND(NOT(ISBLANK(D6)),D6=$A6)</formula>
    </cfRule>
  </conditionalFormatting>
  <conditionalFormatting sqref="H6:J500">
    <cfRule type="expression" dxfId="69" priority="76">
      <formula>AND(NOT(ISBLANK($B6)),$H6=0,$I6=0,$J6=0)</formula>
    </cfRule>
  </conditionalFormatting>
  <conditionalFormatting sqref="O6:Q500">
    <cfRule type="expression" dxfId="68" priority="9">
      <formula>AND(NOT(ISBLANK($O6)),NOT(ISBLANK($Q6)))</formula>
    </cfRule>
  </conditionalFormatting>
  <conditionalFormatting sqref="R6:R48">
    <cfRule type="expression" dxfId="67" priority="2">
      <formula>AND(NOT(ISBLANK(R6)),R6=$A6)</formula>
    </cfRule>
  </conditionalFormatting>
  <conditionalFormatting sqref="AD1:AD2 AE6 AD7:AD1048576">
    <cfRule type="expression" dxfId="66" priority="4">
      <formula>AND(NOT(ISBLANK($B1)),IF(AND(NOT(ISBLANK($A1)),ISBLANK(AD1)),TRUE,FALSE))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G7:AG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Z7:Z486 AA6" xr:uid="{9E1BCBDF-B9C1-46B7-840B-268AB308A197}">
      <formula1>1</formula1>
    </dataValidation>
    <dataValidation type="decimal" operator="greaterThanOrEqual" allowBlank="1" showInputMessage="1" showErrorMessage="1" sqref="AA7:AC486 AB6:AD6" xr:uid="{F6E3778A-B097-46F8-AC80-13E0347033D0}">
      <formula1>0</formula1>
    </dataValidation>
    <dataValidation type="list" allowBlank="1" showInputMessage="1" showErrorMessage="1" sqref="AD7:AD1048576 AE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V6:V498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Y16:Y486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Y7:Y15 Z6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13.81640625" style="33" bestFit="1" customWidth="1"/>
    <col min="5" max="5" width="13.81640625" style="17" bestFit="1" customWidth="1"/>
    <col min="6" max="6" width="12.7265625" style="17" customWidth="1"/>
    <col min="7" max="7" width="19.453125" style="34" customWidth="1"/>
    <col min="8" max="8" width="18.7265625" style="33" customWidth="1"/>
    <col min="9" max="9" width="18.7265625" style="17" customWidth="1"/>
    <col min="10" max="10" width="18.7265625" style="34" customWidth="1"/>
    <col min="11" max="14" width="6.7265625" style="17" customWidth="1"/>
    <col min="15" max="15" width="15.54296875" style="33" customWidth="1"/>
    <col min="16" max="16" width="15.54296875" style="17" customWidth="1"/>
    <col min="17" max="17" width="15.54296875" style="34" customWidth="1"/>
    <col min="18" max="18" width="21.453125" style="33" customWidth="1"/>
    <col min="19" max="19" width="21.453125" style="17" customWidth="1"/>
    <col min="20" max="20" width="13.54296875" style="17" customWidth="1"/>
    <col min="21" max="21" width="12.7265625" style="34" customWidth="1"/>
    <col min="22" max="22" width="17.26953125" bestFit="1" customWidth="1"/>
    <col min="23" max="16384" width="9.26953125" style="17"/>
  </cols>
  <sheetData>
    <row r="1" spans="1:30" x14ac:dyDescent="0.35">
      <c r="A1" s="17" t="s">
        <v>54</v>
      </c>
      <c r="B1" s="17" t="s">
        <v>122</v>
      </c>
      <c r="C1" s="17" t="s">
        <v>123</v>
      </c>
      <c r="D1" s="33" t="s">
        <v>155</v>
      </c>
      <c r="E1" s="17" t="s">
        <v>156</v>
      </c>
      <c r="F1" s="17" t="s">
        <v>125</v>
      </c>
      <c r="G1" s="34" t="s">
        <v>126</v>
      </c>
      <c r="H1" s="33" t="s">
        <v>128</v>
      </c>
      <c r="I1" s="17" t="s">
        <v>129</v>
      </c>
      <c r="J1" s="34" t="s">
        <v>130</v>
      </c>
      <c r="K1" s="17" t="s">
        <v>133</v>
      </c>
      <c r="L1" s="17" t="s">
        <v>134</v>
      </c>
      <c r="M1" s="17" t="s">
        <v>135</v>
      </c>
      <c r="N1" s="17" t="s">
        <v>137</v>
      </c>
      <c r="O1" s="33" t="s">
        <v>139</v>
      </c>
      <c r="P1" s="17" t="s">
        <v>141</v>
      </c>
      <c r="Q1" s="34" t="s">
        <v>143</v>
      </c>
      <c r="R1" s="33" t="s">
        <v>144</v>
      </c>
      <c r="S1" s="17" t="s">
        <v>145</v>
      </c>
      <c r="T1" s="17" t="s">
        <v>146</v>
      </c>
      <c r="U1" s="34" t="s">
        <v>147</v>
      </c>
    </row>
    <row r="2" spans="1:30" x14ac:dyDescent="0.3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152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153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154</v>
      </c>
      <c r="T2" s="17" t="s">
        <v>78</v>
      </c>
      <c r="U2" s="34" t="s">
        <v>78</v>
      </c>
    </row>
    <row r="3" spans="1:30" x14ac:dyDescent="0.3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157</v>
      </c>
      <c r="C3" s="24" t="s">
        <v>158</v>
      </c>
      <c r="D3" s="35"/>
      <c r="E3" s="24"/>
      <c r="F3" s="24">
        <v>0.5</v>
      </c>
      <c r="G3" s="36" t="s">
        <v>159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160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35">
      <c r="A4" s="17" t="str">
        <f t="shared" si="0"/>
        <v>oce_CPO_A2</v>
      </c>
      <c r="B4" s="24" t="s">
        <v>161</v>
      </c>
      <c r="C4" s="24" t="s">
        <v>162</v>
      </c>
      <c r="D4" s="35"/>
      <c r="E4" s="24"/>
      <c r="F4" s="24">
        <v>1</v>
      </c>
      <c r="G4" s="36" t="s">
        <v>163</v>
      </c>
      <c r="H4" s="35">
        <v>0</v>
      </c>
      <c r="I4" s="24">
        <f t="shared" si="1"/>
        <v>0</v>
      </c>
      <c r="J4" s="36">
        <v>0</v>
      </c>
      <c r="N4" s="28"/>
      <c r="O4" s="35" t="s">
        <v>160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35">
      <c r="A5" s="17" t="str">
        <f t="shared" si="0"/>
        <v>oce_CPO_A3_0</v>
      </c>
      <c r="B5" s="24" t="s">
        <v>164</v>
      </c>
      <c r="C5" s="24" t="s">
        <v>165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166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35">
      <c r="A6" s="17" t="str">
        <f t="shared" si="0"/>
        <v>oce_CPO_A3_1</v>
      </c>
      <c r="B6" s="24" t="s">
        <v>167</v>
      </c>
      <c r="C6" s="24" t="s">
        <v>168</v>
      </c>
      <c r="D6" s="35" t="s">
        <v>169</v>
      </c>
      <c r="E6" s="24" t="s">
        <v>170</v>
      </c>
      <c r="F6" s="24">
        <v>5</v>
      </c>
      <c r="G6" s="36" t="s">
        <v>163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35">
      <c r="A7" s="17" t="str">
        <f t="shared" si="0"/>
        <v>oce_CPO_A3_2</v>
      </c>
      <c r="B7" s="24" t="s">
        <v>171</v>
      </c>
      <c r="C7" s="24" t="s">
        <v>172</v>
      </c>
      <c r="D7" s="35" t="s">
        <v>169</v>
      </c>
      <c r="E7" s="24" t="s">
        <v>170</v>
      </c>
      <c r="F7" s="24">
        <v>5</v>
      </c>
      <c r="G7" s="36" t="s">
        <v>163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35">
      <c r="A8" s="17" t="str">
        <f t="shared" si="0"/>
        <v>oce_CPO_A3_3</v>
      </c>
      <c r="B8" s="24" t="s">
        <v>173</v>
      </c>
      <c r="C8" s="24" t="s">
        <v>174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166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35">
      <c r="A9" s="17" t="str">
        <f t="shared" si="0"/>
        <v>ofw_SuAB_1</v>
      </c>
      <c r="B9" s="24" t="s">
        <v>175</v>
      </c>
      <c r="C9" s="24" t="s">
        <v>176</v>
      </c>
      <c r="D9" s="35"/>
      <c r="E9" s="24"/>
      <c r="F9" s="24">
        <v>1</v>
      </c>
      <c r="G9" s="36" t="s">
        <v>177</v>
      </c>
      <c r="H9" s="35">
        <f t="shared" ref="H9:H14" si="2">wtg_devices</f>
        <v>5</v>
      </c>
      <c r="I9" s="24">
        <v>0</v>
      </c>
      <c r="J9" s="36">
        <v>0</v>
      </c>
      <c r="O9" s="35" t="s">
        <v>178</v>
      </c>
      <c r="P9" s="24"/>
      <c r="Q9" s="36" t="s">
        <v>179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35">
      <c r="A10" s="17" t="str">
        <f t="shared" si="0"/>
        <v>ofw_SuAB_2</v>
      </c>
      <c r="B10" s="24" t="s">
        <v>180</v>
      </c>
      <c r="C10" s="24" t="s">
        <v>181</v>
      </c>
      <c r="D10" s="35"/>
      <c r="E10" s="24"/>
      <c r="F10" s="24">
        <v>1</v>
      </c>
      <c r="G10" s="36" t="s">
        <v>177</v>
      </c>
      <c r="H10" s="35">
        <f t="shared" si="2"/>
        <v>5</v>
      </c>
      <c r="I10" s="24">
        <v>0</v>
      </c>
      <c r="J10" s="36">
        <v>0</v>
      </c>
      <c r="O10" s="35" t="s">
        <v>160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35">
      <c r="A11" s="17" t="str">
        <f t="shared" si="0"/>
        <v>ofw_SuAB_3</v>
      </c>
      <c r="B11" s="24" t="s">
        <v>182</v>
      </c>
      <c r="C11" s="24" t="s">
        <v>183</v>
      </c>
      <c r="D11" s="35"/>
      <c r="E11" s="24"/>
      <c r="F11" s="24">
        <v>1</v>
      </c>
      <c r="G11" s="36" t="s">
        <v>177</v>
      </c>
      <c r="H11" s="35">
        <f t="shared" si="2"/>
        <v>5</v>
      </c>
      <c r="I11" s="24">
        <v>0</v>
      </c>
      <c r="J11" s="36">
        <v>0</v>
      </c>
      <c r="O11" s="35" t="s">
        <v>178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35">
      <c r="A12" s="17" t="str">
        <f t="shared" si="0"/>
        <v>ofw_SuAB_4</v>
      </c>
      <c r="B12" s="24" t="s">
        <v>184</v>
      </c>
      <c r="C12" s="24" t="s">
        <v>185</v>
      </c>
      <c r="D12" s="35"/>
      <c r="E12" s="24"/>
      <c r="F12" s="24">
        <v>1</v>
      </c>
      <c r="G12" s="36" t="s">
        <v>177</v>
      </c>
      <c r="H12" s="35">
        <f t="shared" si="2"/>
        <v>5</v>
      </c>
      <c r="I12" s="24">
        <v>0</v>
      </c>
      <c r="J12" s="36">
        <v>0</v>
      </c>
      <c r="O12" s="35" t="s">
        <v>178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35">
      <c r="A13" s="17" t="str">
        <f t="shared" si="0"/>
        <v>ofw_SuAB_5</v>
      </c>
      <c r="B13" s="24" t="s">
        <v>186</v>
      </c>
      <c r="C13" s="24" t="s">
        <v>187</v>
      </c>
      <c r="D13" s="35"/>
      <c r="E13" s="24"/>
      <c r="F13" s="24">
        <v>1</v>
      </c>
      <c r="G13" s="36" t="s">
        <v>177</v>
      </c>
      <c r="H13" s="35">
        <f t="shared" si="2"/>
        <v>5</v>
      </c>
      <c r="I13" s="24">
        <v>0</v>
      </c>
      <c r="J13" s="36">
        <v>0</v>
      </c>
      <c r="O13" s="35" t="s">
        <v>178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35">
      <c r="A14" s="17" t="str">
        <f t="shared" si="0"/>
        <v>ofw_SuAB_6</v>
      </c>
      <c r="B14" s="24" t="s">
        <v>188</v>
      </c>
      <c r="C14" s="24" t="s">
        <v>189</v>
      </c>
      <c r="D14" s="35"/>
      <c r="E14" s="24"/>
      <c r="F14" s="24">
        <v>1</v>
      </c>
      <c r="G14" s="36" t="s">
        <v>177</v>
      </c>
      <c r="H14" s="35">
        <f t="shared" si="2"/>
        <v>5</v>
      </c>
      <c r="I14" s="24">
        <v>0</v>
      </c>
      <c r="J14" s="36">
        <v>0</v>
      </c>
      <c r="O14" s="35" t="s">
        <v>190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35">
      <c r="A15" s="17" t="str">
        <f t="shared" si="0"/>
        <v>ofw_SuAB_cable_1</v>
      </c>
      <c r="B15" s="24" t="s">
        <v>191</v>
      </c>
      <c r="C15" s="24" t="s">
        <v>192</v>
      </c>
      <c r="D15" s="35"/>
      <c r="E15" s="24"/>
      <c r="F15" s="24">
        <v>2</v>
      </c>
      <c r="G15" s="36" t="s">
        <v>177</v>
      </c>
      <c r="H15" s="35">
        <f>wtg_devices</f>
        <v>5</v>
      </c>
      <c r="I15" s="24">
        <v>0</v>
      </c>
      <c r="J15" s="36">
        <v>0</v>
      </c>
      <c r="O15" s="35" t="s">
        <v>190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35">
      <c r="A16" s="17" t="str">
        <f t="shared" si="0"/>
        <v>oce_SuAB_cable_2</v>
      </c>
      <c r="B16" s="24" t="s">
        <v>193</v>
      </c>
      <c r="C16" s="24" t="s">
        <v>194</v>
      </c>
      <c r="D16" s="35"/>
      <c r="E16" s="24"/>
      <c r="F16" s="24">
        <v>2</v>
      </c>
      <c r="G16" s="36" t="s">
        <v>177</v>
      </c>
      <c r="H16" s="35">
        <v>0</v>
      </c>
      <c r="I16" s="24">
        <v>0</v>
      </c>
      <c r="J16" s="36">
        <v>0</v>
      </c>
      <c r="O16" s="35" t="s">
        <v>190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35">
      <c r="A17" s="17" t="str">
        <f t="shared" si="0"/>
        <v>ofw_OP001</v>
      </c>
      <c r="B17" s="24" t="s">
        <v>195</v>
      </c>
      <c r="C17" s="24" t="s">
        <v>196</v>
      </c>
      <c r="D17" s="35"/>
      <c r="E17" s="24"/>
      <c r="F17" s="24">
        <v>1</v>
      </c>
      <c r="G17" s="36" t="s">
        <v>163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160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35">
      <c r="A18" s="17" t="str">
        <f t="shared" si="0"/>
        <v>ofw_OP002</v>
      </c>
      <c r="B18" s="24" t="s">
        <v>197</v>
      </c>
      <c r="C18" s="24" t="s">
        <v>198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190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35">
      <c r="A19" s="17" t="str">
        <f t="shared" si="0"/>
        <v>ofw_OP003</v>
      </c>
      <c r="B19" s="24" t="s">
        <v>199</v>
      </c>
      <c r="C19" s="24" t="s">
        <v>200</v>
      </c>
      <c r="D19" s="35"/>
      <c r="E19" s="24"/>
      <c r="F19" s="24">
        <v>1</v>
      </c>
      <c r="G19" s="36" t="s">
        <v>163</v>
      </c>
      <c r="H19" s="35">
        <f>wtg_devices</f>
        <v>5</v>
      </c>
      <c r="I19" s="24"/>
      <c r="J19" s="36">
        <f>pv_islands</f>
        <v>0</v>
      </c>
      <c r="O19" s="35" t="s">
        <v>160</v>
      </c>
      <c r="P19" s="24"/>
      <c r="Q19" s="36" t="s">
        <v>179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3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3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3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3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3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3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3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3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3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3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3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3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3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3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3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3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3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3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3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3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3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3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3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3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3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3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3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3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3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3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3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3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3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3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3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3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3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3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3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3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3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3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3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3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3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3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3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3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3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3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3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3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3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3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3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3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3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3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3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3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3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3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3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3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3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3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3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3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3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3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3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3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3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3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3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3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3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3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3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3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3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3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3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3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3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3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3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3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3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3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3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3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3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3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3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3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3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3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3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3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3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3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3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3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3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3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3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3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3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3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3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3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3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3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3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3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3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3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3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3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3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3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3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3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3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3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3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3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3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3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3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3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3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3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3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3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3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3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3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3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3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3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3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3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3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3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3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3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3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3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3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3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3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3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3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3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3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3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3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3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3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3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3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3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3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3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3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3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3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3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3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3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3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3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3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3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3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3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3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3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3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3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3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3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3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3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3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3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3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3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3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3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3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3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3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3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3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3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3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3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3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3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3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3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3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3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3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3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3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3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3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3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3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3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3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3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3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3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3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3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3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3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3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3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3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3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3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3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3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3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3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3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3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3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3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3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3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3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3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3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3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3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3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3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3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3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3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3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3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3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3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3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3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3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3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3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3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3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3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3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3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3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3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3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3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3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3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3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3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3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3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3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3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3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3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3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3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3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3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3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3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3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3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3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3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3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3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3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3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3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3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3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3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3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3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3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3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3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3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3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3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3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3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3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3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3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3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3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3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3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3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3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3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3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3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3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3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3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3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3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3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3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3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3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3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3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3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3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3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3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3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3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3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3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3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3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3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3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3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3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3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3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3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3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3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3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3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3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3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3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3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3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3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3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3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3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3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3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3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3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3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3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3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3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3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3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3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3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3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3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3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3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3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3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3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3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3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3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3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3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3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3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3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3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3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3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3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3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3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3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3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3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3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3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3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3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3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3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3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3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3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3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3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3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3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3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3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3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3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3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3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3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3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3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3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3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3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3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3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3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3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3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3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3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3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3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3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3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3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3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3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3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3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3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3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3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3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3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3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3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3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3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3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3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3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3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3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3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3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3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3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3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3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3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3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3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3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3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3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3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3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3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3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3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3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3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3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3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3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3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3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3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3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3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3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65" priority="5">
      <formula>AND(COUNTIF(A:A,$A1)&gt;1,$A1&lt;&gt;"")</formula>
    </cfRule>
  </conditionalFormatting>
  <conditionalFormatting sqref="D3:E496">
    <cfRule type="expression" dxfId="64" priority="7">
      <formula>AND(NOT(ISBLANK(D3)),D3=$A3)</formula>
    </cfRule>
  </conditionalFormatting>
  <conditionalFormatting sqref="H3:J496">
    <cfRule type="expression" dxfId="63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12.7265625" style="17" customWidth="1"/>
    <col min="5" max="6" width="19.453125" style="17" customWidth="1"/>
    <col min="7" max="7" width="18.7265625" style="17" customWidth="1"/>
    <col min="8" max="8" width="15" style="17" bestFit="1" customWidth="1"/>
    <col min="9" max="9" width="4.453125" style="17" bestFit="1" customWidth="1"/>
    <col min="10" max="10" width="6.1796875" style="17" bestFit="1" customWidth="1"/>
    <col min="11" max="12" width="21.453125" style="17" customWidth="1"/>
    <col min="13" max="13" width="13.54296875" style="17" customWidth="1"/>
    <col min="14" max="14" width="12.7265625" style="17" customWidth="1"/>
    <col min="15" max="16384" width="9.26953125" style="17"/>
  </cols>
  <sheetData>
    <row r="1" spans="1:22" x14ac:dyDescent="0.35">
      <c r="A1" s="17" t="s">
        <v>54</v>
      </c>
      <c r="B1" s="17" t="s">
        <v>122</v>
      </c>
      <c r="C1" s="17" t="s">
        <v>123</v>
      </c>
      <c r="D1" s="17" t="s">
        <v>125</v>
      </c>
      <c r="E1" s="17" t="s">
        <v>126</v>
      </c>
      <c r="F1" s="47" t="s">
        <v>127</v>
      </c>
      <c r="G1" s="17" t="s">
        <v>201</v>
      </c>
      <c r="H1" s="17" t="s">
        <v>131</v>
      </c>
      <c r="I1" s="17" t="s">
        <v>135</v>
      </c>
      <c r="J1" s="34" t="s">
        <v>138</v>
      </c>
      <c r="K1" s="17" t="s">
        <v>144</v>
      </c>
      <c r="L1" s="17" t="s">
        <v>145</v>
      </c>
      <c r="M1" s="17" t="s">
        <v>146</v>
      </c>
      <c r="N1" s="17" t="s">
        <v>147</v>
      </c>
      <c r="O1" s="17" t="s">
        <v>202</v>
      </c>
      <c r="P1" s="17" t="s">
        <v>151</v>
      </c>
      <c r="Q1" s="17" t="s">
        <v>148</v>
      </c>
    </row>
    <row r="2" spans="1:22" x14ac:dyDescent="0.35">
      <c r="A2" s="17" t="s">
        <v>13</v>
      </c>
      <c r="B2" s="17" t="s">
        <v>13</v>
      </c>
      <c r="C2" s="17" t="s">
        <v>13</v>
      </c>
      <c r="D2" s="17" t="s">
        <v>152</v>
      </c>
      <c r="E2" s="17" t="s">
        <v>13</v>
      </c>
      <c r="F2" s="48" t="s">
        <v>13</v>
      </c>
      <c r="G2" s="17" t="s">
        <v>13</v>
      </c>
      <c r="H2" s="17" t="s">
        <v>79</v>
      </c>
      <c r="I2" s="17" t="s">
        <v>27</v>
      </c>
      <c r="J2" s="34" t="s">
        <v>13</v>
      </c>
      <c r="K2" s="17" t="s">
        <v>13</v>
      </c>
      <c r="L2" s="17" t="s">
        <v>154</v>
      </c>
      <c r="M2" s="17" t="s">
        <v>78</v>
      </c>
      <c r="N2" s="17" t="s">
        <v>78</v>
      </c>
      <c r="O2" s="17" t="s">
        <v>203</v>
      </c>
      <c r="P2" s="17" t="s">
        <v>13</v>
      </c>
      <c r="Q2" s="17" t="s">
        <v>13</v>
      </c>
    </row>
    <row r="3" spans="1:22" x14ac:dyDescent="0.35">
      <c r="A3" s="59" t="s">
        <v>339</v>
      </c>
      <c r="B3" s="59" t="s">
        <v>340</v>
      </c>
      <c r="C3" s="59" t="s">
        <v>338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288</v>
      </c>
      <c r="R3" s="59"/>
      <c r="S3" s="59"/>
      <c r="T3" s="59"/>
      <c r="U3" s="59"/>
      <c r="V3" s="59"/>
    </row>
    <row r="4" spans="1:22" x14ac:dyDescent="0.3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3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3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3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3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3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3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3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3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3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3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3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3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3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3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3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3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3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3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3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3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3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3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3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3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3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3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3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3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3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3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3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3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3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3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3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3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3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3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3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3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3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3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3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3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3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3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3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3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3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3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3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3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3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3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3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3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3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3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3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3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3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3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3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3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3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3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3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3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3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3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3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3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3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3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3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3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3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3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3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3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3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3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3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3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3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3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3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3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3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3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3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3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3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3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3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3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3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3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3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3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3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3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3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3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3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3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3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3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3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3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3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3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3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3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3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3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3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3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3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3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3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3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3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3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3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3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3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3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3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3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3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3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3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3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3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3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3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3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3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3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3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3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3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3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3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3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3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3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3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3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3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3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3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3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3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3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3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3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3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3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3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3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3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3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3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3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3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3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3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3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3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3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3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3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3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3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3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3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3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3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3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3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3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3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3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3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3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3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3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3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3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3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3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3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3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3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3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3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3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3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3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3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3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3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3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3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3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3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3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3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3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3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3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3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3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3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3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3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3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3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3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3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3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3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3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3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3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3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3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3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3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3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3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3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3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3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3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3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3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3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3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3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3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3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3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3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3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3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3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3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3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3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3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3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3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3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3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3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3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3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3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3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3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3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3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3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3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3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3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3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3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3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3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3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3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3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3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3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3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3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3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3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3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3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3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3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3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3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3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3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3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3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3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3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3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3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3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3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3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3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3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3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3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3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3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3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3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3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3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3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3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3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3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3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3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3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3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3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3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3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3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3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3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3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3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3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3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3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3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3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3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3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3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3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3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3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3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3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3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3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3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3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3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3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3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3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3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3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3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3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3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3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3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3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3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3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3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3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3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3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3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3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3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3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3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3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3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3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3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3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3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3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3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3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3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3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3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3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3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3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3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3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3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3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3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3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3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3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3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3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3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3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3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3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3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3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3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3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3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3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3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3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3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3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3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3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3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3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3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3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3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3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3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3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3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3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3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3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3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3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3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3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3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3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3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3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3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3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3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3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3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3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3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3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3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3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3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3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3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3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3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3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3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3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3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3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3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3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3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3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3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3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3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3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3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3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3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3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3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3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3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3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3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3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3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3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3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3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3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3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3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3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3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3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3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3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3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3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3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3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3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3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3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3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3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3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3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3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35">
      <c r="F493" s="47"/>
      <c r="J493" s="34"/>
      <c r="Q493"/>
    </row>
    <row r="494" spans="2:22" x14ac:dyDescent="0.35">
      <c r="F494" s="47"/>
      <c r="J494" s="34"/>
      <c r="Q494"/>
    </row>
    <row r="495" spans="2:22" x14ac:dyDescent="0.35">
      <c r="F495" s="47"/>
      <c r="J495" s="34"/>
      <c r="Q495"/>
    </row>
    <row r="496" spans="2:22" x14ac:dyDescent="0.35">
      <c r="F496" s="47"/>
      <c r="J496" s="34"/>
      <c r="Q496"/>
    </row>
    <row r="497" spans="6:10" x14ac:dyDescent="0.35">
      <c r="F497" s="47"/>
      <c r="J497" s="34"/>
    </row>
    <row r="498" spans="6:10" x14ac:dyDescent="0.35">
      <c r="F498" s="47"/>
      <c r="J498" s="34"/>
    </row>
    <row r="499" spans="6:10" x14ac:dyDescent="0.35">
      <c r="F499" s="47"/>
      <c r="J499" s="34"/>
    </row>
    <row r="500" spans="6:10" x14ac:dyDescent="0.35">
      <c r="J500" s="34"/>
    </row>
  </sheetData>
  <conditionalFormatting sqref="A1:B2 A4:B1048576">
    <cfRule type="expression" dxfId="62" priority="6">
      <formula>AND(COUNTIF(A:A,$A1)&gt;1,$A1&lt;&gt;"")</formula>
    </cfRule>
  </conditionalFormatting>
  <conditionalFormatting sqref="G1:G2 G4:G1048576">
    <cfRule type="expression" dxfId="61" priority="78">
      <formula>AND(NOT(ISBLANK($B1)),#REF!=0,$G1=0,#REF!=0)</formula>
    </cfRule>
  </conditionalFormatting>
  <conditionalFormatting sqref="J3:J8">
    <cfRule type="expression" dxfId="60" priority="2">
      <formula>AND(NOT(ISBLANK(J3)),J3=$A3)</formula>
    </cfRule>
  </conditionalFormatting>
  <conditionalFormatting sqref="Q3:Q496">
    <cfRule type="expression" dxfId="59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Q1" sqref="Q1:Q1048576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6.7265625" style="44" customWidth="1"/>
    <col min="5" max="5" width="6.7265625" style="13" customWidth="1"/>
    <col min="6" max="6" width="6.7265625" style="45" customWidth="1"/>
    <col min="7" max="8" width="13.7265625" style="17" customWidth="1"/>
    <col min="9" max="9" width="6.7265625" style="33" customWidth="1"/>
    <col min="10" max="14" width="6.7265625" style="17" customWidth="1"/>
    <col min="15" max="18" width="15.54296875" style="17" customWidth="1"/>
    <col min="19" max="19" width="10.26953125" style="17" bestFit="1" customWidth="1"/>
    <col min="20" max="21" width="15.54296875" style="17" customWidth="1"/>
    <col min="22" max="23" width="21.453125" style="17" customWidth="1"/>
    <col min="25" max="25" width="12.7265625" style="17" customWidth="1"/>
    <col min="26" max="26" width="15.453125" bestFit="1" customWidth="1"/>
    <col min="27" max="27" width="11.81640625" style="17" bestFit="1" customWidth="1"/>
    <col min="28" max="16384" width="9.26953125" style="17"/>
  </cols>
  <sheetData>
    <row r="1" spans="1:33" ht="29" x14ac:dyDescent="0.35">
      <c r="A1" s="17" t="s">
        <v>54</v>
      </c>
      <c r="B1" s="17" t="s">
        <v>122</v>
      </c>
      <c r="C1" s="17" t="s">
        <v>123</v>
      </c>
      <c r="D1" s="33" t="s">
        <v>204</v>
      </c>
      <c r="E1" s="17" t="s">
        <v>205</v>
      </c>
      <c r="F1" s="34" t="s">
        <v>206</v>
      </c>
      <c r="G1" s="17" t="s">
        <v>207</v>
      </c>
      <c r="H1" s="50" t="s">
        <v>132</v>
      </c>
      <c r="I1" s="33" t="s">
        <v>133</v>
      </c>
      <c r="J1" s="17" t="s">
        <v>134</v>
      </c>
      <c r="K1" s="17" t="s">
        <v>135</v>
      </c>
      <c r="L1" s="17" t="s">
        <v>136</v>
      </c>
      <c r="M1" s="17" t="s">
        <v>137</v>
      </c>
      <c r="N1" s="56" t="s">
        <v>138</v>
      </c>
      <c r="O1" s="17" t="s">
        <v>139</v>
      </c>
      <c r="P1" s="17" t="s">
        <v>140</v>
      </c>
      <c r="Q1" s="17" t="s">
        <v>213</v>
      </c>
      <c r="R1" s="17" t="s">
        <v>141</v>
      </c>
      <c r="S1" s="17" t="s">
        <v>142</v>
      </c>
      <c r="T1" s="17" t="s">
        <v>406</v>
      </c>
      <c r="U1" s="17" t="s">
        <v>143</v>
      </c>
      <c r="V1" s="17" t="s">
        <v>208</v>
      </c>
      <c r="W1" s="17" t="s">
        <v>145</v>
      </c>
      <c r="Y1" s="17" t="s">
        <v>147</v>
      </c>
      <c r="Z1" s="17" t="s">
        <v>148</v>
      </c>
      <c r="AA1" s="17" t="s">
        <v>151</v>
      </c>
    </row>
    <row r="2" spans="1:33" x14ac:dyDescent="0.3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79</v>
      </c>
      <c r="H2" s="51" t="s">
        <v>13</v>
      </c>
      <c r="I2" s="33" t="s">
        <v>30</v>
      </c>
      <c r="J2" s="17" t="s">
        <v>153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154</v>
      </c>
      <c r="Y2" s="17" t="s">
        <v>78</v>
      </c>
      <c r="Z2" s="17" t="s">
        <v>13</v>
      </c>
      <c r="AA2" s="17" t="s">
        <v>13</v>
      </c>
    </row>
    <row r="3" spans="1:33" ht="16.5" customHeight="1" x14ac:dyDescent="0.35">
      <c r="A3" s="59" t="s">
        <v>341</v>
      </c>
      <c r="B3" s="59" t="s">
        <v>195</v>
      </c>
      <c r="C3" s="59" t="s">
        <v>342</v>
      </c>
      <c r="D3" s="66" t="s">
        <v>209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331</v>
      </c>
      <c r="P3" s="59" t="s">
        <v>84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288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35">
      <c r="A4" s="59" t="s">
        <v>343</v>
      </c>
      <c r="B4" s="59" t="s">
        <v>197</v>
      </c>
      <c r="C4" s="59" t="s">
        <v>393</v>
      </c>
      <c r="D4" s="66" t="s">
        <v>209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331</v>
      </c>
      <c r="P4" s="59" t="s">
        <v>84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288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3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3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3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3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3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3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3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3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3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3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3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3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3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3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3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3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3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3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3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210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3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210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3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210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3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210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3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210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3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210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3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210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3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210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3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210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3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210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3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210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3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210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3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210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3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210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3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210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3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210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3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210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3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210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3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210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3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210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3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210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3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210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3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210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3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210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3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210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3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210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3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210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3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210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3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210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3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210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3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210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3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210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3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210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3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210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3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210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3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210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3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210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3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210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3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210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3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210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3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210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3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210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3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210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3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210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3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210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3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210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3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210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3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210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3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210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3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210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3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210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3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210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3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210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3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210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3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210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3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210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3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210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3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210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3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210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3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210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3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210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3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210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3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210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3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210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3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210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3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210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3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210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3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210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3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210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3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210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3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210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3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210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3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210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3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210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3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210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3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210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3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210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3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210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3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210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3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210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3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210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3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210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3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210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3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210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3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210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3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210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3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210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3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210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3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210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3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210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3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210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3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210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3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210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3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210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3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210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3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210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3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210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3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210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3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210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3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210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3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210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3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210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3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210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3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210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3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210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3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210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3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210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3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210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3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210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3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210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3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210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3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210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3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210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3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210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3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210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3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210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3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210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3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210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3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210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3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210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3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210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3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210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3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210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3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210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3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210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3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210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3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210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3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210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3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210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3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210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3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210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3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210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3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210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3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210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3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210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3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210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3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210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3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210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3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210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3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210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3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210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3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210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3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210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3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210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3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210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3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210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3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210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3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210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3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210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3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210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3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210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3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210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3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210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3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210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3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210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3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210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3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210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3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210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3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210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3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210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3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210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3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210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3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210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3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210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3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210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3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210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3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210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3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210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3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210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3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210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3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210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3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210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3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210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3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210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3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210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3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210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3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210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3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210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3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210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3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210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3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210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3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210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3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210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3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210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3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210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3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210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3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210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3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210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3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210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3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210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3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210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3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210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3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210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3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210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3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210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3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210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3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210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3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210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3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210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3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210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3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210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3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210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3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210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3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210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3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210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3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210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3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210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3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210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3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210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3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210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3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210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3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210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3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210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3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210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3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210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3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210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3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210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3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210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3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210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3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210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3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210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3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210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3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210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3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210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3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210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3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210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3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210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3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210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3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210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3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210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3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210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3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210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3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210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3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210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3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210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3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210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3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210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3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210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3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210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3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210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3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210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3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210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3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210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3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210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3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210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3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210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3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210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3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210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3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210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3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210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3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210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3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210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3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210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3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210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3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210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3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210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3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210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3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210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3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210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3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210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3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210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3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210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3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210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3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210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3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210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3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210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3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210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3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210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3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210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3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210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3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210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3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210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3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210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3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210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3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210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3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210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3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210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3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210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3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210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3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210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3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210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3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210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3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210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3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210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3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210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3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210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3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210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3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210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3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210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3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210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3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210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3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210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3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210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3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210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3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210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3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210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3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210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3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210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3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210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3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210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3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210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3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210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3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210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3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210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3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210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3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210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3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210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3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210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3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210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3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210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3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210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3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210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3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210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3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210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3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210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3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210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3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210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3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210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3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210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3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210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3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210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3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210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3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210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3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210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3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210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3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210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3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210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3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210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3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210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3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210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3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210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3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210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3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210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3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210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3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210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3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210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3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210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3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210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3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210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3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210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3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210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3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210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3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210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3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210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3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210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3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210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3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210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3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210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3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210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3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210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3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210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3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210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3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210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3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210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3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210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3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210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3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210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3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210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3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210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3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210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3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210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3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210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3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210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3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210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3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210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3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210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3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210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3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210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3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210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3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210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3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210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3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210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3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210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3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210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3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210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3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210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3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210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3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210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3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210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3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210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3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210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3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210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3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210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3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210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3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210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3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210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3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210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3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210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3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210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3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210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3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210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3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210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3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210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3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210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3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210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3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210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3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210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3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210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3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210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3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210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3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210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3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210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3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210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3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210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3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210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3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210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3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210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3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210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3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210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3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210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3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210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3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210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3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210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3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210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3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210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3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210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3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210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3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210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3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210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3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210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3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210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3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210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3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210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3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210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3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210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3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210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3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210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3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210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3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210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3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210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3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210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3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210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3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210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3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210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3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210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3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210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3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210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3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210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3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210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3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210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3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210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3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210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3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210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3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210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3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210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3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210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3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210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3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210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3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210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3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210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3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210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3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210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3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210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3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210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3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210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3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210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3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210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3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210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3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210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3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210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3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210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3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210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3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210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3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210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3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210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3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210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3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210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3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210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3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210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3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3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3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3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3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3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3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3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3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58" priority="8">
      <formula>AND(COUNTIF(A:A,$A1)&gt;1,$A1&lt;&gt;"")</formula>
    </cfRule>
  </conditionalFormatting>
  <conditionalFormatting sqref="D5:F500">
    <cfRule type="expression" dxfId="57" priority="4">
      <formula>AND(NOT(ISBLANK($B5)),COUNTBLANK($D5:$F5)&lt;2)</formula>
    </cfRule>
    <cfRule type="expression" dxfId="56" priority="5">
      <formula>AND(NOT(ISBLANK($B5)),COUNTBLANK($D5:$F5)&gt;2)</formula>
    </cfRule>
  </conditionalFormatting>
  <conditionalFormatting sqref="J5:K500">
    <cfRule type="expression" dxfId="55" priority="1">
      <formula>AND(NOT(ISBLANK($K5)),NOT(ISBLANK($L5)))</formula>
    </cfRule>
  </conditionalFormatting>
  <conditionalFormatting sqref="Z5:Z500">
    <cfRule type="expression" dxfId="54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13.81640625" style="17" bestFit="1" customWidth="1"/>
    <col min="5" max="5" width="15.54296875" style="17" customWidth="1"/>
    <col min="6" max="6" width="9.81640625" style="17" bestFit="1" customWidth="1"/>
    <col min="7" max="7" width="15.54296875" style="17" customWidth="1"/>
    <col min="8" max="8" width="7.54296875" style="17" bestFit="1" customWidth="1"/>
    <col min="9" max="9" width="10.26953125" style="17" bestFit="1" customWidth="1"/>
    <col min="10" max="11" width="15.54296875" style="17" customWidth="1"/>
    <col min="12" max="13" width="21.453125" style="17" customWidth="1"/>
    <col min="14" max="14" width="12.7265625" style="17" customWidth="1"/>
    <col min="15" max="15" width="17.26953125" style="17" bestFit="1" customWidth="1"/>
    <col min="16" max="16384" width="9.26953125" style="17"/>
  </cols>
  <sheetData>
    <row r="1" spans="1:24" x14ac:dyDescent="0.35">
      <c r="A1" s="17" t="s">
        <v>54</v>
      </c>
      <c r="B1" s="17" t="s">
        <v>122</v>
      </c>
      <c r="C1" s="17" t="s">
        <v>123</v>
      </c>
      <c r="D1" s="17" t="s">
        <v>211</v>
      </c>
      <c r="E1" s="17" t="s">
        <v>139</v>
      </c>
      <c r="F1" s="17" t="s">
        <v>140</v>
      </c>
      <c r="G1" s="17" t="s">
        <v>213</v>
      </c>
      <c r="H1" s="17" t="s">
        <v>141</v>
      </c>
      <c r="I1" s="17" t="s">
        <v>142</v>
      </c>
      <c r="J1" s="17" t="s">
        <v>406</v>
      </c>
      <c r="K1" s="17" t="s">
        <v>143</v>
      </c>
      <c r="L1" s="17" t="s">
        <v>212</v>
      </c>
      <c r="M1" s="17" t="s">
        <v>145</v>
      </c>
      <c r="N1" s="17" t="s">
        <v>147</v>
      </c>
      <c r="O1" s="17" t="s">
        <v>202</v>
      </c>
    </row>
    <row r="2" spans="1:24" x14ac:dyDescent="0.3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154</v>
      </c>
      <c r="N2" s="17" t="s">
        <v>78</v>
      </c>
      <c r="O2" s="17" t="s">
        <v>203</v>
      </c>
    </row>
    <row r="3" spans="1:24" x14ac:dyDescent="0.35">
      <c r="A3" s="59" t="s">
        <v>345</v>
      </c>
      <c r="B3" s="17" t="s">
        <v>199</v>
      </c>
      <c r="C3" s="59" t="s">
        <v>344</v>
      </c>
      <c r="D3" s="59" t="b">
        <v>0</v>
      </c>
      <c r="E3" s="59" t="s">
        <v>331</v>
      </c>
      <c r="F3" s="59" t="s">
        <v>84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35">
      <c r="A4" s="59" t="s">
        <v>403</v>
      </c>
      <c r="B4" s="17" t="s">
        <v>402</v>
      </c>
      <c r="C4" s="59" t="s">
        <v>346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35">
      <c r="A5" s="59" t="s">
        <v>411</v>
      </c>
      <c r="B5" s="17" t="s">
        <v>412</v>
      </c>
      <c r="C5" s="59" t="s">
        <v>344</v>
      </c>
      <c r="D5" s="59" t="b">
        <v>0</v>
      </c>
      <c r="E5" s="59" t="s">
        <v>331</v>
      </c>
      <c r="F5" s="59" t="s">
        <v>84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3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3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3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3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3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3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3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3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3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3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3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3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3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3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3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3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3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3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3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3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3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3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3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3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3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3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3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3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3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3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3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3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3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3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3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3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3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3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3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3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3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3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3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3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3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3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3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3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3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3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3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3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3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3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3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3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3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3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3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3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3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3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3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3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3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3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3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3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3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3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3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3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3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3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3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3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3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3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3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3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3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3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3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3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3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3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3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3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3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3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3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3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3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3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3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3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3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3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3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3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3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3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3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3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3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3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3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3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3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3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3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3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3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3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3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3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3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3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3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3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3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3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3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3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3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3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3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3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3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3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3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3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3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3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3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3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3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3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3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3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3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3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3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3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3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3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3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3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3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3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3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3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3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3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3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3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3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3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3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3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3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3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3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3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3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3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3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3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3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3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3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3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3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3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3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3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3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3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3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3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3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3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3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3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3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3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3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3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3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3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3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3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3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3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3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3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3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3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3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3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3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3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3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3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3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3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3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3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3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3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3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3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3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3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3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3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3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3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3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3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3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3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3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3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3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3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3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3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3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3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3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3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3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3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3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3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3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3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3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3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3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3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3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3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3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3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3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3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3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3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3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3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3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3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3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3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3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3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3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3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3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3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3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3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3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3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3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3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3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3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3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3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3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3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3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3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3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3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3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3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3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3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3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3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3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3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3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3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3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3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3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3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3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3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3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3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3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3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3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3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3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3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3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3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3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3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3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3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3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3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3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3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3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3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3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3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3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3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3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3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3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3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3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3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3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3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3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3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3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3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3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3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3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3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3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3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3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3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3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3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3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3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3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3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3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3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3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3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3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3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3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3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3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3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3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3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3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3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3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3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3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3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3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3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3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3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3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3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3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3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3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3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3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3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3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3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3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3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3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3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3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3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3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3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3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3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3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3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3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3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3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3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3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3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3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3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3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3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3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3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3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3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3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3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3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3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3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3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3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3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3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3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3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3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3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3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3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3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3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3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3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3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3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3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3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3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3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3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3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3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3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3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3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3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3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3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3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3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3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3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3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3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3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3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3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3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3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3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3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3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3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3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3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3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3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3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3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3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3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3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3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3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3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3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3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3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3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3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3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3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3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3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3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3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3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3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3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3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3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3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3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3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3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3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3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3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3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3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3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3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3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3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3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35">
      <c r="G499" s="24"/>
      <c r="J499" s="24"/>
    </row>
    <row r="500" spans="6:10" x14ac:dyDescent="0.35">
      <c r="G500" s="24"/>
      <c r="J500" s="24"/>
    </row>
  </sheetData>
  <conditionalFormatting sqref="B1:B1048576">
    <cfRule type="expression" dxfId="53" priority="2">
      <formula>COUNTIF(B:B,$B1)&gt;1</formula>
    </cfRule>
  </conditionalFormatting>
  <conditionalFormatting sqref="B3:B498">
    <cfRule type="expression" dxfId="52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15.54296875" style="17" customWidth="1"/>
    <col min="5" max="5" width="12.7265625" style="17" customWidth="1"/>
    <col min="6" max="7" width="15.54296875" style="17" customWidth="1"/>
    <col min="8" max="8" width="10.81640625" style="17" bestFit="1" customWidth="1"/>
    <col min="9" max="10" width="15.54296875" style="17" customWidth="1"/>
    <col min="11" max="11" width="20.7265625" style="17" bestFit="1" customWidth="1"/>
    <col min="12" max="12" width="21.453125" bestFit="1" customWidth="1"/>
    <col min="13" max="13" width="15.54296875" style="17" customWidth="1"/>
    <col min="14" max="15" width="21.453125" style="17" customWidth="1"/>
    <col min="16" max="16" width="12.7265625" style="17" customWidth="1"/>
    <col min="17" max="16384" width="9.26953125" style="17"/>
  </cols>
  <sheetData>
    <row r="1" spans="1:27" x14ac:dyDescent="0.35">
      <c r="A1" s="17" t="s">
        <v>54</v>
      </c>
      <c r="B1" s="17" t="s">
        <v>122</v>
      </c>
      <c r="C1" s="17" t="s">
        <v>123</v>
      </c>
      <c r="D1" s="17" t="s">
        <v>139</v>
      </c>
      <c r="E1" s="17" t="s">
        <v>140</v>
      </c>
      <c r="F1" s="17" t="s">
        <v>213</v>
      </c>
      <c r="G1" s="17" t="s">
        <v>141</v>
      </c>
      <c r="H1" s="17" t="s">
        <v>142</v>
      </c>
      <c r="I1" s="17" t="s">
        <v>406</v>
      </c>
      <c r="J1" s="17" t="s">
        <v>409</v>
      </c>
      <c r="K1" s="17" t="s">
        <v>410</v>
      </c>
      <c r="L1" s="17" t="s">
        <v>413</v>
      </c>
      <c r="M1" s="17" t="s">
        <v>143</v>
      </c>
      <c r="N1" s="17" t="s">
        <v>212</v>
      </c>
      <c r="O1" s="17" t="s">
        <v>145</v>
      </c>
      <c r="P1" s="17" t="s">
        <v>147</v>
      </c>
    </row>
    <row r="2" spans="1:27" x14ac:dyDescent="0.3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221</v>
      </c>
      <c r="M2" s="17" t="s">
        <v>13</v>
      </c>
      <c r="N2" s="17" t="s">
        <v>13</v>
      </c>
      <c r="O2" s="17" t="s">
        <v>154</v>
      </c>
      <c r="P2" s="17" t="s">
        <v>78</v>
      </c>
    </row>
    <row r="3" spans="1:27" x14ac:dyDescent="0.35">
      <c r="A3" s="59" t="s">
        <v>347</v>
      </c>
      <c r="B3" s="59" t="s">
        <v>350</v>
      </c>
      <c r="C3" s="59" t="s">
        <v>354</v>
      </c>
      <c r="D3" s="17" t="s">
        <v>407</v>
      </c>
      <c r="E3" s="59" t="s">
        <v>86</v>
      </c>
      <c r="F3" s="59">
        <v>2</v>
      </c>
      <c r="G3" s="17" t="s">
        <v>331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411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35">
      <c r="A4" s="59" t="s">
        <v>348</v>
      </c>
      <c r="B4" s="59" t="s">
        <v>351</v>
      </c>
      <c r="C4" s="59" t="s">
        <v>353</v>
      </c>
      <c r="D4" s="17" t="s">
        <v>407</v>
      </c>
      <c r="E4" s="59" t="s">
        <v>86</v>
      </c>
      <c r="F4" s="59">
        <v>1</v>
      </c>
      <c r="G4" s="17" t="s">
        <v>331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35">
      <c r="A5" s="59" t="s">
        <v>349</v>
      </c>
      <c r="B5" s="59" t="s">
        <v>352</v>
      </c>
      <c r="C5" s="59" t="s">
        <v>355</v>
      </c>
      <c r="D5" s="17" t="s">
        <v>407</v>
      </c>
      <c r="E5" s="59" t="s">
        <v>86</v>
      </c>
      <c r="F5" s="59">
        <v>1</v>
      </c>
      <c r="G5" s="17" t="s">
        <v>331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411</v>
      </c>
      <c r="K5" s="59" t="b">
        <v>1</v>
      </c>
      <c r="L5">
        <v>24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3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3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3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3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3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3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3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3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3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3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3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3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3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3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3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3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3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3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3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3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3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3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3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3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3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3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3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3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3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3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3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3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3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3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3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3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3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3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3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3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3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3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3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3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3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3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3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3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3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3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3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3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3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3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3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3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3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3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3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3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3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3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3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3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3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3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3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3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3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3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3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3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3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3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3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3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3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3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3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3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3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3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3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3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3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3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3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3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3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3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3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3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3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3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3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3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3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3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3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3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3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3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3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3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3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3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3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3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3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3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3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3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3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3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3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3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3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3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3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3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3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3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3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3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3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3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3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3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3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3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3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3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3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3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3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3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3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3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3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3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3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3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3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3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3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3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3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3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3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3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3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3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3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3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3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3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3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3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3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3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3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3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3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3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3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3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3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3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3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3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3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3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3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3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3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3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3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3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3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3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3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3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3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3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3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3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3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3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3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3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3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3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3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3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3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3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3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3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3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3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3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3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3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3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3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3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3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3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3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3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3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3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3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3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3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3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3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3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3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3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3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3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3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3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3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3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3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3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3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3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3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3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3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3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3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3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3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3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3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3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3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3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3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3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3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3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3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3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3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3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3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3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3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3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3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3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3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3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3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3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3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3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3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3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3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3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3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3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3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3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3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3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3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3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3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3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3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3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3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3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3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3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3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3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3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3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3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3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3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3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3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3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3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3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3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3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3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3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3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3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3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3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3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3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3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3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3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3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3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3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3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3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3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3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3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3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3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3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3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3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3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3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3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3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3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3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3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3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3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3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3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3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3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3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3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3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3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3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3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3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3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3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3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3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3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3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3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3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3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3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3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3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3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3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3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3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3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3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3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3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3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3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3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3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3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3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3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3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3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3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3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3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3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3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3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3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3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3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3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3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3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3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3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3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3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3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3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3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3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3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3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3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3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3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3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3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3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3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3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3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3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3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3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3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3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3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3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3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3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3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3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3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3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3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3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3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3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3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3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3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3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3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3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3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3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3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3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3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3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3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3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3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3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3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3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3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3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3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3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3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3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3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3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3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3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3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3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3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3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3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3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3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3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3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3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3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3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3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3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3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3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3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3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3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3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3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3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3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3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3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3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3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3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3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3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3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3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3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3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3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3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3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3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3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3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3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3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3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3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3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3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3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3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3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3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51" priority="3">
      <formula>AND(COUNTIF(A:A,$A1)&gt;1,$A1&lt;&gt;"")</formula>
    </cfRule>
  </conditionalFormatting>
  <conditionalFormatting sqref="J3">
    <cfRule type="expression" dxfId="50" priority="2">
      <formula>AND(J3&lt;&gt;"",I3=FALSE)</formula>
    </cfRule>
  </conditionalFormatting>
  <conditionalFormatting sqref="J5">
    <cfRule type="expression" dxfId="49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796875" defaultRowHeight="14.5" x14ac:dyDescent="0.35"/>
  <cols>
    <col min="1" max="1" width="14" style="17" bestFit="1" customWidth="1"/>
    <col min="2" max="2" width="26.7265625" style="17" bestFit="1" customWidth="1"/>
    <col min="3" max="3" width="40.7265625" style="17" customWidth="1"/>
    <col min="4" max="4" width="20.26953125" style="17" bestFit="1" customWidth="1"/>
    <col min="5" max="7" width="18.7265625" style="13" customWidth="1"/>
    <col min="8" max="8" width="18.7265625" style="17" customWidth="1"/>
    <col min="9" max="13" width="6.7265625" style="17" customWidth="1"/>
    <col min="14" max="14" width="8.7265625" style="17" customWidth="1"/>
    <col min="15" max="16384" width="9.1796875" style="17"/>
  </cols>
  <sheetData>
    <row r="1" spans="1:15" x14ac:dyDescent="0.35">
      <c r="A1" s="17" t="s">
        <v>54</v>
      </c>
      <c r="B1" s="17" t="s">
        <v>214</v>
      </c>
      <c r="C1" s="17" t="s">
        <v>215</v>
      </c>
      <c r="D1" s="17" t="s">
        <v>123</v>
      </c>
      <c r="E1" s="17" t="s">
        <v>216</v>
      </c>
      <c r="F1" s="14" t="s">
        <v>217</v>
      </c>
      <c r="G1" s="14" t="s">
        <v>218</v>
      </c>
      <c r="H1" s="14" t="s">
        <v>219</v>
      </c>
      <c r="I1" s="17" t="s">
        <v>220</v>
      </c>
      <c r="J1" s="17" t="s">
        <v>133</v>
      </c>
      <c r="K1" s="17" t="s">
        <v>134</v>
      </c>
      <c r="L1" s="17" t="s">
        <v>135</v>
      </c>
      <c r="M1" s="17" t="s">
        <v>136</v>
      </c>
      <c r="N1" s="17" t="s">
        <v>137</v>
      </c>
      <c r="O1" s="17" t="s">
        <v>138</v>
      </c>
    </row>
    <row r="2" spans="1:15" x14ac:dyDescent="0.3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221</v>
      </c>
      <c r="J2" s="17" t="s">
        <v>30</v>
      </c>
      <c r="K2" s="17" t="s">
        <v>153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35">
      <c r="A3" s="59" t="s">
        <v>356</v>
      </c>
      <c r="B3" s="17" t="s">
        <v>222</v>
      </c>
      <c r="C3" s="17" t="s">
        <v>345</v>
      </c>
      <c r="D3" s="59" t="s">
        <v>357</v>
      </c>
      <c r="E3" s="59" t="s">
        <v>223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35">
      <c r="A4" s="59" t="s">
        <v>358</v>
      </c>
      <c r="B4" s="17" t="s">
        <v>222</v>
      </c>
      <c r="C4" s="17" t="s">
        <v>345</v>
      </c>
      <c r="D4" s="59" t="s">
        <v>344</v>
      </c>
      <c r="E4" s="59" t="s">
        <v>224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35">
      <c r="A5" s="59" t="s">
        <v>359</v>
      </c>
      <c r="B5" s="17" t="s">
        <v>222</v>
      </c>
      <c r="C5" s="17" t="s">
        <v>345</v>
      </c>
      <c r="D5" s="59" t="s">
        <v>360</v>
      </c>
      <c r="E5" s="59" t="s">
        <v>223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35">
      <c r="A6" s="59" t="s">
        <v>358</v>
      </c>
      <c r="B6" s="17" t="s">
        <v>222</v>
      </c>
      <c r="C6" s="17" t="s">
        <v>403</v>
      </c>
      <c r="D6" s="59" t="s">
        <v>346</v>
      </c>
      <c r="E6" s="17" t="s">
        <v>392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35">
      <c r="A7" s="59" t="s">
        <v>364</v>
      </c>
      <c r="B7" s="17" t="s">
        <v>377</v>
      </c>
      <c r="C7" s="17" t="s">
        <v>347</v>
      </c>
      <c r="D7" s="59" t="s">
        <v>357</v>
      </c>
      <c r="E7" s="59" t="s">
        <v>223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35">
      <c r="A8" s="59" t="s">
        <v>365</v>
      </c>
      <c r="B8" s="17" t="s">
        <v>377</v>
      </c>
      <c r="C8" s="17" t="s">
        <v>347</v>
      </c>
      <c r="D8" s="59" t="s">
        <v>376</v>
      </c>
      <c r="E8" s="59" t="s">
        <v>224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35">
      <c r="A9" s="59" t="s">
        <v>366</v>
      </c>
      <c r="B9" s="17" t="s">
        <v>377</v>
      </c>
      <c r="C9" s="17" t="s">
        <v>347</v>
      </c>
      <c r="D9" s="59" t="s">
        <v>361</v>
      </c>
      <c r="E9" s="59" t="s">
        <v>223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35">
      <c r="A10" s="59" t="s">
        <v>367</v>
      </c>
      <c r="B10" s="17" t="s">
        <v>377</v>
      </c>
      <c r="C10" s="17" t="s">
        <v>348</v>
      </c>
      <c r="D10" s="59" t="s">
        <v>362</v>
      </c>
      <c r="E10" s="59" t="s">
        <v>223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35">
      <c r="A11" s="59" t="s">
        <v>368</v>
      </c>
      <c r="B11" s="17" t="s">
        <v>377</v>
      </c>
      <c r="C11" s="17" t="s">
        <v>348</v>
      </c>
      <c r="D11" s="59" t="s">
        <v>375</v>
      </c>
      <c r="E11" s="59" t="s">
        <v>224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35">
      <c r="A12" s="59" t="s">
        <v>369</v>
      </c>
      <c r="B12" s="17" t="s">
        <v>377</v>
      </c>
      <c r="C12" s="17" t="s">
        <v>348</v>
      </c>
      <c r="D12" s="59" t="s">
        <v>363</v>
      </c>
      <c r="E12" s="59" t="s">
        <v>224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35">
      <c r="A13" s="59" t="s">
        <v>370</v>
      </c>
      <c r="B13" s="17" t="s">
        <v>377</v>
      </c>
      <c r="C13" s="17" t="s">
        <v>348</v>
      </c>
      <c r="D13" s="59" t="s">
        <v>376</v>
      </c>
      <c r="E13" s="59" t="s">
        <v>224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35">
      <c r="A14" s="59" t="s">
        <v>371</v>
      </c>
      <c r="B14" s="17" t="s">
        <v>377</v>
      </c>
      <c r="C14" s="17" t="s">
        <v>348</v>
      </c>
      <c r="D14" s="59" t="s">
        <v>361</v>
      </c>
      <c r="E14" s="59" t="s">
        <v>223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35">
      <c r="A15" s="59" t="s">
        <v>372</v>
      </c>
      <c r="B15" s="17" t="s">
        <v>377</v>
      </c>
      <c r="C15" s="17" t="s">
        <v>349</v>
      </c>
      <c r="D15" s="59" t="s">
        <v>362</v>
      </c>
      <c r="E15" s="59" t="s">
        <v>223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35">
      <c r="A16" s="59" t="s">
        <v>373</v>
      </c>
      <c r="B16" s="17" t="s">
        <v>377</v>
      </c>
      <c r="C16" s="17" t="s">
        <v>349</v>
      </c>
      <c r="D16" s="59" t="s">
        <v>375</v>
      </c>
      <c r="E16" s="59" t="s">
        <v>224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35">
      <c r="A17" s="59" t="s">
        <v>374</v>
      </c>
      <c r="B17" s="17" t="s">
        <v>377</v>
      </c>
      <c r="C17" s="17" t="s">
        <v>349</v>
      </c>
      <c r="D17" s="59" t="s">
        <v>360</v>
      </c>
      <c r="E17" s="59" t="s">
        <v>223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35">
      <c r="A18" s="59" t="s">
        <v>356</v>
      </c>
      <c r="B18" s="17" t="s">
        <v>222</v>
      </c>
      <c r="C18" s="17" t="s">
        <v>411</v>
      </c>
      <c r="D18" s="59" t="s">
        <v>357</v>
      </c>
      <c r="E18" s="59" t="s">
        <v>223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35">
      <c r="A19" s="59" t="s">
        <v>358</v>
      </c>
      <c r="B19" s="17" t="s">
        <v>222</v>
      </c>
      <c r="C19" s="17" t="s">
        <v>411</v>
      </c>
      <c r="D19" s="59" t="s">
        <v>344</v>
      </c>
      <c r="E19" s="59" t="s">
        <v>224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35">
      <c r="A20" s="59" t="s">
        <v>359</v>
      </c>
      <c r="B20" s="17" t="s">
        <v>222</v>
      </c>
      <c r="C20" s="17" t="s">
        <v>411</v>
      </c>
      <c r="D20" s="59" t="s">
        <v>360</v>
      </c>
      <c r="E20" s="59" t="s">
        <v>223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35">
      <c r="E21" s="17"/>
      <c r="F21" s="27"/>
      <c r="G21" s="27"/>
      <c r="H21" s="27"/>
    </row>
    <row r="22" spans="1:15" x14ac:dyDescent="0.35">
      <c r="E22" s="17"/>
      <c r="F22" s="27"/>
      <c r="G22" s="27"/>
      <c r="H22" s="27"/>
    </row>
    <row r="23" spans="1:15" x14ac:dyDescent="0.35">
      <c r="E23" s="17"/>
      <c r="F23" s="27"/>
      <c r="G23" s="27"/>
      <c r="H23" s="27"/>
    </row>
    <row r="24" spans="1:15" x14ac:dyDescent="0.35">
      <c r="E24" s="17"/>
      <c r="F24" s="27"/>
      <c r="G24" s="27"/>
      <c r="H24" s="27"/>
    </row>
    <row r="25" spans="1:15" x14ac:dyDescent="0.35">
      <c r="E25" s="17"/>
      <c r="F25" s="27"/>
      <c r="G25" s="27"/>
      <c r="H25" s="27"/>
    </row>
    <row r="26" spans="1:15" x14ac:dyDescent="0.35">
      <c r="E26" s="17"/>
      <c r="F26" s="27"/>
      <c r="G26" s="27"/>
      <c r="H26" s="27"/>
    </row>
    <row r="27" spans="1:15" x14ac:dyDescent="0.35">
      <c r="E27" s="17"/>
      <c r="F27" s="27"/>
      <c r="G27" s="27"/>
      <c r="H27" s="27"/>
    </row>
    <row r="28" spans="1:15" x14ac:dyDescent="0.35">
      <c r="E28" s="17"/>
      <c r="F28" s="27"/>
      <c r="G28" s="27"/>
      <c r="H28" s="27"/>
    </row>
    <row r="29" spans="1:15" x14ac:dyDescent="0.35">
      <c r="E29" s="17"/>
      <c r="F29" s="27"/>
      <c r="G29" s="27"/>
      <c r="H29" s="27"/>
    </row>
    <row r="30" spans="1:15" x14ac:dyDescent="0.35">
      <c r="E30" s="17"/>
      <c r="F30" s="27"/>
      <c r="G30" s="27"/>
      <c r="H30" s="27"/>
    </row>
    <row r="31" spans="1:15" x14ac:dyDescent="0.35">
      <c r="E31" s="17"/>
      <c r="F31" s="27"/>
      <c r="G31" s="27"/>
      <c r="H31" s="27"/>
    </row>
    <row r="32" spans="1:15" x14ac:dyDescent="0.35">
      <c r="E32" s="17"/>
      <c r="F32" s="27"/>
      <c r="G32" s="27"/>
      <c r="H32" s="27"/>
    </row>
    <row r="33" spans="5:8" x14ac:dyDescent="0.35">
      <c r="E33" s="17"/>
      <c r="F33" s="27"/>
      <c r="G33" s="27"/>
      <c r="H33" s="27"/>
    </row>
    <row r="34" spans="5:8" x14ac:dyDescent="0.35">
      <c r="E34" s="17"/>
      <c r="F34" s="27"/>
      <c r="G34" s="27"/>
      <c r="H34" s="27"/>
    </row>
    <row r="35" spans="5:8" x14ac:dyDescent="0.35">
      <c r="E35" s="17"/>
      <c r="F35" s="27"/>
      <c r="G35" s="27"/>
      <c r="H35" s="27"/>
    </row>
    <row r="36" spans="5:8" x14ac:dyDescent="0.35">
      <c r="E36" s="17"/>
      <c r="F36" s="27"/>
      <c r="G36" s="27"/>
      <c r="H36" s="27"/>
    </row>
    <row r="37" spans="5:8" x14ac:dyDescent="0.35">
      <c r="E37" s="17"/>
      <c r="F37" s="27"/>
      <c r="G37" s="27"/>
      <c r="H37" s="27"/>
    </row>
    <row r="38" spans="5:8" x14ac:dyDescent="0.35">
      <c r="E38" s="17"/>
      <c r="F38" s="27"/>
      <c r="G38" s="27"/>
      <c r="H38" s="27"/>
    </row>
    <row r="39" spans="5:8" x14ac:dyDescent="0.35">
      <c r="E39" s="17"/>
      <c r="F39" s="27"/>
      <c r="G39" s="27"/>
      <c r="H39" s="27"/>
    </row>
    <row r="40" spans="5:8" x14ac:dyDescent="0.35">
      <c r="E40" s="17"/>
      <c r="F40" s="27"/>
      <c r="G40" s="27"/>
      <c r="H40" s="27"/>
    </row>
    <row r="41" spans="5:8" x14ac:dyDescent="0.35">
      <c r="E41" s="17"/>
      <c r="F41" s="27"/>
      <c r="G41" s="27"/>
      <c r="H41" s="27"/>
    </row>
    <row r="42" spans="5:8" x14ac:dyDescent="0.35">
      <c r="E42" s="17"/>
      <c r="F42" s="27"/>
      <c r="G42" s="27"/>
      <c r="H42" s="27"/>
    </row>
    <row r="43" spans="5:8" x14ac:dyDescent="0.35">
      <c r="E43" s="17"/>
      <c r="F43" s="27"/>
      <c r="G43" s="27"/>
      <c r="H43" s="27"/>
    </row>
    <row r="44" spans="5:8" x14ac:dyDescent="0.35">
      <c r="E44" s="17"/>
      <c r="F44" s="27"/>
      <c r="G44" s="27"/>
      <c r="H44" s="27"/>
    </row>
    <row r="45" spans="5:8" x14ac:dyDescent="0.35">
      <c r="E45" s="17"/>
      <c r="F45" s="27"/>
      <c r="G45" s="27"/>
      <c r="H45" s="27"/>
    </row>
    <row r="46" spans="5:8" x14ac:dyDescent="0.35">
      <c r="E46" s="17"/>
      <c r="F46" s="27"/>
      <c r="G46" s="27"/>
      <c r="H46" s="27"/>
    </row>
    <row r="47" spans="5:8" x14ac:dyDescent="0.35">
      <c r="E47" s="17"/>
      <c r="F47" s="27"/>
      <c r="G47" s="27"/>
      <c r="H47" s="27"/>
    </row>
    <row r="48" spans="5:8" x14ac:dyDescent="0.35">
      <c r="E48" s="17"/>
      <c r="F48" s="27"/>
      <c r="G48" s="27"/>
      <c r="H48" s="27"/>
    </row>
    <row r="49" spans="5:8" x14ac:dyDescent="0.35">
      <c r="E49" s="17"/>
      <c r="F49" s="27"/>
      <c r="G49" s="27"/>
      <c r="H49" s="27"/>
    </row>
    <row r="50" spans="5:8" x14ac:dyDescent="0.35">
      <c r="E50" s="17"/>
      <c r="F50" s="27"/>
      <c r="G50" s="27"/>
      <c r="H50" s="27"/>
    </row>
    <row r="51" spans="5:8" x14ac:dyDescent="0.35">
      <c r="E51" s="17"/>
      <c r="F51" s="27"/>
      <c r="G51" s="27"/>
      <c r="H51" s="27"/>
    </row>
    <row r="52" spans="5:8" x14ac:dyDescent="0.35">
      <c r="E52" s="17"/>
      <c r="F52" s="27"/>
      <c r="G52" s="27"/>
      <c r="H52" s="27"/>
    </row>
    <row r="53" spans="5:8" x14ac:dyDescent="0.35">
      <c r="E53" s="17"/>
      <c r="F53" s="27"/>
      <c r="G53" s="27"/>
      <c r="H53" s="27"/>
    </row>
    <row r="54" spans="5:8" x14ac:dyDescent="0.35">
      <c r="E54" s="17"/>
      <c r="F54" s="27"/>
      <c r="G54" s="27"/>
      <c r="H54" s="27"/>
    </row>
    <row r="55" spans="5:8" x14ac:dyDescent="0.35">
      <c r="E55" s="17"/>
      <c r="F55" s="27"/>
      <c r="G55" s="27"/>
      <c r="H55" s="27"/>
    </row>
    <row r="56" spans="5:8" x14ac:dyDescent="0.35">
      <c r="E56" s="17"/>
      <c r="F56" s="27"/>
      <c r="G56" s="27"/>
      <c r="H56" s="27"/>
    </row>
    <row r="57" spans="5:8" x14ac:dyDescent="0.35">
      <c r="E57" s="17"/>
      <c r="F57" s="27"/>
      <c r="G57" s="27"/>
      <c r="H57" s="27"/>
    </row>
    <row r="58" spans="5:8" x14ac:dyDescent="0.35">
      <c r="E58" s="17"/>
      <c r="F58" s="27"/>
      <c r="G58" s="27"/>
      <c r="H58" s="27"/>
    </row>
    <row r="59" spans="5:8" x14ac:dyDescent="0.35">
      <c r="E59" s="17"/>
      <c r="F59" s="27"/>
      <c r="G59" s="27"/>
      <c r="H59" s="27"/>
    </row>
    <row r="60" spans="5:8" x14ac:dyDescent="0.35">
      <c r="E60" s="17"/>
      <c r="F60" s="27"/>
      <c r="G60" s="27"/>
      <c r="H60" s="27"/>
    </row>
    <row r="61" spans="5:8" x14ac:dyDescent="0.35">
      <c r="E61" s="17"/>
      <c r="F61" s="27"/>
      <c r="G61" s="27"/>
      <c r="H61" s="27"/>
    </row>
    <row r="62" spans="5:8" x14ac:dyDescent="0.35">
      <c r="E62" s="17"/>
      <c r="F62" s="27"/>
      <c r="G62" s="27"/>
      <c r="H62" s="27"/>
    </row>
    <row r="63" spans="5:8" x14ac:dyDescent="0.35">
      <c r="E63" s="17"/>
      <c r="F63" s="27"/>
      <c r="G63" s="27"/>
      <c r="H63" s="27"/>
    </row>
    <row r="64" spans="5:8" x14ac:dyDescent="0.35">
      <c r="E64" s="17"/>
      <c r="F64" s="27"/>
      <c r="G64" s="27"/>
      <c r="H64" s="27"/>
    </row>
    <row r="65" spans="5:8" x14ac:dyDescent="0.35">
      <c r="E65" s="17"/>
      <c r="F65" s="27"/>
      <c r="G65" s="27"/>
      <c r="H65" s="27"/>
    </row>
    <row r="66" spans="5:8" x14ac:dyDescent="0.35">
      <c r="E66" s="17"/>
      <c r="F66" s="27"/>
      <c r="G66" s="27"/>
      <c r="H66" s="27"/>
    </row>
    <row r="67" spans="5:8" x14ac:dyDescent="0.35">
      <c r="E67" s="17"/>
      <c r="F67" s="27"/>
      <c r="G67" s="27"/>
      <c r="H67" s="27"/>
    </row>
    <row r="68" spans="5:8" x14ac:dyDescent="0.35">
      <c r="E68" s="17"/>
      <c r="F68" s="27"/>
      <c r="G68" s="27"/>
      <c r="H68" s="27"/>
    </row>
    <row r="69" spans="5:8" x14ac:dyDescent="0.35">
      <c r="E69" s="17"/>
      <c r="F69" s="27"/>
      <c r="G69" s="27"/>
      <c r="H69" s="27"/>
    </row>
    <row r="70" spans="5:8" x14ac:dyDescent="0.35">
      <c r="E70" s="17"/>
      <c r="F70" s="27"/>
      <c r="G70" s="27"/>
      <c r="H70" s="27"/>
    </row>
    <row r="71" spans="5:8" x14ac:dyDescent="0.35">
      <c r="E71" s="17"/>
      <c r="F71" s="27"/>
      <c r="G71" s="27"/>
      <c r="H71" s="27"/>
    </row>
    <row r="72" spans="5:8" x14ac:dyDescent="0.35">
      <c r="E72" s="17"/>
      <c r="F72" s="27"/>
      <c r="G72" s="27"/>
      <c r="H72" s="27"/>
    </row>
    <row r="73" spans="5:8" x14ac:dyDescent="0.35">
      <c r="E73" s="17"/>
      <c r="F73" s="27"/>
      <c r="G73" s="27"/>
      <c r="H73" s="27"/>
    </row>
    <row r="74" spans="5:8" x14ac:dyDescent="0.35">
      <c r="E74" s="17"/>
      <c r="F74" s="27"/>
      <c r="G74" s="27"/>
      <c r="H74" s="27"/>
    </row>
    <row r="75" spans="5:8" x14ac:dyDescent="0.35">
      <c r="E75" s="17"/>
      <c r="F75" s="27"/>
      <c r="G75" s="27"/>
      <c r="H75" s="27"/>
    </row>
    <row r="76" spans="5:8" x14ac:dyDescent="0.35">
      <c r="E76" s="17"/>
      <c r="F76" s="27"/>
      <c r="G76" s="27"/>
      <c r="H76" s="27"/>
    </row>
    <row r="77" spans="5:8" x14ac:dyDescent="0.35">
      <c r="E77" s="17"/>
      <c r="F77" s="27"/>
      <c r="G77" s="27"/>
      <c r="H77" s="27"/>
    </row>
    <row r="78" spans="5:8" x14ac:dyDescent="0.35">
      <c r="E78" s="17"/>
      <c r="F78" s="27"/>
      <c r="G78" s="27"/>
      <c r="H78" s="27"/>
    </row>
    <row r="79" spans="5:8" x14ac:dyDescent="0.35">
      <c r="E79" s="17"/>
      <c r="F79" s="27"/>
      <c r="G79" s="27"/>
      <c r="H79" s="27"/>
    </row>
    <row r="80" spans="5:8" x14ac:dyDescent="0.35">
      <c r="E80" s="17"/>
      <c r="F80" s="27"/>
      <c r="G80" s="27"/>
      <c r="H80" s="27"/>
    </row>
    <row r="81" spans="5:8" x14ac:dyDescent="0.35">
      <c r="E81" s="17"/>
      <c r="F81" s="27"/>
      <c r="G81" s="27"/>
      <c r="H81" s="27"/>
    </row>
    <row r="82" spans="5:8" x14ac:dyDescent="0.35">
      <c r="E82" s="17"/>
      <c r="F82" s="27"/>
      <c r="G82" s="27"/>
      <c r="H82" s="27"/>
    </row>
    <row r="83" spans="5:8" x14ac:dyDescent="0.35">
      <c r="E83" s="17"/>
      <c r="F83" s="27"/>
      <c r="G83" s="27"/>
      <c r="H83" s="27"/>
    </row>
    <row r="84" spans="5:8" x14ac:dyDescent="0.35">
      <c r="E84" s="17"/>
      <c r="F84" s="27"/>
      <c r="G84" s="27"/>
      <c r="H84" s="27"/>
    </row>
    <row r="85" spans="5:8" x14ac:dyDescent="0.35">
      <c r="E85" s="17"/>
      <c r="F85" s="27"/>
      <c r="G85" s="27"/>
      <c r="H85" s="27"/>
    </row>
    <row r="86" spans="5:8" x14ac:dyDescent="0.35">
      <c r="E86" s="17"/>
      <c r="F86" s="27"/>
      <c r="G86" s="27"/>
      <c r="H86" s="27"/>
    </row>
    <row r="87" spans="5:8" x14ac:dyDescent="0.35">
      <c r="E87" s="17"/>
      <c r="F87" s="27"/>
      <c r="G87" s="27"/>
      <c r="H87" s="27"/>
    </row>
    <row r="88" spans="5:8" x14ac:dyDescent="0.35">
      <c r="E88" s="17"/>
      <c r="F88" s="27"/>
      <c r="G88" s="27"/>
      <c r="H88" s="27"/>
    </row>
    <row r="89" spans="5:8" x14ac:dyDescent="0.35">
      <c r="E89" s="17"/>
      <c r="F89" s="27"/>
      <c r="G89" s="27"/>
      <c r="H89" s="27"/>
    </row>
    <row r="90" spans="5:8" x14ac:dyDescent="0.35">
      <c r="E90" s="17"/>
      <c r="F90" s="27"/>
      <c r="G90" s="27"/>
      <c r="H90" s="27"/>
    </row>
    <row r="91" spans="5:8" x14ac:dyDescent="0.35">
      <c r="E91" s="17"/>
      <c r="F91" s="27"/>
      <c r="G91" s="27"/>
      <c r="H91" s="27"/>
    </row>
    <row r="92" spans="5:8" x14ac:dyDescent="0.35">
      <c r="E92" s="17"/>
      <c r="F92" s="27"/>
      <c r="G92" s="27"/>
      <c r="H92" s="27"/>
    </row>
    <row r="93" spans="5:8" x14ac:dyDescent="0.35">
      <c r="E93" s="17"/>
      <c r="F93" s="27"/>
      <c r="G93" s="27"/>
      <c r="H93" s="27"/>
    </row>
    <row r="94" spans="5:8" x14ac:dyDescent="0.35">
      <c r="E94" s="17"/>
      <c r="F94" s="27"/>
      <c r="G94" s="27"/>
      <c r="H94" s="27"/>
    </row>
    <row r="95" spans="5:8" x14ac:dyDescent="0.35">
      <c r="E95" s="17"/>
      <c r="F95" s="27"/>
      <c r="G95" s="27"/>
      <c r="H95" s="27"/>
    </row>
    <row r="96" spans="5:8" x14ac:dyDescent="0.35">
      <c r="E96" s="17"/>
      <c r="F96" s="27"/>
      <c r="G96" s="27"/>
      <c r="H96" s="27"/>
    </row>
    <row r="97" spans="5:8" x14ac:dyDescent="0.35">
      <c r="E97" s="17"/>
      <c r="F97" s="27"/>
      <c r="G97" s="27"/>
      <c r="H97" s="27"/>
    </row>
    <row r="98" spans="5:8" x14ac:dyDescent="0.35">
      <c r="E98" s="17"/>
      <c r="F98" s="27"/>
      <c r="G98" s="27"/>
      <c r="H98" s="27"/>
    </row>
    <row r="99" spans="5:8" x14ac:dyDescent="0.35">
      <c r="E99" s="17"/>
      <c r="F99" s="27"/>
      <c r="G99" s="27"/>
      <c r="H99" s="27"/>
    </row>
    <row r="100" spans="5:8" x14ac:dyDescent="0.35">
      <c r="E100" s="17"/>
      <c r="F100" s="27"/>
      <c r="G100" s="27"/>
      <c r="H100" s="27"/>
    </row>
    <row r="101" spans="5:8" x14ac:dyDescent="0.35">
      <c r="E101" s="17"/>
      <c r="F101" s="27"/>
      <c r="G101" s="27"/>
      <c r="H101" s="27"/>
    </row>
    <row r="102" spans="5:8" x14ac:dyDescent="0.35">
      <c r="E102" s="17"/>
      <c r="F102" s="27"/>
      <c r="G102" s="27"/>
      <c r="H102" s="27"/>
    </row>
    <row r="103" spans="5:8" x14ac:dyDescent="0.35">
      <c r="E103" s="17"/>
      <c r="F103" s="27"/>
      <c r="G103" s="27"/>
      <c r="H103" s="27"/>
    </row>
    <row r="104" spans="5:8" x14ac:dyDescent="0.35">
      <c r="E104" s="17"/>
      <c r="F104" s="27"/>
      <c r="G104" s="27"/>
      <c r="H104" s="27"/>
    </row>
    <row r="105" spans="5:8" x14ac:dyDescent="0.35">
      <c r="E105" s="17"/>
      <c r="F105" s="27"/>
      <c r="G105" s="27"/>
      <c r="H105" s="27"/>
    </row>
    <row r="106" spans="5:8" x14ac:dyDescent="0.35">
      <c r="E106" s="17"/>
      <c r="F106" s="27"/>
      <c r="G106" s="27"/>
      <c r="H106" s="27"/>
    </row>
    <row r="107" spans="5:8" x14ac:dyDescent="0.35">
      <c r="E107" s="17"/>
      <c r="F107" s="27"/>
      <c r="G107" s="27"/>
      <c r="H107" s="27"/>
    </row>
    <row r="108" spans="5:8" x14ac:dyDescent="0.35">
      <c r="E108" s="17"/>
      <c r="F108" s="27"/>
      <c r="G108" s="27"/>
      <c r="H108" s="27"/>
    </row>
    <row r="109" spans="5:8" x14ac:dyDescent="0.35">
      <c r="E109" s="17"/>
      <c r="F109" s="27"/>
      <c r="G109" s="27"/>
      <c r="H109" s="27"/>
    </row>
    <row r="110" spans="5:8" x14ac:dyDescent="0.35">
      <c r="E110" s="17"/>
      <c r="F110" s="27"/>
      <c r="G110" s="27"/>
      <c r="H110" s="27"/>
    </row>
    <row r="111" spans="5:8" x14ac:dyDescent="0.35">
      <c r="E111" s="17"/>
      <c r="F111" s="27"/>
      <c r="G111" s="27"/>
      <c r="H111" s="27"/>
    </row>
    <row r="112" spans="5:8" x14ac:dyDescent="0.35">
      <c r="E112" s="17"/>
      <c r="F112" s="27"/>
      <c r="G112" s="27"/>
      <c r="H112" s="27"/>
    </row>
    <row r="113" spans="5:8" x14ac:dyDescent="0.35">
      <c r="E113" s="17"/>
      <c r="F113" s="27"/>
      <c r="G113" s="27"/>
      <c r="H113" s="27"/>
    </row>
    <row r="114" spans="5:8" x14ac:dyDescent="0.35">
      <c r="E114" s="17"/>
      <c r="F114" s="27"/>
      <c r="G114" s="27"/>
      <c r="H114" s="27"/>
    </row>
    <row r="115" spans="5:8" x14ac:dyDescent="0.35">
      <c r="E115" s="17"/>
      <c r="F115" s="27"/>
      <c r="G115" s="27"/>
      <c r="H115" s="27"/>
    </row>
    <row r="116" spans="5:8" x14ac:dyDescent="0.35">
      <c r="E116" s="17"/>
      <c r="F116" s="27"/>
      <c r="G116" s="27"/>
      <c r="H116" s="27"/>
    </row>
    <row r="117" spans="5:8" x14ac:dyDescent="0.35">
      <c r="E117" s="17"/>
      <c r="F117" s="27"/>
      <c r="G117" s="27"/>
      <c r="H117" s="27"/>
    </row>
    <row r="118" spans="5:8" x14ac:dyDescent="0.35">
      <c r="E118" s="17"/>
      <c r="F118" s="27"/>
      <c r="G118" s="27"/>
      <c r="H118" s="27"/>
    </row>
    <row r="119" spans="5:8" x14ac:dyDescent="0.35">
      <c r="E119" s="17"/>
      <c r="F119" s="27"/>
      <c r="G119" s="27"/>
      <c r="H119" s="27"/>
    </row>
    <row r="120" spans="5:8" x14ac:dyDescent="0.35">
      <c r="E120" s="17"/>
      <c r="F120" s="27"/>
      <c r="G120" s="27"/>
      <c r="H120" s="27"/>
    </row>
    <row r="121" spans="5:8" x14ac:dyDescent="0.35">
      <c r="E121" s="17"/>
      <c r="F121" s="27"/>
      <c r="G121" s="27"/>
      <c r="H121" s="27"/>
    </row>
    <row r="122" spans="5:8" x14ac:dyDescent="0.35">
      <c r="E122" s="17"/>
      <c r="F122" s="27"/>
      <c r="G122" s="27"/>
      <c r="H122" s="27"/>
    </row>
    <row r="123" spans="5:8" x14ac:dyDescent="0.35">
      <c r="E123" s="17"/>
      <c r="F123" s="27"/>
      <c r="G123" s="27"/>
      <c r="H123" s="27"/>
    </row>
    <row r="124" spans="5:8" x14ac:dyDescent="0.35">
      <c r="E124" s="17"/>
      <c r="F124" s="27"/>
      <c r="G124" s="27"/>
      <c r="H124" s="27"/>
    </row>
    <row r="125" spans="5:8" x14ac:dyDescent="0.35">
      <c r="E125" s="17"/>
      <c r="F125" s="27"/>
      <c r="G125" s="27"/>
      <c r="H125" s="27"/>
    </row>
    <row r="126" spans="5:8" x14ac:dyDescent="0.35">
      <c r="E126" s="17"/>
      <c r="F126" s="27"/>
      <c r="G126" s="27"/>
      <c r="H126" s="27"/>
    </row>
    <row r="127" spans="5:8" x14ac:dyDescent="0.35">
      <c r="E127" s="17"/>
      <c r="F127" s="27"/>
      <c r="G127" s="27"/>
      <c r="H127" s="27"/>
    </row>
    <row r="128" spans="5:8" x14ac:dyDescent="0.35">
      <c r="E128" s="17"/>
      <c r="F128" s="27"/>
      <c r="G128" s="27"/>
      <c r="H128" s="27"/>
    </row>
    <row r="129" spans="5:8" x14ac:dyDescent="0.35">
      <c r="E129" s="17"/>
      <c r="F129" s="27"/>
      <c r="G129" s="27"/>
      <c r="H129" s="27"/>
    </row>
    <row r="130" spans="5:8" x14ac:dyDescent="0.35">
      <c r="E130" s="17"/>
      <c r="F130" s="27"/>
      <c r="G130" s="27"/>
      <c r="H130" s="27"/>
    </row>
    <row r="131" spans="5:8" x14ac:dyDescent="0.35">
      <c r="E131" s="17"/>
      <c r="F131" s="27"/>
      <c r="G131" s="27"/>
      <c r="H131" s="27"/>
    </row>
    <row r="132" spans="5:8" x14ac:dyDescent="0.35">
      <c r="E132" s="17"/>
      <c r="F132" s="27"/>
      <c r="G132" s="27"/>
      <c r="H132" s="27"/>
    </row>
    <row r="133" spans="5:8" x14ac:dyDescent="0.35">
      <c r="E133" s="17"/>
      <c r="F133" s="27"/>
      <c r="G133" s="27"/>
      <c r="H133" s="27"/>
    </row>
    <row r="134" spans="5:8" x14ac:dyDescent="0.35">
      <c r="E134" s="17"/>
      <c r="F134" s="27"/>
      <c r="G134" s="27"/>
      <c r="H134" s="27"/>
    </row>
    <row r="135" spans="5:8" x14ac:dyDescent="0.35">
      <c r="E135" s="17"/>
      <c r="F135" s="27"/>
      <c r="G135" s="27"/>
      <c r="H135" s="27"/>
    </row>
    <row r="136" spans="5:8" x14ac:dyDescent="0.35">
      <c r="E136" s="17"/>
      <c r="F136" s="27"/>
      <c r="G136" s="27"/>
      <c r="H136" s="27"/>
    </row>
    <row r="137" spans="5:8" x14ac:dyDescent="0.35">
      <c r="E137" s="17"/>
      <c r="F137" s="27"/>
      <c r="G137" s="27"/>
      <c r="H137" s="27"/>
    </row>
    <row r="138" spans="5:8" x14ac:dyDescent="0.35">
      <c r="E138" s="17"/>
      <c r="F138" s="27"/>
      <c r="G138" s="27"/>
      <c r="H138" s="27"/>
    </row>
    <row r="139" spans="5:8" x14ac:dyDescent="0.35">
      <c r="E139" s="17"/>
      <c r="F139" s="27"/>
      <c r="G139" s="27"/>
      <c r="H139" s="27"/>
    </row>
    <row r="140" spans="5:8" x14ac:dyDescent="0.35">
      <c r="E140" s="17"/>
      <c r="F140" s="27"/>
      <c r="G140" s="27"/>
      <c r="H140" s="27"/>
    </row>
    <row r="141" spans="5:8" x14ac:dyDescent="0.35">
      <c r="E141" s="17"/>
      <c r="F141" s="27"/>
      <c r="G141" s="27"/>
      <c r="H141" s="27"/>
    </row>
    <row r="142" spans="5:8" x14ac:dyDescent="0.35">
      <c r="E142" s="17"/>
      <c r="F142" s="27"/>
      <c r="G142" s="27"/>
      <c r="H142" s="27"/>
    </row>
    <row r="143" spans="5:8" x14ac:dyDescent="0.35">
      <c r="E143" s="17"/>
      <c r="F143" s="27"/>
      <c r="G143" s="27"/>
      <c r="H143" s="27"/>
    </row>
    <row r="144" spans="5:8" x14ac:dyDescent="0.35">
      <c r="E144" s="17"/>
      <c r="F144" s="27"/>
      <c r="G144" s="27"/>
      <c r="H144" s="27"/>
    </row>
    <row r="145" spans="5:8" x14ac:dyDescent="0.35">
      <c r="E145" s="17"/>
      <c r="F145" s="27"/>
      <c r="G145" s="27"/>
      <c r="H145" s="27"/>
    </row>
    <row r="146" spans="5:8" x14ac:dyDescent="0.35">
      <c r="E146" s="17"/>
      <c r="F146" s="27"/>
      <c r="G146" s="27"/>
      <c r="H146" s="27"/>
    </row>
    <row r="147" spans="5:8" x14ac:dyDescent="0.35">
      <c r="E147" s="17"/>
      <c r="F147" s="27"/>
      <c r="G147" s="27"/>
      <c r="H147" s="27"/>
    </row>
    <row r="148" spans="5:8" x14ac:dyDescent="0.35">
      <c r="E148" s="17"/>
      <c r="F148" s="27"/>
      <c r="G148" s="27"/>
      <c r="H148" s="27"/>
    </row>
    <row r="149" spans="5:8" x14ac:dyDescent="0.35">
      <c r="E149" s="17"/>
      <c r="F149" s="27"/>
      <c r="G149" s="27"/>
      <c r="H149" s="27"/>
    </row>
    <row r="150" spans="5:8" x14ac:dyDescent="0.35">
      <c r="E150" s="17"/>
      <c r="F150" s="27"/>
      <c r="G150" s="27"/>
      <c r="H150" s="27"/>
    </row>
    <row r="151" spans="5:8" x14ac:dyDescent="0.35">
      <c r="E151" s="17"/>
      <c r="F151" s="27"/>
      <c r="G151" s="27"/>
      <c r="H151" s="27"/>
    </row>
    <row r="152" spans="5:8" x14ac:dyDescent="0.35">
      <c r="E152" s="17"/>
      <c r="F152" s="27"/>
      <c r="G152" s="27"/>
      <c r="H152" s="27"/>
    </row>
    <row r="153" spans="5:8" x14ac:dyDescent="0.35">
      <c r="E153" s="17"/>
      <c r="F153" s="27"/>
      <c r="G153" s="27"/>
      <c r="H153" s="27"/>
    </row>
    <row r="154" spans="5:8" x14ac:dyDescent="0.35">
      <c r="E154" s="17"/>
      <c r="F154" s="27"/>
      <c r="G154" s="27"/>
      <c r="H154" s="27"/>
    </row>
    <row r="155" spans="5:8" x14ac:dyDescent="0.35">
      <c r="E155" s="17"/>
      <c r="F155" s="27"/>
      <c r="G155" s="27"/>
      <c r="H155" s="27"/>
    </row>
    <row r="156" spans="5:8" x14ac:dyDescent="0.35">
      <c r="E156" s="17"/>
      <c r="F156" s="27"/>
      <c r="G156" s="27"/>
      <c r="H156" s="27"/>
    </row>
    <row r="157" spans="5:8" x14ac:dyDescent="0.35">
      <c r="E157" s="17"/>
      <c r="F157" s="27"/>
      <c r="G157" s="27"/>
      <c r="H157" s="27"/>
    </row>
    <row r="158" spans="5:8" x14ac:dyDescent="0.35">
      <c r="E158" s="17"/>
      <c r="F158" s="27"/>
      <c r="G158" s="27"/>
      <c r="H158" s="27"/>
    </row>
    <row r="159" spans="5:8" x14ac:dyDescent="0.35">
      <c r="E159" s="17"/>
      <c r="F159" s="27"/>
      <c r="G159" s="27"/>
      <c r="H159" s="27"/>
    </row>
    <row r="160" spans="5:8" x14ac:dyDescent="0.35">
      <c r="E160" s="17"/>
      <c r="F160" s="27"/>
      <c r="G160" s="27"/>
      <c r="H160" s="27"/>
    </row>
    <row r="161" spans="5:8" x14ac:dyDescent="0.35">
      <c r="E161" s="17"/>
      <c r="F161" s="27"/>
      <c r="G161" s="27"/>
      <c r="H161" s="27"/>
    </row>
    <row r="162" spans="5:8" x14ac:dyDescent="0.35">
      <c r="E162" s="17"/>
      <c r="F162" s="27"/>
      <c r="G162" s="27"/>
      <c r="H162" s="27"/>
    </row>
    <row r="163" spans="5:8" x14ac:dyDescent="0.35">
      <c r="E163" s="17"/>
      <c r="F163" s="27"/>
      <c r="G163" s="27"/>
      <c r="H163" s="27"/>
    </row>
    <row r="164" spans="5:8" x14ac:dyDescent="0.35">
      <c r="E164" s="17"/>
      <c r="F164" s="27"/>
      <c r="G164" s="27"/>
      <c r="H164" s="27"/>
    </row>
    <row r="165" spans="5:8" x14ac:dyDescent="0.35">
      <c r="E165" s="17"/>
      <c r="F165" s="27"/>
      <c r="G165" s="27"/>
      <c r="H165" s="27"/>
    </row>
    <row r="166" spans="5:8" x14ac:dyDescent="0.35">
      <c r="E166" s="17"/>
      <c r="F166" s="27"/>
      <c r="G166" s="27"/>
      <c r="H166" s="27"/>
    </row>
    <row r="167" spans="5:8" x14ac:dyDescent="0.35">
      <c r="E167" s="17"/>
      <c r="F167" s="27"/>
      <c r="G167" s="27"/>
      <c r="H167" s="27"/>
    </row>
    <row r="168" spans="5:8" x14ac:dyDescent="0.35">
      <c r="E168" s="17"/>
      <c r="F168" s="27"/>
      <c r="G168" s="27"/>
      <c r="H168" s="27"/>
    </row>
    <row r="169" spans="5:8" x14ac:dyDescent="0.35">
      <c r="E169" s="17"/>
      <c r="F169" s="27"/>
      <c r="G169" s="27"/>
      <c r="H169" s="27"/>
    </row>
    <row r="170" spans="5:8" x14ac:dyDescent="0.35">
      <c r="E170" s="17"/>
      <c r="F170" s="27"/>
      <c r="G170" s="27"/>
      <c r="H170" s="27"/>
    </row>
    <row r="171" spans="5:8" x14ac:dyDescent="0.35">
      <c r="E171" s="17"/>
      <c r="F171" s="27"/>
      <c r="G171" s="27"/>
      <c r="H171" s="27"/>
    </row>
    <row r="172" spans="5:8" x14ac:dyDescent="0.35">
      <c r="E172" s="17"/>
      <c r="F172" s="27"/>
      <c r="G172" s="27"/>
      <c r="H172" s="27"/>
    </row>
    <row r="173" spans="5:8" x14ac:dyDescent="0.35">
      <c r="E173" s="17"/>
      <c r="F173" s="27"/>
      <c r="G173" s="27"/>
      <c r="H173" s="27"/>
    </row>
    <row r="174" spans="5:8" x14ac:dyDescent="0.35">
      <c r="E174" s="17"/>
      <c r="F174" s="27"/>
      <c r="G174" s="27"/>
      <c r="H174" s="27"/>
    </row>
    <row r="175" spans="5:8" x14ac:dyDescent="0.35">
      <c r="E175" s="17"/>
      <c r="F175" s="27"/>
      <c r="G175" s="27"/>
      <c r="H175" s="27"/>
    </row>
    <row r="176" spans="5:8" x14ac:dyDescent="0.35">
      <c r="E176" s="17"/>
      <c r="F176" s="27"/>
      <c r="G176" s="27"/>
      <c r="H176" s="27"/>
    </row>
    <row r="177" spans="5:8" x14ac:dyDescent="0.35">
      <c r="E177" s="17"/>
      <c r="F177" s="27"/>
      <c r="G177" s="27"/>
      <c r="H177" s="27"/>
    </row>
    <row r="178" spans="5:8" x14ac:dyDescent="0.35">
      <c r="E178" s="17"/>
      <c r="F178" s="27"/>
      <c r="G178" s="27"/>
      <c r="H178" s="27"/>
    </row>
    <row r="179" spans="5:8" x14ac:dyDescent="0.35">
      <c r="E179" s="17"/>
      <c r="F179" s="27"/>
      <c r="G179" s="27"/>
      <c r="H179" s="27"/>
    </row>
    <row r="180" spans="5:8" x14ac:dyDescent="0.35">
      <c r="E180" s="17"/>
      <c r="F180" s="27"/>
      <c r="G180" s="27"/>
      <c r="H180" s="27"/>
    </row>
    <row r="181" spans="5:8" x14ac:dyDescent="0.35">
      <c r="E181" s="17"/>
      <c r="F181" s="27"/>
      <c r="G181" s="27"/>
      <c r="H181" s="27"/>
    </row>
    <row r="182" spans="5:8" x14ac:dyDescent="0.35">
      <c r="E182" s="17"/>
      <c r="F182" s="27"/>
      <c r="G182" s="27"/>
      <c r="H182" s="27"/>
    </row>
    <row r="183" spans="5:8" x14ac:dyDescent="0.35">
      <c r="E183" s="17"/>
      <c r="F183" s="27"/>
      <c r="G183" s="27"/>
      <c r="H183" s="27"/>
    </row>
    <row r="184" spans="5:8" x14ac:dyDescent="0.35">
      <c r="E184" s="17"/>
      <c r="F184" s="27"/>
      <c r="G184" s="27"/>
      <c r="H184" s="27"/>
    </row>
    <row r="185" spans="5:8" x14ac:dyDescent="0.35">
      <c r="E185" s="17"/>
      <c r="F185" s="27"/>
      <c r="G185" s="27"/>
      <c r="H185" s="27"/>
    </row>
    <row r="186" spans="5:8" x14ac:dyDescent="0.35">
      <c r="E186" s="17"/>
      <c r="F186" s="27"/>
      <c r="G186" s="27"/>
      <c r="H186" s="27"/>
    </row>
    <row r="187" spans="5:8" x14ac:dyDescent="0.35">
      <c r="E187" s="17"/>
      <c r="F187" s="27"/>
      <c r="G187" s="27"/>
      <c r="H187" s="27"/>
    </row>
    <row r="188" spans="5:8" x14ac:dyDescent="0.35">
      <c r="E188" s="17"/>
      <c r="F188" s="27"/>
      <c r="G188" s="27"/>
      <c r="H188" s="27"/>
    </row>
    <row r="189" spans="5:8" x14ac:dyDescent="0.35">
      <c r="E189" s="17"/>
      <c r="F189" s="27"/>
      <c r="G189" s="27"/>
      <c r="H189" s="27"/>
    </row>
    <row r="190" spans="5:8" x14ac:dyDescent="0.35">
      <c r="E190" s="17"/>
      <c r="F190" s="27"/>
      <c r="G190" s="27"/>
      <c r="H190" s="27"/>
    </row>
    <row r="191" spans="5:8" x14ac:dyDescent="0.35">
      <c r="E191" s="17"/>
      <c r="F191" s="27"/>
      <c r="G191" s="27"/>
      <c r="H191" s="27"/>
    </row>
    <row r="192" spans="5:8" x14ac:dyDescent="0.35">
      <c r="E192" s="17"/>
      <c r="F192" s="27"/>
      <c r="G192" s="27"/>
      <c r="H192" s="27"/>
    </row>
    <row r="193" spans="5:8" x14ac:dyDescent="0.35">
      <c r="E193" s="17"/>
      <c r="F193" s="27"/>
      <c r="G193" s="27"/>
      <c r="H193" s="27"/>
    </row>
    <row r="194" spans="5:8" x14ac:dyDescent="0.35">
      <c r="E194" s="17"/>
      <c r="F194" s="27"/>
      <c r="G194" s="27"/>
      <c r="H194" s="27"/>
    </row>
    <row r="195" spans="5:8" x14ac:dyDescent="0.35">
      <c r="E195" s="17"/>
      <c r="F195" s="27"/>
      <c r="G195" s="27"/>
      <c r="H195" s="27"/>
    </row>
    <row r="196" spans="5:8" x14ac:dyDescent="0.35">
      <c r="E196" s="17"/>
      <c r="F196" s="27"/>
      <c r="G196" s="27"/>
      <c r="H196" s="27"/>
    </row>
    <row r="197" spans="5:8" x14ac:dyDescent="0.35">
      <c r="E197" s="17"/>
      <c r="F197" s="27"/>
      <c r="G197" s="27"/>
      <c r="H197" s="27"/>
    </row>
    <row r="198" spans="5:8" x14ac:dyDescent="0.35">
      <c r="E198" s="17"/>
      <c r="F198" s="27"/>
      <c r="G198" s="27"/>
      <c r="H198" s="27"/>
    </row>
    <row r="199" spans="5:8" x14ac:dyDescent="0.35">
      <c r="E199" s="17"/>
      <c r="F199" s="27"/>
      <c r="G199" s="27"/>
      <c r="H199" s="27"/>
    </row>
    <row r="200" spans="5:8" x14ac:dyDescent="0.35">
      <c r="E200" s="17"/>
      <c r="F200" s="27"/>
      <c r="G200" s="27"/>
      <c r="H200" s="27"/>
    </row>
    <row r="201" spans="5:8" x14ac:dyDescent="0.35">
      <c r="E201" s="17"/>
      <c r="F201" s="27"/>
      <c r="G201" s="27"/>
      <c r="H201" s="27"/>
    </row>
    <row r="202" spans="5:8" x14ac:dyDescent="0.35">
      <c r="E202" s="17"/>
      <c r="F202" s="27"/>
      <c r="G202" s="27"/>
      <c r="H202" s="27"/>
    </row>
    <row r="203" spans="5:8" x14ac:dyDescent="0.35">
      <c r="E203" s="17"/>
      <c r="F203" s="27"/>
      <c r="G203" s="27"/>
      <c r="H203" s="27"/>
    </row>
    <row r="204" spans="5:8" x14ac:dyDescent="0.35">
      <c r="E204" s="17"/>
      <c r="F204" s="27"/>
      <c r="G204" s="27"/>
      <c r="H204" s="27"/>
    </row>
    <row r="205" spans="5:8" x14ac:dyDescent="0.35">
      <c r="E205" s="17"/>
      <c r="F205" s="27"/>
      <c r="G205" s="27"/>
      <c r="H205" s="27"/>
    </row>
    <row r="206" spans="5:8" x14ac:dyDescent="0.35">
      <c r="E206" s="17"/>
      <c r="F206" s="27"/>
      <c r="G206" s="27"/>
      <c r="H206" s="27"/>
    </row>
    <row r="207" spans="5:8" x14ac:dyDescent="0.35">
      <c r="E207" s="17"/>
      <c r="F207" s="27"/>
      <c r="G207" s="27"/>
      <c r="H207" s="27"/>
    </row>
    <row r="208" spans="5:8" x14ac:dyDescent="0.35">
      <c r="E208" s="17"/>
      <c r="F208" s="27"/>
      <c r="G208" s="27"/>
      <c r="H208" s="27"/>
    </row>
    <row r="209" spans="5:8" x14ac:dyDescent="0.35">
      <c r="E209" s="17"/>
      <c r="F209" s="27"/>
      <c r="G209" s="27"/>
      <c r="H209" s="27"/>
    </row>
    <row r="210" spans="5:8" x14ac:dyDescent="0.35">
      <c r="E210" s="17"/>
      <c r="F210" s="27"/>
      <c r="G210" s="27"/>
      <c r="H210" s="27"/>
    </row>
    <row r="211" spans="5:8" x14ac:dyDescent="0.35">
      <c r="E211" s="17"/>
      <c r="F211" s="27"/>
      <c r="G211" s="27"/>
      <c r="H211" s="27"/>
    </row>
    <row r="212" spans="5:8" x14ac:dyDescent="0.35">
      <c r="E212" s="17"/>
      <c r="F212" s="27"/>
      <c r="G212" s="27"/>
      <c r="H212" s="27"/>
    </row>
    <row r="213" spans="5:8" x14ac:dyDescent="0.35">
      <c r="E213" s="17"/>
      <c r="F213" s="27"/>
      <c r="G213" s="27"/>
      <c r="H213" s="27"/>
    </row>
    <row r="214" spans="5:8" x14ac:dyDescent="0.35">
      <c r="E214" s="17"/>
      <c r="F214" s="27"/>
      <c r="G214" s="27"/>
      <c r="H214" s="27"/>
    </row>
    <row r="215" spans="5:8" x14ac:dyDescent="0.35">
      <c r="E215" s="17"/>
      <c r="F215" s="27"/>
      <c r="G215" s="27"/>
      <c r="H215" s="27"/>
    </row>
    <row r="216" spans="5:8" x14ac:dyDescent="0.35">
      <c r="E216" s="17"/>
      <c r="F216" s="27"/>
      <c r="G216" s="27"/>
      <c r="H216" s="27"/>
    </row>
    <row r="217" spans="5:8" x14ac:dyDescent="0.35">
      <c r="E217" s="17"/>
      <c r="F217" s="27"/>
      <c r="G217" s="27"/>
      <c r="H217" s="27"/>
    </row>
    <row r="218" spans="5:8" x14ac:dyDescent="0.35">
      <c r="E218" s="17"/>
      <c r="F218" s="27"/>
      <c r="G218" s="27"/>
      <c r="H218" s="27"/>
    </row>
    <row r="219" spans="5:8" x14ac:dyDescent="0.35">
      <c r="E219" s="17"/>
      <c r="F219" s="27"/>
      <c r="G219" s="27"/>
      <c r="H219" s="27"/>
    </row>
    <row r="220" spans="5:8" x14ac:dyDescent="0.35">
      <c r="E220" s="17"/>
      <c r="F220" s="27"/>
      <c r="G220" s="27"/>
      <c r="H220" s="27"/>
    </row>
    <row r="221" spans="5:8" x14ac:dyDescent="0.35">
      <c r="E221" s="17"/>
      <c r="F221" s="27"/>
      <c r="G221" s="27"/>
      <c r="H221" s="27"/>
    </row>
    <row r="222" spans="5:8" x14ac:dyDescent="0.35">
      <c r="E222" s="17"/>
      <c r="F222" s="27"/>
      <c r="G222" s="27"/>
      <c r="H222" s="27"/>
    </row>
    <row r="223" spans="5:8" x14ac:dyDescent="0.35">
      <c r="E223" s="17"/>
      <c r="F223" s="27"/>
      <c r="G223" s="27"/>
      <c r="H223" s="27"/>
    </row>
    <row r="224" spans="5:8" x14ac:dyDescent="0.35">
      <c r="E224" s="17"/>
      <c r="F224" s="27"/>
      <c r="G224" s="27"/>
      <c r="H224" s="27"/>
    </row>
    <row r="225" spans="5:8" x14ac:dyDescent="0.35">
      <c r="E225" s="17"/>
      <c r="F225" s="27"/>
      <c r="G225" s="27"/>
      <c r="H225" s="27"/>
    </row>
    <row r="226" spans="5:8" x14ac:dyDescent="0.35">
      <c r="E226" s="17"/>
      <c r="F226" s="27"/>
      <c r="G226" s="27"/>
      <c r="H226" s="27"/>
    </row>
    <row r="227" spans="5:8" x14ac:dyDescent="0.35">
      <c r="E227" s="17"/>
      <c r="F227" s="27"/>
      <c r="G227" s="27"/>
      <c r="H227" s="27"/>
    </row>
    <row r="228" spans="5:8" x14ac:dyDescent="0.35">
      <c r="E228" s="17"/>
      <c r="F228" s="27"/>
      <c r="G228" s="27"/>
      <c r="H228" s="27"/>
    </row>
    <row r="229" spans="5:8" x14ac:dyDescent="0.35">
      <c r="E229" s="17"/>
      <c r="F229" s="27"/>
      <c r="G229" s="27"/>
      <c r="H229" s="27"/>
    </row>
    <row r="230" spans="5:8" x14ac:dyDescent="0.35">
      <c r="E230" s="17"/>
      <c r="F230" s="27"/>
      <c r="G230" s="27"/>
      <c r="H230" s="27"/>
    </row>
    <row r="231" spans="5:8" x14ac:dyDescent="0.35">
      <c r="E231" s="17"/>
      <c r="F231" s="27"/>
      <c r="G231" s="27"/>
      <c r="H231" s="27"/>
    </row>
    <row r="232" spans="5:8" x14ac:dyDescent="0.35">
      <c r="E232" s="17"/>
      <c r="F232" s="27"/>
      <c r="G232" s="27"/>
      <c r="H232" s="27"/>
    </row>
    <row r="233" spans="5:8" x14ac:dyDescent="0.35">
      <c r="E233" s="17"/>
      <c r="F233" s="27"/>
      <c r="G233" s="27"/>
      <c r="H233" s="27"/>
    </row>
    <row r="234" spans="5:8" x14ac:dyDescent="0.35">
      <c r="E234" s="17"/>
      <c r="F234" s="27"/>
      <c r="G234" s="27"/>
      <c r="H234" s="27"/>
    </row>
    <row r="235" spans="5:8" x14ac:dyDescent="0.35">
      <c r="E235" s="17"/>
      <c r="F235" s="27"/>
      <c r="G235" s="27"/>
      <c r="H235" s="27"/>
    </row>
    <row r="236" spans="5:8" x14ac:dyDescent="0.35">
      <c r="E236" s="17"/>
      <c r="F236" s="27"/>
      <c r="G236" s="27"/>
      <c r="H236" s="27"/>
    </row>
    <row r="237" spans="5:8" x14ac:dyDescent="0.35">
      <c r="E237" s="17"/>
      <c r="F237" s="27"/>
      <c r="G237" s="27"/>
      <c r="H237" s="27"/>
    </row>
    <row r="238" spans="5:8" x14ac:dyDescent="0.35">
      <c r="E238" s="17"/>
      <c r="F238" s="27"/>
      <c r="G238" s="27"/>
      <c r="H238" s="27"/>
    </row>
    <row r="239" spans="5:8" x14ac:dyDescent="0.35">
      <c r="E239" s="17"/>
      <c r="F239" s="27"/>
      <c r="G239" s="27"/>
      <c r="H239" s="27"/>
    </row>
    <row r="240" spans="5:8" x14ac:dyDescent="0.35">
      <c r="E240" s="17"/>
      <c r="F240" s="27"/>
      <c r="G240" s="27"/>
      <c r="H240" s="27"/>
    </row>
    <row r="241" spans="5:8" x14ac:dyDescent="0.35">
      <c r="E241" s="17"/>
      <c r="F241" s="27"/>
      <c r="G241" s="27"/>
      <c r="H241" s="27"/>
    </row>
    <row r="242" spans="5:8" x14ac:dyDescent="0.35">
      <c r="E242" s="17"/>
      <c r="F242" s="27"/>
      <c r="G242" s="27"/>
      <c r="H242" s="27"/>
    </row>
    <row r="243" spans="5:8" x14ac:dyDescent="0.35">
      <c r="E243" s="17"/>
      <c r="F243" s="27"/>
      <c r="G243" s="27"/>
      <c r="H243" s="27"/>
    </row>
    <row r="244" spans="5:8" x14ac:dyDescent="0.35">
      <c r="E244" s="17"/>
      <c r="F244" s="27"/>
      <c r="G244" s="27"/>
      <c r="H244" s="27"/>
    </row>
    <row r="245" spans="5:8" x14ac:dyDescent="0.35">
      <c r="E245" s="17"/>
      <c r="F245" s="27"/>
      <c r="G245" s="27"/>
      <c r="H245" s="27"/>
    </row>
    <row r="246" spans="5:8" x14ac:dyDescent="0.35">
      <c r="E246" s="17"/>
      <c r="F246" s="27"/>
      <c r="G246" s="27"/>
      <c r="H246" s="27"/>
    </row>
    <row r="247" spans="5:8" x14ac:dyDescent="0.35">
      <c r="E247" s="17"/>
      <c r="F247" s="27"/>
      <c r="G247" s="27"/>
      <c r="H247" s="27"/>
    </row>
    <row r="248" spans="5:8" x14ac:dyDescent="0.35">
      <c r="E248" s="17"/>
      <c r="F248" s="27"/>
      <c r="G248" s="27"/>
      <c r="H248" s="27"/>
    </row>
    <row r="249" spans="5:8" x14ac:dyDescent="0.35">
      <c r="E249" s="17"/>
      <c r="F249" s="27"/>
      <c r="G249" s="27"/>
      <c r="H249" s="27"/>
    </row>
    <row r="250" spans="5:8" x14ac:dyDescent="0.35">
      <c r="E250" s="17"/>
      <c r="F250" s="27"/>
      <c r="G250" s="27"/>
      <c r="H250" s="27"/>
    </row>
    <row r="251" spans="5:8" x14ac:dyDescent="0.35">
      <c r="E251" s="17"/>
      <c r="F251" s="27"/>
      <c r="G251" s="27"/>
      <c r="H251" s="27"/>
    </row>
    <row r="252" spans="5:8" x14ac:dyDescent="0.35">
      <c r="E252" s="17"/>
      <c r="F252" s="27"/>
      <c r="G252" s="27"/>
      <c r="H252" s="27"/>
    </row>
    <row r="253" spans="5:8" x14ac:dyDescent="0.35">
      <c r="E253" s="17"/>
      <c r="F253" s="27"/>
      <c r="G253" s="27"/>
      <c r="H253" s="27"/>
    </row>
    <row r="254" spans="5:8" x14ac:dyDescent="0.35">
      <c r="E254" s="17"/>
      <c r="F254" s="27"/>
      <c r="G254" s="27"/>
      <c r="H254" s="27"/>
    </row>
    <row r="255" spans="5:8" x14ac:dyDescent="0.35">
      <c r="E255" s="17"/>
      <c r="F255" s="27"/>
      <c r="G255" s="27"/>
      <c r="H255" s="27"/>
    </row>
    <row r="256" spans="5:8" x14ac:dyDescent="0.35">
      <c r="E256" s="17"/>
      <c r="F256" s="27"/>
      <c r="G256" s="27"/>
      <c r="H256" s="27"/>
    </row>
    <row r="257" spans="5:8" x14ac:dyDescent="0.35">
      <c r="E257" s="17"/>
      <c r="F257" s="27"/>
      <c r="G257" s="27"/>
      <c r="H257" s="27"/>
    </row>
    <row r="258" spans="5:8" x14ac:dyDescent="0.35">
      <c r="E258" s="17"/>
      <c r="F258" s="27"/>
      <c r="G258" s="27"/>
      <c r="H258" s="27"/>
    </row>
    <row r="259" spans="5:8" x14ac:dyDescent="0.35">
      <c r="E259" s="17"/>
      <c r="F259" s="27"/>
      <c r="G259" s="27"/>
      <c r="H259" s="27"/>
    </row>
    <row r="260" spans="5:8" x14ac:dyDescent="0.35">
      <c r="E260" s="17"/>
      <c r="F260" s="27"/>
      <c r="G260" s="27"/>
      <c r="H260" s="27"/>
    </row>
    <row r="261" spans="5:8" x14ac:dyDescent="0.35">
      <c r="E261" s="17"/>
      <c r="F261" s="27"/>
      <c r="G261" s="27"/>
      <c r="H261" s="27"/>
    </row>
    <row r="262" spans="5:8" x14ac:dyDescent="0.35">
      <c r="E262" s="17"/>
      <c r="F262" s="27"/>
      <c r="G262" s="27"/>
      <c r="H262" s="27"/>
    </row>
    <row r="263" spans="5:8" x14ac:dyDescent="0.35">
      <c r="E263" s="17"/>
      <c r="F263" s="27"/>
      <c r="G263" s="27"/>
      <c r="H263" s="27"/>
    </row>
    <row r="264" spans="5:8" x14ac:dyDescent="0.35">
      <c r="E264" s="17"/>
      <c r="F264" s="27"/>
      <c r="G264" s="27"/>
      <c r="H264" s="27"/>
    </row>
    <row r="265" spans="5:8" x14ac:dyDescent="0.35">
      <c r="E265" s="17"/>
      <c r="F265" s="27"/>
      <c r="G265" s="27"/>
      <c r="H265" s="27"/>
    </row>
    <row r="266" spans="5:8" x14ac:dyDescent="0.35">
      <c r="E266" s="17"/>
      <c r="F266" s="27"/>
      <c r="G266" s="27"/>
      <c r="H266" s="27"/>
    </row>
    <row r="267" spans="5:8" x14ac:dyDescent="0.35">
      <c r="E267" s="17"/>
      <c r="F267" s="27"/>
      <c r="G267" s="27"/>
      <c r="H267" s="27"/>
    </row>
    <row r="268" spans="5:8" x14ac:dyDescent="0.35">
      <c r="E268" s="17"/>
      <c r="F268" s="27"/>
      <c r="G268" s="27"/>
      <c r="H268" s="27"/>
    </row>
    <row r="269" spans="5:8" x14ac:dyDescent="0.35">
      <c r="E269" s="17"/>
      <c r="F269" s="27"/>
      <c r="G269" s="27"/>
      <c r="H269" s="27"/>
    </row>
    <row r="270" spans="5:8" x14ac:dyDescent="0.35">
      <c r="E270" s="17"/>
      <c r="F270" s="27"/>
      <c r="G270" s="27"/>
      <c r="H270" s="27"/>
    </row>
    <row r="271" spans="5:8" x14ac:dyDescent="0.35">
      <c r="E271" s="17"/>
      <c r="F271" s="27"/>
      <c r="G271" s="27"/>
      <c r="H271" s="27"/>
    </row>
    <row r="272" spans="5:8" x14ac:dyDescent="0.35">
      <c r="E272" s="17"/>
      <c r="F272" s="27"/>
      <c r="G272" s="27"/>
      <c r="H272" s="27"/>
    </row>
    <row r="273" spans="5:8" x14ac:dyDescent="0.35">
      <c r="E273" s="17"/>
      <c r="F273" s="27"/>
      <c r="G273" s="27"/>
      <c r="H273" s="27"/>
    </row>
    <row r="274" spans="5:8" x14ac:dyDescent="0.35">
      <c r="E274" s="17"/>
      <c r="F274" s="27"/>
      <c r="G274" s="27"/>
      <c r="H274" s="27"/>
    </row>
    <row r="275" spans="5:8" x14ac:dyDescent="0.35">
      <c r="E275" s="17"/>
      <c r="F275" s="27"/>
      <c r="G275" s="27"/>
      <c r="H275" s="27"/>
    </row>
    <row r="276" spans="5:8" x14ac:dyDescent="0.35">
      <c r="E276" s="17"/>
      <c r="F276" s="27"/>
      <c r="G276" s="27"/>
      <c r="H276" s="27"/>
    </row>
    <row r="277" spans="5:8" x14ac:dyDescent="0.35">
      <c r="E277" s="17"/>
      <c r="F277" s="27"/>
      <c r="G277" s="27"/>
      <c r="H277" s="27"/>
    </row>
    <row r="278" spans="5:8" x14ac:dyDescent="0.35">
      <c r="E278" s="17"/>
      <c r="F278" s="27"/>
      <c r="G278" s="27"/>
      <c r="H278" s="27"/>
    </row>
    <row r="279" spans="5:8" x14ac:dyDescent="0.35">
      <c r="E279" s="17"/>
      <c r="F279" s="27"/>
      <c r="G279" s="27"/>
      <c r="H279" s="27"/>
    </row>
    <row r="280" spans="5:8" x14ac:dyDescent="0.35">
      <c r="E280" s="17"/>
      <c r="F280" s="27"/>
      <c r="G280" s="27"/>
      <c r="H280" s="27"/>
    </row>
    <row r="281" spans="5:8" x14ac:dyDescent="0.35">
      <c r="E281" s="17"/>
      <c r="F281" s="27"/>
      <c r="G281" s="27"/>
      <c r="H281" s="27"/>
    </row>
    <row r="282" spans="5:8" x14ac:dyDescent="0.35">
      <c r="E282" s="17"/>
      <c r="F282" s="27"/>
      <c r="G282" s="27"/>
      <c r="H282" s="27"/>
    </row>
    <row r="283" spans="5:8" x14ac:dyDescent="0.35">
      <c r="E283" s="17"/>
      <c r="F283" s="27"/>
      <c r="G283" s="27"/>
      <c r="H283" s="27"/>
    </row>
    <row r="284" spans="5:8" x14ac:dyDescent="0.35">
      <c r="E284" s="17"/>
      <c r="F284" s="27"/>
      <c r="G284" s="27"/>
      <c r="H284" s="27"/>
    </row>
    <row r="285" spans="5:8" x14ac:dyDescent="0.35">
      <c r="E285" s="17"/>
      <c r="F285" s="27"/>
      <c r="G285" s="27"/>
      <c r="H285" s="27"/>
    </row>
    <row r="286" spans="5:8" x14ac:dyDescent="0.35">
      <c r="E286" s="17"/>
      <c r="F286" s="27"/>
      <c r="G286" s="27"/>
      <c r="H286" s="27"/>
    </row>
    <row r="287" spans="5:8" x14ac:dyDescent="0.35">
      <c r="E287" s="17"/>
      <c r="F287" s="27"/>
      <c r="G287" s="27"/>
      <c r="H287" s="27"/>
    </row>
    <row r="288" spans="5:8" x14ac:dyDescent="0.35">
      <c r="E288" s="17"/>
      <c r="F288" s="27"/>
      <c r="G288" s="27"/>
      <c r="H288" s="27"/>
    </row>
    <row r="289" spans="5:8" x14ac:dyDescent="0.35">
      <c r="E289" s="17"/>
      <c r="F289" s="27"/>
      <c r="G289" s="27"/>
      <c r="H289" s="27"/>
    </row>
    <row r="290" spans="5:8" x14ac:dyDescent="0.35">
      <c r="E290" s="17"/>
      <c r="F290" s="27"/>
      <c r="G290" s="27"/>
      <c r="H290" s="27"/>
    </row>
    <row r="291" spans="5:8" x14ac:dyDescent="0.35">
      <c r="E291" s="17"/>
      <c r="F291" s="27"/>
      <c r="G291" s="27"/>
      <c r="H291" s="27"/>
    </row>
    <row r="292" spans="5:8" x14ac:dyDescent="0.35">
      <c r="E292" s="17"/>
      <c r="F292" s="27"/>
      <c r="G292" s="27"/>
      <c r="H292" s="27"/>
    </row>
    <row r="293" spans="5:8" x14ac:dyDescent="0.35">
      <c r="E293" s="17"/>
      <c r="F293" s="27"/>
      <c r="G293" s="27"/>
      <c r="H293" s="27"/>
    </row>
    <row r="294" spans="5:8" x14ac:dyDescent="0.35">
      <c r="E294" s="17"/>
      <c r="F294" s="27"/>
      <c r="G294" s="27"/>
      <c r="H294" s="27"/>
    </row>
    <row r="295" spans="5:8" x14ac:dyDescent="0.35">
      <c r="E295" s="17"/>
      <c r="F295" s="27"/>
      <c r="G295" s="27"/>
      <c r="H295" s="27"/>
    </row>
    <row r="296" spans="5:8" x14ac:dyDescent="0.35">
      <c r="E296" s="17"/>
      <c r="F296" s="27"/>
      <c r="G296" s="27"/>
      <c r="H296" s="27"/>
    </row>
    <row r="297" spans="5:8" x14ac:dyDescent="0.35">
      <c r="E297" s="17"/>
      <c r="F297" s="27"/>
      <c r="G297" s="27"/>
      <c r="H297" s="27"/>
    </row>
    <row r="298" spans="5:8" x14ac:dyDescent="0.35">
      <c r="E298" s="17"/>
      <c r="F298" s="27"/>
      <c r="G298" s="27"/>
      <c r="H298" s="27"/>
    </row>
    <row r="299" spans="5:8" x14ac:dyDescent="0.35">
      <c r="E299" s="17"/>
      <c r="F299" s="27"/>
      <c r="G299" s="27"/>
      <c r="H299" s="27"/>
    </row>
    <row r="300" spans="5:8" x14ac:dyDescent="0.35">
      <c r="E300" s="17"/>
      <c r="F300" s="27"/>
      <c r="G300" s="27"/>
      <c r="H300" s="27"/>
    </row>
    <row r="301" spans="5:8" x14ac:dyDescent="0.35">
      <c r="E301" s="17"/>
      <c r="F301" s="27"/>
      <c r="G301" s="27"/>
      <c r="H301" s="27"/>
    </row>
    <row r="302" spans="5:8" x14ac:dyDescent="0.35">
      <c r="E302" s="17"/>
      <c r="F302" s="27"/>
      <c r="G302" s="27"/>
      <c r="H302" s="27"/>
    </row>
    <row r="303" spans="5:8" x14ac:dyDescent="0.35">
      <c r="E303" s="17"/>
      <c r="F303" s="27"/>
      <c r="G303" s="27"/>
      <c r="H303" s="27"/>
    </row>
    <row r="304" spans="5:8" x14ac:dyDescent="0.35">
      <c r="E304" s="17"/>
      <c r="F304" s="27"/>
      <c r="G304" s="27"/>
      <c r="H304" s="27"/>
    </row>
    <row r="305" spans="5:8" x14ac:dyDescent="0.35">
      <c r="E305" s="17"/>
      <c r="F305" s="27"/>
      <c r="G305" s="27"/>
      <c r="H305" s="27"/>
    </row>
    <row r="306" spans="5:8" x14ac:dyDescent="0.35">
      <c r="E306" s="17"/>
      <c r="F306" s="27"/>
      <c r="G306" s="27"/>
      <c r="H306" s="27"/>
    </row>
    <row r="307" spans="5:8" x14ac:dyDescent="0.35">
      <c r="E307" s="17"/>
      <c r="F307" s="27"/>
      <c r="G307" s="27"/>
      <c r="H307" s="27"/>
    </row>
    <row r="308" spans="5:8" x14ac:dyDescent="0.35">
      <c r="E308" s="17"/>
      <c r="F308" s="27"/>
      <c r="G308" s="27"/>
      <c r="H308" s="27"/>
    </row>
    <row r="309" spans="5:8" x14ac:dyDescent="0.35">
      <c r="E309" s="17"/>
      <c r="F309" s="27"/>
      <c r="G309" s="27"/>
      <c r="H309" s="27"/>
    </row>
    <row r="310" spans="5:8" x14ac:dyDescent="0.35">
      <c r="E310" s="17"/>
      <c r="F310" s="27"/>
      <c r="G310" s="27"/>
      <c r="H310" s="27"/>
    </row>
    <row r="311" spans="5:8" x14ac:dyDescent="0.35">
      <c r="E311" s="17"/>
      <c r="F311" s="27"/>
      <c r="G311" s="27"/>
      <c r="H311" s="27"/>
    </row>
    <row r="312" spans="5:8" x14ac:dyDescent="0.35">
      <c r="E312" s="17"/>
      <c r="F312" s="27"/>
      <c r="G312" s="27"/>
      <c r="H312" s="27"/>
    </row>
    <row r="313" spans="5:8" x14ac:dyDescent="0.35">
      <c r="E313" s="17"/>
      <c r="F313" s="27"/>
      <c r="G313" s="27"/>
      <c r="H313" s="27"/>
    </row>
    <row r="314" spans="5:8" x14ac:dyDescent="0.35">
      <c r="E314" s="17"/>
      <c r="F314" s="27"/>
      <c r="G314" s="27"/>
      <c r="H314" s="27"/>
    </row>
    <row r="315" spans="5:8" x14ac:dyDescent="0.35">
      <c r="E315" s="17"/>
      <c r="F315" s="27"/>
      <c r="G315" s="27"/>
      <c r="H315" s="27"/>
    </row>
    <row r="316" spans="5:8" x14ac:dyDescent="0.35">
      <c r="E316" s="17"/>
      <c r="F316" s="27"/>
      <c r="G316" s="27"/>
      <c r="H316" s="27"/>
    </row>
    <row r="317" spans="5:8" x14ac:dyDescent="0.35">
      <c r="E317" s="17"/>
      <c r="F317" s="27"/>
      <c r="G317" s="27"/>
      <c r="H317" s="27"/>
    </row>
    <row r="318" spans="5:8" x14ac:dyDescent="0.35">
      <c r="E318" s="17"/>
      <c r="F318" s="27"/>
      <c r="G318" s="27"/>
      <c r="H318" s="27"/>
    </row>
    <row r="319" spans="5:8" x14ac:dyDescent="0.35">
      <c r="E319" s="17"/>
      <c r="F319" s="27"/>
      <c r="G319" s="27"/>
      <c r="H319" s="27"/>
    </row>
    <row r="320" spans="5:8" x14ac:dyDescent="0.35">
      <c r="E320" s="17"/>
      <c r="F320" s="27"/>
      <c r="G320" s="27"/>
      <c r="H320" s="27"/>
    </row>
    <row r="321" spans="5:8" x14ac:dyDescent="0.35">
      <c r="E321" s="17"/>
      <c r="F321" s="27"/>
      <c r="G321" s="27"/>
      <c r="H321" s="27"/>
    </row>
    <row r="322" spans="5:8" x14ac:dyDescent="0.35">
      <c r="E322" s="17"/>
      <c r="F322" s="27"/>
      <c r="G322" s="27"/>
      <c r="H322" s="27"/>
    </row>
    <row r="323" spans="5:8" x14ac:dyDescent="0.35">
      <c r="E323" s="17"/>
      <c r="F323" s="27"/>
      <c r="G323" s="27"/>
      <c r="H323" s="27"/>
    </row>
    <row r="324" spans="5:8" x14ac:dyDescent="0.35">
      <c r="E324" s="17"/>
      <c r="F324" s="27"/>
      <c r="G324" s="27"/>
      <c r="H324" s="27"/>
    </row>
    <row r="325" spans="5:8" x14ac:dyDescent="0.35">
      <c r="E325" s="17"/>
      <c r="F325" s="27"/>
      <c r="G325" s="27"/>
      <c r="H325" s="27"/>
    </row>
    <row r="326" spans="5:8" x14ac:dyDescent="0.35">
      <c r="E326" s="17"/>
      <c r="F326" s="27"/>
      <c r="G326" s="27"/>
      <c r="H326" s="27"/>
    </row>
    <row r="327" spans="5:8" x14ac:dyDescent="0.35">
      <c r="E327" s="17"/>
      <c r="F327" s="27"/>
      <c r="G327" s="27"/>
      <c r="H327" s="27"/>
    </row>
    <row r="328" spans="5:8" x14ac:dyDescent="0.35">
      <c r="E328" s="17"/>
      <c r="F328" s="27"/>
      <c r="G328" s="27"/>
      <c r="H328" s="27"/>
    </row>
    <row r="329" spans="5:8" x14ac:dyDescent="0.35">
      <c r="E329" s="17"/>
      <c r="F329" s="27"/>
      <c r="G329" s="27"/>
      <c r="H329" s="27"/>
    </row>
    <row r="330" spans="5:8" x14ac:dyDescent="0.35">
      <c r="E330" s="17"/>
      <c r="F330" s="27"/>
      <c r="G330" s="27"/>
      <c r="H330" s="27"/>
    </row>
    <row r="331" spans="5:8" x14ac:dyDescent="0.35">
      <c r="E331" s="17"/>
      <c r="F331" s="27"/>
      <c r="G331" s="27"/>
      <c r="H331" s="27"/>
    </row>
    <row r="332" spans="5:8" x14ac:dyDescent="0.35">
      <c r="E332" s="17"/>
      <c r="F332" s="27"/>
      <c r="G332" s="27"/>
      <c r="H332" s="27"/>
    </row>
    <row r="333" spans="5:8" x14ac:dyDescent="0.35">
      <c r="E333" s="17"/>
      <c r="F333" s="27"/>
      <c r="G333" s="27"/>
      <c r="H333" s="27"/>
    </row>
    <row r="334" spans="5:8" x14ac:dyDescent="0.35">
      <c r="E334" s="17"/>
      <c r="F334" s="27"/>
      <c r="G334" s="27"/>
      <c r="H334" s="27"/>
    </row>
    <row r="335" spans="5:8" x14ac:dyDescent="0.35">
      <c r="E335" s="17"/>
      <c r="F335" s="27"/>
      <c r="G335" s="27"/>
      <c r="H335" s="27"/>
    </row>
    <row r="336" spans="5:8" x14ac:dyDescent="0.35">
      <c r="E336" s="17"/>
      <c r="F336" s="27"/>
      <c r="G336" s="27"/>
      <c r="H336" s="27"/>
    </row>
    <row r="337" spans="5:8" x14ac:dyDescent="0.35">
      <c r="E337" s="17"/>
      <c r="F337" s="27"/>
      <c r="G337" s="27"/>
      <c r="H337" s="27"/>
    </row>
    <row r="338" spans="5:8" x14ac:dyDescent="0.35">
      <c r="E338" s="17"/>
      <c r="F338" s="27"/>
      <c r="G338" s="27"/>
      <c r="H338" s="27"/>
    </row>
    <row r="339" spans="5:8" x14ac:dyDescent="0.35">
      <c r="E339" s="17"/>
      <c r="F339" s="27"/>
      <c r="G339" s="27"/>
      <c r="H339" s="27"/>
    </row>
    <row r="340" spans="5:8" x14ac:dyDescent="0.35">
      <c r="E340" s="17"/>
      <c r="F340" s="27"/>
      <c r="G340" s="27"/>
      <c r="H340" s="27"/>
    </row>
    <row r="341" spans="5:8" x14ac:dyDescent="0.35">
      <c r="E341" s="17"/>
      <c r="F341" s="27"/>
      <c r="G341" s="27"/>
      <c r="H341" s="27"/>
    </row>
    <row r="342" spans="5:8" x14ac:dyDescent="0.35">
      <c r="E342" s="17"/>
      <c r="F342" s="27"/>
      <c r="G342" s="27"/>
      <c r="H342" s="27"/>
    </row>
    <row r="343" spans="5:8" x14ac:dyDescent="0.35">
      <c r="E343" s="17"/>
      <c r="F343" s="27"/>
      <c r="G343" s="27"/>
      <c r="H343" s="27"/>
    </row>
    <row r="344" spans="5:8" x14ac:dyDescent="0.35">
      <c r="E344" s="17"/>
      <c r="F344" s="27"/>
      <c r="G344" s="27"/>
      <c r="H344" s="27"/>
    </row>
    <row r="345" spans="5:8" x14ac:dyDescent="0.35">
      <c r="E345" s="17"/>
      <c r="F345" s="27"/>
      <c r="G345" s="27"/>
      <c r="H345" s="27"/>
    </row>
    <row r="346" spans="5:8" x14ac:dyDescent="0.35">
      <c r="E346" s="17"/>
      <c r="F346" s="27"/>
      <c r="G346" s="27"/>
      <c r="H346" s="27"/>
    </row>
    <row r="347" spans="5:8" x14ac:dyDescent="0.35">
      <c r="E347" s="17"/>
      <c r="F347" s="27"/>
      <c r="G347" s="27"/>
      <c r="H347" s="27"/>
    </row>
    <row r="348" spans="5:8" x14ac:dyDescent="0.35">
      <c r="E348" s="17"/>
      <c r="F348" s="27"/>
      <c r="G348" s="27"/>
      <c r="H348" s="27"/>
    </row>
    <row r="349" spans="5:8" x14ac:dyDescent="0.35">
      <c r="E349" s="17"/>
      <c r="F349" s="27"/>
      <c r="G349" s="27"/>
      <c r="H349" s="27"/>
    </row>
    <row r="350" spans="5:8" x14ac:dyDescent="0.35">
      <c r="E350" s="17"/>
      <c r="F350" s="27"/>
      <c r="G350" s="27"/>
      <c r="H350" s="27"/>
    </row>
    <row r="351" spans="5:8" x14ac:dyDescent="0.35">
      <c r="E351" s="17"/>
      <c r="F351" s="27"/>
      <c r="G351" s="27"/>
      <c r="H351" s="27"/>
    </row>
    <row r="352" spans="5:8" x14ac:dyDescent="0.35">
      <c r="E352" s="17"/>
      <c r="F352" s="27"/>
      <c r="G352" s="27"/>
      <c r="H352" s="27"/>
    </row>
    <row r="353" spans="5:8" x14ac:dyDescent="0.35">
      <c r="E353" s="17"/>
      <c r="F353" s="27"/>
      <c r="G353" s="27"/>
      <c r="H353" s="27"/>
    </row>
    <row r="354" spans="5:8" x14ac:dyDescent="0.35">
      <c r="E354" s="17"/>
      <c r="F354" s="27"/>
      <c r="G354" s="27"/>
      <c r="H354" s="27"/>
    </row>
    <row r="355" spans="5:8" x14ac:dyDescent="0.35">
      <c r="E355" s="17"/>
      <c r="F355" s="27"/>
      <c r="G355" s="27"/>
      <c r="H355" s="27"/>
    </row>
    <row r="356" spans="5:8" x14ac:dyDescent="0.35">
      <c r="E356" s="17"/>
      <c r="F356" s="27"/>
      <c r="G356" s="27"/>
      <c r="H356" s="27"/>
    </row>
    <row r="357" spans="5:8" x14ac:dyDescent="0.35">
      <c r="E357" s="17"/>
      <c r="F357" s="27"/>
      <c r="G357" s="27"/>
      <c r="H357" s="27"/>
    </row>
    <row r="358" spans="5:8" x14ac:dyDescent="0.35">
      <c r="E358" s="17"/>
      <c r="F358" s="27"/>
      <c r="G358" s="27"/>
      <c r="H358" s="27"/>
    </row>
    <row r="359" spans="5:8" x14ac:dyDescent="0.35">
      <c r="E359" s="17"/>
      <c r="F359" s="27"/>
      <c r="G359" s="27"/>
      <c r="H359" s="27"/>
    </row>
    <row r="360" spans="5:8" x14ac:dyDescent="0.35">
      <c r="E360" s="17"/>
      <c r="F360" s="27"/>
      <c r="G360" s="27"/>
      <c r="H360" s="27"/>
    </row>
    <row r="361" spans="5:8" x14ac:dyDescent="0.35">
      <c r="E361" s="17"/>
      <c r="F361" s="27"/>
      <c r="G361" s="27"/>
      <c r="H361" s="27"/>
    </row>
    <row r="362" spans="5:8" x14ac:dyDescent="0.35">
      <c r="E362" s="17"/>
      <c r="F362" s="27"/>
      <c r="G362" s="27"/>
      <c r="H362" s="27"/>
    </row>
    <row r="363" spans="5:8" x14ac:dyDescent="0.35">
      <c r="E363" s="17"/>
      <c r="F363" s="27"/>
      <c r="G363" s="27"/>
      <c r="H363" s="27"/>
    </row>
    <row r="364" spans="5:8" x14ac:dyDescent="0.35">
      <c r="E364" s="17"/>
      <c r="F364" s="27"/>
      <c r="G364" s="27"/>
      <c r="H364" s="27"/>
    </row>
    <row r="365" spans="5:8" x14ac:dyDescent="0.35">
      <c r="E365" s="17"/>
      <c r="F365" s="27"/>
      <c r="G365" s="27"/>
      <c r="H365" s="27"/>
    </row>
    <row r="366" spans="5:8" x14ac:dyDescent="0.35">
      <c r="E366" s="17"/>
      <c r="F366" s="27"/>
      <c r="G366" s="27"/>
      <c r="H366" s="27"/>
    </row>
    <row r="367" spans="5:8" x14ac:dyDescent="0.35">
      <c r="E367" s="17"/>
      <c r="F367" s="27"/>
      <c r="G367" s="27"/>
      <c r="H367" s="27"/>
    </row>
    <row r="368" spans="5:8" x14ac:dyDescent="0.35">
      <c r="E368" s="17"/>
      <c r="F368" s="27"/>
      <c r="G368" s="27"/>
      <c r="H368" s="27"/>
    </row>
    <row r="369" spans="5:8" x14ac:dyDescent="0.35">
      <c r="E369" s="17"/>
      <c r="F369" s="27"/>
      <c r="G369" s="27"/>
      <c r="H369" s="27"/>
    </row>
    <row r="370" spans="5:8" x14ac:dyDescent="0.35">
      <c r="E370" s="17"/>
      <c r="F370" s="27"/>
      <c r="G370" s="27"/>
      <c r="H370" s="27"/>
    </row>
    <row r="371" spans="5:8" x14ac:dyDescent="0.35">
      <c r="E371" s="17"/>
      <c r="F371" s="27"/>
      <c r="G371" s="27"/>
      <c r="H371" s="27"/>
    </row>
    <row r="372" spans="5:8" x14ac:dyDescent="0.35">
      <c r="E372" s="17"/>
      <c r="F372" s="27"/>
      <c r="G372" s="27"/>
      <c r="H372" s="27"/>
    </row>
    <row r="373" spans="5:8" x14ac:dyDescent="0.35">
      <c r="E373" s="17"/>
      <c r="F373" s="27"/>
      <c r="G373" s="27"/>
      <c r="H373" s="27"/>
    </row>
    <row r="374" spans="5:8" x14ac:dyDescent="0.35">
      <c r="E374" s="17"/>
      <c r="F374" s="27"/>
      <c r="G374" s="27"/>
      <c r="H374" s="27"/>
    </row>
    <row r="375" spans="5:8" x14ac:dyDescent="0.35">
      <c r="E375" s="17"/>
      <c r="F375" s="27"/>
      <c r="G375" s="27"/>
      <c r="H375" s="27"/>
    </row>
    <row r="376" spans="5:8" x14ac:dyDescent="0.35">
      <c r="E376" s="17"/>
      <c r="F376" s="27"/>
      <c r="G376" s="27"/>
      <c r="H376" s="27"/>
    </row>
    <row r="377" spans="5:8" x14ac:dyDescent="0.35">
      <c r="E377" s="17"/>
      <c r="F377" s="27"/>
      <c r="G377" s="27"/>
      <c r="H377" s="27"/>
    </row>
    <row r="378" spans="5:8" x14ac:dyDescent="0.35">
      <c r="E378" s="17"/>
      <c r="F378" s="27"/>
      <c r="G378" s="27"/>
      <c r="H378" s="27"/>
    </row>
    <row r="379" spans="5:8" x14ac:dyDescent="0.35">
      <c r="E379" s="17"/>
      <c r="F379" s="27"/>
      <c r="G379" s="27"/>
      <c r="H379" s="27"/>
    </row>
    <row r="380" spans="5:8" x14ac:dyDescent="0.35">
      <c r="E380" s="17"/>
      <c r="F380" s="27"/>
      <c r="G380" s="27"/>
      <c r="H380" s="27"/>
    </row>
    <row r="381" spans="5:8" x14ac:dyDescent="0.35">
      <c r="E381" s="17"/>
      <c r="F381" s="27"/>
      <c r="G381" s="27"/>
      <c r="H381" s="27"/>
    </row>
    <row r="382" spans="5:8" x14ac:dyDescent="0.35">
      <c r="E382" s="17"/>
      <c r="F382" s="27"/>
      <c r="G382" s="27"/>
      <c r="H382" s="27"/>
    </row>
    <row r="383" spans="5:8" x14ac:dyDescent="0.35">
      <c r="E383" s="17"/>
      <c r="F383" s="27"/>
      <c r="G383" s="27"/>
      <c r="H383" s="27"/>
    </row>
    <row r="384" spans="5:8" x14ac:dyDescent="0.35">
      <c r="E384" s="17"/>
      <c r="F384" s="27"/>
      <c r="G384" s="27"/>
      <c r="H384" s="27"/>
    </row>
    <row r="385" spans="5:8" x14ac:dyDescent="0.35">
      <c r="E385" s="17"/>
      <c r="F385" s="27"/>
      <c r="G385" s="27"/>
      <c r="H385" s="27"/>
    </row>
    <row r="386" spans="5:8" x14ac:dyDescent="0.35">
      <c r="E386" s="17"/>
      <c r="F386" s="27"/>
      <c r="G386" s="27"/>
      <c r="H386" s="27"/>
    </row>
    <row r="387" spans="5:8" x14ac:dyDescent="0.35">
      <c r="E387" s="17"/>
      <c r="F387" s="27"/>
      <c r="G387" s="27"/>
      <c r="H387" s="27"/>
    </row>
    <row r="388" spans="5:8" x14ac:dyDescent="0.35">
      <c r="E388" s="17"/>
      <c r="F388" s="27"/>
      <c r="G388" s="27"/>
      <c r="H388" s="27"/>
    </row>
    <row r="389" spans="5:8" x14ac:dyDescent="0.35">
      <c r="E389" s="17"/>
      <c r="F389" s="27"/>
      <c r="G389" s="27"/>
      <c r="H389" s="27"/>
    </row>
    <row r="390" spans="5:8" x14ac:dyDescent="0.35">
      <c r="E390" s="17"/>
      <c r="F390" s="27"/>
      <c r="G390" s="27"/>
      <c r="H390" s="27"/>
    </row>
    <row r="391" spans="5:8" x14ac:dyDescent="0.35">
      <c r="E391" s="17"/>
      <c r="F391" s="27"/>
      <c r="G391" s="27"/>
      <c r="H391" s="27"/>
    </row>
    <row r="392" spans="5:8" x14ac:dyDescent="0.35">
      <c r="E392" s="17"/>
      <c r="F392" s="27"/>
      <c r="G392" s="27"/>
      <c r="H392" s="27"/>
    </row>
    <row r="393" spans="5:8" x14ac:dyDescent="0.35">
      <c r="E393" s="17"/>
      <c r="F393" s="27"/>
      <c r="G393" s="27"/>
      <c r="H393" s="27"/>
    </row>
    <row r="394" spans="5:8" x14ac:dyDescent="0.35">
      <c r="E394" s="17"/>
      <c r="F394" s="27"/>
      <c r="G394" s="27"/>
      <c r="H394" s="27"/>
    </row>
    <row r="395" spans="5:8" x14ac:dyDescent="0.35">
      <c r="E395" s="17"/>
      <c r="F395" s="27"/>
      <c r="G395" s="27"/>
      <c r="H395" s="27"/>
    </row>
    <row r="396" spans="5:8" x14ac:dyDescent="0.35">
      <c r="E396" s="17"/>
      <c r="F396" s="27"/>
      <c r="G396" s="27"/>
      <c r="H396" s="27"/>
    </row>
    <row r="397" spans="5:8" x14ac:dyDescent="0.35">
      <c r="E397" s="17"/>
      <c r="F397" s="27"/>
      <c r="G397" s="27"/>
      <c r="H397" s="27"/>
    </row>
    <row r="398" spans="5:8" x14ac:dyDescent="0.35">
      <c r="E398" s="17"/>
      <c r="F398" s="27"/>
      <c r="G398" s="27"/>
      <c r="H398" s="27"/>
    </row>
    <row r="399" spans="5:8" x14ac:dyDescent="0.35">
      <c r="E399" s="17"/>
      <c r="F399" s="27"/>
      <c r="G399" s="27"/>
      <c r="H399" s="27"/>
    </row>
    <row r="400" spans="5:8" x14ac:dyDescent="0.35">
      <c r="E400" s="17"/>
      <c r="F400" s="27"/>
      <c r="G400" s="27"/>
      <c r="H400" s="27"/>
    </row>
    <row r="401" spans="5:8" x14ac:dyDescent="0.35">
      <c r="E401" s="17"/>
      <c r="F401" s="27"/>
      <c r="G401" s="27"/>
      <c r="H401" s="27"/>
    </row>
    <row r="402" spans="5:8" x14ac:dyDescent="0.35">
      <c r="E402" s="17"/>
      <c r="F402" s="27"/>
      <c r="G402" s="27"/>
      <c r="H402" s="27"/>
    </row>
    <row r="403" spans="5:8" x14ac:dyDescent="0.35">
      <c r="E403" s="17"/>
      <c r="F403" s="27"/>
      <c r="G403" s="27"/>
      <c r="H403" s="27"/>
    </row>
    <row r="404" spans="5:8" x14ac:dyDescent="0.35">
      <c r="E404" s="17"/>
      <c r="F404" s="27"/>
      <c r="G404" s="27"/>
      <c r="H404" s="27"/>
    </row>
    <row r="405" spans="5:8" x14ac:dyDescent="0.35">
      <c r="E405" s="17"/>
      <c r="F405" s="27"/>
      <c r="G405" s="27"/>
      <c r="H405" s="27"/>
    </row>
    <row r="406" spans="5:8" x14ac:dyDescent="0.35">
      <c r="E406" s="17"/>
      <c r="F406" s="27"/>
      <c r="G406" s="27"/>
      <c r="H406" s="27"/>
    </row>
    <row r="407" spans="5:8" x14ac:dyDescent="0.35">
      <c r="E407" s="17"/>
      <c r="F407" s="27"/>
      <c r="G407" s="27"/>
      <c r="H407" s="27"/>
    </row>
    <row r="408" spans="5:8" x14ac:dyDescent="0.35">
      <c r="E408" s="17"/>
      <c r="F408" s="27"/>
      <c r="G408" s="27"/>
      <c r="H408" s="27"/>
    </row>
    <row r="409" spans="5:8" x14ac:dyDescent="0.35">
      <c r="E409" s="17"/>
      <c r="F409" s="27"/>
      <c r="G409" s="27"/>
      <c r="H409" s="27"/>
    </row>
    <row r="410" spans="5:8" x14ac:dyDescent="0.35">
      <c r="E410" s="17"/>
      <c r="F410" s="27"/>
      <c r="G410" s="27"/>
      <c r="H410" s="27"/>
    </row>
    <row r="411" spans="5:8" x14ac:dyDescent="0.35">
      <c r="E411" s="17"/>
      <c r="F411" s="27"/>
      <c r="G411" s="27"/>
      <c r="H411" s="27"/>
    </row>
    <row r="412" spans="5:8" x14ac:dyDescent="0.35">
      <c r="E412" s="17"/>
      <c r="F412" s="27"/>
      <c r="G412" s="27"/>
      <c r="H412" s="27"/>
    </row>
    <row r="413" spans="5:8" x14ac:dyDescent="0.35">
      <c r="E413" s="17"/>
      <c r="F413" s="27"/>
      <c r="G413" s="27"/>
      <c r="H413" s="27"/>
    </row>
    <row r="414" spans="5:8" x14ac:dyDescent="0.35">
      <c r="E414" s="17"/>
      <c r="F414" s="27"/>
      <c r="G414" s="27"/>
      <c r="H414" s="27"/>
    </row>
    <row r="415" spans="5:8" x14ac:dyDescent="0.35">
      <c r="E415" s="17"/>
      <c r="F415" s="27"/>
      <c r="G415" s="27"/>
      <c r="H415" s="27"/>
    </row>
    <row r="416" spans="5:8" x14ac:dyDescent="0.35">
      <c r="E416" s="17"/>
      <c r="F416" s="27"/>
      <c r="G416" s="27"/>
      <c r="H416" s="27"/>
    </row>
    <row r="417" spans="5:8" x14ac:dyDescent="0.35">
      <c r="E417" s="17"/>
      <c r="F417" s="27"/>
      <c r="G417" s="27"/>
      <c r="H417" s="27"/>
    </row>
    <row r="418" spans="5:8" x14ac:dyDescent="0.35">
      <c r="E418" s="17"/>
      <c r="F418" s="27"/>
      <c r="G418" s="27"/>
      <c r="H418" s="27"/>
    </row>
    <row r="419" spans="5:8" x14ac:dyDescent="0.35">
      <c r="E419" s="17"/>
      <c r="F419" s="27"/>
      <c r="G419" s="27"/>
      <c r="H419" s="27"/>
    </row>
    <row r="420" spans="5:8" x14ac:dyDescent="0.35">
      <c r="E420" s="17"/>
      <c r="F420" s="27"/>
      <c r="G420" s="27"/>
      <c r="H420" s="27"/>
    </row>
    <row r="421" spans="5:8" x14ac:dyDescent="0.35">
      <c r="E421" s="17"/>
      <c r="F421" s="27"/>
      <c r="G421" s="27"/>
      <c r="H421" s="27"/>
    </row>
    <row r="422" spans="5:8" x14ac:dyDescent="0.35">
      <c r="E422" s="17"/>
      <c r="F422" s="27"/>
      <c r="G422" s="27"/>
      <c r="H422" s="27"/>
    </row>
    <row r="423" spans="5:8" x14ac:dyDescent="0.35">
      <c r="E423" s="17"/>
      <c r="F423" s="27"/>
      <c r="G423" s="27"/>
      <c r="H423" s="27"/>
    </row>
    <row r="424" spans="5:8" x14ac:dyDescent="0.35">
      <c r="E424" s="17"/>
      <c r="F424" s="27"/>
      <c r="G424" s="27"/>
      <c r="H424" s="27"/>
    </row>
    <row r="425" spans="5:8" x14ac:dyDescent="0.35">
      <c r="E425" s="17"/>
      <c r="F425" s="27"/>
      <c r="G425" s="27"/>
      <c r="H425" s="27"/>
    </row>
    <row r="426" spans="5:8" x14ac:dyDescent="0.35">
      <c r="E426" s="17"/>
      <c r="F426" s="27"/>
      <c r="G426" s="27"/>
      <c r="H426" s="27"/>
    </row>
    <row r="427" spans="5:8" x14ac:dyDescent="0.35">
      <c r="E427" s="17"/>
      <c r="F427" s="27"/>
      <c r="G427" s="27"/>
      <c r="H427" s="27"/>
    </row>
    <row r="428" spans="5:8" x14ac:dyDescent="0.35">
      <c r="E428" s="17"/>
      <c r="F428" s="27"/>
      <c r="G428" s="27"/>
      <c r="H428" s="27"/>
    </row>
    <row r="429" spans="5:8" x14ac:dyDescent="0.35">
      <c r="E429" s="17"/>
      <c r="F429" s="27"/>
      <c r="G429" s="27"/>
      <c r="H429" s="27"/>
    </row>
    <row r="430" spans="5:8" x14ac:dyDescent="0.35">
      <c r="E430" s="17"/>
      <c r="F430" s="27"/>
      <c r="G430" s="27"/>
      <c r="H430" s="27"/>
    </row>
    <row r="431" spans="5:8" x14ac:dyDescent="0.35">
      <c r="E431" s="17"/>
      <c r="F431" s="27"/>
      <c r="G431" s="27"/>
      <c r="H431" s="27"/>
    </row>
    <row r="432" spans="5:8" x14ac:dyDescent="0.35">
      <c r="E432" s="17"/>
      <c r="F432" s="27"/>
      <c r="G432" s="27"/>
      <c r="H432" s="27"/>
    </row>
    <row r="433" spans="5:8" x14ac:dyDescent="0.35">
      <c r="E433" s="17"/>
      <c r="F433" s="27"/>
      <c r="G433" s="27"/>
      <c r="H433" s="27"/>
    </row>
    <row r="434" spans="5:8" x14ac:dyDescent="0.35">
      <c r="E434" s="17"/>
      <c r="F434" s="27"/>
      <c r="G434" s="27"/>
      <c r="H434" s="27"/>
    </row>
    <row r="435" spans="5:8" x14ac:dyDescent="0.35">
      <c r="E435" s="17"/>
      <c r="F435" s="27"/>
      <c r="G435" s="27"/>
      <c r="H435" s="27"/>
    </row>
    <row r="436" spans="5:8" x14ac:dyDescent="0.35">
      <c r="E436" s="17"/>
      <c r="F436" s="27"/>
      <c r="G436" s="27"/>
      <c r="H436" s="27"/>
    </row>
    <row r="437" spans="5:8" x14ac:dyDescent="0.35">
      <c r="E437" s="17"/>
      <c r="F437" s="27"/>
      <c r="G437" s="27"/>
      <c r="H437" s="27"/>
    </row>
    <row r="438" spans="5:8" x14ac:dyDescent="0.35">
      <c r="E438" s="17"/>
      <c r="F438" s="27"/>
      <c r="G438" s="27"/>
      <c r="H438" s="27"/>
    </row>
    <row r="439" spans="5:8" x14ac:dyDescent="0.35">
      <c r="E439" s="17"/>
      <c r="F439" s="27"/>
      <c r="G439" s="27"/>
      <c r="H439" s="27"/>
    </row>
    <row r="440" spans="5:8" x14ac:dyDescent="0.35">
      <c r="E440" s="17"/>
      <c r="F440" s="27"/>
      <c r="G440" s="27"/>
      <c r="H440" s="27"/>
    </row>
    <row r="441" spans="5:8" x14ac:dyDescent="0.35">
      <c r="E441" s="17"/>
      <c r="F441" s="27"/>
      <c r="G441" s="27"/>
      <c r="H441" s="27"/>
    </row>
    <row r="442" spans="5:8" x14ac:dyDescent="0.35">
      <c r="E442" s="17"/>
      <c r="F442" s="27"/>
      <c r="G442" s="27"/>
      <c r="H442" s="27"/>
    </row>
    <row r="443" spans="5:8" x14ac:dyDescent="0.35">
      <c r="E443" s="17"/>
      <c r="F443" s="27"/>
      <c r="G443" s="27"/>
      <c r="H443" s="27"/>
    </row>
    <row r="444" spans="5:8" x14ac:dyDescent="0.35">
      <c r="E444" s="17"/>
      <c r="F444" s="27"/>
      <c r="G444" s="27"/>
      <c r="H444" s="27"/>
    </row>
    <row r="445" spans="5:8" x14ac:dyDescent="0.35">
      <c r="E445" s="17"/>
      <c r="F445" s="27"/>
      <c r="G445" s="27"/>
      <c r="H445" s="27"/>
    </row>
    <row r="446" spans="5:8" x14ac:dyDescent="0.35">
      <c r="E446" s="17"/>
      <c r="F446" s="27"/>
      <c r="G446" s="27"/>
      <c r="H446" s="27"/>
    </row>
    <row r="447" spans="5:8" x14ac:dyDescent="0.35">
      <c r="E447" s="17"/>
      <c r="F447" s="27"/>
      <c r="G447" s="27"/>
      <c r="H447" s="27"/>
    </row>
    <row r="448" spans="5:8" x14ac:dyDescent="0.35">
      <c r="E448" s="17"/>
      <c r="F448" s="27"/>
      <c r="G448" s="27"/>
      <c r="H448" s="27"/>
    </row>
    <row r="449" spans="5:8" x14ac:dyDescent="0.35">
      <c r="E449" s="17"/>
      <c r="F449" s="27"/>
      <c r="G449" s="27"/>
      <c r="H449" s="27"/>
    </row>
    <row r="450" spans="5:8" x14ac:dyDescent="0.35">
      <c r="E450" s="17"/>
      <c r="F450" s="27"/>
      <c r="G450" s="27"/>
      <c r="H450" s="27"/>
    </row>
    <row r="451" spans="5:8" x14ac:dyDescent="0.35">
      <c r="E451" s="17"/>
      <c r="F451" s="27"/>
      <c r="G451" s="27"/>
      <c r="H451" s="27"/>
    </row>
    <row r="452" spans="5:8" x14ac:dyDescent="0.35">
      <c r="E452" s="17"/>
      <c r="F452" s="27"/>
      <c r="G452" s="27"/>
      <c r="H452" s="27"/>
    </row>
    <row r="453" spans="5:8" x14ac:dyDescent="0.35">
      <c r="E453" s="17"/>
      <c r="F453" s="27"/>
      <c r="G453" s="27"/>
      <c r="H453" s="27"/>
    </row>
    <row r="454" spans="5:8" x14ac:dyDescent="0.35">
      <c r="E454" s="17"/>
      <c r="F454" s="27"/>
      <c r="G454" s="27"/>
      <c r="H454" s="27"/>
    </row>
    <row r="455" spans="5:8" x14ac:dyDescent="0.35">
      <c r="E455" s="17"/>
      <c r="F455" s="27"/>
      <c r="G455" s="27"/>
      <c r="H455" s="27"/>
    </row>
    <row r="456" spans="5:8" x14ac:dyDescent="0.35">
      <c r="E456" s="17"/>
      <c r="F456" s="27"/>
      <c r="G456" s="27"/>
      <c r="H456" s="27"/>
    </row>
    <row r="457" spans="5:8" x14ac:dyDescent="0.35">
      <c r="E457" s="17"/>
      <c r="F457" s="27"/>
      <c r="G457" s="27"/>
      <c r="H457" s="27"/>
    </row>
    <row r="458" spans="5:8" x14ac:dyDescent="0.35">
      <c r="E458" s="17"/>
      <c r="F458" s="27"/>
      <c r="G458" s="27"/>
      <c r="H458" s="27"/>
    </row>
    <row r="459" spans="5:8" x14ac:dyDescent="0.35">
      <c r="E459" s="17"/>
      <c r="F459" s="27"/>
      <c r="G459" s="27"/>
      <c r="H459" s="27"/>
    </row>
    <row r="460" spans="5:8" x14ac:dyDescent="0.35">
      <c r="E460" s="17"/>
      <c r="F460" s="27"/>
      <c r="G460" s="27"/>
      <c r="H460" s="27"/>
    </row>
    <row r="461" spans="5:8" x14ac:dyDescent="0.35">
      <c r="E461" s="17"/>
      <c r="F461" s="27"/>
      <c r="G461" s="27"/>
      <c r="H461" s="27"/>
    </row>
    <row r="462" spans="5:8" x14ac:dyDescent="0.35">
      <c r="E462" s="17"/>
      <c r="F462" s="27"/>
      <c r="G462" s="27"/>
      <c r="H462" s="27"/>
    </row>
    <row r="463" spans="5:8" x14ac:dyDescent="0.35">
      <c r="E463" s="17"/>
      <c r="F463" s="27"/>
      <c r="G463" s="27"/>
      <c r="H463" s="27"/>
    </row>
    <row r="464" spans="5:8" x14ac:dyDescent="0.35">
      <c r="E464" s="17"/>
      <c r="F464" s="27"/>
      <c r="G464" s="27"/>
      <c r="H464" s="27"/>
    </row>
    <row r="465" spans="5:8" x14ac:dyDescent="0.35">
      <c r="E465" s="17"/>
      <c r="F465" s="27"/>
      <c r="G465" s="27"/>
      <c r="H465" s="27"/>
    </row>
    <row r="466" spans="5:8" x14ac:dyDescent="0.35">
      <c r="E466" s="17"/>
      <c r="F466" s="27"/>
      <c r="G466" s="27"/>
      <c r="H466" s="27"/>
    </row>
    <row r="467" spans="5:8" x14ac:dyDescent="0.35">
      <c r="E467" s="17"/>
      <c r="F467" s="27"/>
      <c r="G467" s="27"/>
      <c r="H467" s="27"/>
    </row>
    <row r="468" spans="5:8" x14ac:dyDescent="0.35">
      <c r="E468" s="17"/>
      <c r="F468" s="27"/>
      <c r="G468" s="27"/>
      <c r="H468" s="27"/>
    </row>
    <row r="469" spans="5:8" x14ac:dyDescent="0.35">
      <c r="E469" s="17"/>
      <c r="F469" s="27"/>
      <c r="G469" s="27"/>
      <c r="H469" s="27"/>
    </row>
    <row r="470" spans="5:8" x14ac:dyDescent="0.35">
      <c r="E470" s="17"/>
      <c r="F470" s="27"/>
      <c r="G470" s="27"/>
      <c r="H470" s="27"/>
    </row>
    <row r="471" spans="5:8" x14ac:dyDescent="0.35">
      <c r="E471" s="17"/>
      <c r="F471" s="27"/>
      <c r="G471" s="27"/>
      <c r="H471" s="27"/>
    </row>
    <row r="472" spans="5:8" x14ac:dyDescent="0.35">
      <c r="E472" s="17"/>
      <c r="F472" s="27"/>
      <c r="G472" s="27"/>
      <c r="H472" s="27"/>
    </row>
    <row r="473" spans="5:8" x14ac:dyDescent="0.35">
      <c r="E473" s="17"/>
      <c r="F473" s="27"/>
      <c r="G473" s="27"/>
      <c r="H473" s="27"/>
    </row>
    <row r="474" spans="5:8" x14ac:dyDescent="0.35">
      <c r="E474" s="17"/>
      <c r="F474" s="27"/>
      <c r="G474" s="27"/>
      <c r="H474" s="27"/>
    </row>
    <row r="475" spans="5:8" x14ac:dyDescent="0.35">
      <c r="E475" s="17"/>
      <c r="F475" s="27"/>
      <c r="G475" s="27"/>
      <c r="H475" s="27"/>
    </row>
    <row r="476" spans="5:8" x14ac:dyDescent="0.35">
      <c r="E476" s="17"/>
      <c r="F476" s="27"/>
      <c r="G476" s="27"/>
      <c r="H476" s="27"/>
    </row>
    <row r="477" spans="5:8" x14ac:dyDescent="0.35">
      <c r="E477" s="17"/>
      <c r="F477" s="27"/>
      <c r="G477" s="27"/>
      <c r="H477" s="27"/>
    </row>
    <row r="478" spans="5:8" x14ac:dyDescent="0.35">
      <c r="E478" s="17"/>
      <c r="F478" s="27"/>
      <c r="G478" s="27"/>
      <c r="H478" s="27"/>
    </row>
    <row r="479" spans="5:8" x14ac:dyDescent="0.35">
      <c r="E479" s="17"/>
      <c r="F479" s="27"/>
      <c r="G479" s="27"/>
      <c r="H479" s="27"/>
    </row>
    <row r="480" spans="5:8" x14ac:dyDescent="0.35">
      <c r="E480" s="17"/>
      <c r="F480" s="27"/>
      <c r="G480" s="27"/>
      <c r="H480" s="27"/>
    </row>
    <row r="481" spans="5:8" x14ac:dyDescent="0.35">
      <c r="E481" s="17"/>
      <c r="F481" s="27"/>
      <c r="G481" s="27"/>
      <c r="H481" s="27"/>
    </row>
    <row r="482" spans="5:8" x14ac:dyDescent="0.35">
      <c r="E482" s="17"/>
      <c r="F482" s="27"/>
      <c r="G482" s="27"/>
      <c r="H482" s="27"/>
    </row>
    <row r="483" spans="5:8" x14ac:dyDescent="0.35">
      <c r="E483" s="17"/>
      <c r="F483" s="27"/>
      <c r="G483" s="27"/>
      <c r="H483" s="27"/>
    </row>
    <row r="484" spans="5:8" x14ac:dyDescent="0.35">
      <c r="E484" s="17"/>
      <c r="F484" s="27"/>
      <c r="G484" s="27"/>
      <c r="H484" s="27"/>
    </row>
    <row r="485" spans="5:8" x14ac:dyDescent="0.35">
      <c r="E485" s="17"/>
      <c r="F485" s="27"/>
      <c r="G485" s="27"/>
      <c r="H485" s="27"/>
    </row>
    <row r="486" spans="5:8" x14ac:dyDescent="0.35">
      <c r="E486" s="17"/>
      <c r="F486" s="27"/>
      <c r="G486" s="27"/>
      <c r="H486" s="27"/>
    </row>
    <row r="487" spans="5:8" x14ac:dyDescent="0.35">
      <c r="E487" s="17"/>
      <c r="F487" s="27"/>
      <c r="G487" s="27"/>
      <c r="H487" s="27"/>
    </row>
    <row r="488" spans="5:8" x14ac:dyDescent="0.35">
      <c r="E488" s="17"/>
      <c r="F488" s="27"/>
      <c r="G488" s="27"/>
      <c r="H488" s="27"/>
    </row>
    <row r="489" spans="5:8" x14ac:dyDescent="0.35">
      <c r="E489" s="17"/>
      <c r="F489" s="27"/>
      <c r="G489" s="27"/>
      <c r="H489" s="27"/>
    </row>
    <row r="490" spans="5:8" x14ac:dyDescent="0.35">
      <c r="E490" s="17"/>
      <c r="F490" s="27"/>
      <c r="G490" s="27"/>
      <c r="H490" s="27"/>
    </row>
    <row r="491" spans="5:8" x14ac:dyDescent="0.35">
      <c r="E491" s="17"/>
      <c r="F491" s="27"/>
      <c r="G491" s="27"/>
      <c r="H491" s="27"/>
    </row>
    <row r="492" spans="5:8" x14ac:dyDescent="0.35">
      <c r="E492" s="17"/>
      <c r="F492" s="27"/>
      <c r="G492" s="27"/>
      <c r="H492" s="27"/>
    </row>
    <row r="493" spans="5:8" x14ac:dyDescent="0.35">
      <c r="E493" s="17"/>
      <c r="H493" s="13"/>
    </row>
    <row r="494" spans="5:8" x14ac:dyDescent="0.35">
      <c r="E494" s="27"/>
      <c r="F494" s="27"/>
      <c r="G494" s="27"/>
    </row>
    <row r="495" spans="5:8" x14ac:dyDescent="0.35">
      <c r="E495" s="27"/>
      <c r="F495" s="27"/>
      <c r="G495" s="27"/>
    </row>
    <row r="496" spans="5:8" x14ac:dyDescent="0.35">
      <c r="E496" s="27"/>
      <c r="F496" s="27"/>
      <c r="G496" s="27"/>
    </row>
    <row r="497" spans="5:7" x14ac:dyDescent="0.35">
      <c r="E497" s="27"/>
      <c r="F497" s="27"/>
      <c r="G497" s="27"/>
    </row>
    <row r="498" spans="5:7" x14ac:dyDescent="0.35">
      <c r="E498" s="27"/>
      <c r="F498" s="27"/>
      <c r="G498" s="27"/>
    </row>
    <row r="499" spans="5:7" x14ac:dyDescent="0.35">
      <c r="E499" s="27"/>
      <c r="F499" s="27"/>
      <c r="G499" s="27"/>
    </row>
    <row r="500" spans="5:7" x14ac:dyDescent="0.35">
      <c r="E500" s="27"/>
      <c r="F500" s="27"/>
      <c r="G500" s="27"/>
    </row>
    <row r="501" spans="5:7" x14ac:dyDescent="0.35">
      <c r="E501" s="27"/>
      <c r="F501" s="27"/>
      <c r="G501" s="27"/>
    </row>
    <row r="502" spans="5:7" x14ac:dyDescent="0.35">
      <c r="E502" s="27"/>
      <c r="F502" s="27"/>
      <c r="G502" s="27"/>
    </row>
    <row r="503" spans="5:7" x14ac:dyDescent="0.35">
      <c r="E503" s="27"/>
      <c r="F503" s="27"/>
      <c r="G503" s="27"/>
    </row>
    <row r="504" spans="5:7" x14ac:dyDescent="0.35">
      <c r="E504" s="27"/>
      <c r="F504" s="27"/>
      <c r="G504" s="27"/>
    </row>
    <row r="505" spans="5:7" x14ac:dyDescent="0.35">
      <c r="E505" s="27"/>
      <c r="F505" s="27"/>
      <c r="G505" s="27"/>
    </row>
    <row r="506" spans="5:7" x14ac:dyDescent="0.35">
      <c r="E506" s="27"/>
      <c r="F506" s="27"/>
      <c r="G506" s="27"/>
    </row>
    <row r="507" spans="5:7" x14ac:dyDescent="0.35">
      <c r="E507" s="27"/>
      <c r="F507" s="27"/>
      <c r="G507" s="27"/>
    </row>
    <row r="508" spans="5:7" x14ac:dyDescent="0.35">
      <c r="E508" s="27"/>
      <c r="F508" s="27"/>
      <c r="G508" s="27"/>
    </row>
    <row r="509" spans="5:7" x14ac:dyDescent="0.35">
      <c r="E509" s="27"/>
      <c r="F509" s="27"/>
      <c r="G509" s="27"/>
    </row>
    <row r="510" spans="5:7" x14ac:dyDescent="0.35">
      <c r="E510" s="27"/>
      <c r="F510" s="27"/>
      <c r="G510" s="27"/>
    </row>
    <row r="511" spans="5:7" x14ac:dyDescent="0.35">
      <c r="E511" s="27"/>
      <c r="F511" s="27"/>
      <c r="G511" s="27"/>
    </row>
    <row r="512" spans="5:7" x14ac:dyDescent="0.35">
      <c r="E512" s="27"/>
      <c r="F512" s="27"/>
      <c r="G512" s="27"/>
    </row>
    <row r="513" spans="5:7" x14ac:dyDescent="0.35">
      <c r="E513" s="27"/>
      <c r="F513" s="27"/>
      <c r="G513" s="27"/>
    </row>
    <row r="514" spans="5:7" x14ac:dyDescent="0.35">
      <c r="E514" s="27"/>
      <c r="F514" s="27"/>
      <c r="G514" s="27"/>
    </row>
    <row r="515" spans="5:7" x14ac:dyDescent="0.35">
      <c r="E515" s="27"/>
      <c r="F515" s="27"/>
      <c r="G515" s="27"/>
    </row>
    <row r="516" spans="5:7" x14ac:dyDescent="0.35">
      <c r="E516" s="27"/>
      <c r="F516" s="27"/>
      <c r="G516" s="27"/>
    </row>
    <row r="517" spans="5:7" x14ac:dyDescent="0.35">
      <c r="E517" s="27"/>
      <c r="F517" s="27"/>
      <c r="G517" s="27"/>
    </row>
    <row r="518" spans="5:7" x14ac:dyDescent="0.35">
      <c r="E518" s="27"/>
      <c r="F518" s="27"/>
      <c r="G518" s="27"/>
    </row>
    <row r="519" spans="5:7" x14ac:dyDescent="0.35">
      <c r="E519" s="27"/>
      <c r="F519" s="27"/>
      <c r="G519" s="27"/>
    </row>
    <row r="520" spans="5:7" x14ac:dyDescent="0.35">
      <c r="E520" s="27"/>
      <c r="F520" s="27"/>
      <c r="G520" s="27"/>
    </row>
    <row r="521" spans="5:7" x14ac:dyDescent="0.35">
      <c r="E521" s="27"/>
      <c r="F521" s="27"/>
      <c r="G521" s="27"/>
    </row>
    <row r="522" spans="5:7" x14ac:dyDescent="0.35">
      <c r="E522" s="27"/>
      <c r="F522" s="27"/>
      <c r="G522" s="27"/>
    </row>
    <row r="523" spans="5:7" x14ac:dyDescent="0.35">
      <c r="E523" s="27"/>
      <c r="F523" s="27"/>
      <c r="G523" s="27"/>
    </row>
    <row r="524" spans="5:7" x14ac:dyDescent="0.35">
      <c r="E524" s="27"/>
      <c r="F524" s="27"/>
      <c r="G524" s="27"/>
    </row>
    <row r="525" spans="5:7" x14ac:dyDescent="0.35">
      <c r="E525" s="27"/>
      <c r="F525" s="27"/>
      <c r="G525" s="27"/>
    </row>
    <row r="526" spans="5:7" x14ac:dyDescent="0.35">
      <c r="E526" s="27"/>
      <c r="F526" s="27"/>
      <c r="G526" s="27"/>
    </row>
    <row r="527" spans="5:7" x14ac:dyDescent="0.35">
      <c r="E527" s="27"/>
      <c r="F527" s="27"/>
      <c r="G527" s="27"/>
    </row>
    <row r="528" spans="5:7" x14ac:dyDescent="0.35">
      <c r="E528" s="27"/>
      <c r="F528" s="27"/>
      <c r="G528" s="27"/>
    </row>
    <row r="529" spans="5:7" x14ac:dyDescent="0.35">
      <c r="E529" s="27"/>
      <c r="F529" s="27"/>
      <c r="G529" s="27"/>
    </row>
    <row r="530" spans="5:7" x14ac:dyDescent="0.35">
      <c r="E530" s="27"/>
      <c r="F530" s="27"/>
      <c r="G530" s="27"/>
    </row>
    <row r="531" spans="5:7" x14ac:dyDescent="0.35">
      <c r="E531" s="27"/>
      <c r="F531" s="27"/>
      <c r="G531" s="27"/>
    </row>
    <row r="532" spans="5:7" x14ac:dyDescent="0.35">
      <c r="E532" s="27"/>
      <c r="F532" s="27"/>
      <c r="G532" s="27"/>
    </row>
    <row r="533" spans="5:7" x14ac:dyDescent="0.35">
      <c r="E533" s="27"/>
      <c r="F533" s="27"/>
      <c r="G533" s="27"/>
    </row>
    <row r="534" spans="5:7" x14ac:dyDescent="0.35">
      <c r="E534" s="27"/>
      <c r="F534" s="27"/>
      <c r="G534" s="27"/>
    </row>
    <row r="535" spans="5:7" x14ac:dyDescent="0.35">
      <c r="E535" s="27"/>
      <c r="F535" s="27"/>
      <c r="G535" s="27"/>
    </row>
    <row r="536" spans="5:7" x14ac:dyDescent="0.35">
      <c r="E536" s="27"/>
      <c r="F536" s="27"/>
      <c r="G536" s="27"/>
    </row>
    <row r="537" spans="5:7" x14ac:dyDescent="0.35">
      <c r="E537" s="27"/>
      <c r="F537" s="27"/>
      <c r="G537" s="27"/>
    </row>
    <row r="538" spans="5:7" x14ac:dyDescent="0.35">
      <c r="E538" s="27"/>
      <c r="F538" s="27"/>
      <c r="G538" s="27"/>
    </row>
  </sheetData>
  <dataConsolidate/>
  <phoneticPr fontId="3" type="noConversion"/>
  <conditionalFormatting sqref="A21:A496">
    <cfRule type="expression" dxfId="48" priority="101">
      <formula>#REF!=TRUE</formula>
    </cfRule>
  </conditionalFormatting>
  <conditionalFormatting sqref="B3:C4 A21:O496">
    <cfRule type="expression" dxfId="47" priority="27">
      <formula>$C3&lt;&gt;$C4</formula>
    </cfRule>
  </conditionalFormatting>
  <conditionalFormatting sqref="B5:C5">
    <cfRule type="expression" dxfId="46" priority="109">
      <formula>$C5&lt;&gt;$C7</formula>
    </cfRule>
  </conditionalFormatting>
  <conditionalFormatting sqref="B6:C19">
    <cfRule type="expression" dxfId="45" priority="5">
      <formula>$C6&lt;&gt;$C7</formula>
    </cfRule>
  </conditionalFormatting>
  <conditionalFormatting sqref="B20:C20">
    <cfRule type="expression" dxfId="44" priority="3">
      <formula>$C20&lt;&gt;$C22</formula>
    </cfRule>
  </conditionalFormatting>
  <conditionalFormatting sqref="E6">
    <cfRule type="expression" dxfId="43" priority="6">
      <formula>$C6&lt;&gt;$C7</formula>
    </cfRule>
  </conditionalFormatting>
  <conditionalFormatting sqref="E494:G495">
    <cfRule type="expression" dxfId="42" priority="31">
      <formula>AND(NOT(ISBLANK($E494)),$E494&gt;$H494)</formula>
    </cfRule>
  </conditionalFormatting>
  <conditionalFormatting sqref="F3:H4">
    <cfRule type="expression" dxfId="40" priority="104">
      <formula>$D3&lt;&gt;$D4</formula>
    </cfRule>
  </conditionalFormatting>
  <conditionalFormatting sqref="F3:H6">
    <cfRule type="expression" dxfId="39" priority="9">
      <formula>AND(NOT(ISBLANK($F3)),$F3&gt;$J3)</formula>
    </cfRule>
  </conditionalFormatting>
  <conditionalFormatting sqref="F5:H5">
    <cfRule type="expression" dxfId="38" priority="112">
      <formula>$D5&lt;&gt;$D7</formula>
    </cfRule>
  </conditionalFormatting>
  <conditionalFormatting sqref="F6:H6">
    <cfRule type="expression" dxfId="37" priority="8">
      <formula>$D6&lt;&gt;$D7</formula>
    </cfRule>
  </conditionalFormatting>
  <conditionalFormatting sqref="F18:H19">
    <cfRule type="expression" dxfId="36" priority="2">
      <formula>$D18&lt;&gt;$D19</formula>
    </cfRule>
  </conditionalFormatting>
  <conditionalFormatting sqref="F18:H20">
    <cfRule type="expression" dxfId="35" priority="1">
      <formula>AND(NOT(ISBLANK($F18)),$F18&gt;$J18)</formula>
    </cfRule>
  </conditionalFormatting>
  <conditionalFormatting sqref="F20:H20">
    <cfRule type="expression" dxfId="34" priority="4">
      <formula>$D20&lt;&gt;$D22</formula>
    </cfRule>
  </conditionalFormatting>
  <conditionalFormatting sqref="F21:H492">
    <cfRule type="expression" dxfId="33" priority="22">
      <formula>AND(NOT(ISBLANK($F21)),$F21&gt;$I21)</formula>
    </cfRule>
  </conditionalFormatting>
  <conditionalFormatting sqref="H494:H495">
    <cfRule type="expression" dxfId="32" priority="99">
      <formula>AND($N494,$H494&gt;10)</formula>
    </cfRule>
    <cfRule type="expression" dxfId="31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30" priority="16">
      <formula>AND($O21,$I21&gt;10)</formula>
    </cfRule>
  </conditionalFormatting>
  <conditionalFormatting sqref="I21:I496">
    <cfRule type="expression" dxfId="29" priority="102">
      <formula>OR(#REF!,#REF!)</formula>
    </cfRule>
  </conditionalFormatting>
  <conditionalFormatting sqref="K494:L495">
    <cfRule type="expression" dxfId="28" priority="37">
      <formula>AND(NOT(ISBLANK($K494)),NOT(ISBLANK($L494)))</formula>
    </cfRule>
  </conditionalFormatting>
  <conditionalFormatting sqref="L21:M492">
    <cfRule type="expression" dxfId="27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5"/>
  <sheetViews>
    <sheetView topLeftCell="A10" workbookViewId="0">
      <selection activeCell="E15" sqref="E15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</cols>
  <sheetData>
    <row r="1" spans="1:3" x14ac:dyDescent="0.35">
      <c r="A1" t="s">
        <v>9</v>
      </c>
      <c r="B1" t="s">
        <v>10</v>
      </c>
      <c r="C1" t="s">
        <v>11</v>
      </c>
    </row>
    <row r="2" spans="1:3" x14ac:dyDescent="0.35">
      <c r="A2" t="s">
        <v>225</v>
      </c>
      <c r="B2" t="s">
        <v>226</v>
      </c>
      <c r="C2" s="20">
        <v>54.036999999999999</v>
      </c>
    </row>
    <row r="3" spans="1:3" x14ac:dyDescent="0.35">
      <c r="A3" t="s">
        <v>227</v>
      </c>
      <c r="B3" t="s">
        <v>226</v>
      </c>
      <c r="C3" s="20">
        <v>5.9649999999999999</v>
      </c>
    </row>
    <row r="4" spans="1:3" x14ac:dyDescent="0.35">
      <c r="A4" t="s">
        <v>228</v>
      </c>
      <c r="B4" t="s">
        <v>13</v>
      </c>
      <c r="C4" t="s">
        <v>418</v>
      </c>
    </row>
    <row r="5" spans="1:3" x14ac:dyDescent="0.35">
      <c r="A5" t="s">
        <v>229</v>
      </c>
      <c r="B5" t="s">
        <v>30</v>
      </c>
      <c r="C5" s="20">
        <v>10</v>
      </c>
    </row>
    <row r="6" spans="1:3" x14ac:dyDescent="0.35">
      <c r="A6" t="s">
        <v>230</v>
      </c>
      <c r="B6" t="s">
        <v>30</v>
      </c>
      <c r="C6" s="20">
        <v>2.0000000000000001E-4</v>
      </c>
    </row>
    <row r="7" spans="1:3" x14ac:dyDescent="0.35">
      <c r="A7" t="s">
        <v>231</v>
      </c>
      <c r="B7" t="s">
        <v>232</v>
      </c>
      <c r="C7" s="21">
        <v>10</v>
      </c>
    </row>
    <row r="8" spans="1:3" x14ac:dyDescent="0.35">
      <c r="A8" t="s">
        <v>233</v>
      </c>
      <c r="B8" t="s">
        <v>221</v>
      </c>
      <c r="C8" s="47"/>
    </row>
    <row r="9" spans="1:3" x14ac:dyDescent="0.35">
      <c r="A9" t="s">
        <v>234</v>
      </c>
      <c r="B9" t="s">
        <v>221</v>
      </c>
    </row>
    <row r="10" spans="1:3" x14ac:dyDescent="0.35">
      <c r="A10" t="s">
        <v>235</v>
      </c>
      <c r="B10" t="s">
        <v>221</v>
      </c>
      <c r="C10">
        <v>0.1</v>
      </c>
    </row>
    <row r="11" spans="1:3" x14ac:dyDescent="0.35">
      <c r="A11" t="s">
        <v>236</v>
      </c>
      <c r="B11" t="s">
        <v>221</v>
      </c>
      <c r="C11" s="20">
        <v>4</v>
      </c>
    </row>
    <row r="12" spans="1:3" x14ac:dyDescent="0.35">
      <c r="A12" t="s">
        <v>237</v>
      </c>
      <c r="B12" t="s">
        <v>13</v>
      </c>
      <c r="C12" s="20">
        <v>0.3</v>
      </c>
    </row>
    <row r="13" spans="1:3" x14ac:dyDescent="0.35">
      <c r="A13" t="s">
        <v>238</v>
      </c>
      <c r="B13" t="s">
        <v>232</v>
      </c>
      <c r="C13" s="54"/>
    </row>
    <row r="14" spans="1:3" x14ac:dyDescent="0.35">
      <c r="A14" t="s">
        <v>239</v>
      </c>
      <c r="B14" t="s">
        <v>221</v>
      </c>
      <c r="C14" s="23">
        <v>12</v>
      </c>
    </row>
    <row r="15" spans="1:3" x14ac:dyDescent="0.35">
      <c r="A15" t="s">
        <v>17</v>
      </c>
      <c r="B15" t="s">
        <v>13</v>
      </c>
      <c r="C15" s="16" t="b">
        <v>1</v>
      </c>
    </row>
    <row r="16" spans="1:3" x14ac:dyDescent="0.35">
      <c r="A16" t="s">
        <v>240</v>
      </c>
      <c r="B16" t="s">
        <v>13</v>
      </c>
      <c r="C16">
        <v>0</v>
      </c>
    </row>
    <row r="17" spans="1:3" x14ac:dyDescent="0.35">
      <c r="A17" t="s">
        <v>241</v>
      </c>
      <c r="B17" t="s">
        <v>13</v>
      </c>
      <c r="C17" s="60" t="s">
        <v>84</v>
      </c>
    </row>
    <row r="18" spans="1:3" x14ac:dyDescent="0.35">
      <c r="A18" t="s">
        <v>242</v>
      </c>
      <c r="B18" t="s">
        <v>13</v>
      </c>
      <c r="C18">
        <v>1</v>
      </c>
    </row>
    <row r="19" spans="1:3" x14ac:dyDescent="0.35">
      <c r="A19" t="s">
        <v>243</v>
      </c>
      <c r="B19" t="s">
        <v>13</v>
      </c>
      <c r="C19" t="s">
        <v>418</v>
      </c>
    </row>
    <row r="20" spans="1:3" x14ac:dyDescent="0.35">
      <c r="A20" t="s">
        <v>244</v>
      </c>
      <c r="B20" t="s">
        <v>13</v>
      </c>
    </row>
    <row r="21" spans="1:3" x14ac:dyDescent="0.35">
      <c r="A21" t="s">
        <v>415</v>
      </c>
      <c r="B21" t="s">
        <v>232</v>
      </c>
      <c r="C21">
        <v>1</v>
      </c>
    </row>
    <row r="22" spans="1:3" x14ac:dyDescent="0.35">
      <c r="A22" t="s">
        <v>416</v>
      </c>
      <c r="B22" t="s">
        <v>232</v>
      </c>
    </row>
    <row r="23" spans="1:3" x14ac:dyDescent="0.35">
      <c r="A23" t="s">
        <v>421</v>
      </c>
      <c r="B23" t="s">
        <v>13</v>
      </c>
      <c r="C23" t="s">
        <v>418</v>
      </c>
    </row>
    <row r="24" spans="1:3" x14ac:dyDescent="0.35">
      <c r="A24" t="s">
        <v>423</v>
      </c>
      <c r="B24" t="s">
        <v>13</v>
      </c>
    </row>
    <row r="25" spans="1:3" x14ac:dyDescent="0.35">
      <c r="A25" t="s">
        <v>424</v>
      </c>
      <c r="B25" t="s">
        <v>13</v>
      </c>
    </row>
  </sheetData>
  <phoneticPr fontId="3" type="noConversion"/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  <col min="4" max="34" width="4.7265625" customWidth="1"/>
    <col min="35" max="36" width="5.1796875" customWidth="1"/>
  </cols>
  <sheetData>
    <row r="1" spans="1:34" x14ac:dyDescent="0.35">
      <c r="A1" t="s">
        <v>9</v>
      </c>
      <c r="B1" t="s">
        <v>10</v>
      </c>
      <c r="C1" t="s">
        <v>11</v>
      </c>
    </row>
    <row r="2" spans="1:34" x14ac:dyDescent="0.35">
      <c r="A2" t="s">
        <v>245</v>
      </c>
      <c r="B2" t="s">
        <v>246</v>
      </c>
      <c r="C2" s="20">
        <v>2</v>
      </c>
    </row>
    <row r="3" spans="1:34" x14ac:dyDescent="0.35">
      <c r="A3" t="s">
        <v>247</v>
      </c>
      <c r="B3" t="s">
        <v>13</v>
      </c>
      <c r="C3" s="23">
        <v>2010</v>
      </c>
    </row>
    <row r="4" spans="1:34" x14ac:dyDescent="0.35">
      <c r="A4" t="s">
        <v>248</v>
      </c>
      <c r="B4" t="s">
        <v>13</v>
      </c>
      <c r="C4" s="23">
        <v>1</v>
      </c>
    </row>
    <row r="5" spans="1:34" x14ac:dyDescent="0.35">
      <c r="A5" t="s">
        <v>249</v>
      </c>
      <c r="B5" t="s">
        <v>13</v>
      </c>
      <c r="C5" s="23">
        <v>50</v>
      </c>
    </row>
    <row r="6" spans="1:34" x14ac:dyDescent="0.35">
      <c r="A6" t="s">
        <v>250</v>
      </c>
      <c r="B6" t="s">
        <v>13</v>
      </c>
      <c r="C6" s="23">
        <v>10</v>
      </c>
    </row>
    <row r="7" spans="1:34" x14ac:dyDescent="0.35">
      <c r="A7" t="s">
        <v>251</v>
      </c>
      <c r="B7" t="s">
        <v>13</v>
      </c>
      <c r="C7" s="23">
        <v>90</v>
      </c>
    </row>
    <row r="8" spans="1:34" x14ac:dyDescent="0.35">
      <c r="A8" t="s">
        <v>253</v>
      </c>
      <c r="B8" t="s">
        <v>13</v>
      </c>
      <c r="C8" s="23">
        <v>28</v>
      </c>
    </row>
    <row r="9" spans="1:34" x14ac:dyDescent="0.35">
      <c r="A9" t="s">
        <v>254</v>
      </c>
      <c r="B9" t="s">
        <v>246</v>
      </c>
      <c r="C9" s="23">
        <v>1</v>
      </c>
    </row>
    <row r="10" spans="1:34" x14ac:dyDescent="0.35">
      <c r="A10" t="s">
        <v>255</v>
      </c>
      <c r="B10" t="s">
        <v>246</v>
      </c>
      <c r="C10" s="23">
        <v>0</v>
      </c>
    </row>
    <row r="11" spans="1:34" x14ac:dyDescent="0.35">
      <c r="A11" t="s">
        <v>256</v>
      </c>
      <c r="B11" t="s">
        <v>13</v>
      </c>
      <c r="C11" s="21">
        <v>1.5</v>
      </c>
    </row>
    <row r="12" spans="1:34" x14ac:dyDescent="0.35">
      <c r="A12" t="s">
        <v>257</v>
      </c>
      <c r="B12" t="s">
        <v>258</v>
      </c>
      <c r="C12" s="23">
        <v>100</v>
      </c>
    </row>
    <row r="13" spans="1:34" x14ac:dyDescent="0.35">
      <c r="A13" s="47" t="s">
        <v>259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3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3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3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35">
      <c r="C18" t="s">
        <v>260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35">
      <c r="C19" t="s">
        <v>261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3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35">
      <c r="C21" t="s">
        <v>262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G13" sqref="G13"/>
    </sheetView>
  </sheetViews>
  <sheetFormatPr defaultRowHeight="14.5" x14ac:dyDescent="0.35"/>
  <cols>
    <col min="1" max="1" width="13.54296875" customWidth="1"/>
    <col min="10" max="10" width="10.26953125" customWidth="1"/>
    <col min="12" max="12" width="10.26953125" customWidth="1"/>
    <col min="13" max="13" width="10.7265625" customWidth="1"/>
  </cols>
  <sheetData>
    <row r="1" spans="1:13" x14ac:dyDescent="0.35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</row>
    <row r="2" spans="1:13" x14ac:dyDescent="0.3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35">
      <c r="A3">
        <v>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35">
      <c r="A4">
        <v>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P500"/>
  <sheetViews>
    <sheetView tabSelected="1" topLeftCell="B1" zoomScaleNormal="100" workbookViewId="0">
      <selection activeCell="J7" sqref="J7"/>
    </sheetView>
  </sheetViews>
  <sheetFormatPr defaultRowHeight="14.5" x14ac:dyDescent="0.35"/>
  <cols>
    <col min="1" max="1" width="11.54296875" bestFit="1" customWidth="1"/>
    <col min="2" max="3" width="26.54296875" style="17" customWidth="1"/>
    <col min="4" max="4" width="18.7265625" style="17" customWidth="1"/>
    <col min="5" max="5" width="25.7265625" style="17" customWidth="1"/>
    <col min="6" max="6" width="15.453125" bestFit="1" customWidth="1"/>
    <col min="7" max="7" width="11.7265625" style="17" bestFit="1" customWidth="1"/>
    <col min="8" max="10" width="20.453125" customWidth="1"/>
    <col min="11" max="11" width="12.7265625" customWidth="1"/>
    <col min="12" max="12" width="13.54296875" style="17" customWidth="1"/>
    <col min="13" max="13" width="9" bestFit="1" customWidth="1"/>
    <col min="14" max="14" width="17.54296875" bestFit="1" customWidth="1"/>
    <col min="15" max="15" width="14.81640625" bestFit="1" customWidth="1"/>
  </cols>
  <sheetData>
    <row r="1" spans="1:16" ht="29" x14ac:dyDescent="0.35">
      <c r="A1" t="s">
        <v>54</v>
      </c>
      <c r="B1" s="17" t="s">
        <v>123</v>
      </c>
      <c r="C1" s="17" t="s">
        <v>276</v>
      </c>
      <c r="D1" s="17" t="s">
        <v>277</v>
      </c>
      <c r="E1" s="17" t="s">
        <v>278</v>
      </c>
      <c r="F1" s="17" t="s">
        <v>279</v>
      </c>
      <c r="G1" s="17" t="s">
        <v>280</v>
      </c>
      <c r="H1" t="s">
        <v>281</v>
      </c>
      <c r="I1" s="17" t="s">
        <v>422</v>
      </c>
      <c r="J1" s="77" t="s">
        <v>414</v>
      </c>
      <c r="K1" s="17" t="s">
        <v>282</v>
      </c>
      <c r="L1" s="17" t="s">
        <v>146</v>
      </c>
      <c r="M1" s="17" t="s">
        <v>283</v>
      </c>
      <c r="N1" s="17" t="s">
        <v>284</v>
      </c>
      <c r="O1" s="47" t="s">
        <v>285</v>
      </c>
      <c r="P1" s="55" t="s">
        <v>286</v>
      </c>
    </row>
    <row r="2" spans="1:16" x14ac:dyDescent="0.35">
      <c r="A2" t="s">
        <v>13</v>
      </c>
      <c r="B2" s="17" t="s">
        <v>13</v>
      </c>
      <c r="C2" s="17" t="s">
        <v>13</v>
      </c>
      <c r="D2" s="17" t="s">
        <v>287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13</v>
      </c>
      <c r="J2" s="78" t="s">
        <v>13</v>
      </c>
      <c r="K2" s="17" t="s">
        <v>221</v>
      </c>
      <c r="L2" s="17" t="s">
        <v>78</v>
      </c>
      <c r="M2" s="17" t="s">
        <v>13</v>
      </c>
      <c r="N2" s="17" t="s">
        <v>13</v>
      </c>
      <c r="O2" s="48" t="s">
        <v>258</v>
      </c>
      <c r="P2" s="17" t="s">
        <v>13</v>
      </c>
    </row>
    <row r="3" spans="1:16" x14ac:dyDescent="0.35">
      <c r="A3" s="60" t="s">
        <v>394</v>
      </c>
      <c r="B3" s="59" t="s">
        <v>398</v>
      </c>
      <c r="C3" s="59">
        <v>5</v>
      </c>
      <c r="D3" s="75">
        <v>0.3</v>
      </c>
      <c r="E3" s="19" t="s">
        <v>391</v>
      </c>
      <c r="F3" s="60" t="s">
        <v>288</v>
      </c>
      <c r="G3" s="59" t="s">
        <v>341</v>
      </c>
      <c r="H3" s="76">
        <v>7</v>
      </c>
      <c r="I3" s="76">
        <v>3</v>
      </c>
      <c r="J3" s="76"/>
      <c r="K3" s="76">
        <v>0</v>
      </c>
      <c r="L3" s="59">
        <v>1200</v>
      </c>
      <c r="M3" s="60" t="b">
        <v>0</v>
      </c>
      <c r="N3" s="60" t="b">
        <v>0</v>
      </c>
      <c r="O3" s="60">
        <v>100</v>
      </c>
    </row>
    <row r="4" spans="1:16" x14ac:dyDescent="0.35">
      <c r="A4" s="60" t="s">
        <v>395</v>
      </c>
      <c r="B4" s="59" t="s">
        <v>399</v>
      </c>
      <c r="C4" s="59">
        <v>5</v>
      </c>
      <c r="D4" s="75">
        <v>0.127</v>
      </c>
      <c r="E4" s="65" t="s">
        <v>390</v>
      </c>
      <c r="F4" s="60" t="s">
        <v>288</v>
      </c>
      <c r="G4" s="59" t="s">
        <v>341</v>
      </c>
      <c r="H4" s="76"/>
      <c r="I4" s="76"/>
      <c r="J4" s="76"/>
      <c r="K4" s="76">
        <v>0</v>
      </c>
      <c r="L4" s="59">
        <v>1200</v>
      </c>
      <c r="M4" s="60" t="b">
        <v>0</v>
      </c>
      <c r="N4" s="60" t="b">
        <v>0</v>
      </c>
      <c r="O4" s="60">
        <v>100</v>
      </c>
    </row>
    <row r="5" spans="1:16" x14ac:dyDescent="0.35">
      <c r="A5" s="60" t="s">
        <v>396</v>
      </c>
      <c r="B5" s="59" t="s">
        <v>400</v>
      </c>
      <c r="C5" s="59">
        <v>5</v>
      </c>
      <c r="D5" s="75">
        <v>0.223</v>
      </c>
      <c r="E5" s="65" t="s">
        <v>390</v>
      </c>
      <c r="F5" s="60" t="s">
        <v>288</v>
      </c>
      <c r="G5" s="59" t="s">
        <v>343</v>
      </c>
      <c r="H5" s="76"/>
      <c r="I5" s="76"/>
      <c r="J5" s="76"/>
      <c r="K5" s="76">
        <v>168</v>
      </c>
      <c r="L5" s="59">
        <v>10000</v>
      </c>
      <c r="M5" s="60" t="b">
        <v>0</v>
      </c>
      <c r="N5" s="60" t="b">
        <v>1</v>
      </c>
      <c r="O5" s="60">
        <v>100</v>
      </c>
    </row>
    <row r="6" spans="1:16" x14ac:dyDescent="0.35">
      <c r="A6" s="60" t="s">
        <v>397</v>
      </c>
      <c r="B6" s="59" t="s">
        <v>401</v>
      </c>
      <c r="C6" s="59">
        <v>5</v>
      </c>
      <c r="D6" s="75">
        <v>0.1</v>
      </c>
      <c r="E6" s="65" t="s">
        <v>390</v>
      </c>
      <c r="F6" s="60" t="s">
        <v>288</v>
      </c>
      <c r="G6" s="59" t="s">
        <v>345</v>
      </c>
      <c r="H6" s="76"/>
      <c r="I6" s="76"/>
      <c r="J6" s="76"/>
      <c r="K6" s="76">
        <v>168</v>
      </c>
      <c r="L6" s="24">
        <v>10000</v>
      </c>
      <c r="M6" s="60" t="b">
        <v>0</v>
      </c>
      <c r="N6" s="60" t="b">
        <v>1</v>
      </c>
      <c r="O6" s="60">
        <v>100</v>
      </c>
    </row>
    <row r="7" spans="1:16" x14ac:dyDescent="0.35">
      <c r="A7" s="60" t="s">
        <v>404</v>
      </c>
      <c r="B7" s="59" t="s">
        <v>405</v>
      </c>
      <c r="C7" s="59">
        <v>5</v>
      </c>
      <c r="D7" s="75">
        <v>0.1</v>
      </c>
      <c r="E7" s="65" t="s">
        <v>390</v>
      </c>
      <c r="F7" s="60" t="s">
        <v>288</v>
      </c>
      <c r="G7" s="59" t="s">
        <v>403</v>
      </c>
      <c r="H7" s="76"/>
      <c r="I7" s="76"/>
      <c r="J7" s="76"/>
      <c r="K7" s="76">
        <v>168</v>
      </c>
      <c r="L7" s="24">
        <v>7000</v>
      </c>
      <c r="M7" s="60" t="b">
        <v>0</v>
      </c>
      <c r="N7" s="60" t="b">
        <v>1</v>
      </c>
      <c r="O7" s="60">
        <v>100</v>
      </c>
    </row>
    <row r="8" spans="1:16" x14ac:dyDescent="0.35">
      <c r="C8" s="18"/>
      <c r="D8" s="18"/>
      <c r="E8" s="19"/>
      <c r="G8" s="20"/>
      <c r="H8" s="20"/>
      <c r="I8" s="20"/>
      <c r="J8" s="20"/>
      <c r="K8" s="23"/>
      <c r="L8" s="24"/>
      <c r="M8" s="30"/>
      <c r="N8" s="30"/>
      <c r="P8" s="30"/>
    </row>
    <row r="9" spans="1:16" x14ac:dyDescent="0.35">
      <c r="C9" s="18"/>
      <c r="D9" s="18"/>
      <c r="E9" s="19"/>
      <c r="G9" s="20"/>
      <c r="H9" s="20"/>
      <c r="I9" s="20"/>
      <c r="J9" s="20"/>
      <c r="K9" s="23"/>
      <c r="L9" s="24"/>
      <c r="M9" s="30"/>
      <c r="N9" s="30"/>
      <c r="P9" s="30"/>
    </row>
    <row r="10" spans="1:16" x14ac:dyDescent="0.35">
      <c r="C10" s="18"/>
      <c r="D10" s="18"/>
      <c r="E10" s="19"/>
      <c r="G10" s="20"/>
      <c r="H10" s="20"/>
      <c r="I10" s="20"/>
      <c r="J10" s="20"/>
      <c r="K10" s="23"/>
      <c r="L10" s="24"/>
      <c r="M10" s="30"/>
      <c r="N10" s="30"/>
      <c r="P10" s="30"/>
    </row>
    <row r="11" spans="1:16" x14ac:dyDescent="0.35">
      <c r="C11" s="18"/>
      <c r="D11" s="18"/>
      <c r="E11" s="19"/>
      <c r="G11" s="20"/>
      <c r="H11" s="20"/>
      <c r="I11" s="20"/>
      <c r="J11" s="20"/>
      <c r="K11" s="23"/>
      <c r="L11" s="24"/>
      <c r="M11" s="30"/>
      <c r="N11" s="30"/>
      <c r="P11" s="30"/>
    </row>
    <row r="12" spans="1:16" x14ac:dyDescent="0.35">
      <c r="C12" s="18"/>
      <c r="D12" s="18"/>
      <c r="E12" s="19"/>
      <c r="G12" s="20"/>
      <c r="H12" s="20"/>
      <c r="I12" s="20"/>
      <c r="J12" s="20"/>
      <c r="K12" s="23"/>
      <c r="L12" s="24"/>
      <c r="M12" s="30"/>
      <c r="N12" s="30"/>
      <c r="P12" s="30"/>
    </row>
    <row r="13" spans="1:16" x14ac:dyDescent="0.35">
      <c r="C13" s="18"/>
      <c r="D13" s="18"/>
      <c r="E13" s="19"/>
      <c r="G13" s="20"/>
      <c r="H13" s="20"/>
      <c r="I13" s="20"/>
      <c r="J13" s="20"/>
      <c r="K13" s="23"/>
      <c r="L13" s="24"/>
      <c r="M13" s="30"/>
      <c r="N13" s="30"/>
      <c r="P13" s="30"/>
    </row>
    <row r="14" spans="1:16" x14ac:dyDescent="0.35">
      <c r="C14" s="18"/>
      <c r="D14" s="18"/>
      <c r="E14" s="19"/>
      <c r="G14" s="19"/>
      <c r="H14" s="20"/>
      <c r="I14" s="20"/>
      <c r="J14" s="20"/>
      <c r="K14" s="23"/>
      <c r="L14" s="24"/>
      <c r="M14" s="30"/>
      <c r="N14" s="30"/>
      <c r="P14" s="30"/>
    </row>
    <row r="15" spans="1:16" x14ac:dyDescent="0.35">
      <c r="C15" s="18"/>
      <c r="D15" s="18"/>
      <c r="E15" s="19"/>
      <c r="G15" s="19"/>
      <c r="H15" s="20"/>
      <c r="I15" s="20"/>
      <c r="J15" s="20"/>
      <c r="K15" s="23"/>
      <c r="L15" s="24"/>
      <c r="M15" s="30"/>
      <c r="N15" s="30"/>
      <c r="P15" s="30"/>
    </row>
    <row r="16" spans="1:16" x14ac:dyDescent="0.35">
      <c r="C16" s="18"/>
      <c r="D16" s="18"/>
      <c r="E16" s="19"/>
      <c r="G16" s="19"/>
      <c r="H16" s="20"/>
      <c r="I16" s="20"/>
      <c r="J16" s="20"/>
      <c r="K16" s="23"/>
      <c r="L16" s="24"/>
      <c r="M16" s="30"/>
      <c r="N16" s="30"/>
      <c r="P16" s="30"/>
    </row>
    <row r="17" spans="3:16" x14ac:dyDescent="0.35">
      <c r="C17" s="18"/>
      <c r="D17" s="18"/>
      <c r="E17" s="19"/>
      <c r="G17" s="19"/>
      <c r="H17" s="20"/>
      <c r="I17" s="20"/>
      <c r="J17" s="20"/>
      <c r="K17" s="23"/>
      <c r="L17" s="24"/>
      <c r="M17" s="30"/>
      <c r="N17" s="30"/>
      <c r="P17" s="30"/>
    </row>
    <row r="18" spans="3:16" x14ac:dyDescent="0.35">
      <c r="C18" s="18"/>
      <c r="D18" s="18"/>
      <c r="E18" s="19"/>
      <c r="G18" s="19"/>
      <c r="H18" s="20"/>
      <c r="I18" s="20"/>
      <c r="J18" s="20"/>
      <c r="K18" s="23"/>
      <c r="L18" s="24"/>
      <c r="M18" s="30"/>
      <c r="N18" s="30"/>
      <c r="P18" s="30"/>
    </row>
    <row r="19" spans="3:16" x14ac:dyDescent="0.35">
      <c r="C19" s="18"/>
      <c r="D19" s="18"/>
      <c r="E19" s="19"/>
      <c r="G19" s="19"/>
      <c r="H19" s="20"/>
      <c r="I19" s="20"/>
      <c r="J19" s="20"/>
      <c r="K19" s="23"/>
      <c r="L19" s="24"/>
      <c r="M19" s="30"/>
      <c r="N19" s="30"/>
      <c r="P19" s="30"/>
    </row>
    <row r="20" spans="3:16" x14ac:dyDescent="0.35">
      <c r="C20" s="18"/>
      <c r="D20" s="18"/>
      <c r="E20" s="19"/>
      <c r="G20" s="19"/>
      <c r="H20" s="20"/>
      <c r="I20" s="20"/>
      <c r="J20" s="20"/>
      <c r="K20" s="23"/>
      <c r="L20" s="24"/>
      <c r="M20" s="30"/>
      <c r="N20" s="30"/>
      <c r="P20" s="30"/>
    </row>
    <row r="21" spans="3:16" x14ac:dyDescent="0.35">
      <c r="C21" s="18"/>
      <c r="D21" s="18"/>
      <c r="E21" s="19"/>
      <c r="G21" s="19"/>
      <c r="H21" s="20"/>
      <c r="I21" s="20"/>
      <c r="J21" s="20"/>
      <c r="K21" s="23"/>
      <c r="L21" s="24"/>
      <c r="M21" s="30"/>
      <c r="N21" s="30"/>
      <c r="P21" s="30"/>
    </row>
    <row r="22" spans="3:16" x14ac:dyDescent="0.35">
      <c r="C22" s="18"/>
      <c r="D22" s="18"/>
      <c r="E22" s="19"/>
      <c r="G22" s="19"/>
      <c r="H22" s="20"/>
      <c r="I22" s="20"/>
      <c r="J22" s="20"/>
      <c r="K22" s="23"/>
      <c r="L22" s="24"/>
      <c r="M22" s="30"/>
      <c r="N22" s="30"/>
      <c r="P22" s="30"/>
    </row>
    <row r="23" spans="3:16" x14ac:dyDescent="0.35">
      <c r="C23" s="18"/>
      <c r="D23" s="18"/>
      <c r="E23" s="19"/>
      <c r="G23" s="19"/>
      <c r="H23" s="20"/>
      <c r="I23" s="20"/>
      <c r="J23" s="20"/>
      <c r="K23" s="23"/>
      <c r="L23" s="24"/>
      <c r="M23" s="30"/>
      <c r="N23" s="30"/>
      <c r="P23" s="30"/>
    </row>
    <row r="24" spans="3:16" x14ac:dyDescent="0.35">
      <c r="C24" s="18"/>
      <c r="D24" s="18"/>
      <c r="E24" s="19"/>
      <c r="G24" s="19"/>
      <c r="H24" s="20"/>
      <c r="I24" s="20"/>
      <c r="J24" s="20"/>
      <c r="K24" s="23"/>
      <c r="L24" s="24"/>
      <c r="M24" s="30"/>
      <c r="N24" s="30"/>
      <c r="P24" s="30"/>
    </row>
    <row r="25" spans="3:16" x14ac:dyDescent="0.35">
      <c r="C25" s="18"/>
      <c r="D25" s="18"/>
      <c r="E25" s="19"/>
      <c r="G25" s="19"/>
      <c r="H25" s="20"/>
      <c r="I25" s="20"/>
      <c r="J25" s="20"/>
      <c r="K25" s="23"/>
      <c r="L25" s="24"/>
      <c r="M25" s="30"/>
      <c r="N25" s="30"/>
      <c r="P25" s="30"/>
    </row>
    <row r="26" spans="3:16" x14ac:dyDescent="0.35">
      <c r="C26" s="18"/>
      <c r="D26" s="18"/>
      <c r="E26" s="19"/>
      <c r="G26" s="19"/>
      <c r="H26" s="20"/>
      <c r="I26" s="20"/>
      <c r="J26" s="20"/>
      <c r="K26" s="23"/>
      <c r="L26" s="24"/>
      <c r="M26" s="30"/>
      <c r="N26" s="30"/>
      <c r="P26" s="30"/>
    </row>
    <row r="27" spans="3:16" x14ac:dyDescent="0.35">
      <c r="C27" s="18"/>
      <c r="D27" s="18"/>
      <c r="E27" s="19"/>
      <c r="G27" s="19"/>
      <c r="H27" s="20"/>
      <c r="I27" s="20"/>
      <c r="J27" s="20"/>
      <c r="K27" s="23"/>
      <c r="L27" s="24"/>
      <c r="M27" s="30"/>
      <c r="N27" s="30"/>
      <c r="P27" s="30"/>
    </row>
    <row r="28" spans="3:16" x14ac:dyDescent="0.35">
      <c r="C28" s="18"/>
      <c r="D28" s="18"/>
      <c r="E28" s="19"/>
      <c r="G28" s="19"/>
      <c r="H28" s="20"/>
      <c r="I28" s="20"/>
      <c r="J28" s="20"/>
      <c r="K28" s="23"/>
      <c r="L28" s="24"/>
      <c r="M28" s="30"/>
      <c r="N28" s="30"/>
      <c r="P28" s="30"/>
    </row>
    <row r="29" spans="3:16" x14ac:dyDescent="0.35">
      <c r="C29" s="18"/>
      <c r="D29" s="18"/>
      <c r="E29" s="19"/>
      <c r="G29" s="19"/>
      <c r="H29" s="20"/>
      <c r="I29" s="20"/>
      <c r="J29" s="20"/>
      <c r="K29" s="23"/>
      <c r="L29" s="24"/>
      <c r="M29" s="30"/>
      <c r="N29" s="30"/>
      <c r="P29" s="30"/>
    </row>
    <row r="30" spans="3:16" x14ac:dyDescent="0.35">
      <c r="C30" s="18"/>
      <c r="D30" s="18"/>
      <c r="E30" s="19"/>
      <c r="G30" s="19"/>
      <c r="H30" s="20"/>
      <c r="I30" s="20"/>
      <c r="J30" s="20"/>
      <c r="K30" s="23"/>
      <c r="L30" s="24"/>
      <c r="M30" s="30"/>
      <c r="N30" s="30"/>
      <c r="P30" s="30"/>
    </row>
    <row r="31" spans="3:16" x14ac:dyDescent="0.35">
      <c r="D31" s="18"/>
      <c r="E31" s="19"/>
      <c r="G31" s="19"/>
      <c r="H31" s="20"/>
      <c r="I31" s="20"/>
      <c r="J31" s="20"/>
      <c r="K31" s="23"/>
      <c r="L31" s="24"/>
      <c r="M31" s="30"/>
      <c r="N31" s="30"/>
      <c r="P31" s="30"/>
    </row>
    <row r="32" spans="3:16" x14ac:dyDescent="0.35">
      <c r="D32" s="18"/>
      <c r="E32" s="19"/>
      <c r="G32" s="19"/>
      <c r="H32" s="20"/>
      <c r="I32" s="20"/>
      <c r="J32" s="20"/>
      <c r="K32" s="23"/>
      <c r="L32" s="24"/>
      <c r="M32" s="30"/>
      <c r="N32" s="30"/>
      <c r="P32" s="30"/>
    </row>
    <row r="33" spans="4:16" x14ac:dyDescent="0.35">
      <c r="D33" s="18"/>
      <c r="E33" s="19"/>
      <c r="G33" s="19"/>
      <c r="H33" s="20"/>
      <c r="I33" s="20"/>
      <c r="J33" s="20"/>
      <c r="K33" s="23"/>
      <c r="L33" s="24"/>
      <c r="M33" s="30"/>
      <c r="N33" s="30"/>
      <c r="P33" s="30"/>
    </row>
    <row r="34" spans="4:16" x14ac:dyDescent="0.35">
      <c r="D34" s="18"/>
      <c r="E34" s="19"/>
      <c r="G34" s="19"/>
      <c r="H34" s="20"/>
      <c r="I34" s="20"/>
      <c r="J34" s="20"/>
      <c r="K34" s="23"/>
      <c r="L34" s="24"/>
      <c r="M34" s="30"/>
      <c r="N34" s="30"/>
      <c r="P34" s="30"/>
    </row>
    <row r="35" spans="4:16" x14ac:dyDescent="0.35">
      <c r="D35" s="18"/>
      <c r="E35" s="19"/>
      <c r="G35" s="19"/>
      <c r="H35" s="20"/>
      <c r="I35" s="20"/>
      <c r="J35" s="20"/>
      <c r="K35" s="23"/>
      <c r="L35" s="24"/>
      <c r="M35" s="30"/>
      <c r="N35" s="30"/>
      <c r="P35" s="30"/>
    </row>
    <row r="36" spans="4:16" x14ac:dyDescent="0.35">
      <c r="D36" s="18"/>
      <c r="E36" s="19"/>
      <c r="G36" s="19"/>
      <c r="H36" s="20"/>
      <c r="I36" s="20"/>
      <c r="J36" s="20"/>
      <c r="K36" s="23"/>
      <c r="L36" s="24"/>
      <c r="M36" s="30"/>
      <c r="N36" s="30"/>
      <c r="P36" s="30"/>
    </row>
    <row r="37" spans="4:16" x14ac:dyDescent="0.35">
      <c r="D37" s="18"/>
      <c r="G37" s="19"/>
      <c r="H37" s="20"/>
      <c r="I37" s="20"/>
      <c r="J37" s="20"/>
      <c r="K37" s="23"/>
      <c r="L37" s="24"/>
      <c r="M37" s="30"/>
      <c r="N37" s="30"/>
      <c r="P37" s="30"/>
    </row>
    <row r="38" spans="4:16" x14ac:dyDescent="0.35">
      <c r="D38" s="18"/>
      <c r="G38" s="19"/>
      <c r="H38" s="20"/>
      <c r="I38" s="20"/>
      <c r="J38" s="20"/>
      <c r="K38" s="23"/>
      <c r="L38" s="24"/>
      <c r="M38" s="30"/>
      <c r="N38" s="30"/>
      <c r="P38" s="30"/>
    </row>
    <row r="39" spans="4:16" x14ac:dyDescent="0.35">
      <c r="D39" s="18"/>
      <c r="H39" s="20"/>
      <c r="I39" s="20"/>
      <c r="J39" s="20"/>
      <c r="K39" s="23"/>
      <c r="L39" s="24"/>
      <c r="M39" s="30"/>
      <c r="N39" s="30"/>
      <c r="P39" s="30"/>
    </row>
    <row r="40" spans="4:16" x14ac:dyDescent="0.35">
      <c r="D40" s="18"/>
      <c r="H40" s="20"/>
      <c r="I40" s="20"/>
      <c r="J40" s="20"/>
      <c r="K40" s="23"/>
      <c r="L40" s="24"/>
      <c r="M40" s="30"/>
      <c r="N40" s="30"/>
      <c r="P40" s="30"/>
    </row>
    <row r="41" spans="4:16" x14ac:dyDescent="0.35">
      <c r="D41" s="18"/>
      <c r="H41" s="20"/>
      <c r="I41" s="20"/>
      <c r="J41" s="20"/>
      <c r="K41" s="23"/>
      <c r="L41" s="24"/>
      <c r="M41" s="30"/>
      <c r="N41" s="30"/>
      <c r="P41" s="30"/>
    </row>
    <row r="42" spans="4:16" x14ac:dyDescent="0.35">
      <c r="D42" s="18"/>
      <c r="H42" s="20"/>
      <c r="I42" s="20"/>
      <c r="J42" s="20"/>
      <c r="K42" s="23"/>
      <c r="L42" s="24"/>
      <c r="M42" s="30"/>
      <c r="N42" s="30"/>
      <c r="P42" s="30"/>
    </row>
    <row r="43" spans="4:16" x14ac:dyDescent="0.35">
      <c r="D43" s="18"/>
      <c r="H43" s="20"/>
      <c r="I43" s="20"/>
      <c r="J43" s="20"/>
      <c r="K43" s="23"/>
      <c r="L43" s="24"/>
      <c r="M43" s="30"/>
      <c r="N43" s="30"/>
      <c r="P43" s="30"/>
    </row>
    <row r="44" spans="4:16" x14ac:dyDescent="0.35">
      <c r="D44" s="18"/>
      <c r="H44" s="20"/>
      <c r="I44" s="20"/>
      <c r="J44" s="20"/>
      <c r="K44" s="23"/>
      <c r="L44" s="24"/>
      <c r="M44" s="30"/>
      <c r="N44" s="30"/>
      <c r="P44" s="30"/>
    </row>
    <row r="45" spans="4:16" x14ac:dyDescent="0.35">
      <c r="D45" s="18"/>
      <c r="H45" s="20"/>
      <c r="I45" s="20"/>
      <c r="J45" s="20"/>
      <c r="K45" s="23"/>
      <c r="L45" s="24"/>
      <c r="M45" s="30"/>
      <c r="N45" s="30"/>
      <c r="P45" s="30"/>
    </row>
    <row r="46" spans="4:16" x14ac:dyDescent="0.35">
      <c r="D46" s="18"/>
      <c r="H46" s="20"/>
      <c r="I46" s="20"/>
      <c r="J46" s="20"/>
      <c r="K46" s="23"/>
      <c r="L46" s="24"/>
      <c r="M46" s="30"/>
      <c r="N46" s="30"/>
      <c r="P46" s="30"/>
    </row>
    <row r="47" spans="4:16" x14ac:dyDescent="0.35">
      <c r="D47" s="18"/>
      <c r="H47" s="20"/>
      <c r="I47" s="20"/>
      <c r="J47" s="20"/>
      <c r="K47" s="23"/>
      <c r="L47" s="24"/>
      <c r="M47" s="30"/>
      <c r="N47" s="30"/>
      <c r="P47" s="30"/>
    </row>
    <row r="48" spans="4:16" x14ac:dyDescent="0.35">
      <c r="D48" s="18"/>
      <c r="H48" s="20"/>
      <c r="I48" s="20"/>
      <c r="J48" s="20"/>
      <c r="K48" s="23"/>
      <c r="L48" s="24"/>
      <c r="M48" s="30"/>
      <c r="N48" s="30"/>
      <c r="P48" s="30"/>
    </row>
    <row r="49" spans="4:16" x14ac:dyDescent="0.35">
      <c r="D49" s="18"/>
      <c r="H49" s="20"/>
      <c r="I49" s="20"/>
      <c r="J49" s="20"/>
      <c r="K49" s="23"/>
      <c r="L49" s="24"/>
      <c r="M49" s="30"/>
      <c r="N49" s="30"/>
      <c r="P49" s="30"/>
    </row>
    <row r="50" spans="4:16" x14ac:dyDescent="0.35">
      <c r="D50" s="18"/>
      <c r="H50" s="20"/>
      <c r="I50" s="20"/>
      <c r="J50" s="20"/>
      <c r="K50" s="23"/>
      <c r="L50" s="24"/>
      <c r="M50" s="30"/>
      <c r="N50" s="30"/>
      <c r="P50" s="30"/>
    </row>
    <row r="51" spans="4:16" x14ac:dyDescent="0.35">
      <c r="D51" s="18"/>
      <c r="H51" s="20"/>
      <c r="I51" s="20"/>
      <c r="J51" s="20"/>
      <c r="K51" s="23"/>
      <c r="L51" s="24"/>
      <c r="M51" s="30"/>
      <c r="N51" s="30"/>
      <c r="P51" s="30"/>
    </row>
    <row r="52" spans="4:16" x14ac:dyDescent="0.35">
      <c r="D52" s="18"/>
      <c r="H52" s="20"/>
      <c r="I52" s="20"/>
      <c r="J52" s="20"/>
      <c r="K52" s="23"/>
      <c r="L52" s="24"/>
      <c r="M52" s="30"/>
      <c r="N52" s="30"/>
      <c r="P52" s="30"/>
    </row>
    <row r="53" spans="4:16" x14ac:dyDescent="0.35">
      <c r="D53" s="18"/>
      <c r="H53" s="20"/>
      <c r="I53" s="20"/>
      <c r="J53" s="20"/>
      <c r="K53" s="23"/>
      <c r="L53" s="24"/>
      <c r="M53" s="30"/>
      <c r="N53" s="30"/>
      <c r="P53" s="30"/>
    </row>
    <row r="54" spans="4:16" x14ac:dyDescent="0.35">
      <c r="D54" s="18"/>
      <c r="H54" s="20"/>
      <c r="I54" s="20"/>
      <c r="J54" s="20"/>
      <c r="K54" s="23"/>
      <c r="L54" s="24"/>
      <c r="M54" s="30"/>
      <c r="N54" s="30"/>
      <c r="P54" s="30"/>
    </row>
    <row r="55" spans="4:16" x14ac:dyDescent="0.35">
      <c r="D55" s="18"/>
      <c r="H55" s="20"/>
      <c r="I55" s="20"/>
      <c r="J55" s="20"/>
      <c r="K55" s="23"/>
      <c r="L55" s="24"/>
      <c r="M55" s="30"/>
      <c r="N55" s="30"/>
      <c r="P55" s="30"/>
    </row>
    <row r="56" spans="4:16" x14ac:dyDescent="0.35">
      <c r="D56" s="18"/>
      <c r="H56" s="20"/>
      <c r="I56" s="20"/>
      <c r="J56" s="20"/>
      <c r="K56" s="23"/>
      <c r="L56" s="24"/>
      <c r="M56" s="30"/>
      <c r="N56" s="30"/>
      <c r="P56" s="30"/>
    </row>
    <row r="57" spans="4:16" x14ac:dyDescent="0.35">
      <c r="D57" s="18"/>
      <c r="H57" s="20"/>
      <c r="I57" s="20"/>
      <c r="J57" s="20"/>
      <c r="K57" s="23"/>
      <c r="L57" s="24"/>
      <c r="M57" s="30"/>
      <c r="N57" s="30"/>
      <c r="P57" s="30"/>
    </row>
    <row r="58" spans="4:16" x14ac:dyDescent="0.35">
      <c r="D58" s="18"/>
      <c r="H58" s="20"/>
      <c r="I58" s="20"/>
      <c r="J58" s="20"/>
      <c r="K58" s="23"/>
      <c r="L58" s="24"/>
      <c r="M58" s="30"/>
      <c r="N58" s="30"/>
      <c r="P58" s="30"/>
    </row>
    <row r="59" spans="4:16" x14ac:dyDescent="0.35">
      <c r="D59" s="18"/>
      <c r="H59" s="20"/>
      <c r="I59" s="20"/>
      <c r="J59" s="20"/>
      <c r="K59" s="23"/>
      <c r="L59" s="24"/>
      <c r="M59" s="30"/>
      <c r="N59" s="30"/>
      <c r="P59" s="30"/>
    </row>
    <row r="60" spans="4:16" x14ac:dyDescent="0.35">
      <c r="D60" s="18"/>
      <c r="H60" s="20"/>
      <c r="I60" s="20"/>
      <c r="J60" s="20"/>
      <c r="K60" s="23"/>
      <c r="L60" s="24"/>
      <c r="M60" s="30"/>
      <c r="N60" s="30"/>
      <c r="P60" s="30"/>
    </row>
    <row r="61" spans="4:16" x14ac:dyDescent="0.35">
      <c r="D61" s="18"/>
      <c r="H61" s="20"/>
      <c r="I61" s="20"/>
      <c r="J61" s="20"/>
      <c r="K61" s="23"/>
      <c r="L61" s="24"/>
      <c r="M61" s="30"/>
      <c r="N61" s="30"/>
      <c r="P61" s="30"/>
    </row>
    <row r="62" spans="4:16" x14ac:dyDescent="0.35">
      <c r="D62" s="18"/>
      <c r="H62" s="20"/>
      <c r="I62" s="20"/>
      <c r="J62" s="20"/>
      <c r="K62" s="23"/>
      <c r="L62" s="24"/>
      <c r="M62" s="30"/>
      <c r="N62" s="30"/>
      <c r="P62" s="30"/>
    </row>
    <row r="63" spans="4:16" x14ac:dyDescent="0.35">
      <c r="D63" s="18"/>
      <c r="K63" s="23"/>
      <c r="L63" s="24"/>
      <c r="M63" s="30"/>
      <c r="N63" s="30"/>
      <c r="P63" s="30"/>
    </row>
    <row r="64" spans="4:16" x14ac:dyDescent="0.35">
      <c r="D64" s="18"/>
      <c r="K64" s="23"/>
      <c r="L64" s="24"/>
      <c r="M64" s="30"/>
      <c r="N64" s="30"/>
      <c r="P64" s="30"/>
    </row>
    <row r="65" spans="4:16" x14ac:dyDescent="0.35">
      <c r="D65" s="18"/>
      <c r="K65" s="23"/>
      <c r="L65" s="24"/>
      <c r="M65" s="30"/>
      <c r="N65" s="30"/>
      <c r="P65" s="30"/>
    </row>
    <row r="66" spans="4:16" x14ac:dyDescent="0.35">
      <c r="D66" s="18"/>
      <c r="K66" s="23"/>
      <c r="L66" s="24"/>
      <c r="M66" s="30"/>
      <c r="N66" s="30"/>
      <c r="P66" s="30"/>
    </row>
    <row r="67" spans="4:16" x14ac:dyDescent="0.35">
      <c r="D67" s="18"/>
      <c r="K67" s="23"/>
      <c r="L67" s="24"/>
      <c r="M67" s="30"/>
      <c r="N67" s="30"/>
      <c r="P67" s="30"/>
    </row>
    <row r="68" spans="4:16" x14ac:dyDescent="0.35">
      <c r="D68" s="18"/>
      <c r="K68" s="23"/>
      <c r="L68" s="24"/>
      <c r="M68" s="30"/>
      <c r="N68" s="30"/>
      <c r="P68" s="30"/>
    </row>
    <row r="69" spans="4:16" x14ac:dyDescent="0.35">
      <c r="D69" s="18"/>
      <c r="K69" s="23"/>
      <c r="L69" s="24"/>
      <c r="M69" s="30"/>
      <c r="N69" s="30"/>
      <c r="P69" s="30"/>
    </row>
    <row r="70" spans="4:16" x14ac:dyDescent="0.35">
      <c r="D70" s="18"/>
      <c r="K70" s="23"/>
      <c r="L70" s="24"/>
      <c r="M70" s="30"/>
      <c r="N70" s="30"/>
      <c r="P70" s="30"/>
    </row>
    <row r="71" spans="4:16" x14ac:dyDescent="0.35">
      <c r="D71" s="18"/>
      <c r="K71" s="23"/>
      <c r="L71" s="24"/>
      <c r="M71" s="30"/>
      <c r="N71" s="30"/>
      <c r="P71" s="30"/>
    </row>
    <row r="72" spans="4:16" x14ac:dyDescent="0.35">
      <c r="D72" s="18"/>
      <c r="K72" s="23"/>
      <c r="L72" s="24"/>
      <c r="M72" s="30"/>
      <c r="N72" s="30"/>
      <c r="P72" s="30"/>
    </row>
    <row r="73" spans="4:16" x14ac:dyDescent="0.35">
      <c r="D73" s="18"/>
      <c r="K73" s="23"/>
      <c r="L73" s="24"/>
      <c r="M73" s="30"/>
      <c r="N73" s="30"/>
      <c r="P73" s="30"/>
    </row>
    <row r="74" spans="4:16" x14ac:dyDescent="0.35">
      <c r="D74" s="18"/>
      <c r="K74" s="23"/>
      <c r="L74" s="24"/>
      <c r="M74" s="30"/>
      <c r="N74" s="30"/>
      <c r="P74" s="30"/>
    </row>
    <row r="75" spans="4:16" x14ac:dyDescent="0.35">
      <c r="K75" s="23"/>
      <c r="L75" s="24"/>
      <c r="M75" s="30"/>
      <c r="N75" s="30"/>
      <c r="P75" s="30"/>
    </row>
    <row r="76" spans="4:16" x14ac:dyDescent="0.35">
      <c r="K76" s="23"/>
      <c r="L76" s="24"/>
      <c r="M76" s="30"/>
      <c r="N76" s="30"/>
      <c r="P76" s="30"/>
    </row>
    <row r="77" spans="4:16" x14ac:dyDescent="0.35">
      <c r="K77" s="23"/>
      <c r="L77" s="24"/>
      <c r="M77" s="30"/>
      <c r="N77" s="30"/>
      <c r="P77" s="30"/>
    </row>
    <row r="78" spans="4:16" x14ac:dyDescent="0.35">
      <c r="K78" s="23"/>
      <c r="L78" s="24"/>
      <c r="M78" s="30"/>
      <c r="N78" s="30"/>
      <c r="P78" s="30"/>
    </row>
    <row r="79" spans="4:16" x14ac:dyDescent="0.35">
      <c r="K79" s="23"/>
      <c r="L79" s="24"/>
      <c r="M79" s="30"/>
      <c r="N79" s="30"/>
      <c r="P79" s="30"/>
    </row>
    <row r="80" spans="4:16" x14ac:dyDescent="0.35">
      <c r="K80" s="23"/>
      <c r="L80" s="24"/>
      <c r="M80" s="30"/>
      <c r="N80" s="30"/>
      <c r="P80" s="30"/>
    </row>
    <row r="81" spans="11:16" x14ac:dyDescent="0.35">
      <c r="K81" s="23"/>
      <c r="L81" s="24"/>
      <c r="M81" s="30"/>
      <c r="N81" s="30"/>
      <c r="P81" s="30"/>
    </row>
    <row r="82" spans="11:16" x14ac:dyDescent="0.35">
      <c r="K82" s="23"/>
      <c r="L82" s="24"/>
      <c r="M82" s="30"/>
      <c r="N82" s="30"/>
      <c r="P82" s="30"/>
    </row>
    <row r="83" spans="11:16" x14ac:dyDescent="0.35">
      <c r="K83" s="23"/>
      <c r="L83" s="24"/>
      <c r="M83" s="30"/>
      <c r="N83" s="30"/>
      <c r="P83" s="30"/>
    </row>
    <row r="84" spans="11:16" x14ac:dyDescent="0.35">
      <c r="K84" s="23"/>
      <c r="L84" s="24"/>
      <c r="M84" s="30"/>
      <c r="N84" s="30"/>
      <c r="P84" s="30"/>
    </row>
    <row r="85" spans="11:16" x14ac:dyDescent="0.35">
      <c r="K85" s="23"/>
      <c r="L85" s="24"/>
      <c r="M85" s="30"/>
      <c r="N85" s="30"/>
      <c r="P85" s="30"/>
    </row>
    <row r="86" spans="11:16" x14ac:dyDescent="0.35">
      <c r="K86" s="23"/>
      <c r="L86" s="24"/>
      <c r="M86" s="30"/>
      <c r="N86" s="30"/>
      <c r="P86" s="30"/>
    </row>
    <row r="87" spans="11:16" x14ac:dyDescent="0.35">
      <c r="K87" s="23"/>
      <c r="L87" s="24"/>
      <c r="M87" s="30"/>
      <c r="N87" s="30"/>
      <c r="P87" s="30"/>
    </row>
    <row r="88" spans="11:16" x14ac:dyDescent="0.35">
      <c r="K88" s="23"/>
      <c r="L88" s="24"/>
      <c r="M88" s="30"/>
      <c r="N88" s="30"/>
      <c r="P88" s="30"/>
    </row>
    <row r="89" spans="11:16" x14ac:dyDescent="0.35">
      <c r="K89" s="23"/>
      <c r="L89" s="24"/>
      <c r="M89" s="30"/>
      <c r="N89" s="30"/>
      <c r="P89" s="30"/>
    </row>
    <row r="90" spans="11:16" x14ac:dyDescent="0.35">
      <c r="K90" s="23"/>
      <c r="L90" s="24"/>
      <c r="M90" s="30"/>
      <c r="N90" s="30"/>
      <c r="P90" s="30"/>
    </row>
    <row r="91" spans="11:16" x14ac:dyDescent="0.35">
      <c r="K91" s="23"/>
      <c r="L91" s="24"/>
      <c r="M91" s="30"/>
      <c r="N91" s="30"/>
      <c r="P91" s="30"/>
    </row>
    <row r="92" spans="11:16" x14ac:dyDescent="0.35">
      <c r="K92" s="23"/>
      <c r="L92" s="24"/>
      <c r="M92" s="30"/>
      <c r="N92" s="30"/>
      <c r="P92" s="30"/>
    </row>
    <row r="93" spans="11:16" x14ac:dyDescent="0.35">
      <c r="K93" s="23"/>
      <c r="L93" s="24"/>
      <c r="M93" s="30"/>
      <c r="N93" s="30"/>
      <c r="P93" s="30"/>
    </row>
    <row r="94" spans="11:16" x14ac:dyDescent="0.35">
      <c r="K94" s="23"/>
      <c r="L94" s="24"/>
      <c r="M94" s="30"/>
      <c r="N94" s="30"/>
      <c r="P94" s="30"/>
    </row>
    <row r="95" spans="11:16" x14ac:dyDescent="0.35">
      <c r="K95" s="23"/>
      <c r="L95" s="24"/>
      <c r="M95" s="30"/>
      <c r="N95" s="30"/>
      <c r="P95" s="30"/>
    </row>
    <row r="96" spans="11:16" x14ac:dyDescent="0.35">
      <c r="K96" s="23"/>
      <c r="L96" s="24"/>
      <c r="M96" s="30"/>
      <c r="N96" s="30"/>
      <c r="P96" s="30"/>
    </row>
    <row r="97" spans="11:16" x14ac:dyDescent="0.35">
      <c r="K97" s="23"/>
      <c r="L97" s="24"/>
      <c r="M97" s="30"/>
      <c r="N97" s="30"/>
      <c r="P97" s="30"/>
    </row>
    <row r="98" spans="11:16" x14ac:dyDescent="0.35">
      <c r="K98" s="23"/>
      <c r="L98" s="24"/>
      <c r="M98" s="30"/>
      <c r="N98" s="30"/>
      <c r="P98" s="30"/>
    </row>
    <row r="99" spans="11:16" x14ac:dyDescent="0.35">
      <c r="K99" s="23"/>
      <c r="L99" s="24"/>
      <c r="M99" s="30"/>
      <c r="N99" s="30"/>
      <c r="P99" s="30"/>
    </row>
    <row r="100" spans="11:16" x14ac:dyDescent="0.35">
      <c r="K100" s="23"/>
      <c r="L100" s="24"/>
      <c r="M100" s="30"/>
      <c r="N100" s="30"/>
      <c r="P100" s="30"/>
    </row>
    <row r="101" spans="11:16" x14ac:dyDescent="0.35">
      <c r="K101" s="23"/>
      <c r="L101" s="24"/>
      <c r="M101" s="30"/>
      <c r="N101" s="30"/>
      <c r="P101" s="30"/>
    </row>
    <row r="102" spans="11:16" x14ac:dyDescent="0.35">
      <c r="K102" s="23"/>
      <c r="L102" s="24"/>
      <c r="M102" s="30"/>
      <c r="N102" s="30"/>
      <c r="P102" s="30"/>
    </row>
    <row r="103" spans="11:16" x14ac:dyDescent="0.35">
      <c r="K103" s="23"/>
      <c r="L103" s="24"/>
      <c r="M103" s="30"/>
      <c r="N103" s="30"/>
      <c r="P103" s="30"/>
    </row>
    <row r="104" spans="11:16" x14ac:dyDescent="0.35">
      <c r="K104" s="23"/>
      <c r="L104" s="24"/>
      <c r="M104" s="30"/>
      <c r="N104" s="30"/>
      <c r="P104" s="30"/>
    </row>
    <row r="105" spans="11:16" x14ac:dyDescent="0.35">
      <c r="K105" s="23"/>
      <c r="L105" s="24"/>
      <c r="M105" s="30"/>
      <c r="N105" s="30"/>
      <c r="P105" s="30"/>
    </row>
    <row r="106" spans="11:16" x14ac:dyDescent="0.35">
      <c r="K106" s="23"/>
      <c r="L106" s="24"/>
      <c r="M106" s="30"/>
      <c r="N106" s="30"/>
      <c r="P106" s="30"/>
    </row>
    <row r="107" spans="11:16" x14ac:dyDescent="0.35">
      <c r="K107" s="23"/>
      <c r="L107" s="24"/>
      <c r="M107" s="30"/>
      <c r="N107" s="30"/>
      <c r="P107" s="30"/>
    </row>
    <row r="108" spans="11:16" x14ac:dyDescent="0.35">
      <c r="K108" s="23"/>
      <c r="L108" s="24"/>
      <c r="M108" s="30"/>
      <c r="N108" s="30"/>
      <c r="P108" s="30"/>
    </row>
    <row r="109" spans="11:16" x14ac:dyDescent="0.35">
      <c r="K109" s="23"/>
      <c r="L109" s="24"/>
      <c r="M109" s="30"/>
      <c r="N109" s="30"/>
      <c r="P109" s="30"/>
    </row>
    <row r="110" spans="11:16" x14ac:dyDescent="0.35">
      <c r="K110" s="23"/>
      <c r="L110" s="24"/>
      <c r="M110" s="30"/>
      <c r="N110" s="30"/>
      <c r="P110" s="30"/>
    </row>
    <row r="111" spans="11:16" x14ac:dyDescent="0.35">
      <c r="K111" s="23"/>
      <c r="L111" s="24"/>
      <c r="M111" s="30"/>
      <c r="N111" s="30"/>
      <c r="P111" s="30"/>
    </row>
    <row r="112" spans="11:16" x14ac:dyDescent="0.35">
      <c r="K112" s="23"/>
      <c r="L112" s="24"/>
      <c r="M112" s="30"/>
      <c r="N112" s="30"/>
      <c r="P112" s="30"/>
    </row>
    <row r="113" spans="11:16" x14ac:dyDescent="0.35">
      <c r="K113" s="23"/>
      <c r="L113" s="24"/>
      <c r="M113" s="30"/>
      <c r="N113" s="30"/>
      <c r="P113" s="30"/>
    </row>
    <row r="114" spans="11:16" x14ac:dyDescent="0.35">
      <c r="K114" s="23"/>
      <c r="L114" s="24"/>
      <c r="M114" s="30"/>
      <c r="N114" s="30"/>
      <c r="P114" s="30"/>
    </row>
    <row r="115" spans="11:16" x14ac:dyDescent="0.35">
      <c r="K115" s="23"/>
      <c r="L115" s="24"/>
      <c r="M115" s="30"/>
      <c r="N115" s="30"/>
      <c r="P115" s="30"/>
    </row>
    <row r="116" spans="11:16" x14ac:dyDescent="0.35">
      <c r="K116" s="23"/>
      <c r="L116" s="24"/>
      <c r="M116" s="30"/>
      <c r="N116" s="30"/>
      <c r="P116" s="30"/>
    </row>
    <row r="117" spans="11:16" x14ac:dyDescent="0.35">
      <c r="K117" s="23"/>
      <c r="L117" s="24"/>
      <c r="M117" s="30"/>
      <c r="N117" s="30"/>
      <c r="P117" s="30"/>
    </row>
    <row r="118" spans="11:16" x14ac:dyDescent="0.35">
      <c r="K118" s="23"/>
      <c r="L118" s="24"/>
      <c r="M118" s="30"/>
      <c r="N118" s="30"/>
      <c r="P118" s="30"/>
    </row>
    <row r="119" spans="11:16" x14ac:dyDescent="0.35">
      <c r="K119" s="23"/>
      <c r="L119" s="24"/>
      <c r="M119" s="30"/>
      <c r="N119" s="30"/>
      <c r="P119" s="30"/>
    </row>
    <row r="120" spans="11:16" x14ac:dyDescent="0.35">
      <c r="K120" s="23"/>
      <c r="L120" s="24"/>
      <c r="M120" s="30"/>
      <c r="N120" s="30"/>
      <c r="P120" s="30"/>
    </row>
    <row r="121" spans="11:16" x14ac:dyDescent="0.35">
      <c r="K121" s="23"/>
      <c r="L121" s="24"/>
      <c r="M121" s="30"/>
      <c r="N121" s="30"/>
      <c r="P121" s="30"/>
    </row>
    <row r="122" spans="11:16" x14ac:dyDescent="0.35">
      <c r="K122" s="23"/>
      <c r="L122" s="24"/>
      <c r="M122" s="30"/>
      <c r="N122" s="30"/>
      <c r="P122" s="30"/>
    </row>
    <row r="123" spans="11:16" x14ac:dyDescent="0.35">
      <c r="K123" s="23"/>
      <c r="L123" s="24"/>
      <c r="M123" s="30"/>
      <c r="N123" s="30"/>
      <c r="P123" s="30"/>
    </row>
    <row r="124" spans="11:16" x14ac:dyDescent="0.35">
      <c r="K124" s="23"/>
      <c r="L124" s="24"/>
      <c r="M124" s="30"/>
      <c r="N124" s="30"/>
      <c r="P124" s="30"/>
    </row>
    <row r="125" spans="11:16" x14ac:dyDescent="0.35">
      <c r="K125" s="23"/>
      <c r="L125" s="24"/>
      <c r="M125" s="30"/>
      <c r="N125" s="30"/>
      <c r="P125" s="30"/>
    </row>
    <row r="126" spans="11:16" x14ac:dyDescent="0.35">
      <c r="K126" s="23"/>
      <c r="L126" s="24"/>
      <c r="M126" s="30"/>
      <c r="N126" s="30"/>
      <c r="P126" s="30"/>
    </row>
    <row r="127" spans="11:16" x14ac:dyDescent="0.35">
      <c r="K127" s="23"/>
      <c r="L127" s="24"/>
      <c r="M127" s="30"/>
      <c r="N127" s="30"/>
      <c r="P127" s="30"/>
    </row>
    <row r="128" spans="11:16" x14ac:dyDescent="0.35">
      <c r="K128" s="23"/>
      <c r="L128" s="24"/>
      <c r="M128" s="30"/>
      <c r="N128" s="30"/>
      <c r="P128" s="30"/>
    </row>
    <row r="129" spans="11:16" x14ac:dyDescent="0.35">
      <c r="K129" s="23"/>
      <c r="L129" s="24"/>
      <c r="M129" s="30"/>
      <c r="N129" s="30"/>
      <c r="P129" s="30"/>
    </row>
    <row r="130" spans="11:16" x14ac:dyDescent="0.35">
      <c r="K130" s="23"/>
      <c r="L130" s="24"/>
      <c r="M130" s="30"/>
      <c r="N130" s="30"/>
      <c r="P130" s="30"/>
    </row>
    <row r="131" spans="11:16" x14ac:dyDescent="0.35">
      <c r="K131" s="23"/>
      <c r="L131" s="24"/>
      <c r="M131" s="30"/>
      <c r="N131" s="30"/>
      <c r="P131" s="30"/>
    </row>
    <row r="132" spans="11:16" x14ac:dyDescent="0.35">
      <c r="K132" s="23"/>
      <c r="L132" s="24"/>
      <c r="M132" s="30"/>
      <c r="N132" s="30"/>
      <c r="P132" s="30"/>
    </row>
    <row r="133" spans="11:16" x14ac:dyDescent="0.35">
      <c r="K133" s="23"/>
      <c r="L133" s="24"/>
      <c r="M133" s="30"/>
      <c r="N133" s="30"/>
      <c r="P133" s="30"/>
    </row>
    <row r="134" spans="11:16" x14ac:dyDescent="0.35">
      <c r="K134" s="23"/>
      <c r="L134" s="24"/>
      <c r="M134" s="30"/>
      <c r="N134" s="30"/>
      <c r="P134" s="30"/>
    </row>
    <row r="135" spans="11:16" x14ac:dyDescent="0.35">
      <c r="K135" s="23"/>
      <c r="L135" s="24"/>
      <c r="M135" s="30"/>
      <c r="N135" s="30"/>
      <c r="P135" s="30"/>
    </row>
    <row r="136" spans="11:16" x14ac:dyDescent="0.35">
      <c r="K136" s="23"/>
      <c r="L136" s="24"/>
      <c r="M136" s="30"/>
      <c r="N136" s="30"/>
      <c r="P136" s="30"/>
    </row>
    <row r="137" spans="11:16" x14ac:dyDescent="0.35">
      <c r="K137" s="23"/>
      <c r="L137" s="24"/>
      <c r="M137" s="30"/>
      <c r="N137" s="30"/>
      <c r="P137" s="30"/>
    </row>
    <row r="138" spans="11:16" x14ac:dyDescent="0.35">
      <c r="K138" s="23"/>
      <c r="L138" s="24"/>
      <c r="M138" s="30"/>
      <c r="N138" s="30"/>
      <c r="P138" s="30"/>
    </row>
    <row r="139" spans="11:16" x14ac:dyDescent="0.35">
      <c r="K139" s="23"/>
      <c r="L139" s="24"/>
      <c r="M139" s="30"/>
      <c r="N139" s="30"/>
      <c r="P139" s="30"/>
    </row>
    <row r="140" spans="11:16" x14ac:dyDescent="0.35">
      <c r="K140" s="23"/>
      <c r="L140" s="24"/>
      <c r="M140" s="30"/>
      <c r="N140" s="30"/>
      <c r="P140" s="30"/>
    </row>
    <row r="141" spans="11:16" x14ac:dyDescent="0.35">
      <c r="K141" s="23"/>
      <c r="L141" s="24"/>
      <c r="M141" s="30"/>
      <c r="N141" s="30"/>
      <c r="P141" s="30"/>
    </row>
    <row r="142" spans="11:16" x14ac:dyDescent="0.35">
      <c r="K142" s="23"/>
      <c r="L142" s="24"/>
      <c r="M142" s="30"/>
      <c r="N142" s="30"/>
      <c r="P142" s="30"/>
    </row>
    <row r="143" spans="11:16" x14ac:dyDescent="0.35">
      <c r="K143" s="23"/>
      <c r="L143" s="24"/>
      <c r="M143" s="30"/>
      <c r="N143" s="30"/>
      <c r="P143" s="30"/>
    </row>
    <row r="144" spans="11:16" x14ac:dyDescent="0.35">
      <c r="K144" s="23"/>
      <c r="L144" s="24"/>
      <c r="M144" s="30"/>
      <c r="N144" s="30"/>
      <c r="P144" s="30"/>
    </row>
    <row r="145" spans="11:16" x14ac:dyDescent="0.35">
      <c r="K145" s="23"/>
      <c r="L145" s="24"/>
      <c r="M145" s="30"/>
      <c r="N145" s="30"/>
      <c r="P145" s="30"/>
    </row>
    <row r="146" spans="11:16" x14ac:dyDescent="0.35">
      <c r="K146" s="23"/>
      <c r="L146" s="24"/>
      <c r="M146" s="30"/>
      <c r="N146" s="30"/>
      <c r="P146" s="30"/>
    </row>
    <row r="147" spans="11:16" x14ac:dyDescent="0.35">
      <c r="K147" s="23"/>
      <c r="L147" s="24"/>
      <c r="M147" s="30"/>
      <c r="N147" s="30"/>
      <c r="P147" s="30"/>
    </row>
    <row r="148" spans="11:16" x14ac:dyDescent="0.35">
      <c r="K148" s="23"/>
      <c r="L148" s="24"/>
      <c r="M148" s="30"/>
      <c r="N148" s="30"/>
      <c r="P148" s="30"/>
    </row>
    <row r="149" spans="11:16" x14ac:dyDescent="0.35">
      <c r="K149" s="23"/>
      <c r="L149" s="24"/>
      <c r="M149" s="30"/>
      <c r="N149" s="30"/>
      <c r="P149" s="30"/>
    </row>
    <row r="150" spans="11:16" x14ac:dyDescent="0.35">
      <c r="K150" s="23"/>
      <c r="L150" s="24"/>
      <c r="M150" s="30"/>
      <c r="N150" s="30"/>
      <c r="P150" s="30"/>
    </row>
    <row r="151" spans="11:16" x14ac:dyDescent="0.35">
      <c r="K151" s="23"/>
      <c r="L151" s="24"/>
      <c r="M151" s="30"/>
      <c r="N151" s="30"/>
      <c r="P151" s="30"/>
    </row>
    <row r="152" spans="11:16" x14ac:dyDescent="0.35">
      <c r="K152" s="23"/>
      <c r="L152" s="24"/>
      <c r="M152" s="30"/>
      <c r="N152" s="30"/>
      <c r="P152" s="30"/>
    </row>
    <row r="153" spans="11:16" x14ac:dyDescent="0.35">
      <c r="K153" s="23"/>
      <c r="L153" s="24"/>
      <c r="M153" s="30"/>
      <c r="N153" s="30"/>
      <c r="P153" s="30"/>
    </row>
    <row r="154" spans="11:16" x14ac:dyDescent="0.35">
      <c r="K154" s="23"/>
      <c r="L154" s="24"/>
      <c r="M154" s="30"/>
      <c r="N154" s="30"/>
      <c r="P154" s="30"/>
    </row>
    <row r="155" spans="11:16" x14ac:dyDescent="0.35">
      <c r="K155" s="23"/>
      <c r="L155" s="24"/>
      <c r="M155" s="30"/>
      <c r="N155" s="30"/>
      <c r="P155" s="30"/>
    </row>
    <row r="156" spans="11:16" x14ac:dyDescent="0.35">
      <c r="K156" s="23"/>
      <c r="L156" s="24"/>
      <c r="M156" s="30"/>
      <c r="N156" s="30"/>
      <c r="P156" s="30"/>
    </row>
    <row r="157" spans="11:16" x14ac:dyDescent="0.35">
      <c r="K157" s="23"/>
      <c r="L157" s="24"/>
      <c r="M157" s="30"/>
      <c r="N157" s="30"/>
      <c r="P157" s="30"/>
    </row>
    <row r="158" spans="11:16" x14ac:dyDescent="0.35">
      <c r="K158" s="23"/>
      <c r="L158" s="24"/>
      <c r="M158" s="30"/>
      <c r="N158" s="30"/>
      <c r="P158" s="30"/>
    </row>
    <row r="159" spans="11:16" x14ac:dyDescent="0.35">
      <c r="K159" s="23"/>
      <c r="L159" s="24"/>
      <c r="M159" s="30"/>
      <c r="N159" s="30"/>
      <c r="P159" s="30"/>
    </row>
    <row r="160" spans="11:16" x14ac:dyDescent="0.35">
      <c r="K160" s="23"/>
      <c r="L160" s="24"/>
      <c r="M160" s="30"/>
      <c r="N160" s="30"/>
      <c r="P160" s="30"/>
    </row>
    <row r="161" spans="11:16" x14ac:dyDescent="0.35">
      <c r="K161" s="23"/>
      <c r="L161" s="24"/>
      <c r="M161" s="30"/>
      <c r="N161" s="30"/>
      <c r="P161" s="30"/>
    </row>
    <row r="162" spans="11:16" x14ac:dyDescent="0.35">
      <c r="K162" s="23"/>
      <c r="L162" s="24"/>
      <c r="M162" s="30"/>
      <c r="N162" s="30"/>
      <c r="P162" s="30"/>
    </row>
    <row r="163" spans="11:16" x14ac:dyDescent="0.35">
      <c r="K163" s="23"/>
      <c r="L163" s="24"/>
      <c r="M163" s="30"/>
      <c r="N163" s="30"/>
      <c r="P163" s="30"/>
    </row>
    <row r="164" spans="11:16" x14ac:dyDescent="0.35">
      <c r="K164" s="23"/>
      <c r="L164" s="24"/>
      <c r="M164" s="30"/>
      <c r="N164" s="30"/>
      <c r="P164" s="30"/>
    </row>
    <row r="165" spans="11:16" x14ac:dyDescent="0.35">
      <c r="K165" s="23"/>
      <c r="L165" s="24"/>
      <c r="M165" s="30"/>
      <c r="N165" s="30"/>
      <c r="P165" s="30"/>
    </row>
    <row r="166" spans="11:16" x14ac:dyDescent="0.35">
      <c r="K166" s="23"/>
      <c r="L166" s="24"/>
      <c r="M166" s="30"/>
      <c r="N166" s="30"/>
      <c r="P166" s="30"/>
    </row>
    <row r="167" spans="11:16" x14ac:dyDescent="0.35">
      <c r="K167" s="23"/>
      <c r="L167" s="24"/>
      <c r="M167" s="30"/>
      <c r="N167" s="30"/>
      <c r="P167" s="30"/>
    </row>
    <row r="168" spans="11:16" x14ac:dyDescent="0.35">
      <c r="K168" s="23"/>
      <c r="L168" s="24"/>
      <c r="M168" s="30"/>
      <c r="N168" s="30"/>
      <c r="P168" s="30"/>
    </row>
    <row r="169" spans="11:16" x14ac:dyDescent="0.35">
      <c r="K169" s="23"/>
      <c r="L169" s="24"/>
      <c r="M169" s="30"/>
      <c r="N169" s="30"/>
      <c r="P169" s="30"/>
    </row>
    <row r="170" spans="11:16" x14ac:dyDescent="0.35">
      <c r="K170" s="23"/>
      <c r="L170" s="24"/>
      <c r="M170" s="30"/>
      <c r="N170" s="30"/>
      <c r="P170" s="30"/>
    </row>
    <row r="171" spans="11:16" x14ac:dyDescent="0.35">
      <c r="K171" s="23"/>
      <c r="L171" s="24"/>
      <c r="M171" s="30"/>
      <c r="N171" s="30"/>
      <c r="P171" s="30"/>
    </row>
    <row r="172" spans="11:16" x14ac:dyDescent="0.35">
      <c r="K172" s="23"/>
      <c r="L172" s="24"/>
      <c r="M172" s="30"/>
      <c r="N172" s="30"/>
      <c r="P172" s="30"/>
    </row>
    <row r="173" spans="11:16" x14ac:dyDescent="0.35">
      <c r="K173" s="23"/>
      <c r="L173" s="24"/>
      <c r="M173" s="30"/>
      <c r="N173" s="30"/>
      <c r="P173" s="30"/>
    </row>
    <row r="174" spans="11:16" x14ac:dyDescent="0.35">
      <c r="K174" s="23"/>
      <c r="L174" s="24"/>
      <c r="M174" s="30"/>
      <c r="N174" s="30"/>
      <c r="P174" s="30"/>
    </row>
    <row r="175" spans="11:16" x14ac:dyDescent="0.35">
      <c r="K175" s="23"/>
      <c r="L175" s="24"/>
      <c r="M175" s="30"/>
      <c r="N175" s="30"/>
      <c r="P175" s="30"/>
    </row>
    <row r="176" spans="11:16" x14ac:dyDescent="0.35">
      <c r="K176" s="23"/>
      <c r="L176" s="24"/>
      <c r="M176" s="30"/>
      <c r="N176" s="30"/>
      <c r="P176" s="30"/>
    </row>
    <row r="177" spans="11:16" x14ac:dyDescent="0.35">
      <c r="K177" s="23"/>
      <c r="L177" s="24"/>
      <c r="M177" s="30"/>
      <c r="N177" s="30"/>
      <c r="P177" s="30"/>
    </row>
    <row r="178" spans="11:16" x14ac:dyDescent="0.35">
      <c r="K178" s="23"/>
      <c r="L178" s="24"/>
      <c r="M178" s="30"/>
      <c r="N178" s="30"/>
      <c r="P178" s="30"/>
    </row>
    <row r="179" spans="11:16" x14ac:dyDescent="0.35">
      <c r="K179" s="23"/>
      <c r="L179" s="24"/>
      <c r="M179" s="30"/>
      <c r="N179" s="30"/>
      <c r="P179" s="30"/>
    </row>
    <row r="180" spans="11:16" x14ac:dyDescent="0.35">
      <c r="K180" s="23"/>
      <c r="L180" s="24"/>
      <c r="M180" s="30"/>
      <c r="N180" s="30"/>
      <c r="P180" s="30"/>
    </row>
    <row r="181" spans="11:16" x14ac:dyDescent="0.35">
      <c r="K181" s="23"/>
      <c r="L181" s="24"/>
      <c r="M181" s="30"/>
      <c r="N181" s="30"/>
      <c r="P181" s="30"/>
    </row>
    <row r="182" spans="11:16" x14ac:dyDescent="0.35">
      <c r="K182" s="23"/>
      <c r="L182" s="24"/>
      <c r="M182" s="30"/>
      <c r="N182" s="30"/>
      <c r="P182" s="30"/>
    </row>
    <row r="183" spans="11:16" x14ac:dyDescent="0.35">
      <c r="L183" s="24"/>
      <c r="M183" s="30"/>
      <c r="N183" s="30"/>
      <c r="P183" s="30"/>
    </row>
    <row r="184" spans="11:16" x14ac:dyDescent="0.35">
      <c r="L184" s="24"/>
      <c r="M184" s="30"/>
      <c r="N184" s="30"/>
      <c r="P184" s="30"/>
    </row>
    <row r="185" spans="11:16" x14ac:dyDescent="0.35">
      <c r="L185" s="24"/>
      <c r="M185" s="30"/>
      <c r="N185" s="30"/>
      <c r="P185" s="30"/>
    </row>
    <row r="186" spans="11:16" x14ac:dyDescent="0.35">
      <c r="L186" s="24"/>
      <c r="M186" s="30"/>
      <c r="N186" s="30"/>
      <c r="P186" s="30"/>
    </row>
    <row r="187" spans="11:16" x14ac:dyDescent="0.35">
      <c r="L187" s="24"/>
      <c r="M187" s="30"/>
      <c r="N187" s="30"/>
      <c r="P187" s="30"/>
    </row>
    <row r="188" spans="11:16" x14ac:dyDescent="0.35">
      <c r="L188" s="24"/>
      <c r="M188" s="30"/>
      <c r="N188" s="30"/>
      <c r="P188" s="30"/>
    </row>
    <row r="189" spans="11:16" x14ac:dyDescent="0.35">
      <c r="L189" s="24"/>
      <c r="M189" s="30"/>
      <c r="N189" s="30"/>
      <c r="P189" s="30"/>
    </row>
    <row r="190" spans="11:16" x14ac:dyDescent="0.35">
      <c r="L190" s="24"/>
      <c r="M190" s="30"/>
      <c r="N190" s="30"/>
      <c r="P190" s="30"/>
    </row>
    <row r="191" spans="11:16" x14ac:dyDescent="0.35">
      <c r="L191" s="24"/>
      <c r="M191" s="30"/>
      <c r="N191" s="30"/>
      <c r="P191" s="30"/>
    </row>
    <row r="192" spans="11:16" x14ac:dyDescent="0.35">
      <c r="L192" s="24"/>
      <c r="M192" s="30"/>
      <c r="N192" s="30"/>
      <c r="P192" s="30"/>
    </row>
    <row r="193" spans="12:16" x14ac:dyDescent="0.35">
      <c r="L193" s="24"/>
      <c r="M193" s="30"/>
      <c r="N193" s="30"/>
      <c r="P193" s="30"/>
    </row>
    <row r="194" spans="12:16" x14ac:dyDescent="0.35">
      <c r="L194" s="24"/>
      <c r="M194" s="30"/>
      <c r="N194" s="30"/>
      <c r="P194" s="30"/>
    </row>
    <row r="195" spans="12:16" x14ac:dyDescent="0.35">
      <c r="L195" s="24"/>
      <c r="M195" s="30"/>
      <c r="N195" s="30"/>
      <c r="P195" s="30"/>
    </row>
    <row r="196" spans="12:16" x14ac:dyDescent="0.35">
      <c r="L196" s="24"/>
      <c r="M196" s="30"/>
      <c r="N196" s="30"/>
      <c r="P196" s="30"/>
    </row>
    <row r="197" spans="12:16" x14ac:dyDescent="0.35">
      <c r="L197" s="24"/>
      <c r="M197" s="30"/>
      <c r="N197" s="30"/>
      <c r="P197" s="30"/>
    </row>
    <row r="198" spans="12:16" x14ac:dyDescent="0.35">
      <c r="L198" s="24"/>
      <c r="M198" s="30"/>
      <c r="N198" s="30"/>
      <c r="P198" s="30"/>
    </row>
    <row r="199" spans="12:16" x14ac:dyDescent="0.35">
      <c r="L199" s="24"/>
      <c r="M199" s="30"/>
      <c r="N199" s="30"/>
      <c r="P199" s="30"/>
    </row>
    <row r="200" spans="12:16" x14ac:dyDescent="0.35">
      <c r="L200" s="24"/>
      <c r="M200" s="30"/>
      <c r="N200" s="30"/>
      <c r="P200" s="30"/>
    </row>
    <row r="201" spans="12:16" x14ac:dyDescent="0.35">
      <c r="L201" s="24"/>
      <c r="M201" s="30"/>
      <c r="N201" s="30"/>
      <c r="P201" s="30"/>
    </row>
    <row r="202" spans="12:16" x14ac:dyDescent="0.35">
      <c r="L202" s="24"/>
      <c r="M202" s="30"/>
      <c r="N202" s="30"/>
      <c r="P202" s="30"/>
    </row>
    <row r="203" spans="12:16" x14ac:dyDescent="0.35">
      <c r="L203" s="24"/>
      <c r="M203" s="30"/>
      <c r="N203" s="30"/>
      <c r="P203" s="30"/>
    </row>
    <row r="204" spans="12:16" x14ac:dyDescent="0.35">
      <c r="L204" s="24"/>
      <c r="M204" s="30"/>
      <c r="N204" s="30"/>
      <c r="P204" s="30"/>
    </row>
    <row r="205" spans="12:16" x14ac:dyDescent="0.35">
      <c r="L205" s="24"/>
      <c r="M205" s="30"/>
      <c r="N205" s="30"/>
      <c r="P205" s="30"/>
    </row>
    <row r="206" spans="12:16" x14ac:dyDescent="0.35">
      <c r="L206" s="24"/>
      <c r="M206" s="30"/>
      <c r="N206" s="30"/>
      <c r="P206" s="30"/>
    </row>
    <row r="207" spans="12:16" x14ac:dyDescent="0.35">
      <c r="L207" s="24"/>
      <c r="M207" s="30"/>
      <c r="N207" s="30"/>
      <c r="P207" s="30"/>
    </row>
    <row r="208" spans="12:16" x14ac:dyDescent="0.35">
      <c r="L208" s="24"/>
      <c r="M208" s="30"/>
      <c r="N208" s="30"/>
      <c r="P208" s="30"/>
    </row>
    <row r="209" spans="12:16" x14ac:dyDescent="0.35">
      <c r="L209" s="24"/>
      <c r="M209" s="30"/>
      <c r="N209" s="30"/>
      <c r="P209" s="30"/>
    </row>
    <row r="210" spans="12:16" x14ac:dyDescent="0.35">
      <c r="L210" s="24"/>
      <c r="M210" s="30"/>
      <c r="N210" s="30"/>
      <c r="P210" s="30"/>
    </row>
    <row r="211" spans="12:16" x14ac:dyDescent="0.35">
      <c r="L211" s="24"/>
      <c r="M211" s="30"/>
      <c r="N211" s="30"/>
      <c r="P211" s="30"/>
    </row>
    <row r="212" spans="12:16" x14ac:dyDescent="0.35">
      <c r="L212" s="24"/>
      <c r="M212" s="30"/>
      <c r="N212" s="30"/>
      <c r="P212" s="30"/>
    </row>
    <row r="213" spans="12:16" x14ac:dyDescent="0.35">
      <c r="L213" s="24"/>
      <c r="M213" s="30"/>
      <c r="N213" s="30"/>
      <c r="P213" s="30"/>
    </row>
    <row r="214" spans="12:16" x14ac:dyDescent="0.35">
      <c r="L214" s="24"/>
      <c r="M214" s="30"/>
      <c r="N214" s="30"/>
      <c r="P214" s="30"/>
    </row>
    <row r="215" spans="12:16" x14ac:dyDescent="0.35">
      <c r="L215" s="24"/>
      <c r="M215" s="30"/>
      <c r="N215" s="30"/>
      <c r="P215" s="30"/>
    </row>
    <row r="216" spans="12:16" x14ac:dyDescent="0.35">
      <c r="L216" s="24"/>
      <c r="M216" s="30"/>
      <c r="N216" s="30"/>
      <c r="P216" s="30"/>
    </row>
    <row r="217" spans="12:16" x14ac:dyDescent="0.35">
      <c r="L217" s="24"/>
      <c r="M217" s="30"/>
      <c r="N217" s="30"/>
      <c r="P217" s="30"/>
    </row>
    <row r="218" spans="12:16" x14ac:dyDescent="0.35">
      <c r="L218" s="24"/>
      <c r="M218" s="30"/>
      <c r="N218" s="30"/>
      <c r="P218" s="30"/>
    </row>
    <row r="219" spans="12:16" x14ac:dyDescent="0.35">
      <c r="L219" s="24"/>
      <c r="M219" s="30"/>
      <c r="N219" s="30"/>
      <c r="P219" s="30"/>
    </row>
    <row r="220" spans="12:16" x14ac:dyDescent="0.35">
      <c r="L220" s="24"/>
      <c r="M220" s="30"/>
      <c r="N220" s="30"/>
      <c r="P220" s="30"/>
    </row>
    <row r="221" spans="12:16" x14ac:dyDescent="0.35">
      <c r="L221" s="24"/>
      <c r="M221" s="30"/>
      <c r="N221" s="30"/>
      <c r="P221" s="30"/>
    </row>
    <row r="222" spans="12:16" x14ac:dyDescent="0.35">
      <c r="L222" s="24"/>
      <c r="M222" s="30"/>
      <c r="N222" s="30"/>
      <c r="P222" s="30"/>
    </row>
    <row r="223" spans="12:16" x14ac:dyDescent="0.35">
      <c r="L223" s="24"/>
      <c r="M223" s="30"/>
      <c r="N223" s="30"/>
      <c r="P223" s="30"/>
    </row>
    <row r="224" spans="12:16" x14ac:dyDescent="0.35">
      <c r="L224" s="24"/>
      <c r="M224" s="30"/>
      <c r="N224" s="30"/>
      <c r="P224" s="30"/>
    </row>
    <row r="225" spans="12:16" x14ac:dyDescent="0.35">
      <c r="L225" s="24"/>
      <c r="M225" s="30"/>
      <c r="N225" s="30"/>
      <c r="P225" s="30"/>
    </row>
    <row r="226" spans="12:16" x14ac:dyDescent="0.35">
      <c r="L226" s="24"/>
      <c r="M226" s="30"/>
      <c r="N226" s="30"/>
      <c r="P226" s="30"/>
    </row>
    <row r="227" spans="12:16" x14ac:dyDescent="0.35">
      <c r="L227" s="24"/>
      <c r="M227" s="30"/>
      <c r="N227" s="30"/>
      <c r="P227" s="30"/>
    </row>
    <row r="228" spans="12:16" x14ac:dyDescent="0.35">
      <c r="L228" s="24"/>
      <c r="M228" s="30"/>
      <c r="N228" s="30"/>
      <c r="P228" s="30"/>
    </row>
    <row r="229" spans="12:16" x14ac:dyDescent="0.35">
      <c r="L229" s="24"/>
      <c r="M229" s="30"/>
      <c r="N229" s="30"/>
      <c r="P229" s="30"/>
    </row>
    <row r="230" spans="12:16" x14ac:dyDescent="0.35">
      <c r="L230" s="24"/>
      <c r="M230" s="30"/>
      <c r="N230" s="30"/>
      <c r="P230" s="30"/>
    </row>
    <row r="231" spans="12:16" x14ac:dyDescent="0.35">
      <c r="L231" s="24"/>
      <c r="M231" s="30"/>
      <c r="N231" s="30"/>
      <c r="P231" s="30"/>
    </row>
    <row r="232" spans="12:16" x14ac:dyDescent="0.35">
      <c r="L232" s="24"/>
      <c r="M232" s="30"/>
      <c r="N232" s="30"/>
      <c r="P232" s="30"/>
    </row>
    <row r="233" spans="12:16" x14ac:dyDescent="0.35">
      <c r="L233" s="24"/>
      <c r="M233" s="30"/>
      <c r="N233" s="30"/>
      <c r="P233" s="30"/>
    </row>
    <row r="234" spans="12:16" x14ac:dyDescent="0.35">
      <c r="L234" s="24"/>
      <c r="M234" s="30"/>
      <c r="N234" s="30"/>
      <c r="P234" s="30"/>
    </row>
    <row r="235" spans="12:16" x14ac:dyDescent="0.35">
      <c r="L235" s="24"/>
      <c r="M235" s="30"/>
      <c r="N235" s="30"/>
      <c r="P235" s="30"/>
    </row>
    <row r="236" spans="12:16" x14ac:dyDescent="0.35">
      <c r="L236" s="24"/>
      <c r="M236" s="30"/>
      <c r="N236" s="30"/>
      <c r="P236" s="30"/>
    </row>
    <row r="237" spans="12:16" x14ac:dyDescent="0.35">
      <c r="L237" s="24"/>
      <c r="M237" s="30"/>
      <c r="N237" s="30"/>
      <c r="P237" s="30"/>
    </row>
    <row r="238" spans="12:16" x14ac:dyDescent="0.35">
      <c r="L238" s="24"/>
      <c r="M238" s="30"/>
      <c r="N238" s="30"/>
      <c r="P238" s="30"/>
    </row>
    <row r="239" spans="12:16" x14ac:dyDescent="0.35">
      <c r="L239" s="24"/>
      <c r="M239" s="30"/>
      <c r="N239" s="30"/>
      <c r="P239" s="30"/>
    </row>
    <row r="240" spans="12:16" x14ac:dyDescent="0.35">
      <c r="L240" s="24"/>
      <c r="M240" s="30"/>
      <c r="N240" s="30"/>
      <c r="P240" s="30"/>
    </row>
    <row r="241" spans="12:16" x14ac:dyDescent="0.35">
      <c r="L241" s="24"/>
      <c r="M241" s="30"/>
      <c r="N241" s="30"/>
      <c r="P241" s="30"/>
    </row>
    <row r="242" spans="12:16" x14ac:dyDescent="0.35">
      <c r="L242" s="24"/>
      <c r="M242" s="30"/>
      <c r="N242" s="30"/>
      <c r="P242" s="30"/>
    </row>
    <row r="243" spans="12:16" x14ac:dyDescent="0.35">
      <c r="L243" s="24"/>
      <c r="M243" s="30"/>
      <c r="N243" s="30"/>
      <c r="P243" s="30"/>
    </row>
    <row r="244" spans="12:16" x14ac:dyDescent="0.35">
      <c r="L244" s="24"/>
      <c r="M244" s="30"/>
      <c r="N244" s="30"/>
      <c r="P244" s="30"/>
    </row>
    <row r="245" spans="12:16" x14ac:dyDescent="0.35">
      <c r="L245" s="24"/>
      <c r="M245" s="30"/>
      <c r="N245" s="30"/>
      <c r="P245" s="30"/>
    </row>
    <row r="246" spans="12:16" x14ac:dyDescent="0.35">
      <c r="L246" s="24"/>
      <c r="M246" s="30"/>
      <c r="N246" s="30"/>
      <c r="P246" s="30"/>
    </row>
    <row r="247" spans="12:16" x14ac:dyDescent="0.35">
      <c r="L247" s="24"/>
      <c r="M247" s="30"/>
      <c r="N247" s="30"/>
      <c r="P247" s="30"/>
    </row>
    <row r="248" spans="12:16" x14ac:dyDescent="0.35">
      <c r="L248" s="24"/>
      <c r="M248" s="30"/>
      <c r="N248" s="30"/>
      <c r="P248" s="30"/>
    </row>
    <row r="249" spans="12:16" x14ac:dyDescent="0.35">
      <c r="L249" s="24"/>
      <c r="M249" s="30"/>
      <c r="N249" s="30"/>
      <c r="P249" s="30"/>
    </row>
    <row r="250" spans="12:16" x14ac:dyDescent="0.35">
      <c r="L250" s="24"/>
      <c r="M250" s="30"/>
      <c r="N250" s="30"/>
      <c r="P250" s="30"/>
    </row>
    <row r="251" spans="12:16" x14ac:dyDescent="0.35">
      <c r="L251" s="24"/>
      <c r="M251" s="30"/>
      <c r="N251" s="30"/>
      <c r="P251" s="30"/>
    </row>
    <row r="252" spans="12:16" x14ac:dyDescent="0.35">
      <c r="L252" s="24"/>
      <c r="M252" s="30"/>
      <c r="N252" s="30"/>
      <c r="P252" s="30"/>
    </row>
    <row r="253" spans="12:16" x14ac:dyDescent="0.35">
      <c r="L253" s="24"/>
      <c r="M253" s="30"/>
      <c r="N253" s="30"/>
      <c r="P253" s="30"/>
    </row>
    <row r="254" spans="12:16" x14ac:dyDescent="0.35">
      <c r="L254" s="24"/>
      <c r="M254" s="30"/>
      <c r="N254" s="30"/>
      <c r="P254" s="30"/>
    </row>
    <row r="255" spans="12:16" x14ac:dyDescent="0.35">
      <c r="L255" s="24"/>
      <c r="M255" s="30"/>
      <c r="N255" s="30"/>
      <c r="P255" s="30"/>
    </row>
    <row r="256" spans="12:16" x14ac:dyDescent="0.35">
      <c r="L256" s="24"/>
      <c r="M256" s="30"/>
      <c r="N256" s="30"/>
      <c r="P256" s="30"/>
    </row>
    <row r="257" spans="12:16" x14ac:dyDescent="0.35">
      <c r="L257" s="24"/>
      <c r="M257" s="30"/>
      <c r="N257" s="30"/>
      <c r="P257" s="30"/>
    </row>
    <row r="258" spans="12:16" x14ac:dyDescent="0.35">
      <c r="L258" s="24"/>
      <c r="M258" s="30"/>
      <c r="N258" s="30"/>
      <c r="P258" s="30"/>
    </row>
    <row r="259" spans="12:16" x14ac:dyDescent="0.35">
      <c r="L259" s="24"/>
      <c r="M259" s="30"/>
      <c r="N259" s="30"/>
      <c r="P259" s="30"/>
    </row>
    <row r="260" spans="12:16" x14ac:dyDescent="0.35">
      <c r="L260" s="24"/>
      <c r="M260" s="30"/>
      <c r="N260" s="30"/>
      <c r="P260" s="30"/>
    </row>
    <row r="261" spans="12:16" x14ac:dyDescent="0.35">
      <c r="L261" s="24"/>
      <c r="M261" s="30"/>
      <c r="N261" s="30"/>
      <c r="P261" s="30"/>
    </row>
    <row r="262" spans="12:16" x14ac:dyDescent="0.35">
      <c r="L262" s="24"/>
      <c r="M262" s="30"/>
      <c r="N262" s="30"/>
      <c r="P262" s="30"/>
    </row>
    <row r="263" spans="12:16" x14ac:dyDescent="0.35">
      <c r="L263" s="24"/>
      <c r="M263" s="30"/>
      <c r="N263" s="30"/>
      <c r="P263" s="30"/>
    </row>
    <row r="264" spans="12:16" x14ac:dyDescent="0.35">
      <c r="L264" s="24"/>
      <c r="M264" s="30"/>
      <c r="N264" s="30"/>
      <c r="P264" s="30"/>
    </row>
    <row r="265" spans="12:16" x14ac:dyDescent="0.35">
      <c r="L265" s="24"/>
      <c r="M265" s="30"/>
      <c r="N265" s="30"/>
      <c r="P265" s="30"/>
    </row>
    <row r="266" spans="12:16" x14ac:dyDescent="0.35">
      <c r="L266" s="24"/>
      <c r="M266" s="30"/>
      <c r="N266" s="30"/>
      <c r="P266" s="30"/>
    </row>
    <row r="267" spans="12:16" x14ac:dyDescent="0.35">
      <c r="L267" s="24"/>
      <c r="M267" s="30"/>
      <c r="N267" s="30"/>
      <c r="P267" s="30"/>
    </row>
    <row r="268" spans="12:16" x14ac:dyDescent="0.35">
      <c r="L268" s="24"/>
      <c r="M268" s="30"/>
      <c r="N268" s="30"/>
      <c r="P268" s="30"/>
    </row>
    <row r="269" spans="12:16" x14ac:dyDescent="0.35">
      <c r="L269" s="24"/>
      <c r="M269" s="30"/>
      <c r="N269" s="30"/>
      <c r="P269" s="30"/>
    </row>
    <row r="270" spans="12:16" x14ac:dyDescent="0.35">
      <c r="L270" s="24"/>
      <c r="M270" s="30"/>
      <c r="N270" s="30"/>
      <c r="P270" s="30"/>
    </row>
    <row r="271" spans="12:16" x14ac:dyDescent="0.35">
      <c r="L271" s="24"/>
      <c r="M271" s="30"/>
      <c r="N271" s="30"/>
      <c r="P271" s="30"/>
    </row>
    <row r="272" spans="12:16" x14ac:dyDescent="0.35">
      <c r="L272" s="24"/>
      <c r="M272" s="30"/>
      <c r="N272" s="30"/>
      <c r="P272" s="30"/>
    </row>
    <row r="273" spans="12:16" x14ac:dyDescent="0.35">
      <c r="L273" s="24"/>
      <c r="M273" s="30"/>
      <c r="N273" s="30"/>
      <c r="P273" s="30"/>
    </row>
    <row r="274" spans="12:16" x14ac:dyDescent="0.35">
      <c r="L274" s="24"/>
      <c r="M274" s="30"/>
      <c r="N274" s="30"/>
      <c r="P274" s="30"/>
    </row>
    <row r="275" spans="12:16" x14ac:dyDescent="0.35">
      <c r="L275" s="24"/>
      <c r="M275" s="30"/>
      <c r="N275" s="30"/>
      <c r="P275" s="30"/>
    </row>
    <row r="276" spans="12:16" x14ac:dyDescent="0.35">
      <c r="L276" s="24"/>
      <c r="M276" s="30"/>
      <c r="N276" s="30"/>
      <c r="P276" s="30"/>
    </row>
    <row r="277" spans="12:16" x14ac:dyDescent="0.35">
      <c r="L277" s="24"/>
      <c r="M277" s="30"/>
      <c r="N277" s="30"/>
      <c r="P277" s="30"/>
    </row>
    <row r="278" spans="12:16" x14ac:dyDescent="0.35">
      <c r="L278" s="24"/>
      <c r="M278" s="30"/>
      <c r="N278" s="30"/>
      <c r="P278" s="30"/>
    </row>
    <row r="279" spans="12:16" x14ac:dyDescent="0.35">
      <c r="L279" s="24"/>
      <c r="M279" s="30"/>
      <c r="N279" s="30"/>
      <c r="P279" s="30"/>
    </row>
    <row r="280" spans="12:16" x14ac:dyDescent="0.35">
      <c r="L280" s="24"/>
      <c r="M280" s="30"/>
      <c r="N280" s="30"/>
      <c r="P280" s="30"/>
    </row>
    <row r="281" spans="12:16" x14ac:dyDescent="0.35">
      <c r="L281" s="24"/>
      <c r="M281" s="30"/>
      <c r="N281" s="30"/>
      <c r="P281" s="30"/>
    </row>
    <row r="282" spans="12:16" x14ac:dyDescent="0.35">
      <c r="L282" s="24"/>
      <c r="M282" s="30"/>
      <c r="N282" s="30"/>
      <c r="P282" s="30"/>
    </row>
    <row r="283" spans="12:16" x14ac:dyDescent="0.35">
      <c r="L283" s="24"/>
      <c r="M283" s="30"/>
      <c r="N283" s="30"/>
      <c r="P283" s="30"/>
    </row>
    <row r="284" spans="12:16" x14ac:dyDescent="0.35">
      <c r="L284" s="24"/>
      <c r="M284" s="30"/>
      <c r="N284" s="30"/>
      <c r="P284" s="30"/>
    </row>
    <row r="285" spans="12:16" x14ac:dyDescent="0.35">
      <c r="L285" s="24"/>
      <c r="M285" s="30"/>
      <c r="N285" s="30"/>
      <c r="P285" s="30"/>
    </row>
    <row r="286" spans="12:16" x14ac:dyDescent="0.35">
      <c r="L286" s="24"/>
      <c r="M286" s="30"/>
      <c r="N286" s="30"/>
      <c r="P286" s="30"/>
    </row>
    <row r="287" spans="12:16" x14ac:dyDescent="0.35">
      <c r="L287" s="24"/>
      <c r="M287" s="30"/>
      <c r="N287" s="30"/>
      <c r="P287" s="30"/>
    </row>
    <row r="288" spans="12:16" x14ac:dyDescent="0.35">
      <c r="L288" s="24"/>
      <c r="M288" s="30"/>
      <c r="N288" s="30"/>
      <c r="P288" s="30"/>
    </row>
    <row r="289" spans="12:16" x14ac:dyDescent="0.35">
      <c r="L289" s="24"/>
      <c r="M289" s="30"/>
      <c r="N289" s="30"/>
      <c r="P289" s="30"/>
    </row>
    <row r="290" spans="12:16" x14ac:dyDescent="0.35">
      <c r="L290" s="24"/>
      <c r="M290" s="30"/>
      <c r="N290" s="30"/>
      <c r="P290" s="30"/>
    </row>
    <row r="291" spans="12:16" x14ac:dyDescent="0.35">
      <c r="L291" s="24"/>
      <c r="M291" s="30"/>
      <c r="N291" s="30"/>
      <c r="P291" s="30"/>
    </row>
    <row r="292" spans="12:16" x14ac:dyDescent="0.35">
      <c r="L292" s="24"/>
      <c r="M292" s="30"/>
      <c r="N292" s="30"/>
      <c r="P292" s="30"/>
    </row>
    <row r="293" spans="12:16" x14ac:dyDescent="0.35">
      <c r="L293" s="24"/>
      <c r="M293" s="30"/>
      <c r="N293" s="30"/>
      <c r="P293" s="30"/>
    </row>
    <row r="294" spans="12:16" x14ac:dyDescent="0.35">
      <c r="L294" s="24"/>
      <c r="M294" s="30"/>
      <c r="N294" s="30"/>
      <c r="P294" s="30"/>
    </row>
    <row r="295" spans="12:16" x14ac:dyDescent="0.35">
      <c r="L295" s="24"/>
      <c r="M295" s="30"/>
      <c r="N295" s="30"/>
      <c r="P295" s="30"/>
    </row>
    <row r="296" spans="12:16" x14ac:dyDescent="0.35">
      <c r="L296" s="24"/>
      <c r="M296" s="30"/>
      <c r="N296" s="30"/>
      <c r="P296" s="30"/>
    </row>
    <row r="297" spans="12:16" x14ac:dyDescent="0.35">
      <c r="L297" s="24"/>
      <c r="M297" s="30"/>
      <c r="N297" s="30"/>
      <c r="P297" s="30"/>
    </row>
    <row r="298" spans="12:16" x14ac:dyDescent="0.35">
      <c r="L298" s="24"/>
      <c r="M298" s="30"/>
      <c r="N298" s="30"/>
      <c r="P298" s="30"/>
    </row>
    <row r="299" spans="12:16" x14ac:dyDescent="0.35">
      <c r="L299" s="24"/>
      <c r="M299" s="30"/>
      <c r="N299" s="30"/>
      <c r="P299" s="30"/>
    </row>
    <row r="300" spans="12:16" x14ac:dyDescent="0.35">
      <c r="L300" s="24"/>
      <c r="M300" s="30"/>
      <c r="N300" s="30"/>
      <c r="P300" s="30"/>
    </row>
    <row r="301" spans="12:16" x14ac:dyDescent="0.35">
      <c r="L301" s="24"/>
      <c r="M301" s="30"/>
      <c r="N301" s="30"/>
      <c r="P301" s="30"/>
    </row>
    <row r="302" spans="12:16" x14ac:dyDescent="0.35">
      <c r="L302" s="24"/>
      <c r="M302" s="30"/>
      <c r="N302" s="30"/>
      <c r="P302" s="30"/>
    </row>
    <row r="303" spans="12:16" x14ac:dyDescent="0.35">
      <c r="L303" s="24"/>
      <c r="M303" s="30"/>
      <c r="N303" s="30"/>
      <c r="P303" s="30"/>
    </row>
    <row r="304" spans="12:16" x14ac:dyDescent="0.35">
      <c r="L304" s="24"/>
      <c r="M304" s="30"/>
      <c r="N304" s="30"/>
      <c r="P304" s="30"/>
    </row>
    <row r="305" spans="12:16" x14ac:dyDescent="0.35">
      <c r="L305" s="24"/>
      <c r="M305" s="30"/>
      <c r="N305" s="30"/>
      <c r="P305" s="30"/>
    </row>
    <row r="306" spans="12:16" x14ac:dyDescent="0.35">
      <c r="L306" s="24"/>
      <c r="M306" s="30"/>
      <c r="N306" s="30"/>
      <c r="P306" s="30"/>
    </row>
    <row r="307" spans="12:16" x14ac:dyDescent="0.35">
      <c r="L307" s="24"/>
      <c r="M307" s="30"/>
      <c r="N307" s="30"/>
      <c r="P307" s="30"/>
    </row>
    <row r="308" spans="12:16" x14ac:dyDescent="0.35">
      <c r="L308" s="24"/>
      <c r="M308" s="30"/>
      <c r="N308" s="30"/>
      <c r="P308" s="30"/>
    </row>
    <row r="309" spans="12:16" x14ac:dyDescent="0.35">
      <c r="L309" s="24"/>
      <c r="M309" s="30"/>
      <c r="N309" s="30"/>
      <c r="P309" s="30"/>
    </row>
    <row r="310" spans="12:16" x14ac:dyDescent="0.35">
      <c r="L310" s="24"/>
      <c r="M310" s="30"/>
      <c r="N310" s="30"/>
      <c r="P310" s="30"/>
    </row>
    <row r="311" spans="12:16" x14ac:dyDescent="0.35">
      <c r="L311" s="24"/>
      <c r="M311" s="30"/>
      <c r="N311" s="30"/>
      <c r="P311" s="30"/>
    </row>
    <row r="312" spans="12:16" x14ac:dyDescent="0.35">
      <c r="L312" s="24"/>
      <c r="M312" s="30"/>
      <c r="N312" s="30"/>
      <c r="P312" s="30"/>
    </row>
    <row r="313" spans="12:16" x14ac:dyDescent="0.35">
      <c r="L313" s="24"/>
      <c r="M313" s="30"/>
      <c r="N313" s="30"/>
      <c r="P313" s="30"/>
    </row>
    <row r="314" spans="12:16" x14ac:dyDescent="0.35">
      <c r="L314" s="24"/>
      <c r="M314" s="30"/>
      <c r="N314" s="30"/>
      <c r="P314" s="30"/>
    </row>
    <row r="315" spans="12:16" x14ac:dyDescent="0.35">
      <c r="L315" s="24"/>
      <c r="M315" s="30"/>
      <c r="N315" s="30"/>
      <c r="P315" s="30"/>
    </row>
    <row r="316" spans="12:16" x14ac:dyDescent="0.35">
      <c r="L316" s="24"/>
      <c r="M316" s="30"/>
      <c r="N316" s="30"/>
      <c r="P316" s="30"/>
    </row>
    <row r="317" spans="12:16" x14ac:dyDescent="0.35">
      <c r="L317" s="24"/>
      <c r="M317" s="30"/>
      <c r="N317" s="30"/>
      <c r="P317" s="30"/>
    </row>
    <row r="318" spans="12:16" x14ac:dyDescent="0.35">
      <c r="L318" s="24"/>
      <c r="M318" s="30"/>
      <c r="N318" s="30"/>
      <c r="P318" s="30"/>
    </row>
    <row r="319" spans="12:16" x14ac:dyDescent="0.35">
      <c r="L319" s="24"/>
      <c r="M319" s="30"/>
      <c r="N319" s="30"/>
      <c r="P319" s="30"/>
    </row>
    <row r="320" spans="12:16" x14ac:dyDescent="0.35">
      <c r="L320" s="24"/>
      <c r="M320" s="30"/>
      <c r="N320" s="30"/>
      <c r="P320" s="30"/>
    </row>
    <row r="321" spans="12:16" x14ac:dyDescent="0.35">
      <c r="L321" s="24"/>
      <c r="M321" s="30"/>
      <c r="N321" s="30"/>
      <c r="P321" s="30"/>
    </row>
    <row r="322" spans="12:16" x14ac:dyDescent="0.35">
      <c r="L322" s="24"/>
      <c r="M322" s="30"/>
      <c r="N322" s="30"/>
      <c r="P322" s="30"/>
    </row>
    <row r="323" spans="12:16" x14ac:dyDescent="0.35">
      <c r="L323" s="24"/>
      <c r="M323" s="30"/>
      <c r="N323" s="30"/>
      <c r="P323" s="30"/>
    </row>
    <row r="324" spans="12:16" x14ac:dyDescent="0.35">
      <c r="L324" s="24"/>
      <c r="M324" s="30"/>
      <c r="N324" s="30"/>
      <c r="P324" s="30"/>
    </row>
    <row r="325" spans="12:16" x14ac:dyDescent="0.35">
      <c r="L325" s="24"/>
      <c r="M325" s="30"/>
      <c r="N325" s="30"/>
      <c r="P325" s="30"/>
    </row>
    <row r="326" spans="12:16" x14ac:dyDescent="0.35">
      <c r="L326" s="24"/>
      <c r="M326" s="30"/>
      <c r="N326" s="30"/>
      <c r="P326" s="30"/>
    </row>
    <row r="327" spans="12:16" x14ac:dyDescent="0.35">
      <c r="L327" s="24"/>
      <c r="M327" s="30"/>
      <c r="N327" s="30"/>
      <c r="P327" s="30"/>
    </row>
    <row r="328" spans="12:16" x14ac:dyDescent="0.35">
      <c r="L328" s="24"/>
      <c r="M328" s="30"/>
      <c r="N328" s="30"/>
      <c r="P328" s="30"/>
    </row>
    <row r="329" spans="12:16" x14ac:dyDescent="0.35">
      <c r="L329" s="24"/>
      <c r="M329" s="30"/>
      <c r="N329" s="30"/>
      <c r="P329" s="30"/>
    </row>
    <row r="330" spans="12:16" x14ac:dyDescent="0.35">
      <c r="L330" s="24"/>
      <c r="M330" s="30"/>
      <c r="N330" s="30"/>
      <c r="P330" s="30"/>
    </row>
    <row r="331" spans="12:16" x14ac:dyDescent="0.35">
      <c r="L331" s="24"/>
      <c r="M331" s="30"/>
      <c r="N331" s="30"/>
      <c r="P331" s="30"/>
    </row>
    <row r="332" spans="12:16" x14ac:dyDescent="0.35">
      <c r="L332" s="24"/>
      <c r="M332" s="30"/>
      <c r="N332" s="30"/>
      <c r="P332" s="30"/>
    </row>
    <row r="333" spans="12:16" x14ac:dyDescent="0.35">
      <c r="L333" s="24"/>
      <c r="M333" s="30"/>
      <c r="N333" s="30"/>
      <c r="P333" s="30"/>
    </row>
    <row r="334" spans="12:16" x14ac:dyDescent="0.35">
      <c r="L334" s="24"/>
      <c r="M334" s="30"/>
      <c r="N334" s="30"/>
      <c r="P334" s="30"/>
    </row>
    <row r="335" spans="12:16" x14ac:dyDescent="0.35">
      <c r="L335" s="24"/>
      <c r="M335" s="30"/>
      <c r="N335" s="30"/>
      <c r="P335" s="30"/>
    </row>
    <row r="336" spans="12:16" x14ac:dyDescent="0.35">
      <c r="L336" s="24"/>
      <c r="M336" s="30"/>
      <c r="N336" s="30"/>
      <c r="P336" s="30"/>
    </row>
    <row r="337" spans="12:16" x14ac:dyDescent="0.35">
      <c r="L337" s="24"/>
      <c r="M337" s="30"/>
      <c r="N337" s="30"/>
      <c r="P337" s="30"/>
    </row>
    <row r="338" spans="12:16" x14ac:dyDescent="0.35">
      <c r="L338" s="24"/>
      <c r="M338" s="30"/>
      <c r="N338" s="30"/>
      <c r="P338" s="30"/>
    </row>
    <row r="339" spans="12:16" x14ac:dyDescent="0.35">
      <c r="L339" s="24"/>
      <c r="M339" s="30"/>
      <c r="N339" s="30"/>
      <c r="P339" s="30"/>
    </row>
    <row r="340" spans="12:16" x14ac:dyDescent="0.35">
      <c r="L340" s="24"/>
      <c r="M340" s="30"/>
      <c r="N340" s="30"/>
      <c r="P340" s="30"/>
    </row>
    <row r="341" spans="12:16" x14ac:dyDescent="0.35">
      <c r="L341" s="24"/>
      <c r="M341" s="30"/>
      <c r="N341" s="30"/>
      <c r="P341" s="30"/>
    </row>
    <row r="342" spans="12:16" x14ac:dyDescent="0.35">
      <c r="L342" s="24"/>
      <c r="M342" s="30"/>
      <c r="N342" s="30"/>
      <c r="P342" s="30"/>
    </row>
    <row r="343" spans="12:16" x14ac:dyDescent="0.35">
      <c r="L343" s="24"/>
      <c r="M343" s="30"/>
      <c r="N343" s="30"/>
      <c r="P343" s="30"/>
    </row>
    <row r="344" spans="12:16" x14ac:dyDescent="0.35">
      <c r="L344" s="24"/>
      <c r="M344" s="30"/>
      <c r="N344" s="30"/>
      <c r="P344" s="30"/>
    </row>
    <row r="345" spans="12:16" x14ac:dyDescent="0.35">
      <c r="L345" s="24"/>
      <c r="M345" s="30"/>
      <c r="N345" s="30"/>
      <c r="P345" s="30"/>
    </row>
    <row r="346" spans="12:16" x14ac:dyDescent="0.35">
      <c r="L346" s="24"/>
      <c r="M346" s="30"/>
      <c r="N346" s="30"/>
      <c r="P346" s="30"/>
    </row>
    <row r="347" spans="12:16" x14ac:dyDescent="0.35">
      <c r="L347" s="24"/>
      <c r="M347" s="30"/>
      <c r="N347" s="30"/>
      <c r="P347" s="30"/>
    </row>
    <row r="348" spans="12:16" x14ac:dyDescent="0.35">
      <c r="L348" s="24"/>
      <c r="M348" s="30"/>
      <c r="N348" s="30"/>
      <c r="P348" s="30"/>
    </row>
    <row r="349" spans="12:16" x14ac:dyDescent="0.35">
      <c r="L349" s="24"/>
      <c r="M349" s="30"/>
      <c r="N349" s="30"/>
      <c r="P349" s="30"/>
    </row>
    <row r="350" spans="12:16" x14ac:dyDescent="0.35">
      <c r="L350" s="24"/>
      <c r="M350" s="30"/>
      <c r="N350" s="30"/>
      <c r="P350" s="30"/>
    </row>
    <row r="351" spans="12:16" x14ac:dyDescent="0.35">
      <c r="L351" s="24"/>
      <c r="M351" s="30"/>
      <c r="N351" s="30"/>
      <c r="P351" s="30"/>
    </row>
    <row r="352" spans="12:16" x14ac:dyDescent="0.35">
      <c r="L352" s="24"/>
      <c r="M352" s="30"/>
      <c r="N352" s="30"/>
      <c r="P352" s="30"/>
    </row>
    <row r="353" spans="12:16" x14ac:dyDescent="0.35">
      <c r="L353" s="24"/>
      <c r="M353" s="30"/>
      <c r="N353" s="30"/>
      <c r="P353" s="30"/>
    </row>
    <row r="354" spans="12:16" x14ac:dyDescent="0.35">
      <c r="L354" s="24"/>
      <c r="M354" s="30"/>
      <c r="N354" s="30"/>
      <c r="P354" s="30"/>
    </row>
    <row r="355" spans="12:16" x14ac:dyDescent="0.35">
      <c r="L355" s="24"/>
      <c r="M355" s="30"/>
      <c r="N355" s="30"/>
      <c r="P355" s="30"/>
    </row>
    <row r="356" spans="12:16" x14ac:dyDescent="0.35">
      <c r="L356" s="24"/>
      <c r="M356" s="30"/>
      <c r="N356" s="30"/>
      <c r="P356" s="30"/>
    </row>
    <row r="357" spans="12:16" x14ac:dyDescent="0.35">
      <c r="L357" s="24"/>
      <c r="M357" s="30"/>
      <c r="N357" s="30"/>
      <c r="P357" s="30"/>
    </row>
    <row r="358" spans="12:16" x14ac:dyDescent="0.35">
      <c r="L358" s="24"/>
      <c r="M358" s="30"/>
      <c r="N358" s="30"/>
      <c r="P358" s="30"/>
    </row>
    <row r="359" spans="12:16" x14ac:dyDescent="0.35">
      <c r="L359" s="24"/>
      <c r="M359" s="30"/>
      <c r="N359" s="30"/>
      <c r="P359" s="30"/>
    </row>
    <row r="360" spans="12:16" x14ac:dyDescent="0.35">
      <c r="L360" s="24"/>
      <c r="M360" s="30"/>
      <c r="N360" s="30"/>
      <c r="P360" s="30"/>
    </row>
    <row r="361" spans="12:16" x14ac:dyDescent="0.35">
      <c r="L361" s="24"/>
      <c r="M361" s="30"/>
      <c r="N361" s="30"/>
      <c r="P361" s="30"/>
    </row>
    <row r="362" spans="12:16" x14ac:dyDescent="0.35">
      <c r="L362" s="24"/>
      <c r="M362" s="30"/>
      <c r="N362" s="30"/>
      <c r="P362" s="30"/>
    </row>
    <row r="363" spans="12:16" x14ac:dyDescent="0.35">
      <c r="L363" s="24"/>
      <c r="M363" s="30"/>
      <c r="N363" s="30"/>
      <c r="P363" s="30"/>
    </row>
    <row r="364" spans="12:16" x14ac:dyDescent="0.35">
      <c r="L364" s="24"/>
      <c r="M364" s="30"/>
      <c r="N364" s="30"/>
      <c r="P364" s="30"/>
    </row>
    <row r="365" spans="12:16" x14ac:dyDescent="0.35">
      <c r="L365" s="24"/>
      <c r="M365" s="30"/>
      <c r="N365" s="30"/>
      <c r="P365" s="30"/>
    </row>
    <row r="366" spans="12:16" x14ac:dyDescent="0.35">
      <c r="L366" s="24"/>
      <c r="M366" s="30"/>
      <c r="N366" s="30"/>
      <c r="P366" s="30"/>
    </row>
    <row r="367" spans="12:16" x14ac:dyDescent="0.35">
      <c r="L367" s="24"/>
      <c r="M367" s="30"/>
      <c r="N367" s="30"/>
      <c r="P367" s="30"/>
    </row>
    <row r="368" spans="12:16" x14ac:dyDescent="0.35">
      <c r="L368" s="24"/>
      <c r="M368" s="30"/>
      <c r="N368" s="30"/>
      <c r="P368" s="30"/>
    </row>
    <row r="369" spans="12:16" x14ac:dyDescent="0.35">
      <c r="L369" s="24"/>
      <c r="M369" s="30"/>
      <c r="N369" s="30"/>
      <c r="P369" s="30"/>
    </row>
    <row r="370" spans="12:16" x14ac:dyDescent="0.35">
      <c r="L370" s="24"/>
      <c r="M370" s="30"/>
      <c r="N370" s="30"/>
      <c r="P370" s="30"/>
    </row>
    <row r="371" spans="12:16" x14ac:dyDescent="0.35">
      <c r="L371" s="24"/>
      <c r="M371" s="30"/>
      <c r="N371" s="30"/>
      <c r="P371" s="30"/>
    </row>
    <row r="372" spans="12:16" x14ac:dyDescent="0.35">
      <c r="L372" s="24"/>
      <c r="M372" s="30"/>
      <c r="N372" s="30"/>
      <c r="P372" s="30"/>
    </row>
    <row r="373" spans="12:16" x14ac:dyDescent="0.35">
      <c r="L373" s="24"/>
      <c r="M373" s="30"/>
      <c r="N373" s="30"/>
      <c r="P373" s="30"/>
    </row>
    <row r="374" spans="12:16" x14ac:dyDescent="0.35">
      <c r="L374" s="24"/>
      <c r="M374" s="30"/>
      <c r="N374" s="30"/>
      <c r="P374" s="30"/>
    </row>
    <row r="375" spans="12:16" x14ac:dyDescent="0.35">
      <c r="L375" s="24"/>
      <c r="M375" s="30"/>
      <c r="N375" s="30"/>
      <c r="P375" s="30"/>
    </row>
    <row r="376" spans="12:16" x14ac:dyDescent="0.35">
      <c r="L376" s="24"/>
      <c r="M376" s="30"/>
      <c r="N376" s="30"/>
      <c r="P376" s="30"/>
    </row>
    <row r="377" spans="12:16" x14ac:dyDescent="0.35">
      <c r="L377" s="24"/>
      <c r="M377" s="30"/>
      <c r="N377" s="30"/>
      <c r="P377" s="30"/>
    </row>
    <row r="378" spans="12:16" x14ac:dyDescent="0.35">
      <c r="L378" s="24"/>
      <c r="M378" s="30"/>
      <c r="N378" s="30"/>
      <c r="P378" s="30"/>
    </row>
    <row r="379" spans="12:16" x14ac:dyDescent="0.35">
      <c r="L379" s="24"/>
      <c r="M379" s="30"/>
      <c r="N379" s="30"/>
      <c r="P379" s="30"/>
    </row>
    <row r="380" spans="12:16" x14ac:dyDescent="0.35">
      <c r="L380" s="24"/>
      <c r="M380" s="30"/>
      <c r="N380" s="30"/>
      <c r="P380" s="30"/>
    </row>
    <row r="381" spans="12:16" x14ac:dyDescent="0.35">
      <c r="L381" s="24"/>
      <c r="M381" s="30"/>
      <c r="N381" s="30"/>
      <c r="P381" s="30"/>
    </row>
    <row r="382" spans="12:16" x14ac:dyDescent="0.35">
      <c r="L382" s="24"/>
      <c r="M382" s="30"/>
      <c r="N382" s="30"/>
      <c r="P382" s="30"/>
    </row>
    <row r="383" spans="12:16" x14ac:dyDescent="0.35">
      <c r="L383" s="24"/>
      <c r="M383" s="30"/>
      <c r="N383" s="30"/>
      <c r="P383" s="30"/>
    </row>
    <row r="384" spans="12:16" x14ac:dyDescent="0.35">
      <c r="L384" s="24"/>
      <c r="M384" s="30"/>
      <c r="N384" s="30"/>
      <c r="P384" s="30"/>
    </row>
    <row r="385" spans="12:16" x14ac:dyDescent="0.35">
      <c r="L385" s="24"/>
      <c r="M385" s="30"/>
      <c r="N385" s="30"/>
      <c r="P385" s="30"/>
    </row>
    <row r="386" spans="12:16" x14ac:dyDescent="0.35">
      <c r="L386" s="24"/>
      <c r="M386" s="30"/>
      <c r="N386" s="30"/>
      <c r="P386" s="30"/>
    </row>
    <row r="387" spans="12:16" x14ac:dyDescent="0.35">
      <c r="L387" s="24"/>
      <c r="M387" s="30"/>
      <c r="N387" s="30"/>
      <c r="P387" s="30"/>
    </row>
    <row r="388" spans="12:16" x14ac:dyDescent="0.35">
      <c r="L388" s="24"/>
      <c r="M388" s="30"/>
      <c r="N388" s="30"/>
      <c r="P388" s="30"/>
    </row>
    <row r="389" spans="12:16" x14ac:dyDescent="0.35">
      <c r="L389" s="24"/>
      <c r="M389" s="30"/>
      <c r="N389" s="30"/>
      <c r="P389" s="30"/>
    </row>
    <row r="390" spans="12:16" x14ac:dyDescent="0.35">
      <c r="L390" s="24"/>
      <c r="M390" s="30"/>
      <c r="N390" s="30"/>
      <c r="P390" s="30"/>
    </row>
    <row r="391" spans="12:16" x14ac:dyDescent="0.35">
      <c r="L391" s="24"/>
      <c r="M391" s="30"/>
      <c r="N391" s="30"/>
      <c r="P391" s="30"/>
    </row>
    <row r="392" spans="12:16" x14ac:dyDescent="0.35">
      <c r="L392" s="24"/>
      <c r="M392" s="30"/>
      <c r="N392" s="30"/>
      <c r="P392" s="30"/>
    </row>
    <row r="393" spans="12:16" x14ac:dyDescent="0.35">
      <c r="L393" s="24"/>
      <c r="M393" s="30"/>
      <c r="N393" s="30"/>
      <c r="P393" s="30"/>
    </row>
    <row r="394" spans="12:16" x14ac:dyDescent="0.35">
      <c r="L394" s="24"/>
      <c r="M394" s="30"/>
      <c r="N394" s="30"/>
      <c r="P394" s="30"/>
    </row>
    <row r="395" spans="12:16" x14ac:dyDescent="0.35">
      <c r="L395" s="24"/>
      <c r="M395" s="30"/>
      <c r="N395" s="30"/>
      <c r="P395" s="30"/>
    </row>
    <row r="396" spans="12:16" x14ac:dyDescent="0.35">
      <c r="L396" s="24"/>
      <c r="M396" s="30"/>
      <c r="N396" s="30"/>
      <c r="P396" s="30"/>
    </row>
    <row r="397" spans="12:16" x14ac:dyDescent="0.35">
      <c r="L397" s="24"/>
      <c r="M397" s="30"/>
      <c r="N397" s="30"/>
      <c r="P397" s="30"/>
    </row>
    <row r="398" spans="12:16" x14ac:dyDescent="0.35">
      <c r="L398" s="24"/>
      <c r="M398" s="30"/>
      <c r="N398" s="30"/>
      <c r="P398" s="30"/>
    </row>
    <row r="399" spans="12:16" x14ac:dyDescent="0.35">
      <c r="L399" s="24"/>
      <c r="M399" s="30"/>
      <c r="N399" s="30"/>
      <c r="P399" s="30"/>
    </row>
    <row r="400" spans="12:16" x14ac:dyDescent="0.35">
      <c r="L400" s="24"/>
      <c r="M400" s="30"/>
      <c r="N400" s="30"/>
      <c r="P400" s="30"/>
    </row>
    <row r="401" spans="12:16" x14ac:dyDescent="0.35">
      <c r="L401" s="24"/>
      <c r="M401" s="30"/>
      <c r="N401" s="30"/>
      <c r="P401" s="30"/>
    </row>
    <row r="402" spans="12:16" x14ac:dyDescent="0.35">
      <c r="L402" s="24"/>
      <c r="M402" s="30"/>
      <c r="N402" s="30"/>
      <c r="P402" s="30"/>
    </row>
    <row r="403" spans="12:16" x14ac:dyDescent="0.35">
      <c r="L403" s="24"/>
      <c r="M403" s="30"/>
      <c r="N403" s="30"/>
      <c r="P403" s="30"/>
    </row>
    <row r="404" spans="12:16" x14ac:dyDescent="0.35">
      <c r="L404" s="24"/>
      <c r="M404" s="30"/>
      <c r="N404" s="30"/>
      <c r="P404" s="30"/>
    </row>
    <row r="405" spans="12:16" x14ac:dyDescent="0.35">
      <c r="L405" s="24"/>
      <c r="M405" s="30"/>
      <c r="N405" s="30"/>
      <c r="P405" s="30"/>
    </row>
    <row r="406" spans="12:16" x14ac:dyDescent="0.35">
      <c r="L406" s="24"/>
      <c r="M406" s="30"/>
      <c r="N406" s="30"/>
      <c r="P406" s="30"/>
    </row>
    <row r="407" spans="12:16" x14ac:dyDescent="0.35">
      <c r="L407" s="24"/>
      <c r="M407" s="30"/>
      <c r="N407" s="30"/>
      <c r="P407" s="30"/>
    </row>
    <row r="408" spans="12:16" x14ac:dyDescent="0.35">
      <c r="L408" s="24"/>
      <c r="M408" s="30"/>
      <c r="N408" s="30"/>
      <c r="P408" s="30"/>
    </row>
    <row r="409" spans="12:16" x14ac:dyDescent="0.35">
      <c r="L409" s="24"/>
      <c r="M409" s="30"/>
      <c r="N409" s="30"/>
      <c r="P409" s="30"/>
    </row>
    <row r="410" spans="12:16" x14ac:dyDescent="0.35">
      <c r="L410" s="24"/>
      <c r="M410" s="30"/>
      <c r="N410" s="30"/>
      <c r="P410" s="30"/>
    </row>
    <row r="411" spans="12:16" x14ac:dyDescent="0.35">
      <c r="L411" s="24"/>
      <c r="M411" s="30"/>
      <c r="N411" s="30"/>
      <c r="P411" s="30"/>
    </row>
    <row r="412" spans="12:16" x14ac:dyDescent="0.35">
      <c r="L412" s="24"/>
      <c r="M412" s="30"/>
      <c r="N412" s="30"/>
      <c r="P412" s="30"/>
    </row>
    <row r="413" spans="12:16" x14ac:dyDescent="0.35">
      <c r="L413" s="24"/>
      <c r="M413" s="30"/>
      <c r="N413" s="30"/>
      <c r="P413" s="30"/>
    </row>
    <row r="414" spans="12:16" x14ac:dyDescent="0.35">
      <c r="L414" s="24"/>
      <c r="M414" s="30"/>
      <c r="N414" s="30"/>
      <c r="P414" s="30"/>
    </row>
    <row r="415" spans="12:16" x14ac:dyDescent="0.35">
      <c r="L415" s="24"/>
      <c r="M415" s="30"/>
      <c r="N415" s="30"/>
      <c r="P415" s="30"/>
    </row>
    <row r="416" spans="12:16" x14ac:dyDescent="0.35">
      <c r="L416" s="24"/>
      <c r="M416" s="30"/>
      <c r="N416" s="30"/>
      <c r="P416" s="30"/>
    </row>
    <row r="417" spans="12:16" x14ac:dyDescent="0.35">
      <c r="L417" s="24"/>
      <c r="M417" s="30"/>
      <c r="N417" s="30"/>
      <c r="P417" s="30"/>
    </row>
    <row r="418" spans="12:16" x14ac:dyDescent="0.35">
      <c r="L418" s="24"/>
      <c r="M418" s="30"/>
      <c r="N418" s="30"/>
      <c r="P418" s="30"/>
    </row>
    <row r="419" spans="12:16" x14ac:dyDescent="0.35">
      <c r="L419" s="24"/>
      <c r="M419" s="30"/>
      <c r="N419" s="30"/>
      <c r="P419" s="30"/>
    </row>
    <row r="420" spans="12:16" x14ac:dyDescent="0.35">
      <c r="L420" s="24"/>
      <c r="M420" s="30"/>
      <c r="N420" s="30"/>
      <c r="P420" s="30"/>
    </row>
    <row r="421" spans="12:16" x14ac:dyDescent="0.35">
      <c r="L421" s="24"/>
      <c r="M421" s="30"/>
      <c r="N421" s="30"/>
      <c r="P421" s="30"/>
    </row>
    <row r="422" spans="12:16" x14ac:dyDescent="0.35">
      <c r="L422" s="24"/>
      <c r="M422" s="30"/>
      <c r="N422" s="30"/>
      <c r="P422" s="30"/>
    </row>
    <row r="423" spans="12:16" x14ac:dyDescent="0.35">
      <c r="L423" s="24"/>
      <c r="M423" s="30"/>
      <c r="N423" s="30"/>
      <c r="P423" s="30"/>
    </row>
    <row r="424" spans="12:16" x14ac:dyDescent="0.35">
      <c r="L424" s="24"/>
      <c r="M424" s="30"/>
      <c r="N424" s="30"/>
      <c r="P424" s="30"/>
    </row>
    <row r="425" spans="12:16" x14ac:dyDescent="0.35">
      <c r="L425" s="24"/>
      <c r="M425" s="30"/>
      <c r="N425" s="30"/>
      <c r="P425" s="30"/>
    </row>
    <row r="426" spans="12:16" x14ac:dyDescent="0.35">
      <c r="L426" s="24"/>
      <c r="M426" s="30"/>
      <c r="N426" s="30"/>
      <c r="P426" s="30"/>
    </row>
    <row r="427" spans="12:16" x14ac:dyDescent="0.35">
      <c r="L427" s="24"/>
      <c r="M427" s="30"/>
      <c r="N427" s="30"/>
      <c r="P427" s="30"/>
    </row>
    <row r="428" spans="12:16" x14ac:dyDescent="0.35">
      <c r="L428" s="24"/>
      <c r="M428" s="30"/>
      <c r="N428" s="30"/>
      <c r="P428" s="30"/>
    </row>
    <row r="429" spans="12:16" x14ac:dyDescent="0.35">
      <c r="L429" s="24"/>
      <c r="M429" s="30"/>
      <c r="N429" s="30"/>
      <c r="P429" s="30"/>
    </row>
    <row r="430" spans="12:16" x14ac:dyDescent="0.35">
      <c r="L430" s="24"/>
      <c r="M430" s="30"/>
      <c r="N430" s="30"/>
      <c r="P430" s="30"/>
    </row>
    <row r="431" spans="12:16" x14ac:dyDescent="0.35">
      <c r="L431" s="24"/>
      <c r="M431" s="30"/>
      <c r="N431" s="30"/>
      <c r="P431" s="30"/>
    </row>
    <row r="432" spans="12:16" x14ac:dyDescent="0.35">
      <c r="L432" s="24"/>
      <c r="M432" s="30"/>
      <c r="N432" s="30"/>
      <c r="P432" s="30"/>
    </row>
    <row r="433" spans="12:16" x14ac:dyDescent="0.35">
      <c r="L433" s="24"/>
      <c r="M433" s="30"/>
      <c r="N433" s="30"/>
      <c r="P433" s="30"/>
    </row>
    <row r="434" spans="12:16" x14ac:dyDescent="0.35">
      <c r="L434" s="24"/>
      <c r="M434" s="30"/>
      <c r="N434" s="30"/>
      <c r="P434" s="30"/>
    </row>
    <row r="435" spans="12:16" x14ac:dyDescent="0.35">
      <c r="L435" s="24"/>
      <c r="M435" s="30"/>
      <c r="N435" s="30"/>
      <c r="P435" s="30"/>
    </row>
    <row r="436" spans="12:16" x14ac:dyDescent="0.35">
      <c r="L436" s="24"/>
      <c r="M436" s="30"/>
      <c r="N436" s="30"/>
      <c r="P436" s="30"/>
    </row>
    <row r="437" spans="12:16" x14ac:dyDescent="0.35">
      <c r="L437" s="24"/>
      <c r="M437" s="30"/>
      <c r="N437" s="30"/>
      <c r="P437" s="30"/>
    </row>
    <row r="438" spans="12:16" x14ac:dyDescent="0.35">
      <c r="L438" s="24"/>
      <c r="M438" s="30"/>
      <c r="N438" s="30"/>
      <c r="P438" s="30"/>
    </row>
    <row r="439" spans="12:16" x14ac:dyDescent="0.35">
      <c r="L439" s="24"/>
      <c r="M439" s="30"/>
      <c r="N439" s="30"/>
      <c r="P439" s="30"/>
    </row>
    <row r="440" spans="12:16" x14ac:dyDescent="0.35">
      <c r="L440" s="24"/>
      <c r="M440" s="30"/>
      <c r="N440" s="30"/>
      <c r="P440" s="30"/>
    </row>
    <row r="441" spans="12:16" x14ac:dyDescent="0.35">
      <c r="L441" s="24"/>
      <c r="M441" s="30"/>
      <c r="N441" s="30"/>
      <c r="P441" s="30"/>
    </row>
    <row r="442" spans="12:16" x14ac:dyDescent="0.35">
      <c r="L442" s="24"/>
      <c r="M442" s="30"/>
      <c r="N442" s="30"/>
      <c r="P442" s="30"/>
    </row>
    <row r="443" spans="12:16" x14ac:dyDescent="0.35">
      <c r="L443" s="24"/>
      <c r="M443" s="30"/>
      <c r="N443" s="30"/>
      <c r="P443" s="30"/>
    </row>
    <row r="444" spans="12:16" x14ac:dyDescent="0.35">
      <c r="L444" s="24"/>
      <c r="M444" s="30"/>
      <c r="N444" s="30"/>
      <c r="P444" s="30"/>
    </row>
    <row r="445" spans="12:16" x14ac:dyDescent="0.35">
      <c r="L445" s="24"/>
      <c r="M445" s="30"/>
      <c r="N445" s="30"/>
      <c r="P445" s="30"/>
    </row>
    <row r="446" spans="12:16" x14ac:dyDescent="0.35">
      <c r="L446" s="24"/>
      <c r="M446" s="30"/>
      <c r="N446" s="30"/>
      <c r="P446" s="30"/>
    </row>
    <row r="447" spans="12:16" x14ac:dyDescent="0.35">
      <c r="L447" s="24"/>
      <c r="M447" s="30"/>
      <c r="N447" s="30"/>
      <c r="P447" s="30"/>
    </row>
    <row r="448" spans="12:16" x14ac:dyDescent="0.35">
      <c r="L448" s="24"/>
      <c r="M448" s="30"/>
      <c r="N448" s="30"/>
      <c r="P448" s="30"/>
    </row>
    <row r="449" spans="12:16" x14ac:dyDescent="0.35">
      <c r="L449" s="24"/>
      <c r="M449" s="30"/>
      <c r="N449" s="30"/>
      <c r="P449" s="30"/>
    </row>
    <row r="450" spans="12:16" x14ac:dyDescent="0.35">
      <c r="L450" s="24"/>
      <c r="M450" s="30"/>
      <c r="N450" s="30"/>
      <c r="P450" s="30"/>
    </row>
    <row r="451" spans="12:16" x14ac:dyDescent="0.35">
      <c r="L451" s="24"/>
      <c r="M451" s="30"/>
      <c r="N451" s="30"/>
      <c r="P451" s="30"/>
    </row>
    <row r="452" spans="12:16" x14ac:dyDescent="0.35">
      <c r="L452" s="24"/>
      <c r="M452" s="30"/>
      <c r="N452" s="30"/>
      <c r="P452" s="30"/>
    </row>
    <row r="453" spans="12:16" x14ac:dyDescent="0.35">
      <c r="L453" s="24"/>
      <c r="M453" s="30"/>
      <c r="N453" s="30"/>
      <c r="P453" s="30"/>
    </row>
    <row r="454" spans="12:16" x14ac:dyDescent="0.35">
      <c r="L454" s="24"/>
      <c r="M454" s="30"/>
      <c r="N454" s="30"/>
      <c r="P454" s="30"/>
    </row>
    <row r="455" spans="12:16" x14ac:dyDescent="0.35">
      <c r="L455" s="24"/>
      <c r="M455" s="30"/>
      <c r="N455" s="30"/>
      <c r="P455" s="30"/>
    </row>
    <row r="456" spans="12:16" x14ac:dyDescent="0.35">
      <c r="L456" s="24"/>
      <c r="M456" s="30"/>
      <c r="N456" s="30"/>
      <c r="P456" s="30"/>
    </row>
    <row r="457" spans="12:16" x14ac:dyDescent="0.35">
      <c r="L457" s="24"/>
      <c r="M457" s="30"/>
      <c r="N457" s="30"/>
      <c r="P457" s="30"/>
    </row>
    <row r="458" spans="12:16" x14ac:dyDescent="0.35">
      <c r="L458" s="24"/>
      <c r="M458" s="30"/>
      <c r="N458" s="30"/>
      <c r="P458" s="30"/>
    </row>
    <row r="459" spans="12:16" x14ac:dyDescent="0.35">
      <c r="L459" s="24"/>
      <c r="M459" s="30"/>
      <c r="N459" s="30"/>
      <c r="P459" s="30"/>
    </row>
    <row r="460" spans="12:16" x14ac:dyDescent="0.35">
      <c r="L460" s="24"/>
      <c r="M460" s="30"/>
      <c r="N460" s="30"/>
      <c r="P460" s="30"/>
    </row>
    <row r="461" spans="12:16" x14ac:dyDescent="0.35">
      <c r="L461" s="24"/>
      <c r="M461" s="30"/>
      <c r="N461" s="30"/>
      <c r="P461" s="30"/>
    </row>
    <row r="462" spans="12:16" x14ac:dyDescent="0.35">
      <c r="L462" s="24"/>
      <c r="M462" s="30"/>
      <c r="N462" s="30"/>
      <c r="P462" s="30"/>
    </row>
    <row r="463" spans="12:16" x14ac:dyDescent="0.35">
      <c r="L463" s="24"/>
      <c r="M463" s="30"/>
      <c r="N463" s="30"/>
      <c r="P463" s="30"/>
    </row>
    <row r="464" spans="12:16" x14ac:dyDescent="0.35">
      <c r="L464" s="24"/>
      <c r="M464" s="30"/>
      <c r="N464" s="30"/>
      <c r="P464" s="30"/>
    </row>
    <row r="465" spans="12:16" x14ac:dyDescent="0.35">
      <c r="L465" s="24"/>
      <c r="M465" s="30"/>
      <c r="N465" s="30"/>
      <c r="P465" s="30"/>
    </row>
    <row r="466" spans="12:16" x14ac:dyDescent="0.35">
      <c r="L466" s="24"/>
      <c r="M466" s="30"/>
      <c r="N466" s="30"/>
      <c r="P466" s="30"/>
    </row>
    <row r="467" spans="12:16" x14ac:dyDescent="0.35">
      <c r="L467" s="24"/>
      <c r="M467" s="30"/>
      <c r="N467" s="30"/>
      <c r="P467" s="30"/>
    </row>
    <row r="468" spans="12:16" x14ac:dyDescent="0.35">
      <c r="L468" s="24"/>
      <c r="M468" s="30"/>
      <c r="N468" s="30"/>
      <c r="P468" s="30"/>
    </row>
    <row r="469" spans="12:16" x14ac:dyDescent="0.35">
      <c r="L469" s="24"/>
      <c r="M469" s="30"/>
      <c r="N469" s="30"/>
      <c r="P469" s="30"/>
    </row>
    <row r="470" spans="12:16" x14ac:dyDescent="0.35">
      <c r="L470" s="24"/>
      <c r="M470" s="30"/>
      <c r="N470" s="30"/>
      <c r="P470" s="30"/>
    </row>
    <row r="471" spans="12:16" x14ac:dyDescent="0.35">
      <c r="L471" s="24"/>
      <c r="M471" s="30"/>
      <c r="N471" s="30"/>
      <c r="P471" s="30"/>
    </row>
    <row r="472" spans="12:16" x14ac:dyDescent="0.35">
      <c r="L472" s="24"/>
      <c r="M472" s="30"/>
      <c r="N472" s="30"/>
      <c r="P472" s="30"/>
    </row>
    <row r="473" spans="12:16" x14ac:dyDescent="0.35">
      <c r="L473" s="24"/>
      <c r="M473" s="30"/>
      <c r="N473" s="30"/>
      <c r="P473" s="30"/>
    </row>
    <row r="474" spans="12:16" x14ac:dyDescent="0.35">
      <c r="L474" s="24"/>
      <c r="M474" s="30"/>
      <c r="N474" s="30"/>
      <c r="P474" s="30"/>
    </row>
    <row r="475" spans="12:16" x14ac:dyDescent="0.35">
      <c r="L475" s="24"/>
      <c r="M475" s="30"/>
      <c r="N475" s="30"/>
      <c r="P475" s="30"/>
    </row>
    <row r="476" spans="12:16" x14ac:dyDescent="0.35">
      <c r="L476" s="24"/>
      <c r="M476" s="30"/>
      <c r="N476" s="30"/>
      <c r="P476" s="30"/>
    </row>
    <row r="477" spans="12:16" x14ac:dyDescent="0.35">
      <c r="L477" s="24"/>
      <c r="M477" s="30"/>
      <c r="N477" s="30"/>
      <c r="P477" s="30"/>
    </row>
    <row r="478" spans="12:16" x14ac:dyDescent="0.35">
      <c r="L478" s="24"/>
      <c r="M478" s="30"/>
      <c r="N478" s="30"/>
      <c r="P478" s="30"/>
    </row>
    <row r="479" spans="12:16" x14ac:dyDescent="0.35">
      <c r="L479" s="24"/>
      <c r="M479" s="30"/>
      <c r="N479" s="30"/>
      <c r="P479" s="30"/>
    </row>
    <row r="480" spans="12:16" x14ac:dyDescent="0.35">
      <c r="L480" s="24"/>
      <c r="M480" s="30"/>
      <c r="N480" s="30"/>
      <c r="P480" s="30"/>
    </row>
    <row r="481" spans="12:16" x14ac:dyDescent="0.35">
      <c r="L481" s="24"/>
      <c r="M481" s="30"/>
      <c r="N481" s="30"/>
      <c r="P481" s="30"/>
    </row>
    <row r="482" spans="12:16" x14ac:dyDescent="0.35">
      <c r="L482" s="24"/>
      <c r="M482" s="30"/>
      <c r="N482" s="30"/>
      <c r="P482" s="30"/>
    </row>
    <row r="483" spans="12:16" x14ac:dyDescent="0.35">
      <c r="L483" s="24"/>
      <c r="M483" s="30"/>
      <c r="N483" s="30"/>
      <c r="P483" s="30"/>
    </row>
    <row r="484" spans="12:16" x14ac:dyDescent="0.35">
      <c r="L484" s="24"/>
      <c r="M484" s="30"/>
      <c r="N484" s="30"/>
      <c r="P484" s="30"/>
    </row>
    <row r="485" spans="12:16" x14ac:dyDescent="0.35">
      <c r="L485" s="24"/>
      <c r="M485" s="30"/>
      <c r="N485" s="30"/>
      <c r="P485" s="30"/>
    </row>
    <row r="486" spans="12:16" x14ac:dyDescent="0.35">
      <c r="L486" s="24"/>
      <c r="M486" s="30"/>
      <c r="N486" s="30"/>
      <c r="P486" s="30"/>
    </row>
    <row r="487" spans="12:16" x14ac:dyDescent="0.35">
      <c r="L487" s="24"/>
      <c r="M487" s="30"/>
      <c r="N487" s="30"/>
      <c r="P487" s="30"/>
    </row>
    <row r="488" spans="12:16" x14ac:dyDescent="0.35">
      <c r="L488" s="24"/>
      <c r="M488" s="30"/>
      <c r="N488" s="30"/>
      <c r="P488" s="30"/>
    </row>
    <row r="489" spans="12:16" x14ac:dyDescent="0.35">
      <c r="L489" s="24"/>
      <c r="M489" s="30"/>
      <c r="N489" s="30"/>
      <c r="P489" s="30"/>
    </row>
    <row r="490" spans="12:16" x14ac:dyDescent="0.35">
      <c r="L490" s="24"/>
      <c r="M490" s="30"/>
      <c r="N490" s="30"/>
      <c r="P490" s="30"/>
    </row>
    <row r="491" spans="12:16" x14ac:dyDescent="0.35">
      <c r="L491" s="24"/>
      <c r="M491" s="30"/>
      <c r="N491" s="30"/>
      <c r="P491" s="30"/>
    </row>
    <row r="492" spans="12:16" x14ac:dyDescent="0.35">
      <c r="L492" s="24"/>
      <c r="M492" s="30"/>
      <c r="N492" s="30"/>
      <c r="P492" s="30"/>
    </row>
    <row r="493" spans="12:16" x14ac:dyDescent="0.35">
      <c r="M493" s="30"/>
      <c r="N493" s="30"/>
      <c r="P493" s="30"/>
    </row>
    <row r="494" spans="12:16" x14ac:dyDescent="0.35">
      <c r="M494" s="30"/>
      <c r="N494" s="30"/>
      <c r="P494" s="30"/>
    </row>
    <row r="495" spans="12:16" x14ac:dyDescent="0.35">
      <c r="M495" s="30"/>
      <c r="N495" s="30"/>
      <c r="P495" s="30"/>
    </row>
    <row r="496" spans="12:16" x14ac:dyDescent="0.35">
      <c r="M496" s="30"/>
      <c r="N496" s="30"/>
      <c r="P496" s="30"/>
    </row>
    <row r="497" spans="13:16" x14ac:dyDescent="0.35">
      <c r="M497" s="30"/>
      <c r="N497" s="30"/>
      <c r="P497" s="30"/>
    </row>
    <row r="498" spans="13:16" x14ac:dyDescent="0.35">
      <c r="M498" s="30"/>
      <c r="N498" s="30"/>
      <c r="P498" s="30"/>
    </row>
    <row r="499" spans="13:16" x14ac:dyDescent="0.35">
      <c r="M499" s="30"/>
      <c r="N499" s="30"/>
      <c r="P499" s="30"/>
    </row>
    <row r="500" spans="13:16" x14ac:dyDescent="0.35">
      <c r="M500" s="30"/>
      <c r="N500" s="30"/>
      <c r="P500" s="30"/>
    </row>
  </sheetData>
  <phoneticPr fontId="3" type="noConversion"/>
  <conditionalFormatting sqref="B8:E500">
    <cfRule type="expression" dxfId="17" priority="12">
      <formula>IF(AND(NOT(ISBLANK($A8)),ISBLANK(B8)),TRUE,FALSE)</formula>
    </cfRule>
  </conditionalFormatting>
  <conditionalFormatting sqref="E3">
    <cfRule type="expression" dxfId="16" priority="2">
      <formula>IF(AND(NOT(ISBLANK($A3)),ISBLANK(E3)),TRUE,FALSE)</formula>
    </cfRule>
  </conditionalFormatting>
  <conditionalFormatting sqref="G8:G13">
    <cfRule type="expression" dxfId="15" priority="3">
      <formula>AND(NOT(ISBLANK($E7)),$E7="Specific month",ISBLANK(G8))</formula>
    </cfRule>
    <cfRule type="expression" dxfId="14" priority="4">
      <formula>$E7="Immediately"</formula>
    </cfRule>
    <cfRule type="expression" dxfId="13" priority="5">
      <formula>$E7="Never repair"</formula>
    </cfRule>
  </conditionalFormatting>
  <conditionalFormatting sqref="G8:J500">
    <cfRule type="expression" dxfId="12" priority="9">
      <formula>AND(NOT(ISBLANK($E8)),$E8="Specific month",ISBLANK(G8))</formula>
    </cfRule>
    <cfRule type="expression" dxfId="11" priority="13">
      <formula>$E8="Never repair"</formula>
    </cfRule>
  </conditionalFormatting>
  <conditionalFormatting sqref="H8:J500">
    <cfRule type="expression" dxfId="10" priority="10">
      <formula>$E8="Immediately"</formula>
    </cfRule>
  </conditionalFormatting>
  <conditionalFormatting sqref="I3:I1048576">
    <cfRule type="expression" dxfId="9" priority="1">
      <formula>AND($A3&lt;&gt;"",$H3="",$J3="")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J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K8:K140" xr:uid="{030B7424-D88F-42EF-921A-C45A1986C5E0}">
      <formula1>0</formula1>
    </dataValidation>
    <dataValidation type="list" allowBlank="1" showInputMessage="1" showErrorMessage="1" errorTitle="Wrong input" error="It must be a decimal between -90.0 and 90.0." sqref="M8:N500 P8:P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O8:O501" xr:uid="{0D1C834F-FCC5-4710-A119-E3DF557931F2}">
      <formula1>0</formula1>
      <formula2>100</formula2>
    </dataValidation>
    <dataValidation type="decimal" operator="greaterThanOrEqual" allowBlank="1" showInputMessage="1" showErrorMessage="1" sqref="L6:L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A11" sqref="A11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</cols>
  <sheetData>
    <row r="1" spans="1:3" x14ac:dyDescent="0.35">
      <c r="A1" t="s">
        <v>9</v>
      </c>
      <c r="B1" t="s">
        <v>10</v>
      </c>
      <c r="C1" t="s">
        <v>11</v>
      </c>
    </row>
    <row r="2" spans="1:3" x14ac:dyDescent="0.35">
      <c r="A2" t="s">
        <v>289</v>
      </c>
      <c r="B2" t="s">
        <v>290</v>
      </c>
      <c r="C2" s="21">
        <v>390</v>
      </c>
    </row>
    <row r="3" spans="1:3" x14ac:dyDescent="0.35">
      <c r="A3" t="s">
        <v>291</v>
      </c>
      <c r="B3" t="s">
        <v>290</v>
      </c>
      <c r="C3" s="21">
        <v>730</v>
      </c>
    </row>
    <row r="4" spans="1:3" x14ac:dyDescent="0.35">
      <c r="A4" t="s">
        <v>292</v>
      </c>
      <c r="B4" t="s">
        <v>290</v>
      </c>
      <c r="C4" s="21">
        <v>700</v>
      </c>
    </row>
    <row r="5" spans="1:3" x14ac:dyDescent="0.35">
      <c r="A5" t="s">
        <v>293</v>
      </c>
      <c r="B5" t="s">
        <v>252</v>
      </c>
      <c r="C5" s="21">
        <v>5000</v>
      </c>
    </row>
    <row r="6" spans="1:3" x14ac:dyDescent="0.35">
      <c r="A6" t="s">
        <v>294</v>
      </c>
      <c r="B6" t="s">
        <v>13</v>
      </c>
      <c r="C6" s="46" t="b">
        <v>0</v>
      </c>
    </row>
    <row r="7" spans="1:3" x14ac:dyDescent="0.35">
      <c r="A7" t="s">
        <v>295</v>
      </c>
      <c r="B7" t="s">
        <v>296</v>
      </c>
      <c r="C7" s="23">
        <v>30</v>
      </c>
    </row>
    <row r="8" spans="1:3" x14ac:dyDescent="0.35">
      <c r="A8" t="s">
        <v>297</v>
      </c>
      <c r="B8" t="s">
        <v>252</v>
      </c>
    </row>
    <row r="9" spans="1:3" x14ac:dyDescent="0.35">
      <c r="A9" t="s">
        <v>298</v>
      </c>
      <c r="B9" t="s">
        <v>299</v>
      </c>
      <c r="C9">
        <v>97</v>
      </c>
    </row>
    <row r="10" spans="1:3" x14ac:dyDescent="0.35">
      <c r="A10" t="s">
        <v>300</v>
      </c>
      <c r="B10" t="s">
        <v>252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4.5" x14ac:dyDescent="0.35"/>
  <cols>
    <col min="1" max="1" width="18.26953125" bestFit="1" customWidth="1"/>
    <col min="2" max="2" width="8.26953125" bestFit="1" customWidth="1"/>
    <col min="3" max="3" width="11.453125" bestFit="1" customWidth="1"/>
    <col min="4" max="4" width="5.26953125" bestFit="1" customWidth="1"/>
  </cols>
  <sheetData>
    <row r="1" spans="1:4" x14ac:dyDescent="0.35">
      <c r="A1" t="s">
        <v>301</v>
      </c>
      <c r="B1" t="s">
        <v>302</v>
      </c>
      <c r="C1" t="s">
        <v>303</v>
      </c>
      <c r="D1" t="s">
        <v>304</v>
      </c>
    </row>
    <row r="2" spans="1:4" x14ac:dyDescent="0.35">
      <c r="A2" t="s">
        <v>89</v>
      </c>
      <c r="B2" t="s">
        <v>305</v>
      </c>
      <c r="C2" s="1">
        <f>AVERAGE(2984,16000,4120,9000,9000)</f>
        <v>8220.7999999999993</v>
      </c>
      <c r="D2">
        <f>210</f>
        <v>210</v>
      </c>
    </row>
    <row r="3" spans="1:4" x14ac:dyDescent="0.35">
      <c r="A3" t="s">
        <v>306</v>
      </c>
      <c r="B3" t="s">
        <v>305</v>
      </c>
      <c r="C3" s="1">
        <f>AVERAGE(7883.625,10167,13440,28800,10167)</f>
        <v>14091.525</v>
      </c>
      <c r="D3">
        <f>210</f>
        <v>210</v>
      </c>
    </row>
    <row r="4" spans="1:4" x14ac:dyDescent="0.35">
      <c r="A4" t="s">
        <v>307</v>
      </c>
      <c r="B4" t="s">
        <v>305</v>
      </c>
      <c r="C4">
        <v>13360</v>
      </c>
      <c r="D4">
        <f>210</f>
        <v>210</v>
      </c>
    </row>
    <row r="5" spans="1:4" x14ac:dyDescent="0.35">
      <c r="A5" t="s">
        <v>91</v>
      </c>
      <c r="B5" t="s">
        <v>92</v>
      </c>
      <c r="C5" s="1">
        <f>AVERAGE(808.83,2058.42,1066.24,1790)</f>
        <v>1430.8724999999999</v>
      </c>
      <c r="D5">
        <f>210</f>
        <v>210</v>
      </c>
    </row>
    <row r="6" spans="1:4" x14ac:dyDescent="0.35">
      <c r="A6" t="s">
        <v>308</v>
      </c>
      <c r="B6" t="s">
        <v>305</v>
      </c>
      <c r="C6" s="1">
        <f>AVERAGE(736,8826,27300)</f>
        <v>12287.333333333334</v>
      </c>
      <c r="D6">
        <f>210</f>
        <v>210</v>
      </c>
    </row>
    <row r="7" spans="1:4" x14ac:dyDescent="0.35">
      <c r="A7" t="s">
        <v>90</v>
      </c>
      <c r="B7" t="s">
        <v>305</v>
      </c>
      <c r="C7" s="1">
        <f>AVERAGE(14390,5440,1250)</f>
        <v>7026.666666666667</v>
      </c>
      <c r="D7">
        <f>210</f>
        <v>210</v>
      </c>
    </row>
    <row r="8" spans="1:4" x14ac:dyDescent="0.35">
      <c r="A8" t="s">
        <v>309</v>
      </c>
      <c r="B8" t="s">
        <v>305</v>
      </c>
      <c r="C8" s="1">
        <f>AVERAGE(1783,662.5,3495,442)</f>
        <v>1595.625</v>
      </c>
      <c r="D8">
        <f>210</f>
        <v>210</v>
      </c>
    </row>
    <row r="9" spans="1:4" x14ac:dyDescent="0.35">
      <c r="A9" t="s">
        <v>310</v>
      </c>
      <c r="B9" t="s">
        <v>305</v>
      </c>
      <c r="C9" s="1">
        <f>AVERAGE(2400,4800,13400,4800)</f>
        <v>6350</v>
      </c>
      <c r="D9">
        <f>210</f>
        <v>210</v>
      </c>
    </row>
    <row r="10" spans="1:4" x14ac:dyDescent="0.35">
      <c r="A10" t="s">
        <v>87</v>
      </c>
      <c r="B10" t="s">
        <v>92</v>
      </c>
      <c r="C10" s="1">
        <f>AVERAGE(805.5,1862.345,2316.2,881)</f>
        <v>1466.26125</v>
      </c>
      <c r="D10">
        <f>210</f>
        <v>210</v>
      </c>
    </row>
    <row r="11" spans="1:4" x14ac:dyDescent="0.35">
      <c r="A11" t="s">
        <v>311</v>
      </c>
      <c r="B11" t="s">
        <v>305</v>
      </c>
      <c r="C11" s="1">
        <f>1413</f>
        <v>1413</v>
      </c>
      <c r="D11">
        <f>210</f>
        <v>210</v>
      </c>
    </row>
    <row r="12" spans="1:4" x14ac:dyDescent="0.35">
      <c r="A12" t="s">
        <v>312</v>
      </c>
      <c r="B12" t="s">
        <v>305</v>
      </c>
      <c r="C12" s="1">
        <f>AVERAGE(11380,20477.5,930,21125)</f>
        <v>13478.125</v>
      </c>
      <c r="D12">
        <f>210</f>
        <v>210</v>
      </c>
    </row>
    <row r="13" spans="1:4" x14ac:dyDescent="0.35">
      <c r="A13" t="s">
        <v>313</v>
      </c>
      <c r="B13" t="s">
        <v>305</v>
      </c>
      <c r="C13" s="1">
        <f>AVERAGE(4639.87,2868,7060,6905.9)</f>
        <v>5368.4424999999992</v>
      </c>
      <c r="D13">
        <f>210</f>
        <v>210</v>
      </c>
    </row>
    <row r="14" spans="1:4" x14ac:dyDescent="0.35">
      <c r="A14" t="s">
        <v>314</v>
      </c>
      <c r="B14" t="s">
        <v>305</v>
      </c>
      <c r="C14" s="1">
        <f>AVERAGE(588.24,257.355,147.797)</f>
        <v>331.13066666666668</v>
      </c>
      <c r="D14">
        <f>210</f>
        <v>210</v>
      </c>
    </row>
    <row r="15" spans="1:4" x14ac:dyDescent="0.35">
      <c r="A15" t="s">
        <v>315</v>
      </c>
      <c r="B15" t="s">
        <v>305</v>
      </c>
      <c r="C15" s="1">
        <f>AVERAGE(15250,5386,9022,6334)</f>
        <v>8998</v>
      </c>
      <c r="D15">
        <f>210</f>
        <v>210</v>
      </c>
    </row>
    <row r="16" spans="1:4" x14ac:dyDescent="0.35">
      <c r="A16" t="s">
        <v>316</v>
      </c>
      <c r="B16" t="s">
        <v>317</v>
      </c>
      <c r="C16" s="1">
        <f>AVERAGE(4665,9505,21200,6320,1470,5600,736,18409,3340,11150)</f>
        <v>8239.5</v>
      </c>
      <c r="D16">
        <f>210</f>
        <v>210</v>
      </c>
    </row>
    <row r="17" spans="1:4" x14ac:dyDescent="0.35">
      <c r="A17" t="s">
        <v>318</v>
      </c>
      <c r="B17" t="s">
        <v>305</v>
      </c>
      <c r="C17" s="1">
        <f>AVERAGE(1000,7040,4207)</f>
        <v>4082.3333333333335</v>
      </c>
      <c r="D17">
        <f>210</f>
        <v>210</v>
      </c>
    </row>
    <row r="18" spans="1:4" x14ac:dyDescent="0.35">
      <c r="A18" t="s">
        <v>85</v>
      </c>
      <c r="B18" t="s">
        <v>317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4.5" x14ac:dyDescent="0.35"/>
  <cols>
    <col min="1" max="2" width="10.7265625" customWidth="1"/>
  </cols>
  <sheetData>
    <row r="1" spans="1:2" x14ac:dyDescent="0.35">
      <c r="A1" t="s">
        <v>319</v>
      </c>
      <c r="B1" t="s">
        <v>320</v>
      </c>
    </row>
    <row r="2" spans="1:2" x14ac:dyDescent="0.35">
      <c r="A2" t="s">
        <v>223</v>
      </c>
      <c r="B2">
        <v>0.8</v>
      </c>
    </row>
    <row r="3" spans="1:2" x14ac:dyDescent="0.35">
      <c r="A3" t="s">
        <v>321</v>
      </c>
      <c r="B3">
        <v>0.4</v>
      </c>
    </row>
    <row r="4" spans="1:2" x14ac:dyDescent="0.35">
      <c r="A4" t="s">
        <v>322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4.5" x14ac:dyDescent="0.35"/>
  <cols>
    <col min="1" max="2" width="10.7265625" customWidth="1"/>
  </cols>
  <sheetData>
    <row r="1" spans="1:2" x14ac:dyDescent="0.35">
      <c r="A1" t="s">
        <v>323</v>
      </c>
      <c r="B1" t="s">
        <v>324</v>
      </c>
    </row>
    <row r="2" spans="1:2" x14ac:dyDescent="0.35">
      <c r="A2" t="s">
        <v>325</v>
      </c>
      <c r="B2">
        <v>1010</v>
      </c>
    </row>
    <row r="3" spans="1:2" x14ac:dyDescent="0.35">
      <c r="A3" t="s">
        <v>326</v>
      </c>
      <c r="B3">
        <v>855</v>
      </c>
    </row>
    <row r="4" spans="1:2" x14ac:dyDescent="0.35">
      <c r="A4" t="s">
        <v>327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customXml/itemProps3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2026-06-12T11:13:34Z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