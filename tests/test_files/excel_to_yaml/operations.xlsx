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eda\Richi documents\Projects\ORIOM\tests\test_files\excel_to_yaml\"/>
    </mc:Choice>
  </mc:AlternateContent>
  <xr:revisionPtr revIDLastSave="0" documentId="13_ncr:1_{46B56BF9-F9A0-4726-9FEB-EEE3BE80F70F}" xr6:coauthVersionLast="47" xr6:coauthVersionMax="47" xr10:uidLastSave="{00000000-0000-0000-0000-000000000000}"/>
  <bookViews>
    <workbookView xWindow="-19310" yWindow="-1330" windowWidth="19420" windowHeight="11500" firstSheet="1" activeTab="4" xr2:uid="{74C9B259-FD41-4C34-8501-00BB07545177}"/>
  </bookViews>
  <sheets>
    <sheet name="InspectionSite" sheetId="11" r:id="rId1"/>
    <sheet name="InspectionPort" sheetId="12" r:id="rId2"/>
    <sheet name="CorrectiveMajor" sheetId="13" r:id="rId3"/>
    <sheet name="CorrectiveMinor" sheetId="14" r:id="rId4"/>
    <sheet name="OperationTow" sheetId="10" r:id="rId5"/>
  </sheets>
  <externalReferences>
    <externalReference r:id="rId6"/>
    <externalReference r:id="rId7"/>
  </externalReferences>
  <definedNames>
    <definedName name="inputs_export_length" localSheetId="2">[1]TSA_inputs!$C$11</definedName>
    <definedName name="inputs_export_length" localSheetId="3">[1]TSA_inputs!$C$11</definedName>
    <definedName name="inputs_export_length" localSheetId="1">[1]TSA_inputs!$C$11</definedName>
    <definedName name="inputs_export_length" localSheetId="0">[1]TSA_inputs!$C$11</definedName>
    <definedName name="inputs_export_length" localSheetId="4">[1]TSA_inputs!$C$11</definedName>
    <definedName name="inputs_export_length">[2]TSA_inputs!$C$11</definedName>
    <definedName name="inputs_infant" localSheetId="2">[1]SA_inputs!$C$10</definedName>
    <definedName name="inputs_infant" localSheetId="3">[1]SA_inputs!$C$10</definedName>
    <definedName name="inputs_infant" localSheetId="1">[1]SA_inputs!$C$10</definedName>
    <definedName name="inputs_infant" localSheetId="0">[1]SA_inputs!$C$10</definedName>
    <definedName name="inputs_infant" localSheetId="4">[1]SA_inputs!$C$10</definedName>
    <definedName name="inputs_infant">[2]SA_inputs!$C$10</definedName>
    <definedName name="inputs_wearout" localSheetId="2">[1]SA_inputs!$C$11</definedName>
    <definedName name="inputs_wearout" localSheetId="3">[1]SA_inputs!$C$11</definedName>
    <definedName name="inputs_wearout" localSheetId="1">[1]SA_inputs!$C$11</definedName>
    <definedName name="inputs_wearout" localSheetId="0">[1]SA_inputs!$C$11</definedName>
    <definedName name="inputs_wearout" localSheetId="4">[1]SA_inputs!$C$11</definedName>
    <definedName name="inputs_wearout">[2]SA_inputs!$C$11</definedName>
    <definedName name="pv_islands" localSheetId="2">[1]Gen_PV!$C$2</definedName>
    <definedName name="pv_islands" localSheetId="3">[1]Gen_PV!$C$2</definedName>
    <definedName name="pv_islands" localSheetId="1">[1]Gen_PV!$C$2</definedName>
    <definedName name="pv_islands" localSheetId="0">[1]Gen_PV!$C$2</definedName>
    <definedName name="pv_islands" localSheetId="4">[1]Gen_PV!$C$2</definedName>
    <definedName name="pv_islands">[2]Gen_PV!$C$2</definedName>
    <definedName name="wec_devices" localSheetId="2">[1]Gen_WEC!$C$2</definedName>
    <definedName name="wec_devices" localSheetId="3">[1]Gen_WEC!$C$2</definedName>
    <definedName name="wec_devices" localSheetId="1">[1]Gen_WEC!$C$2</definedName>
    <definedName name="wec_devices" localSheetId="0">[1]Gen_WEC!$C$2</definedName>
    <definedName name="wec_devices" localSheetId="4">[1]Gen_WEC!$C$2</definedName>
    <definedName name="wec_devices">[2]Gen_WEC!$C$2</definedName>
    <definedName name="wtg_devices" localSheetId="2">[1]Gen_WTG!$C$2</definedName>
    <definedName name="wtg_devices" localSheetId="3">[1]Gen_WTG!$C$2</definedName>
    <definedName name="wtg_devices" localSheetId="1">[1]Gen_WTG!$C$2</definedName>
    <definedName name="wtg_devices" localSheetId="0">[1]Gen_WTG!$C$2</definedName>
    <definedName name="wtg_devices" localSheetId="4">[1]Gen_WTG!$C$2</definedName>
    <definedName name="wtg_devices">[2]Gen_WTG!$C$2</definedName>
    <definedName name="wtg_moorings" localSheetId="2">[1]Gen_WTG!$C$8</definedName>
    <definedName name="wtg_moorings" localSheetId="3">[1]Gen_WTG!$C$8</definedName>
    <definedName name="wtg_moorings" localSheetId="1">[1]Gen_WTG!$C$8</definedName>
    <definedName name="wtg_moorings" localSheetId="0">[1]Gen_WTG!$C$8</definedName>
    <definedName name="wtg_moorings" localSheetId="4">[1]Gen_WTG!$C$8</definedName>
    <definedName name="wtg_moorings">[2]Gen_WTG!$C$8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0" i="14" l="1"/>
  <c r="N500" i="14"/>
  <c r="P499" i="14"/>
  <c r="N499" i="14"/>
  <c r="P498" i="14"/>
  <c r="N498" i="14"/>
  <c r="P497" i="14"/>
  <c r="N497" i="14"/>
  <c r="P496" i="14"/>
  <c r="N496" i="14"/>
  <c r="P495" i="14"/>
  <c r="N495" i="14"/>
  <c r="P494" i="14"/>
  <c r="N494" i="14"/>
  <c r="P493" i="14"/>
  <c r="N493" i="14"/>
  <c r="P492" i="14"/>
  <c r="N492" i="14"/>
  <c r="A492" i="14"/>
  <c r="P491" i="14"/>
  <c r="N491" i="14"/>
  <c r="A491" i="14"/>
  <c r="P490" i="14"/>
  <c r="N490" i="14"/>
  <c r="A490" i="14"/>
  <c r="P489" i="14"/>
  <c r="N489" i="14"/>
  <c r="A489" i="14"/>
  <c r="P488" i="14"/>
  <c r="N488" i="14"/>
  <c r="A488" i="14"/>
  <c r="P487" i="14"/>
  <c r="N487" i="14"/>
  <c r="A487" i="14"/>
  <c r="P486" i="14"/>
  <c r="N486" i="14"/>
  <c r="A486" i="14"/>
  <c r="P485" i="14"/>
  <c r="N485" i="14"/>
  <c r="A485" i="14"/>
  <c r="P484" i="14"/>
  <c r="N484" i="14"/>
  <c r="A484" i="14"/>
  <c r="P483" i="14"/>
  <c r="N483" i="14"/>
  <c r="A483" i="14"/>
  <c r="P482" i="14"/>
  <c r="N482" i="14"/>
  <c r="A482" i="14"/>
  <c r="P481" i="14"/>
  <c r="N481" i="14"/>
  <c r="A481" i="14"/>
  <c r="P480" i="14"/>
  <c r="N480" i="14"/>
  <c r="A480" i="14"/>
  <c r="P479" i="14"/>
  <c r="N479" i="14"/>
  <c r="A479" i="14"/>
  <c r="P478" i="14"/>
  <c r="N478" i="14"/>
  <c r="A478" i="14"/>
  <c r="P477" i="14"/>
  <c r="N477" i="14"/>
  <c r="A477" i="14"/>
  <c r="P476" i="14"/>
  <c r="N476" i="14"/>
  <c r="A476" i="14"/>
  <c r="P475" i="14"/>
  <c r="N475" i="14"/>
  <c r="A475" i="14"/>
  <c r="P474" i="14"/>
  <c r="N474" i="14"/>
  <c r="A474" i="14"/>
  <c r="P473" i="14"/>
  <c r="N473" i="14"/>
  <c r="A473" i="14"/>
  <c r="P472" i="14"/>
  <c r="N472" i="14"/>
  <c r="A472" i="14"/>
  <c r="P471" i="14"/>
  <c r="N471" i="14"/>
  <c r="A471" i="14"/>
  <c r="P470" i="14"/>
  <c r="N470" i="14"/>
  <c r="A470" i="14"/>
  <c r="P469" i="14"/>
  <c r="N469" i="14"/>
  <c r="A469" i="14"/>
  <c r="P468" i="14"/>
  <c r="N468" i="14"/>
  <c r="A468" i="14"/>
  <c r="P467" i="14"/>
  <c r="N467" i="14"/>
  <c r="A467" i="14"/>
  <c r="P466" i="14"/>
  <c r="N466" i="14"/>
  <c r="A466" i="14"/>
  <c r="P465" i="14"/>
  <c r="N465" i="14"/>
  <c r="A465" i="14"/>
  <c r="P464" i="14"/>
  <c r="N464" i="14"/>
  <c r="A464" i="14"/>
  <c r="P463" i="14"/>
  <c r="N463" i="14"/>
  <c r="A463" i="14"/>
  <c r="P462" i="14"/>
  <c r="N462" i="14"/>
  <c r="A462" i="14"/>
  <c r="P461" i="14"/>
  <c r="N461" i="14"/>
  <c r="A461" i="14"/>
  <c r="P460" i="14"/>
  <c r="N460" i="14"/>
  <c r="A460" i="14"/>
  <c r="P459" i="14"/>
  <c r="N459" i="14"/>
  <c r="A459" i="14"/>
  <c r="P458" i="14"/>
  <c r="N458" i="14"/>
  <c r="A458" i="14"/>
  <c r="P457" i="14"/>
  <c r="N457" i="14"/>
  <c r="A457" i="14"/>
  <c r="P456" i="14"/>
  <c r="N456" i="14"/>
  <c r="A456" i="14"/>
  <c r="P455" i="14"/>
  <c r="N455" i="14"/>
  <c r="A455" i="14"/>
  <c r="P454" i="14"/>
  <c r="N454" i="14"/>
  <c r="A454" i="14"/>
  <c r="P453" i="14"/>
  <c r="N453" i="14"/>
  <c r="A453" i="14"/>
  <c r="P452" i="14"/>
  <c r="N452" i="14"/>
  <c r="A452" i="14"/>
  <c r="P451" i="14"/>
  <c r="N451" i="14"/>
  <c r="A451" i="14"/>
  <c r="P450" i="14"/>
  <c r="N450" i="14"/>
  <c r="A450" i="14"/>
  <c r="P449" i="14"/>
  <c r="N449" i="14"/>
  <c r="A449" i="14"/>
  <c r="P448" i="14"/>
  <c r="N448" i="14"/>
  <c r="A448" i="14"/>
  <c r="P447" i="14"/>
  <c r="N447" i="14"/>
  <c r="A447" i="14"/>
  <c r="P446" i="14"/>
  <c r="N446" i="14"/>
  <c r="A446" i="14"/>
  <c r="P445" i="14"/>
  <c r="N445" i="14"/>
  <c r="A445" i="14"/>
  <c r="P444" i="14"/>
  <c r="N444" i="14"/>
  <c r="A444" i="14"/>
  <c r="P443" i="14"/>
  <c r="N443" i="14"/>
  <c r="A443" i="14"/>
  <c r="P442" i="14"/>
  <c r="N442" i="14"/>
  <c r="A442" i="14"/>
  <c r="P441" i="14"/>
  <c r="N441" i="14"/>
  <c r="A441" i="14"/>
  <c r="P440" i="14"/>
  <c r="N440" i="14"/>
  <c r="A440" i="14"/>
  <c r="P439" i="14"/>
  <c r="N439" i="14"/>
  <c r="A439" i="14"/>
  <c r="P438" i="14"/>
  <c r="N438" i="14"/>
  <c r="A438" i="14"/>
  <c r="P437" i="14"/>
  <c r="N437" i="14"/>
  <c r="A437" i="14"/>
  <c r="P436" i="14"/>
  <c r="N436" i="14"/>
  <c r="A436" i="14"/>
  <c r="P435" i="14"/>
  <c r="N435" i="14"/>
  <c r="A435" i="14"/>
  <c r="P434" i="14"/>
  <c r="N434" i="14"/>
  <c r="A434" i="14"/>
  <c r="P433" i="14"/>
  <c r="N433" i="14"/>
  <c r="A433" i="14"/>
  <c r="P432" i="14"/>
  <c r="N432" i="14"/>
  <c r="A432" i="14"/>
  <c r="P431" i="14"/>
  <c r="N431" i="14"/>
  <c r="A431" i="14"/>
  <c r="P430" i="14"/>
  <c r="N430" i="14"/>
  <c r="A430" i="14"/>
  <c r="P429" i="14"/>
  <c r="N429" i="14"/>
  <c r="A429" i="14"/>
  <c r="P428" i="14"/>
  <c r="N428" i="14"/>
  <c r="A428" i="14"/>
  <c r="P427" i="14"/>
  <c r="N427" i="14"/>
  <c r="A427" i="14"/>
  <c r="P426" i="14"/>
  <c r="N426" i="14"/>
  <c r="A426" i="14"/>
  <c r="P425" i="14"/>
  <c r="N425" i="14"/>
  <c r="A425" i="14"/>
  <c r="P424" i="14"/>
  <c r="N424" i="14"/>
  <c r="A424" i="14"/>
  <c r="P423" i="14"/>
  <c r="N423" i="14"/>
  <c r="A423" i="14"/>
  <c r="P422" i="14"/>
  <c r="N422" i="14"/>
  <c r="A422" i="14"/>
  <c r="P421" i="14"/>
  <c r="N421" i="14"/>
  <c r="A421" i="14"/>
  <c r="P420" i="14"/>
  <c r="N420" i="14"/>
  <c r="A420" i="14"/>
  <c r="P419" i="14"/>
  <c r="N419" i="14"/>
  <c r="A419" i="14"/>
  <c r="P418" i="14"/>
  <c r="N418" i="14"/>
  <c r="A418" i="14"/>
  <c r="P417" i="14"/>
  <c r="N417" i="14"/>
  <c r="A417" i="14"/>
  <c r="P416" i="14"/>
  <c r="N416" i="14"/>
  <c r="A416" i="14"/>
  <c r="P415" i="14"/>
  <c r="N415" i="14"/>
  <c r="A415" i="14"/>
  <c r="P414" i="14"/>
  <c r="N414" i="14"/>
  <c r="A414" i="14"/>
  <c r="P413" i="14"/>
  <c r="N413" i="14"/>
  <c r="A413" i="14"/>
  <c r="P412" i="14"/>
  <c r="N412" i="14"/>
  <c r="A412" i="14"/>
  <c r="P411" i="14"/>
  <c r="N411" i="14"/>
  <c r="A411" i="14"/>
  <c r="P410" i="14"/>
  <c r="N410" i="14"/>
  <c r="A410" i="14"/>
  <c r="P409" i="14"/>
  <c r="N409" i="14"/>
  <c r="A409" i="14"/>
  <c r="P408" i="14"/>
  <c r="N408" i="14"/>
  <c r="A408" i="14"/>
  <c r="P407" i="14"/>
  <c r="N407" i="14"/>
  <c r="A407" i="14"/>
  <c r="P406" i="14"/>
  <c r="N406" i="14"/>
  <c r="A406" i="14"/>
  <c r="P405" i="14"/>
  <c r="N405" i="14"/>
  <c r="A405" i="14"/>
  <c r="P404" i="14"/>
  <c r="N404" i="14"/>
  <c r="A404" i="14"/>
  <c r="P403" i="14"/>
  <c r="N403" i="14"/>
  <c r="A403" i="14"/>
  <c r="P402" i="14"/>
  <c r="N402" i="14"/>
  <c r="A402" i="14"/>
  <c r="P401" i="14"/>
  <c r="N401" i="14"/>
  <c r="A401" i="14"/>
  <c r="P400" i="14"/>
  <c r="N400" i="14"/>
  <c r="A400" i="14"/>
  <c r="P399" i="14"/>
  <c r="N399" i="14"/>
  <c r="A399" i="14"/>
  <c r="P398" i="14"/>
  <c r="N398" i="14"/>
  <c r="A398" i="14"/>
  <c r="P397" i="14"/>
  <c r="N397" i="14"/>
  <c r="A397" i="14"/>
  <c r="P396" i="14"/>
  <c r="N396" i="14"/>
  <c r="A396" i="14"/>
  <c r="P395" i="14"/>
  <c r="N395" i="14"/>
  <c r="A395" i="14"/>
  <c r="P394" i="14"/>
  <c r="N394" i="14"/>
  <c r="A394" i="14"/>
  <c r="P393" i="14"/>
  <c r="N393" i="14"/>
  <c r="A393" i="14"/>
  <c r="P392" i="14"/>
  <c r="N392" i="14"/>
  <c r="A392" i="14"/>
  <c r="P391" i="14"/>
  <c r="N391" i="14"/>
  <c r="A391" i="14"/>
  <c r="P390" i="14"/>
  <c r="N390" i="14"/>
  <c r="A390" i="14"/>
  <c r="P389" i="14"/>
  <c r="N389" i="14"/>
  <c r="A389" i="14"/>
  <c r="P388" i="14"/>
  <c r="N388" i="14"/>
  <c r="A388" i="14"/>
  <c r="P387" i="14"/>
  <c r="N387" i="14"/>
  <c r="A387" i="14"/>
  <c r="P386" i="14"/>
  <c r="N386" i="14"/>
  <c r="A386" i="14"/>
  <c r="P385" i="14"/>
  <c r="N385" i="14"/>
  <c r="A385" i="14"/>
  <c r="P384" i="14"/>
  <c r="N384" i="14"/>
  <c r="A384" i="14"/>
  <c r="P383" i="14"/>
  <c r="N383" i="14"/>
  <c r="A383" i="14"/>
  <c r="P382" i="14"/>
  <c r="N382" i="14"/>
  <c r="A382" i="14"/>
  <c r="P381" i="14"/>
  <c r="N381" i="14"/>
  <c r="A381" i="14"/>
  <c r="P380" i="14"/>
  <c r="N380" i="14"/>
  <c r="A380" i="14"/>
  <c r="P379" i="14"/>
  <c r="N379" i="14"/>
  <c r="A379" i="14"/>
  <c r="P378" i="14"/>
  <c r="N378" i="14"/>
  <c r="A378" i="14"/>
  <c r="P377" i="14"/>
  <c r="N377" i="14"/>
  <c r="A377" i="14"/>
  <c r="P376" i="14"/>
  <c r="N376" i="14"/>
  <c r="A376" i="14"/>
  <c r="P375" i="14"/>
  <c r="N375" i="14"/>
  <c r="A375" i="14"/>
  <c r="P374" i="14"/>
  <c r="N374" i="14"/>
  <c r="A374" i="14"/>
  <c r="P373" i="14"/>
  <c r="N373" i="14"/>
  <c r="A373" i="14"/>
  <c r="P372" i="14"/>
  <c r="N372" i="14"/>
  <c r="A372" i="14"/>
  <c r="P371" i="14"/>
  <c r="N371" i="14"/>
  <c r="A371" i="14"/>
  <c r="P370" i="14"/>
  <c r="N370" i="14"/>
  <c r="A370" i="14"/>
  <c r="P369" i="14"/>
  <c r="N369" i="14"/>
  <c r="A369" i="14"/>
  <c r="P368" i="14"/>
  <c r="N368" i="14"/>
  <c r="A368" i="14"/>
  <c r="P367" i="14"/>
  <c r="N367" i="14"/>
  <c r="A367" i="14"/>
  <c r="P366" i="14"/>
  <c r="N366" i="14"/>
  <c r="A366" i="14"/>
  <c r="P365" i="14"/>
  <c r="N365" i="14"/>
  <c r="A365" i="14"/>
  <c r="P364" i="14"/>
  <c r="N364" i="14"/>
  <c r="A364" i="14"/>
  <c r="P363" i="14"/>
  <c r="N363" i="14"/>
  <c r="A363" i="14"/>
  <c r="P362" i="14"/>
  <c r="N362" i="14"/>
  <c r="A362" i="14"/>
  <c r="P361" i="14"/>
  <c r="N361" i="14"/>
  <c r="A361" i="14"/>
  <c r="P360" i="14"/>
  <c r="N360" i="14"/>
  <c r="A360" i="14"/>
  <c r="P359" i="14"/>
  <c r="N359" i="14"/>
  <c r="A359" i="14"/>
  <c r="P358" i="14"/>
  <c r="N358" i="14"/>
  <c r="A358" i="14"/>
  <c r="P357" i="14"/>
  <c r="N357" i="14"/>
  <c r="A357" i="14"/>
  <c r="P356" i="14"/>
  <c r="N356" i="14"/>
  <c r="A356" i="14"/>
  <c r="P355" i="14"/>
  <c r="N355" i="14"/>
  <c r="A355" i="14"/>
  <c r="P354" i="14"/>
  <c r="N354" i="14"/>
  <c r="A354" i="14"/>
  <c r="P353" i="14"/>
  <c r="N353" i="14"/>
  <c r="A353" i="14"/>
  <c r="P352" i="14"/>
  <c r="N352" i="14"/>
  <c r="A352" i="14"/>
  <c r="P351" i="14"/>
  <c r="N351" i="14"/>
  <c r="A351" i="14"/>
  <c r="P350" i="14"/>
  <c r="N350" i="14"/>
  <c r="A350" i="14"/>
  <c r="P349" i="14"/>
  <c r="N349" i="14"/>
  <c r="A349" i="14"/>
  <c r="P348" i="14"/>
  <c r="N348" i="14"/>
  <c r="A348" i="14"/>
  <c r="P347" i="14"/>
  <c r="N347" i="14"/>
  <c r="A347" i="14"/>
  <c r="P346" i="14"/>
  <c r="N346" i="14"/>
  <c r="A346" i="14"/>
  <c r="P345" i="14"/>
  <c r="N345" i="14"/>
  <c r="A345" i="14"/>
  <c r="P344" i="14"/>
  <c r="N344" i="14"/>
  <c r="A344" i="14"/>
  <c r="P343" i="14"/>
  <c r="N343" i="14"/>
  <c r="A343" i="14"/>
  <c r="P342" i="14"/>
  <c r="N342" i="14"/>
  <c r="A342" i="14"/>
  <c r="P341" i="14"/>
  <c r="N341" i="14"/>
  <c r="A341" i="14"/>
  <c r="P340" i="14"/>
  <c r="N340" i="14"/>
  <c r="A340" i="14"/>
  <c r="P339" i="14"/>
  <c r="N339" i="14"/>
  <c r="A339" i="14"/>
  <c r="P338" i="14"/>
  <c r="N338" i="14"/>
  <c r="A338" i="14"/>
  <c r="P337" i="14"/>
  <c r="N337" i="14"/>
  <c r="A337" i="14"/>
  <c r="P336" i="14"/>
  <c r="N336" i="14"/>
  <c r="A336" i="14"/>
  <c r="P335" i="14"/>
  <c r="N335" i="14"/>
  <c r="A335" i="14"/>
  <c r="P334" i="14"/>
  <c r="N334" i="14"/>
  <c r="A334" i="14"/>
  <c r="P333" i="14"/>
  <c r="N333" i="14"/>
  <c r="A333" i="14"/>
  <c r="P332" i="14"/>
  <c r="N332" i="14"/>
  <c r="A332" i="14"/>
  <c r="P331" i="14"/>
  <c r="N331" i="14"/>
  <c r="A331" i="14"/>
  <c r="P330" i="14"/>
  <c r="N330" i="14"/>
  <c r="A330" i="14"/>
  <c r="P329" i="14"/>
  <c r="N329" i="14"/>
  <c r="A329" i="14"/>
  <c r="P328" i="14"/>
  <c r="N328" i="14"/>
  <c r="A328" i="14"/>
  <c r="P327" i="14"/>
  <c r="N327" i="14"/>
  <c r="A327" i="14"/>
  <c r="P326" i="14"/>
  <c r="N326" i="14"/>
  <c r="A326" i="14"/>
  <c r="P325" i="14"/>
  <c r="N325" i="14"/>
  <c r="A325" i="14"/>
  <c r="P324" i="14"/>
  <c r="N324" i="14"/>
  <c r="A324" i="14"/>
  <c r="P323" i="14"/>
  <c r="N323" i="14"/>
  <c r="A323" i="14"/>
  <c r="P322" i="14"/>
  <c r="N322" i="14"/>
  <c r="A322" i="14"/>
  <c r="P321" i="14"/>
  <c r="N321" i="14"/>
  <c r="A321" i="14"/>
  <c r="P320" i="14"/>
  <c r="N320" i="14"/>
  <c r="A320" i="14"/>
  <c r="P319" i="14"/>
  <c r="N319" i="14"/>
  <c r="A319" i="14"/>
  <c r="P318" i="14"/>
  <c r="N318" i="14"/>
  <c r="A318" i="14"/>
  <c r="P317" i="14"/>
  <c r="N317" i="14"/>
  <c r="A317" i="14"/>
  <c r="P316" i="14"/>
  <c r="N316" i="14"/>
  <c r="A316" i="14"/>
  <c r="P315" i="14"/>
  <c r="N315" i="14"/>
  <c r="A315" i="14"/>
  <c r="P314" i="14"/>
  <c r="N314" i="14"/>
  <c r="A314" i="14"/>
  <c r="P313" i="14"/>
  <c r="N313" i="14"/>
  <c r="A313" i="14"/>
  <c r="P312" i="14"/>
  <c r="N312" i="14"/>
  <c r="A312" i="14"/>
  <c r="P311" i="14"/>
  <c r="N311" i="14"/>
  <c r="A311" i="14"/>
  <c r="P310" i="14"/>
  <c r="N310" i="14"/>
  <c r="A310" i="14"/>
  <c r="P309" i="14"/>
  <c r="N309" i="14"/>
  <c r="A309" i="14"/>
  <c r="P308" i="14"/>
  <c r="N308" i="14"/>
  <c r="A308" i="14"/>
  <c r="P307" i="14"/>
  <c r="N307" i="14"/>
  <c r="A307" i="14"/>
  <c r="P306" i="14"/>
  <c r="N306" i="14"/>
  <c r="A306" i="14"/>
  <c r="P305" i="14"/>
  <c r="N305" i="14"/>
  <c r="A305" i="14"/>
  <c r="P304" i="14"/>
  <c r="N304" i="14"/>
  <c r="A304" i="14"/>
  <c r="P303" i="14"/>
  <c r="N303" i="14"/>
  <c r="A303" i="14"/>
  <c r="P302" i="14"/>
  <c r="N302" i="14"/>
  <c r="A302" i="14"/>
  <c r="P301" i="14"/>
  <c r="N301" i="14"/>
  <c r="A301" i="14"/>
  <c r="P300" i="14"/>
  <c r="N300" i="14"/>
  <c r="A300" i="14"/>
  <c r="P299" i="14"/>
  <c r="N299" i="14"/>
  <c r="A299" i="14"/>
  <c r="P298" i="14"/>
  <c r="N298" i="14"/>
  <c r="A298" i="14"/>
  <c r="P297" i="14"/>
  <c r="N297" i="14"/>
  <c r="A297" i="14"/>
  <c r="P296" i="14"/>
  <c r="N296" i="14"/>
  <c r="A296" i="14"/>
  <c r="P295" i="14"/>
  <c r="N295" i="14"/>
  <c r="A295" i="14"/>
  <c r="P294" i="14"/>
  <c r="N294" i="14"/>
  <c r="A294" i="14"/>
  <c r="P293" i="14"/>
  <c r="N293" i="14"/>
  <c r="A293" i="14"/>
  <c r="P292" i="14"/>
  <c r="N292" i="14"/>
  <c r="A292" i="14"/>
  <c r="P291" i="14"/>
  <c r="N291" i="14"/>
  <c r="A291" i="14"/>
  <c r="P290" i="14"/>
  <c r="N290" i="14"/>
  <c r="A290" i="14"/>
  <c r="P289" i="14"/>
  <c r="N289" i="14"/>
  <c r="A289" i="14"/>
  <c r="P288" i="14"/>
  <c r="N288" i="14"/>
  <c r="A288" i="14"/>
  <c r="P287" i="14"/>
  <c r="N287" i="14"/>
  <c r="A287" i="14"/>
  <c r="P286" i="14"/>
  <c r="N286" i="14"/>
  <c r="A286" i="14"/>
  <c r="P285" i="14"/>
  <c r="N285" i="14"/>
  <c r="A285" i="14"/>
  <c r="P284" i="14"/>
  <c r="N284" i="14"/>
  <c r="A284" i="14"/>
  <c r="P283" i="14"/>
  <c r="N283" i="14"/>
  <c r="A283" i="14"/>
  <c r="P282" i="14"/>
  <c r="N282" i="14"/>
  <c r="A282" i="14"/>
  <c r="P281" i="14"/>
  <c r="N281" i="14"/>
  <c r="A281" i="14"/>
  <c r="P280" i="14"/>
  <c r="N280" i="14"/>
  <c r="A280" i="14"/>
  <c r="P279" i="14"/>
  <c r="N279" i="14"/>
  <c r="A279" i="14"/>
  <c r="P278" i="14"/>
  <c r="N278" i="14"/>
  <c r="A278" i="14"/>
  <c r="P277" i="14"/>
  <c r="N277" i="14"/>
  <c r="A277" i="14"/>
  <c r="P276" i="14"/>
  <c r="N276" i="14"/>
  <c r="A276" i="14"/>
  <c r="P275" i="14"/>
  <c r="N275" i="14"/>
  <c r="A275" i="14"/>
  <c r="P274" i="14"/>
  <c r="N274" i="14"/>
  <c r="A274" i="14"/>
  <c r="P273" i="14"/>
  <c r="N273" i="14"/>
  <c r="A273" i="14"/>
  <c r="P272" i="14"/>
  <c r="N272" i="14"/>
  <c r="A272" i="14"/>
  <c r="P271" i="14"/>
  <c r="N271" i="14"/>
  <c r="A271" i="14"/>
  <c r="P270" i="14"/>
  <c r="N270" i="14"/>
  <c r="A270" i="14"/>
  <c r="P269" i="14"/>
  <c r="N269" i="14"/>
  <c r="A269" i="14"/>
  <c r="P268" i="14"/>
  <c r="N268" i="14"/>
  <c r="A268" i="14"/>
  <c r="P267" i="14"/>
  <c r="N267" i="14"/>
  <c r="A267" i="14"/>
  <c r="P266" i="14"/>
  <c r="N266" i="14"/>
  <c r="A266" i="14"/>
  <c r="P265" i="14"/>
  <c r="N265" i="14"/>
  <c r="A265" i="14"/>
  <c r="P264" i="14"/>
  <c r="N264" i="14"/>
  <c r="A264" i="14"/>
  <c r="P263" i="14"/>
  <c r="N263" i="14"/>
  <c r="A263" i="14"/>
  <c r="P262" i="14"/>
  <c r="N262" i="14"/>
  <c r="A262" i="14"/>
  <c r="P261" i="14"/>
  <c r="N261" i="14"/>
  <c r="A261" i="14"/>
  <c r="P260" i="14"/>
  <c r="N260" i="14"/>
  <c r="A260" i="14"/>
  <c r="P259" i="14"/>
  <c r="N259" i="14"/>
  <c r="A259" i="14"/>
  <c r="P258" i="14"/>
  <c r="N258" i="14"/>
  <c r="A258" i="14"/>
  <c r="P257" i="14"/>
  <c r="N257" i="14"/>
  <c r="A257" i="14"/>
  <c r="P256" i="14"/>
  <c r="N256" i="14"/>
  <c r="A256" i="14"/>
  <c r="P255" i="14"/>
  <c r="N255" i="14"/>
  <c r="A255" i="14"/>
  <c r="P254" i="14"/>
  <c r="N254" i="14"/>
  <c r="A254" i="14"/>
  <c r="P253" i="14"/>
  <c r="N253" i="14"/>
  <c r="A253" i="14"/>
  <c r="P252" i="14"/>
  <c r="N252" i="14"/>
  <c r="A252" i="14"/>
  <c r="P251" i="14"/>
  <c r="N251" i="14"/>
  <c r="A251" i="14"/>
  <c r="P250" i="14"/>
  <c r="N250" i="14"/>
  <c r="A250" i="14"/>
  <c r="P249" i="14"/>
  <c r="N249" i="14"/>
  <c r="A249" i="14"/>
  <c r="P248" i="14"/>
  <c r="N248" i="14"/>
  <c r="A248" i="14"/>
  <c r="P247" i="14"/>
  <c r="N247" i="14"/>
  <c r="A247" i="14"/>
  <c r="P246" i="14"/>
  <c r="N246" i="14"/>
  <c r="A246" i="14"/>
  <c r="P245" i="14"/>
  <c r="N245" i="14"/>
  <c r="A245" i="14"/>
  <c r="P244" i="14"/>
  <c r="N244" i="14"/>
  <c r="A244" i="14"/>
  <c r="P243" i="14"/>
  <c r="N243" i="14"/>
  <c r="A243" i="14"/>
  <c r="P242" i="14"/>
  <c r="N242" i="14"/>
  <c r="A242" i="14"/>
  <c r="P241" i="14"/>
  <c r="N241" i="14"/>
  <c r="A241" i="14"/>
  <c r="P240" i="14"/>
  <c r="N240" i="14"/>
  <c r="A240" i="14"/>
  <c r="P239" i="14"/>
  <c r="N239" i="14"/>
  <c r="A239" i="14"/>
  <c r="P238" i="14"/>
  <c r="N238" i="14"/>
  <c r="A238" i="14"/>
  <c r="P237" i="14"/>
  <c r="N237" i="14"/>
  <c r="A237" i="14"/>
  <c r="P236" i="14"/>
  <c r="N236" i="14"/>
  <c r="A236" i="14"/>
  <c r="P235" i="14"/>
  <c r="N235" i="14"/>
  <c r="A235" i="14"/>
  <c r="P234" i="14"/>
  <c r="N234" i="14"/>
  <c r="A234" i="14"/>
  <c r="P233" i="14"/>
  <c r="N233" i="14"/>
  <c r="A233" i="14"/>
  <c r="P232" i="14"/>
  <c r="N232" i="14"/>
  <c r="A232" i="14"/>
  <c r="P231" i="14"/>
  <c r="N231" i="14"/>
  <c r="A231" i="14"/>
  <c r="P230" i="14"/>
  <c r="N230" i="14"/>
  <c r="A230" i="14"/>
  <c r="P229" i="14"/>
  <c r="N229" i="14"/>
  <c r="A229" i="14"/>
  <c r="P228" i="14"/>
  <c r="N228" i="14"/>
  <c r="A228" i="14"/>
  <c r="P227" i="14"/>
  <c r="N227" i="14"/>
  <c r="A227" i="14"/>
  <c r="P226" i="14"/>
  <c r="N226" i="14"/>
  <c r="A226" i="14"/>
  <c r="P225" i="14"/>
  <c r="N225" i="14"/>
  <c r="A225" i="14"/>
  <c r="P224" i="14"/>
  <c r="N224" i="14"/>
  <c r="A224" i="14"/>
  <c r="P223" i="14"/>
  <c r="N223" i="14"/>
  <c r="A223" i="14"/>
  <c r="P222" i="14"/>
  <c r="N222" i="14"/>
  <c r="A222" i="14"/>
  <c r="P221" i="14"/>
  <c r="N221" i="14"/>
  <c r="A221" i="14"/>
  <c r="P220" i="14"/>
  <c r="N220" i="14"/>
  <c r="A220" i="14"/>
  <c r="P219" i="14"/>
  <c r="N219" i="14"/>
  <c r="A219" i="14"/>
  <c r="P218" i="14"/>
  <c r="N218" i="14"/>
  <c r="A218" i="14"/>
  <c r="P217" i="14"/>
  <c r="N217" i="14"/>
  <c r="A217" i="14"/>
  <c r="P216" i="14"/>
  <c r="N216" i="14"/>
  <c r="A216" i="14"/>
  <c r="P215" i="14"/>
  <c r="N215" i="14"/>
  <c r="A215" i="14"/>
  <c r="P214" i="14"/>
  <c r="N214" i="14"/>
  <c r="A214" i="14"/>
  <c r="P213" i="14"/>
  <c r="N213" i="14"/>
  <c r="A213" i="14"/>
  <c r="P212" i="14"/>
  <c r="N212" i="14"/>
  <c r="A212" i="14"/>
  <c r="P211" i="14"/>
  <c r="N211" i="14"/>
  <c r="A211" i="14"/>
  <c r="P210" i="14"/>
  <c r="N210" i="14"/>
  <c r="A210" i="14"/>
  <c r="P209" i="14"/>
  <c r="N209" i="14"/>
  <c r="A209" i="14"/>
  <c r="P208" i="14"/>
  <c r="N208" i="14"/>
  <c r="A208" i="14"/>
  <c r="P207" i="14"/>
  <c r="N207" i="14"/>
  <c r="A207" i="14"/>
  <c r="P206" i="14"/>
  <c r="N206" i="14"/>
  <c r="A206" i="14"/>
  <c r="P205" i="14"/>
  <c r="N205" i="14"/>
  <c r="A205" i="14"/>
  <c r="P204" i="14"/>
  <c r="N204" i="14"/>
  <c r="A204" i="14"/>
  <c r="P203" i="14"/>
  <c r="N203" i="14"/>
  <c r="A203" i="14"/>
  <c r="P202" i="14"/>
  <c r="N202" i="14"/>
  <c r="A202" i="14"/>
  <c r="P201" i="14"/>
  <c r="N201" i="14"/>
  <c r="A201" i="14"/>
  <c r="P200" i="14"/>
  <c r="N200" i="14"/>
  <c r="A200" i="14"/>
  <c r="P199" i="14"/>
  <c r="N199" i="14"/>
  <c r="A199" i="14"/>
  <c r="P198" i="14"/>
  <c r="N198" i="14"/>
  <c r="A198" i="14"/>
  <c r="P197" i="14"/>
  <c r="N197" i="14"/>
  <c r="A197" i="14"/>
  <c r="P196" i="14"/>
  <c r="N196" i="14"/>
  <c r="A196" i="14"/>
  <c r="P195" i="14"/>
  <c r="N195" i="14"/>
  <c r="A195" i="14"/>
  <c r="P194" i="14"/>
  <c r="N194" i="14"/>
  <c r="A194" i="14"/>
  <c r="P193" i="14"/>
  <c r="N193" i="14"/>
  <c r="A193" i="14"/>
  <c r="P192" i="14"/>
  <c r="N192" i="14"/>
  <c r="A192" i="14"/>
  <c r="P191" i="14"/>
  <c r="N191" i="14"/>
  <c r="A191" i="14"/>
  <c r="P190" i="14"/>
  <c r="N190" i="14"/>
  <c r="A190" i="14"/>
  <c r="P189" i="14"/>
  <c r="N189" i="14"/>
  <c r="A189" i="14"/>
  <c r="P188" i="14"/>
  <c r="N188" i="14"/>
  <c r="A188" i="14"/>
  <c r="P187" i="14"/>
  <c r="N187" i="14"/>
  <c r="A187" i="14"/>
  <c r="P186" i="14"/>
  <c r="N186" i="14"/>
  <c r="A186" i="14"/>
  <c r="P185" i="14"/>
  <c r="N185" i="14"/>
  <c r="A185" i="14"/>
  <c r="P184" i="14"/>
  <c r="N184" i="14"/>
  <c r="A184" i="14"/>
  <c r="P183" i="14"/>
  <c r="N183" i="14"/>
  <c r="A183" i="14"/>
  <c r="P182" i="14"/>
  <c r="N182" i="14"/>
  <c r="A182" i="14"/>
  <c r="P181" i="14"/>
  <c r="N181" i="14"/>
  <c r="A181" i="14"/>
  <c r="P180" i="14"/>
  <c r="N180" i="14"/>
  <c r="A180" i="14"/>
  <c r="P179" i="14"/>
  <c r="N179" i="14"/>
  <c r="A179" i="14"/>
  <c r="P178" i="14"/>
  <c r="N178" i="14"/>
  <c r="A178" i="14"/>
  <c r="P177" i="14"/>
  <c r="N177" i="14"/>
  <c r="A177" i="14"/>
  <c r="P176" i="14"/>
  <c r="N176" i="14"/>
  <c r="A176" i="14"/>
  <c r="P175" i="14"/>
  <c r="N175" i="14"/>
  <c r="A175" i="14"/>
  <c r="P174" i="14"/>
  <c r="N174" i="14"/>
  <c r="A174" i="14"/>
  <c r="P173" i="14"/>
  <c r="N173" i="14"/>
  <c r="A173" i="14"/>
  <c r="P172" i="14"/>
  <c r="N172" i="14"/>
  <c r="A172" i="14"/>
  <c r="P171" i="14"/>
  <c r="N171" i="14"/>
  <c r="A171" i="14"/>
  <c r="P170" i="14"/>
  <c r="N170" i="14"/>
  <c r="A170" i="14"/>
  <c r="P169" i="14"/>
  <c r="N169" i="14"/>
  <c r="A169" i="14"/>
  <c r="P168" i="14"/>
  <c r="N168" i="14"/>
  <c r="A168" i="14"/>
  <c r="P167" i="14"/>
  <c r="N167" i="14"/>
  <c r="A167" i="14"/>
  <c r="P166" i="14"/>
  <c r="N166" i="14"/>
  <c r="A166" i="14"/>
  <c r="P165" i="14"/>
  <c r="N165" i="14"/>
  <c r="A165" i="14"/>
  <c r="P164" i="14"/>
  <c r="N164" i="14"/>
  <c r="A164" i="14"/>
  <c r="P163" i="14"/>
  <c r="N163" i="14"/>
  <c r="A163" i="14"/>
  <c r="P162" i="14"/>
  <c r="N162" i="14"/>
  <c r="A162" i="14"/>
  <c r="P161" i="14"/>
  <c r="N161" i="14"/>
  <c r="A161" i="14"/>
  <c r="P160" i="14"/>
  <c r="N160" i="14"/>
  <c r="A160" i="14"/>
  <c r="P159" i="14"/>
  <c r="N159" i="14"/>
  <c r="A159" i="14"/>
  <c r="P158" i="14"/>
  <c r="N158" i="14"/>
  <c r="A158" i="14"/>
  <c r="P157" i="14"/>
  <c r="N157" i="14"/>
  <c r="A157" i="14"/>
  <c r="P156" i="14"/>
  <c r="N156" i="14"/>
  <c r="A156" i="14"/>
  <c r="P155" i="14"/>
  <c r="N155" i="14"/>
  <c r="A155" i="14"/>
  <c r="P154" i="14"/>
  <c r="N154" i="14"/>
  <c r="A154" i="14"/>
  <c r="P153" i="14"/>
  <c r="N153" i="14"/>
  <c r="A153" i="14"/>
  <c r="P152" i="14"/>
  <c r="N152" i="14"/>
  <c r="A152" i="14"/>
  <c r="P151" i="14"/>
  <c r="N151" i="14"/>
  <c r="A151" i="14"/>
  <c r="P150" i="14"/>
  <c r="N150" i="14"/>
  <c r="A150" i="14"/>
  <c r="P149" i="14"/>
  <c r="N149" i="14"/>
  <c r="A149" i="14"/>
  <c r="P148" i="14"/>
  <c r="N148" i="14"/>
  <c r="A148" i="14"/>
  <c r="P147" i="14"/>
  <c r="N147" i="14"/>
  <c r="A147" i="14"/>
  <c r="P146" i="14"/>
  <c r="N146" i="14"/>
  <c r="A146" i="14"/>
  <c r="P145" i="14"/>
  <c r="N145" i="14"/>
  <c r="A145" i="14"/>
  <c r="P144" i="14"/>
  <c r="N144" i="14"/>
  <c r="A144" i="14"/>
  <c r="P143" i="14"/>
  <c r="N143" i="14"/>
  <c r="A143" i="14"/>
  <c r="P142" i="14"/>
  <c r="N142" i="14"/>
  <c r="A142" i="14"/>
  <c r="P141" i="14"/>
  <c r="N141" i="14"/>
  <c r="A141" i="14"/>
  <c r="P140" i="14"/>
  <c r="N140" i="14"/>
  <c r="A140" i="14"/>
  <c r="P139" i="14"/>
  <c r="N139" i="14"/>
  <c r="A139" i="14"/>
  <c r="P138" i="14"/>
  <c r="N138" i="14"/>
  <c r="A138" i="14"/>
  <c r="P137" i="14"/>
  <c r="N137" i="14"/>
  <c r="A137" i="14"/>
  <c r="P136" i="14"/>
  <c r="N136" i="14"/>
  <c r="A136" i="14"/>
  <c r="P135" i="14"/>
  <c r="N135" i="14"/>
  <c r="A135" i="14"/>
  <c r="P134" i="14"/>
  <c r="N134" i="14"/>
  <c r="A134" i="14"/>
  <c r="P133" i="14"/>
  <c r="N133" i="14"/>
  <c r="A133" i="14"/>
  <c r="P132" i="14"/>
  <c r="N132" i="14"/>
  <c r="A132" i="14"/>
  <c r="P131" i="14"/>
  <c r="N131" i="14"/>
  <c r="A131" i="14"/>
  <c r="P130" i="14"/>
  <c r="N130" i="14"/>
  <c r="A130" i="14"/>
  <c r="P129" i="14"/>
  <c r="N129" i="14"/>
  <c r="A129" i="14"/>
  <c r="P128" i="14"/>
  <c r="N128" i="14"/>
  <c r="A128" i="14"/>
  <c r="P127" i="14"/>
  <c r="N127" i="14"/>
  <c r="A127" i="14"/>
  <c r="P126" i="14"/>
  <c r="N126" i="14"/>
  <c r="A126" i="14"/>
  <c r="P125" i="14"/>
  <c r="N125" i="14"/>
  <c r="A125" i="14"/>
  <c r="P124" i="14"/>
  <c r="N124" i="14"/>
  <c r="A124" i="14"/>
  <c r="P123" i="14"/>
  <c r="N123" i="14"/>
  <c r="A123" i="14"/>
  <c r="P122" i="14"/>
  <c r="N122" i="14"/>
  <c r="A122" i="14"/>
  <c r="P121" i="14"/>
  <c r="N121" i="14"/>
  <c r="A121" i="14"/>
  <c r="P120" i="14"/>
  <c r="N120" i="14"/>
  <c r="A120" i="14"/>
  <c r="P119" i="14"/>
  <c r="N119" i="14"/>
  <c r="A119" i="14"/>
  <c r="P118" i="14"/>
  <c r="N118" i="14"/>
  <c r="A118" i="14"/>
  <c r="P117" i="14"/>
  <c r="N117" i="14"/>
  <c r="A117" i="14"/>
  <c r="P116" i="14"/>
  <c r="N116" i="14"/>
  <c r="A116" i="14"/>
  <c r="P115" i="14"/>
  <c r="N115" i="14"/>
  <c r="A115" i="14"/>
  <c r="P114" i="14"/>
  <c r="N114" i="14"/>
  <c r="A114" i="14"/>
  <c r="P113" i="14"/>
  <c r="N113" i="14"/>
  <c r="A113" i="14"/>
  <c r="P112" i="14"/>
  <c r="N112" i="14"/>
  <c r="A112" i="14"/>
  <c r="P111" i="14"/>
  <c r="N111" i="14"/>
  <c r="A111" i="14"/>
  <c r="P110" i="14"/>
  <c r="N110" i="14"/>
  <c r="A110" i="14"/>
  <c r="P109" i="14"/>
  <c r="N109" i="14"/>
  <c r="A109" i="14"/>
  <c r="P108" i="14"/>
  <c r="N108" i="14"/>
  <c r="A108" i="14"/>
  <c r="P107" i="14"/>
  <c r="N107" i="14"/>
  <c r="A107" i="14"/>
  <c r="P106" i="14"/>
  <c r="N106" i="14"/>
  <c r="A106" i="14"/>
  <c r="P105" i="14"/>
  <c r="N105" i="14"/>
  <c r="A105" i="14"/>
  <c r="P104" i="14"/>
  <c r="N104" i="14"/>
  <c r="A104" i="14"/>
  <c r="P103" i="14"/>
  <c r="N103" i="14"/>
  <c r="A103" i="14"/>
  <c r="P102" i="14"/>
  <c r="N102" i="14"/>
  <c r="A102" i="14"/>
  <c r="P101" i="14"/>
  <c r="N101" i="14"/>
  <c r="A101" i="14"/>
  <c r="P100" i="14"/>
  <c r="N100" i="14"/>
  <c r="A100" i="14"/>
  <c r="P99" i="14"/>
  <c r="N99" i="14"/>
  <c r="A99" i="14"/>
  <c r="P98" i="14"/>
  <c r="N98" i="14"/>
  <c r="A98" i="14"/>
  <c r="P97" i="14"/>
  <c r="N97" i="14"/>
  <c r="A97" i="14"/>
  <c r="P96" i="14"/>
  <c r="N96" i="14"/>
  <c r="A96" i="14"/>
  <c r="P95" i="14"/>
  <c r="N95" i="14"/>
  <c r="A95" i="14"/>
  <c r="P94" i="14"/>
  <c r="N94" i="14"/>
  <c r="A94" i="14"/>
  <c r="P93" i="14"/>
  <c r="N93" i="14"/>
  <c r="A93" i="14"/>
  <c r="P92" i="14"/>
  <c r="N92" i="14"/>
  <c r="A92" i="14"/>
  <c r="P91" i="14"/>
  <c r="N91" i="14"/>
  <c r="A91" i="14"/>
  <c r="P90" i="14"/>
  <c r="N90" i="14"/>
  <c r="A90" i="14"/>
  <c r="P89" i="14"/>
  <c r="N89" i="14"/>
  <c r="A89" i="14"/>
  <c r="P88" i="14"/>
  <c r="N88" i="14"/>
  <c r="A88" i="14"/>
  <c r="P87" i="14"/>
  <c r="N87" i="14"/>
  <c r="A87" i="14"/>
  <c r="P86" i="14"/>
  <c r="N86" i="14"/>
  <c r="A86" i="14"/>
  <c r="P85" i="14"/>
  <c r="N85" i="14"/>
  <c r="A85" i="14"/>
  <c r="P84" i="14"/>
  <c r="N84" i="14"/>
  <c r="A84" i="14"/>
  <c r="P83" i="14"/>
  <c r="N83" i="14"/>
  <c r="A83" i="14"/>
  <c r="P82" i="14"/>
  <c r="N82" i="14"/>
  <c r="A82" i="14"/>
  <c r="P81" i="14"/>
  <c r="N81" i="14"/>
  <c r="A81" i="14"/>
  <c r="P80" i="14"/>
  <c r="N80" i="14"/>
  <c r="A80" i="14"/>
  <c r="P79" i="14"/>
  <c r="N79" i="14"/>
  <c r="A79" i="14"/>
  <c r="P78" i="14"/>
  <c r="N78" i="14"/>
  <c r="A78" i="14"/>
  <c r="P77" i="14"/>
  <c r="N77" i="14"/>
  <c r="A77" i="14"/>
  <c r="P76" i="14"/>
  <c r="N76" i="14"/>
  <c r="A76" i="14"/>
  <c r="P75" i="14"/>
  <c r="N75" i="14"/>
  <c r="A75" i="14"/>
  <c r="P74" i="14"/>
  <c r="N74" i="14"/>
  <c r="A74" i="14"/>
  <c r="P73" i="14"/>
  <c r="N73" i="14"/>
  <c r="A73" i="14"/>
  <c r="P72" i="14"/>
  <c r="N72" i="14"/>
  <c r="A72" i="14"/>
  <c r="P71" i="14"/>
  <c r="N71" i="14"/>
  <c r="A71" i="14"/>
  <c r="P70" i="14"/>
  <c r="N70" i="14"/>
  <c r="A70" i="14"/>
  <c r="P69" i="14"/>
  <c r="N69" i="14"/>
  <c r="A69" i="14"/>
  <c r="P68" i="14"/>
  <c r="N68" i="14"/>
  <c r="A68" i="14"/>
  <c r="P67" i="14"/>
  <c r="N67" i="14"/>
  <c r="A67" i="14"/>
  <c r="P66" i="14"/>
  <c r="N66" i="14"/>
  <c r="A66" i="14"/>
  <c r="P65" i="14"/>
  <c r="N65" i="14"/>
  <c r="A65" i="14"/>
  <c r="P64" i="14"/>
  <c r="N64" i="14"/>
  <c r="A64" i="14"/>
  <c r="P63" i="14"/>
  <c r="N63" i="14"/>
  <c r="A63" i="14"/>
  <c r="P62" i="14"/>
  <c r="N62" i="14"/>
  <c r="A62" i="14"/>
  <c r="P61" i="14"/>
  <c r="N61" i="14"/>
  <c r="A61" i="14"/>
  <c r="P60" i="14"/>
  <c r="N60" i="14"/>
  <c r="A60" i="14"/>
  <c r="P59" i="14"/>
  <c r="N59" i="14"/>
  <c r="A59" i="14"/>
  <c r="P58" i="14"/>
  <c r="N58" i="14"/>
  <c r="A58" i="14"/>
  <c r="P57" i="14"/>
  <c r="N57" i="14"/>
  <c r="A57" i="14"/>
  <c r="P56" i="14"/>
  <c r="N56" i="14"/>
  <c r="A56" i="14"/>
  <c r="P55" i="14"/>
  <c r="N55" i="14"/>
  <c r="A55" i="14"/>
  <c r="P54" i="14"/>
  <c r="N54" i="14"/>
  <c r="A54" i="14"/>
  <c r="P53" i="14"/>
  <c r="N53" i="14"/>
  <c r="A53" i="14"/>
  <c r="P52" i="14"/>
  <c r="N52" i="14"/>
  <c r="A52" i="14"/>
  <c r="P51" i="14"/>
  <c r="N51" i="14"/>
  <c r="A51" i="14"/>
  <c r="P50" i="14"/>
  <c r="N50" i="14"/>
  <c r="A50" i="14"/>
  <c r="P49" i="14"/>
  <c r="N49" i="14"/>
  <c r="A49" i="14"/>
  <c r="P48" i="14"/>
  <c r="N48" i="14"/>
  <c r="A48" i="14"/>
  <c r="P47" i="14"/>
  <c r="N47" i="14"/>
  <c r="A47" i="14"/>
  <c r="P46" i="14"/>
  <c r="N46" i="14"/>
  <c r="A46" i="14"/>
  <c r="P45" i="14"/>
  <c r="N45" i="14"/>
  <c r="A45" i="14"/>
  <c r="P44" i="14"/>
  <c r="N44" i="14"/>
  <c r="A44" i="14"/>
  <c r="P43" i="14"/>
  <c r="N43" i="14"/>
  <c r="A43" i="14"/>
  <c r="P42" i="14"/>
  <c r="N42" i="14"/>
  <c r="A42" i="14"/>
  <c r="P41" i="14"/>
  <c r="N41" i="14"/>
  <c r="A41" i="14"/>
  <c r="P40" i="14"/>
  <c r="N40" i="14"/>
  <c r="A40" i="14"/>
  <c r="P39" i="14"/>
  <c r="N39" i="14"/>
  <c r="A39" i="14"/>
  <c r="P38" i="14"/>
  <c r="N38" i="14"/>
  <c r="A38" i="14"/>
  <c r="P37" i="14"/>
  <c r="N37" i="14"/>
  <c r="A37" i="14"/>
  <c r="P36" i="14"/>
  <c r="N36" i="14"/>
  <c r="A36" i="14"/>
  <c r="P35" i="14"/>
  <c r="N35" i="14"/>
  <c r="A35" i="14"/>
  <c r="P34" i="14"/>
  <c r="N34" i="14"/>
  <c r="A34" i="14"/>
  <c r="P33" i="14"/>
  <c r="N33" i="14"/>
  <c r="A33" i="14"/>
  <c r="P32" i="14"/>
  <c r="N32" i="14"/>
  <c r="A32" i="14"/>
  <c r="P31" i="14"/>
  <c r="N31" i="14"/>
  <c r="A31" i="14"/>
  <c r="P30" i="14"/>
  <c r="N30" i="14"/>
  <c r="A30" i="14"/>
  <c r="P29" i="14"/>
  <c r="N29" i="14"/>
  <c r="A29" i="14"/>
  <c r="P28" i="14"/>
  <c r="N28" i="14"/>
  <c r="A28" i="14"/>
  <c r="P27" i="14"/>
  <c r="N27" i="14"/>
  <c r="A27" i="14"/>
  <c r="P26" i="14"/>
  <c r="N26" i="14"/>
  <c r="A26" i="14"/>
  <c r="P25" i="14"/>
  <c r="N25" i="14"/>
  <c r="A25" i="14"/>
  <c r="P24" i="14"/>
  <c r="N24" i="14"/>
  <c r="A24" i="14"/>
  <c r="P23" i="14"/>
  <c r="N23" i="14"/>
  <c r="A23" i="14"/>
  <c r="P22" i="14"/>
  <c r="N22" i="14"/>
  <c r="A22" i="14"/>
  <c r="P21" i="14"/>
  <c r="N21" i="14"/>
  <c r="A21" i="14"/>
  <c r="P20" i="14"/>
  <c r="N20" i="14"/>
  <c r="A20" i="14"/>
  <c r="P19" i="14"/>
  <c r="N19" i="14"/>
  <c r="A19" i="14"/>
  <c r="P18" i="14"/>
  <c r="N18" i="14"/>
  <c r="A18" i="14"/>
  <c r="P17" i="14"/>
  <c r="N17" i="14"/>
  <c r="A17" i="14"/>
  <c r="P16" i="14"/>
  <c r="N16" i="14"/>
  <c r="A16" i="14"/>
  <c r="P15" i="14"/>
  <c r="N15" i="14"/>
  <c r="A15" i="14"/>
  <c r="P14" i="14"/>
  <c r="N14" i="14"/>
  <c r="A14" i="14"/>
  <c r="P13" i="14"/>
  <c r="N13" i="14"/>
  <c r="A13" i="14"/>
  <c r="P12" i="14"/>
  <c r="N12" i="14"/>
  <c r="A12" i="14"/>
  <c r="P11" i="14"/>
  <c r="N11" i="14"/>
  <c r="A11" i="14"/>
  <c r="P10" i="14"/>
  <c r="N10" i="14"/>
  <c r="A10" i="14"/>
  <c r="P9" i="14"/>
  <c r="N9" i="14"/>
  <c r="A9" i="14"/>
  <c r="P8" i="14"/>
  <c r="N8" i="14"/>
  <c r="A8" i="14"/>
  <c r="P7" i="14"/>
  <c r="N7" i="14"/>
  <c r="A7" i="14"/>
  <c r="P6" i="14"/>
  <c r="N6" i="14"/>
  <c r="A6" i="14"/>
  <c r="P5" i="14"/>
  <c r="N5" i="14"/>
  <c r="A5" i="14"/>
  <c r="P4" i="14"/>
  <c r="N4" i="14"/>
  <c r="A4" i="14"/>
  <c r="P3" i="14"/>
  <c r="N3" i="14"/>
  <c r="A3" i="14"/>
  <c r="G498" i="13"/>
  <c r="E498" i="13"/>
  <c r="G497" i="13"/>
  <c r="E497" i="13"/>
  <c r="G496" i="13"/>
  <c r="E496" i="13"/>
  <c r="G495" i="13"/>
  <c r="E495" i="13"/>
  <c r="G494" i="13"/>
  <c r="E494" i="13"/>
  <c r="G493" i="13"/>
  <c r="E493" i="13"/>
  <c r="G492" i="13"/>
  <c r="E492" i="13"/>
  <c r="G491" i="13"/>
  <c r="E491" i="13"/>
  <c r="G490" i="13"/>
  <c r="E490" i="13"/>
  <c r="G489" i="13"/>
  <c r="E489" i="13"/>
  <c r="G488" i="13"/>
  <c r="E488" i="13"/>
  <c r="G487" i="13"/>
  <c r="E487" i="13"/>
  <c r="G486" i="13"/>
  <c r="E486" i="13"/>
  <c r="G485" i="13"/>
  <c r="E485" i="13"/>
  <c r="G484" i="13"/>
  <c r="E484" i="13"/>
  <c r="G483" i="13"/>
  <c r="E483" i="13"/>
  <c r="G482" i="13"/>
  <c r="E482" i="13"/>
  <c r="G481" i="13"/>
  <c r="E481" i="13"/>
  <c r="G480" i="13"/>
  <c r="E480" i="13"/>
  <c r="G479" i="13"/>
  <c r="E479" i="13"/>
  <c r="G478" i="13"/>
  <c r="E478" i="13"/>
  <c r="G477" i="13"/>
  <c r="E477" i="13"/>
  <c r="G476" i="13"/>
  <c r="E476" i="13"/>
  <c r="G475" i="13"/>
  <c r="E475" i="13"/>
  <c r="G474" i="13"/>
  <c r="E474" i="13"/>
  <c r="G473" i="13"/>
  <c r="E473" i="13"/>
  <c r="G472" i="13"/>
  <c r="E472" i="13"/>
  <c r="G471" i="13"/>
  <c r="E471" i="13"/>
  <c r="G470" i="13"/>
  <c r="E470" i="13"/>
  <c r="G469" i="13"/>
  <c r="E469" i="13"/>
  <c r="G468" i="13"/>
  <c r="E468" i="13"/>
  <c r="G467" i="13"/>
  <c r="E467" i="13"/>
  <c r="G466" i="13"/>
  <c r="E466" i="13"/>
  <c r="G465" i="13"/>
  <c r="E465" i="13"/>
  <c r="G464" i="13"/>
  <c r="E464" i="13"/>
  <c r="G463" i="13"/>
  <c r="E463" i="13"/>
  <c r="G462" i="13"/>
  <c r="E462" i="13"/>
  <c r="G461" i="13"/>
  <c r="E461" i="13"/>
  <c r="G460" i="13"/>
  <c r="E460" i="13"/>
  <c r="G459" i="13"/>
  <c r="E459" i="13"/>
  <c r="G458" i="13"/>
  <c r="E458" i="13"/>
  <c r="G457" i="13"/>
  <c r="E457" i="13"/>
  <c r="G456" i="13"/>
  <c r="E456" i="13"/>
  <c r="G455" i="13"/>
  <c r="E455" i="13"/>
  <c r="G454" i="13"/>
  <c r="E454" i="13"/>
  <c r="G453" i="13"/>
  <c r="E453" i="13"/>
  <c r="G452" i="13"/>
  <c r="E452" i="13"/>
  <c r="G451" i="13"/>
  <c r="E451" i="13"/>
  <c r="G450" i="13"/>
  <c r="E450" i="13"/>
  <c r="G449" i="13"/>
  <c r="E449" i="13"/>
  <c r="G448" i="13"/>
  <c r="E448" i="13"/>
  <c r="G447" i="13"/>
  <c r="E447" i="13"/>
  <c r="G446" i="13"/>
  <c r="E446" i="13"/>
  <c r="G445" i="13"/>
  <c r="E445" i="13"/>
  <c r="G444" i="13"/>
  <c r="E444" i="13"/>
  <c r="G443" i="13"/>
  <c r="E443" i="13"/>
  <c r="G442" i="13"/>
  <c r="E442" i="13"/>
  <c r="G441" i="13"/>
  <c r="E441" i="13"/>
  <c r="G440" i="13"/>
  <c r="E440" i="13"/>
  <c r="G439" i="13"/>
  <c r="E439" i="13"/>
  <c r="G438" i="13"/>
  <c r="E438" i="13"/>
  <c r="G437" i="13"/>
  <c r="E437" i="13"/>
  <c r="G436" i="13"/>
  <c r="E436" i="13"/>
  <c r="G435" i="13"/>
  <c r="E435" i="13"/>
  <c r="G434" i="13"/>
  <c r="E434" i="13"/>
  <c r="G433" i="13"/>
  <c r="E433" i="13"/>
  <c r="G432" i="13"/>
  <c r="E432" i="13"/>
  <c r="G431" i="13"/>
  <c r="E431" i="13"/>
  <c r="G430" i="13"/>
  <c r="E430" i="13"/>
  <c r="G429" i="13"/>
  <c r="E429" i="13"/>
  <c r="G428" i="13"/>
  <c r="E428" i="13"/>
  <c r="G427" i="13"/>
  <c r="E427" i="13"/>
  <c r="G426" i="13"/>
  <c r="E426" i="13"/>
  <c r="G425" i="13"/>
  <c r="E425" i="13"/>
  <c r="G424" i="13"/>
  <c r="E424" i="13"/>
  <c r="G423" i="13"/>
  <c r="E423" i="13"/>
  <c r="G422" i="13"/>
  <c r="E422" i="13"/>
  <c r="G421" i="13"/>
  <c r="E421" i="13"/>
  <c r="G420" i="13"/>
  <c r="E420" i="13"/>
  <c r="G419" i="13"/>
  <c r="E419" i="13"/>
  <c r="G418" i="13"/>
  <c r="E418" i="13"/>
  <c r="G417" i="13"/>
  <c r="E417" i="13"/>
  <c r="G416" i="13"/>
  <c r="E416" i="13"/>
  <c r="G415" i="13"/>
  <c r="E415" i="13"/>
  <c r="G414" i="13"/>
  <c r="E414" i="13"/>
  <c r="G413" i="13"/>
  <c r="E413" i="13"/>
  <c r="G412" i="13"/>
  <c r="E412" i="13"/>
  <c r="G411" i="13"/>
  <c r="E411" i="13"/>
  <c r="G410" i="13"/>
  <c r="E410" i="13"/>
  <c r="G409" i="13"/>
  <c r="E409" i="13"/>
  <c r="G408" i="13"/>
  <c r="E408" i="13"/>
  <c r="G407" i="13"/>
  <c r="E407" i="13"/>
  <c r="G406" i="13"/>
  <c r="E406" i="13"/>
  <c r="G405" i="13"/>
  <c r="E405" i="13"/>
  <c r="G404" i="13"/>
  <c r="E404" i="13"/>
  <c r="G403" i="13"/>
  <c r="E403" i="13"/>
  <c r="G402" i="13"/>
  <c r="E402" i="13"/>
  <c r="G401" i="13"/>
  <c r="E401" i="13"/>
  <c r="G400" i="13"/>
  <c r="E400" i="13"/>
  <c r="G399" i="13"/>
  <c r="E399" i="13"/>
  <c r="G398" i="13"/>
  <c r="E398" i="13"/>
  <c r="G397" i="13"/>
  <c r="E397" i="13"/>
  <c r="G396" i="13"/>
  <c r="E396" i="13"/>
  <c r="G395" i="13"/>
  <c r="E395" i="13"/>
  <c r="G394" i="13"/>
  <c r="E394" i="13"/>
  <c r="G393" i="13"/>
  <c r="E393" i="13"/>
  <c r="G392" i="13"/>
  <c r="E392" i="13"/>
  <c r="G391" i="13"/>
  <c r="E391" i="13"/>
  <c r="G390" i="13"/>
  <c r="E390" i="13"/>
  <c r="G389" i="13"/>
  <c r="E389" i="13"/>
  <c r="G388" i="13"/>
  <c r="E388" i="13"/>
  <c r="G387" i="13"/>
  <c r="E387" i="13"/>
  <c r="G386" i="13"/>
  <c r="E386" i="13"/>
  <c r="G385" i="13"/>
  <c r="E385" i="13"/>
  <c r="G384" i="13"/>
  <c r="E384" i="13"/>
  <c r="G383" i="13"/>
  <c r="E383" i="13"/>
  <c r="G382" i="13"/>
  <c r="E382" i="13"/>
  <c r="G381" i="13"/>
  <c r="E381" i="13"/>
  <c r="G380" i="13"/>
  <c r="E380" i="13"/>
  <c r="G379" i="13"/>
  <c r="E379" i="13"/>
  <c r="G378" i="13"/>
  <c r="E378" i="13"/>
  <c r="G377" i="13"/>
  <c r="E377" i="13"/>
  <c r="G376" i="13"/>
  <c r="E376" i="13"/>
  <c r="G375" i="13"/>
  <c r="E375" i="13"/>
  <c r="G374" i="13"/>
  <c r="E374" i="13"/>
  <c r="G373" i="13"/>
  <c r="E373" i="13"/>
  <c r="G372" i="13"/>
  <c r="E372" i="13"/>
  <c r="G371" i="13"/>
  <c r="E371" i="13"/>
  <c r="G370" i="13"/>
  <c r="E370" i="13"/>
  <c r="G369" i="13"/>
  <c r="E369" i="13"/>
  <c r="G368" i="13"/>
  <c r="E368" i="13"/>
  <c r="G367" i="13"/>
  <c r="E367" i="13"/>
  <c r="G366" i="13"/>
  <c r="E366" i="13"/>
  <c r="G365" i="13"/>
  <c r="E365" i="13"/>
  <c r="G364" i="13"/>
  <c r="E364" i="13"/>
  <c r="G363" i="13"/>
  <c r="E363" i="13"/>
  <c r="G362" i="13"/>
  <c r="E362" i="13"/>
  <c r="G361" i="13"/>
  <c r="E361" i="13"/>
  <c r="G360" i="13"/>
  <c r="E360" i="13"/>
  <c r="G359" i="13"/>
  <c r="E359" i="13"/>
  <c r="G358" i="13"/>
  <c r="E358" i="13"/>
  <c r="G357" i="13"/>
  <c r="E357" i="13"/>
  <c r="G356" i="13"/>
  <c r="E356" i="13"/>
  <c r="G355" i="13"/>
  <c r="E355" i="13"/>
  <c r="G354" i="13"/>
  <c r="E354" i="13"/>
  <c r="G353" i="13"/>
  <c r="E353" i="13"/>
  <c r="G352" i="13"/>
  <c r="E352" i="13"/>
  <c r="G351" i="13"/>
  <c r="E351" i="13"/>
  <c r="G350" i="13"/>
  <c r="E350" i="13"/>
  <c r="G349" i="13"/>
  <c r="E349" i="13"/>
  <c r="G348" i="13"/>
  <c r="E348" i="13"/>
  <c r="G347" i="13"/>
  <c r="E347" i="13"/>
  <c r="G346" i="13"/>
  <c r="E346" i="13"/>
  <c r="G345" i="13"/>
  <c r="E345" i="13"/>
  <c r="G344" i="13"/>
  <c r="E344" i="13"/>
  <c r="G343" i="13"/>
  <c r="E343" i="13"/>
  <c r="G342" i="13"/>
  <c r="E342" i="13"/>
  <c r="G341" i="13"/>
  <c r="E341" i="13"/>
  <c r="G340" i="13"/>
  <c r="E340" i="13"/>
  <c r="G339" i="13"/>
  <c r="E339" i="13"/>
  <c r="G338" i="13"/>
  <c r="E338" i="13"/>
  <c r="G337" i="13"/>
  <c r="E337" i="13"/>
  <c r="G336" i="13"/>
  <c r="E336" i="13"/>
  <c r="G335" i="13"/>
  <c r="E335" i="13"/>
  <c r="G334" i="13"/>
  <c r="E334" i="13"/>
  <c r="G333" i="13"/>
  <c r="E333" i="13"/>
  <c r="G332" i="13"/>
  <c r="E332" i="13"/>
  <c r="G331" i="13"/>
  <c r="E331" i="13"/>
  <c r="G330" i="13"/>
  <c r="E330" i="13"/>
  <c r="G329" i="13"/>
  <c r="E329" i="13"/>
  <c r="G328" i="13"/>
  <c r="E328" i="13"/>
  <c r="G327" i="13"/>
  <c r="E327" i="13"/>
  <c r="G326" i="13"/>
  <c r="E326" i="13"/>
  <c r="G325" i="13"/>
  <c r="E325" i="13"/>
  <c r="G324" i="13"/>
  <c r="E324" i="13"/>
  <c r="G323" i="13"/>
  <c r="E323" i="13"/>
  <c r="G322" i="13"/>
  <c r="E322" i="13"/>
  <c r="G321" i="13"/>
  <c r="E321" i="13"/>
  <c r="G320" i="13"/>
  <c r="E320" i="13"/>
  <c r="G319" i="13"/>
  <c r="E319" i="13"/>
  <c r="G318" i="13"/>
  <c r="E318" i="13"/>
  <c r="G317" i="13"/>
  <c r="E317" i="13"/>
  <c r="G316" i="13"/>
  <c r="E316" i="13"/>
  <c r="G315" i="13"/>
  <c r="E315" i="13"/>
  <c r="G314" i="13"/>
  <c r="E314" i="13"/>
  <c r="G313" i="13"/>
  <c r="E313" i="13"/>
  <c r="G312" i="13"/>
  <c r="E312" i="13"/>
  <c r="G311" i="13"/>
  <c r="E311" i="13"/>
  <c r="G310" i="13"/>
  <c r="E310" i="13"/>
  <c r="G309" i="13"/>
  <c r="E309" i="13"/>
  <c r="G308" i="13"/>
  <c r="E308" i="13"/>
  <c r="G307" i="13"/>
  <c r="E307" i="13"/>
  <c r="G306" i="13"/>
  <c r="E306" i="13"/>
  <c r="G305" i="13"/>
  <c r="E305" i="13"/>
  <c r="G304" i="13"/>
  <c r="E304" i="13"/>
  <c r="G303" i="13"/>
  <c r="E303" i="13"/>
  <c r="G302" i="13"/>
  <c r="E302" i="13"/>
  <c r="G301" i="13"/>
  <c r="E301" i="13"/>
  <c r="G300" i="13"/>
  <c r="E300" i="13"/>
  <c r="G299" i="13"/>
  <c r="E299" i="13"/>
  <c r="G298" i="13"/>
  <c r="E298" i="13"/>
  <c r="G297" i="13"/>
  <c r="E297" i="13"/>
  <c r="G296" i="13"/>
  <c r="E296" i="13"/>
  <c r="G295" i="13"/>
  <c r="E295" i="13"/>
  <c r="G294" i="13"/>
  <c r="E294" i="13"/>
  <c r="G293" i="13"/>
  <c r="E293" i="13"/>
  <c r="G292" i="13"/>
  <c r="E292" i="13"/>
  <c r="G291" i="13"/>
  <c r="E291" i="13"/>
  <c r="G290" i="13"/>
  <c r="E290" i="13"/>
  <c r="G289" i="13"/>
  <c r="E289" i="13"/>
  <c r="G288" i="13"/>
  <c r="E288" i="13"/>
  <c r="G287" i="13"/>
  <c r="E287" i="13"/>
  <c r="G286" i="13"/>
  <c r="E286" i="13"/>
  <c r="G285" i="13"/>
  <c r="E285" i="13"/>
  <c r="G284" i="13"/>
  <c r="E284" i="13"/>
  <c r="G283" i="13"/>
  <c r="E283" i="13"/>
  <c r="G282" i="13"/>
  <c r="E282" i="13"/>
  <c r="G281" i="13"/>
  <c r="E281" i="13"/>
  <c r="G280" i="13"/>
  <c r="E280" i="13"/>
  <c r="G279" i="13"/>
  <c r="E279" i="13"/>
  <c r="G278" i="13"/>
  <c r="E278" i="13"/>
  <c r="G277" i="13"/>
  <c r="E277" i="13"/>
  <c r="G276" i="13"/>
  <c r="E276" i="13"/>
  <c r="G275" i="13"/>
  <c r="E275" i="13"/>
  <c r="G274" i="13"/>
  <c r="E274" i="13"/>
  <c r="G273" i="13"/>
  <c r="E273" i="13"/>
  <c r="G272" i="13"/>
  <c r="E272" i="13"/>
  <c r="G271" i="13"/>
  <c r="E271" i="13"/>
  <c r="G270" i="13"/>
  <c r="E270" i="13"/>
  <c r="G269" i="13"/>
  <c r="E269" i="13"/>
  <c r="G268" i="13"/>
  <c r="E268" i="13"/>
  <c r="G267" i="13"/>
  <c r="E267" i="13"/>
  <c r="G266" i="13"/>
  <c r="E266" i="13"/>
  <c r="G265" i="13"/>
  <c r="E265" i="13"/>
  <c r="G264" i="13"/>
  <c r="E264" i="13"/>
  <c r="G263" i="13"/>
  <c r="E263" i="13"/>
  <c r="G262" i="13"/>
  <c r="E262" i="13"/>
  <c r="G261" i="13"/>
  <c r="E261" i="13"/>
  <c r="G260" i="13"/>
  <c r="E260" i="13"/>
  <c r="G259" i="13"/>
  <c r="E259" i="13"/>
  <c r="G258" i="13"/>
  <c r="E258" i="13"/>
  <c r="G257" i="13"/>
  <c r="E257" i="13"/>
  <c r="G256" i="13"/>
  <c r="E256" i="13"/>
  <c r="G255" i="13"/>
  <c r="E255" i="13"/>
  <c r="G254" i="13"/>
  <c r="E254" i="13"/>
  <c r="G253" i="13"/>
  <c r="E253" i="13"/>
  <c r="G252" i="13"/>
  <c r="E252" i="13"/>
  <c r="G251" i="13"/>
  <c r="E251" i="13"/>
  <c r="G250" i="13"/>
  <c r="E250" i="13"/>
  <c r="G249" i="13"/>
  <c r="E249" i="13"/>
  <c r="G248" i="13"/>
  <c r="E248" i="13"/>
  <c r="G247" i="13"/>
  <c r="E247" i="13"/>
  <c r="G246" i="13"/>
  <c r="E246" i="13"/>
  <c r="G245" i="13"/>
  <c r="E245" i="13"/>
  <c r="G244" i="13"/>
  <c r="E244" i="13"/>
  <c r="G243" i="13"/>
  <c r="E243" i="13"/>
  <c r="G242" i="13"/>
  <c r="E242" i="13"/>
  <c r="G241" i="13"/>
  <c r="E241" i="13"/>
  <c r="G240" i="13"/>
  <c r="E240" i="13"/>
  <c r="G239" i="13"/>
  <c r="E239" i="13"/>
  <c r="G238" i="13"/>
  <c r="E238" i="13"/>
  <c r="G237" i="13"/>
  <c r="E237" i="13"/>
  <c r="G236" i="13"/>
  <c r="E236" i="13"/>
  <c r="G235" i="13"/>
  <c r="E235" i="13"/>
  <c r="G234" i="13"/>
  <c r="E234" i="13"/>
  <c r="G233" i="13"/>
  <c r="E233" i="13"/>
  <c r="G232" i="13"/>
  <c r="E232" i="13"/>
  <c r="G231" i="13"/>
  <c r="E231" i="13"/>
  <c r="G230" i="13"/>
  <c r="E230" i="13"/>
  <c r="G229" i="13"/>
  <c r="E229" i="13"/>
  <c r="G228" i="13"/>
  <c r="E228" i="13"/>
  <c r="G227" i="13"/>
  <c r="E227" i="13"/>
  <c r="G226" i="13"/>
  <c r="E226" i="13"/>
  <c r="G225" i="13"/>
  <c r="E225" i="13"/>
  <c r="G224" i="13"/>
  <c r="E224" i="13"/>
  <c r="G223" i="13"/>
  <c r="E223" i="13"/>
  <c r="G222" i="13"/>
  <c r="E222" i="13"/>
  <c r="G221" i="13"/>
  <c r="E221" i="13"/>
  <c r="G220" i="13"/>
  <c r="E220" i="13"/>
  <c r="G219" i="13"/>
  <c r="E219" i="13"/>
  <c r="G218" i="13"/>
  <c r="E218" i="13"/>
  <c r="G217" i="13"/>
  <c r="E217" i="13"/>
  <c r="G216" i="13"/>
  <c r="E216" i="13"/>
  <c r="G215" i="13"/>
  <c r="E215" i="13"/>
  <c r="G214" i="13"/>
  <c r="E214" i="13"/>
  <c r="G213" i="13"/>
  <c r="E213" i="13"/>
  <c r="G212" i="13"/>
  <c r="E212" i="13"/>
  <c r="G211" i="13"/>
  <c r="E211" i="13"/>
  <c r="G210" i="13"/>
  <c r="E210" i="13"/>
  <c r="G209" i="13"/>
  <c r="E209" i="13"/>
  <c r="G208" i="13"/>
  <c r="E208" i="13"/>
  <c r="G207" i="13"/>
  <c r="E207" i="13"/>
  <c r="G206" i="13"/>
  <c r="E206" i="13"/>
  <c r="G205" i="13"/>
  <c r="E205" i="13"/>
  <c r="G204" i="13"/>
  <c r="E204" i="13"/>
  <c r="G203" i="13"/>
  <c r="E203" i="13"/>
  <c r="G202" i="13"/>
  <c r="E202" i="13"/>
  <c r="G201" i="13"/>
  <c r="E201" i="13"/>
  <c r="G200" i="13"/>
  <c r="E200" i="13"/>
  <c r="G199" i="13"/>
  <c r="E199" i="13"/>
  <c r="G198" i="13"/>
  <c r="E198" i="13"/>
  <c r="G197" i="13"/>
  <c r="E197" i="13"/>
  <c r="G196" i="13"/>
  <c r="E196" i="13"/>
  <c r="G195" i="13"/>
  <c r="E195" i="13"/>
  <c r="G194" i="13"/>
  <c r="E194" i="13"/>
  <c r="G193" i="13"/>
  <c r="E193" i="13"/>
  <c r="G192" i="13"/>
  <c r="E192" i="13"/>
  <c r="G191" i="13"/>
  <c r="E191" i="13"/>
  <c r="G190" i="13"/>
  <c r="E190" i="13"/>
  <c r="G189" i="13"/>
  <c r="E189" i="13"/>
  <c r="G188" i="13"/>
  <c r="E188" i="13"/>
  <c r="G187" i="13"/>
  <c r="E187" i="13"/>
  <c r="G186" i="13"/>
  <c r="E186" i="13"/>
  <c r="G185" i="13"/>
  <c r="E185" i="13"/>
  <c r="G184" i="13"/>
  <c r="E184" i="13"/>
  <c r="G183" i="13"/>
  <c r="E183" i="13"/>
  <c r="G182" i="13"/>
  <c r="E182" i="13"/>
  <c r="G181" i="13"/>
  <c r="E181" i="13"/>
  <c r="G180" i="13"/>
  <c r="E180" i="13"/>
  <c r="G179" i="13"/>
  <c r="E179" i="13"/>
  <c r="G178" i="13"/>
  <c r="E178" i="13"/>
  <c r="G177" i="13"/>
  <c r="E177" i="13"/>
  <c r="G176" i="13"/>
  <c r="E176" i="13"/>
  <c r="G175" i="13"/>
  <c r="E175" i="13"/>
  <c r="G174" i="13"/>
  <c r="E174" i="13"/>
  <c r="G173" i="13"/>
  <c r="E173" i="13"/>
  <c r="G172" i="13"/>
  <c r="E172" i="13"/>
  <c r="G171" i="13"/>
  <c r="E171" i="13"/>
  <c r="G170" i="13"/>
  <c r="E170" i="13"/>
  <c r="G169" i="13"/>
  <c r="E169" i="13"/>
  <c r="G168" i="13"/>
  <c r="E168" i="13"/>
  <c r="G167" i="13"/>
  <c r="E167" i="13"/>
  <c r="G166" i="13"/>
  <c r="E166" i="13"/>
  <c r="G165" i="13"/>
  <c r="E165" i="13"/>
  <c r="G164" i="13"/>
  <c r="E164" i="13"/>
  <c r="G163" i="13"/>
  <c r="E163" i="13"/>
  <c r="G162" i="13"/>
  <c r="E162" i="13"/>
  <c r="G161" i="13"/>
  <c r="E161" i="13"/>
  <c r="G160" i="13"/>
  <c r="E160" i="13"/>
  <c r="G159" i="13"/>
  <c r="E159" i="13"/>
  <c r="G158" i="13"/>
  <c r="E158" i="13"/>
  <c r="G157" i="13"/>
  <c r="E157" i="13"/>
  <c r="G156" i="13"/>
  <c r="E156" i="13"/>
  <c r="G155" i="13"/>
  <c r="E155" i="13"/>
  <c r="G154" i="13"/>
  <c r="E154" i="13"/>
  <c r="G153" i="13"/>
  <c r="E153" i="13"/>
  <c r="G152" i="13"/>
  <c r="E152" i="13"/>
  <c r="G151" i="13"/>
  <c r="E151" i="13"/>
  <c r="G150" i="13"/>
  <c r="E150" i="13"/>
  <c r="G149" i="13"/>
  <c r="E149" i="13"/>
  <c r="G148" i="13"/>
  <c r="E148" i="13"/>
  <c r="G147" i="13"/>
  <c r="E147" i="13"/>
  <c r="G146" i="13"/>
  <c r="E146" i="13"/>
  <c r="G145" i="13"/>
  <c r="E145" i="13"/>
  <c r="G144" i="13"/>
  <c r="E144" i="13"/>
  <c r="G143" i="13"/>
  <c r="E143" i="13"/>
  <c r="G142" i="13"/>
  <c r="E142" i="13"/>
  <c r="G141" i="13"/>
  <c r="E141" i="13"/>
  <c r="G140" i="13"/>
  <c r="E140" i="13"/>
  <c r="G139" i="13"/>
  <c r="E139" i="13"/>
  <c r="G138" i="13"/>
  <c r="E138" i="13"/>
  <c r="G137" i="13"/>
  <c r="E137" i="13"/>
  <c r="G136" i="13"/>
  <c r="E136" i="13"/>
  <c r="G135" i="13"/>
  <c r="E135" i="13"/>
  <c r="G134" i="13"/>
  <c r="E134" i="13"/>
  <c r="G133" i="13"/>
  <c r="E133" i="13"/>
  <c r="G132" i="13"/>
  <c r="E132" i="13"/>
  <c r="G131" i="13"/>
  <c r="E131" i="13"/>
  <c r="G130" i="13"/>
  <c r="E130" i="13"/>
  <c r="G129" i="13"/>
  <c r="E129" i="13"/>
  <c r="G128" i="13"/>
  <c r="E128" i="13"/>
  <c r="G127" i="13"/>
  <c r="E127" i="13"/>
  <c r="G126" i="13"/>
  <c r="E126" i="13"/>
  <c r="G125" i="13"/>
  <c r="E125" i="13"/>
  <c r="G124" i="13"/>
  <c r="E124" i="13"/>
  <c r="G123" i="13"/>
  <c r="E123" i="13"/>
  <c r="G122" i="13"/>
  <c r="E122" i="13"/>
  <c r="G121" i="13"/>
  <c r="E121" i="13"/>
  <c r="G120" i="13"/>
  <c r="E120" i="13"/>
  <c r="G119" i="13"/>
  <c r="E119" i="13"/>
  <c r="G118" i="13"/>
  <c r="E118" i="13"/>
  <c r="G117" i="13"/>
  <c r="E117" i="13"/>
  <c r="G116" i="13"/>
  <c r="E116" i="13"/>
  <c r="G115" i="13"/>
  <c r="E115" i="13"/>
  <c r="G114" i="13"/>
  <c r="E114" i="13"/>
  <c r="G113" i="13"/>
  <c r="E113" i="13"/>
  <c r="G112" i="13"/>
  <c r="E112" i="13"/>
  <c r="G111" i="13"/>
  <c r="E111" i="13"/>
  <c r="G110" i="13"/>
  <c r="E110" i="13"/>
  <c r="G109" i="13"/>
  <c r="E109" i="13"/>
  <c r="G108" i="13"/>
  <c r="E108" i="13"/>
  <c r="G107" i="13"/>
  <c r="E107" i="13"/>
  <c r="G106" i="13"/>
  <c r="E106" i="13"/>
  <c r="G105" i="13"/>
  <c r="E105" i="13"/>
  <c r="G104" i="13"/>
  <c r="E104" i="13"/>
  <c r="G103" i="13"/>
  <c r="E103" i="13"/>
  <c r="G102" i="13"/>
  <c r="E102" i="13"/>
  <c r="G101" i="13"/>
  <c r="E101" i="13"/>
  <c r="G100" i="13"/>
  <c r="E100" i="13"/>
  <c r="G99" i="13"/>
  <c r="E99" i="13"/>
  <c r="G98" i="13"/>
  <c r="E98" i="13"/>
  <c r="G97" i="13"/>
  <c r="E97" i="13"/>
  <c r="G96" i="13"/>
  <c r="E96" i="13"/>
  <c r="G95" i="13"/>
  <c r="E95" i="13"/>
  <c r="G94" i="13"/>
  <c r="E94" i="13"/>
  <c r="G93" i="13"/>
  <c r="E93" i="13"/>
  <c r="G92" i="13"/>
  <c r="E92" i="13"/>
  <c r="G91" i="13"/>
  <c r="E91" i="13"/>
  <c r="G90" i="13"/>
  <c r="E90" i="13"/>
  <c r="G89" i="13"/>
  <c r="E89" i="13"/>
  <c r="G88" i="13"/>
  <c r="E88" i="13"/>
  <c r="G87" i="13"/>
  <c r="E87" i="13"/>
  <c r="G86" i="13"/>
  <c r="E86" i="13"/>
  <c r="G85" i="13"/>
  <c r="E85" i="13"/>
  <c r="G84" i="13"/>
  <c r="E84" i="13"/>
  <c r="G83" i="13"/>
  <c r="E83" i="13"/>
  <c r="G82" i="13"/>
  <c r="E82" i="13"/>
  <c r="G81" i="13"/>
  <c r="E81" i="13"/>
  <c r="G80" i="13"/>
  <c r="E80" i="13"/>
  <c r="G79" i="13"/>
  <c r="E79" i="13"/>
  <c r="G78" i="13"/>
  <c r="E78" i="13"/>
  <c r="G77" i="13"/>
  <c r="E77" i="13"/>
  <c r="G76" i="13"/>
  <c r="E76" i="13"/>
  <c r="G75" i="13"/>
  <c r="E75" i="13"/>
  <c r="G74" i="13"/>
  <c r="E74" i="13"/>
  <c r="G73" i="13"/>
  <c r="E73" i="13"/>
  <c r="G72" i="13"/>
  <c r="E72" i="13"/>
  <c r="G71" i="13"/>
  <c r="E71" i="13"/>
  <c r="G70" i="13"/>
  <c r="E70" i="13"/>
  <c r="G69" i="13"/>
  <c r="E69" i="13"/>
  <c r="G68" i="13"/>
  <c r="E68" i="13"/>
  <c r="G67" i="13"/>
  <c r="E67" i="13"/>
  <c r="G66" i="13"/>
  <c r="E66" i="13"/>
  <c r="G65" i="13"/>
  <c r="E65" i="13"/>
  <c r="G64" i="13"/>
  <c r="E64" i="13"/>
  <c r="G63" i="13"/>
  <c r="E63" i="13"/>
  <c r="G62" i="13"/>
  <c r="E62" i="13"/>
  <c r="G61" i="13"/>
  <c r="E61" i="13"/>
  <c r="G60" i="13"/>
  <c r="E60" i="13"/>
  <c r="G59" i="13"/>
  <c r="E59" i="13"/>
  <c r="G58" i="13"/>
  <c r="E58" i="13"/>
  <c r="G57" i="13"/>
  <c r="E57" i="13"/>
  <c r="G56" i="13"/>
  <c r="E56" i="13"/>
  <c r="G55" i="13"/>
  <c r="E55" i="13"/>
  <c r="G54" i="13"/>
  <c r="E54" i="13"/>
  <c r="G53" i="13"/>
  <c r="E53" i="13"/>
  <c r="G52" i="13"/>
  <c r="E52" i="13"/>
  <c r="G51" i="13"/>
  <c r="E51" i="13"/>
  <c r="G50" i="13"/>
  <c r="E50" i="13"/>
  <c r="G49" i="13"/>
  <c r="E49" i="13"/>
  <c r="G48" i="13"/>
  <c r="E48" i="13"/>
  <c r="G47" i="13"/>
  <c r="E47" i="13"/>
  <c r="G46" i="13"/>
  <c r="E46" i="13"/>
  <c r="G45" i="13"/>
  <c r="E45" i="13"/>
  <c r="G44" i="13"/>
  <c r="E44" i="13"/>
  <c r="G43" i="13"/>
  <c r="E43" i="13"/>
  <c r="G42" i="13"/>
  <c r="E42" i="13"/>
  <c r="G41" i="13"/>
  <c r="E41" i="13"/>
  <c r="G40" i="13"/>
  <c r="E40" i="13"/>
  <c r="G39" i="13"/>
  <c r="E39" i="13"/>
  <c r="G38" i="13"/>
  <c r="E38" i="13"/>
  <c r="G37" i="13"/>
  <c r="E37" i="13"/>
  <c r="G36" i="13"/>
  <c r="E36" i="13"/>
  <c r="G35" i="13"/>
  <c r="E35" i="13"/>
  <c r="G34" i="13"/>
  <c r="E34" i="13"/>
  <c r="G33" i="13"/>
  <c r="E33" i="13"/>
  <c r="G32" i="13"/>
  <c r="E32" i="13"/>
  <c r="G31" i="13"/>
  <c r="E31" i="13"/>
  <c r="G30" i="13"/>
  <c r="E30" i="13"/>
  <c r="G29" i="13"/>
  <c r="E29" i="13"/>
  <c r="G28" i="13"/>
  <c r="E28" i="13"/>
  <c r="G27" i="13"/>
  <c r="E27" i="13"/>
  <c r="G26" i="13"/>
  <c r="E26" i="13"/>
  <c r="G25" i="13"/>
  <c r="E25" i="13"/>
  <c r="G24" i="13"/>
  <c r="E24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G6" i="13"/>
  <c r="E6" i="13"/>
  <c r="G5" i="13"/>
  <c r="E5" i="13"/>
  <c r="G4" i="13"/>
  <c r="E4" i="13"/>
  <c r="G3" i="13"/>
  <c r="E3" i="13"/>
  <c r="T498" i="11"/>
  <c r="R498" i="11"/>
  <c r="T497" i="11"/>
  <c r="R497" i="11"/>
  <c r="T496" i="11"/>
  <c r="R496" i="11"/>
  <c r="T495" i="11"/>
  <c r="R495" i="11"/>
  <c r="T494" i="11"/>
  <c r="R494" i="11"/>
  <c r="T493" i="11"/>
  <c r="R493" i="11"/>
  <c r="T492" i="11"/>
  <c r="R492" i="11"/>
  <c r="T491" i="11"/>
  <c r="R491" i="11"/>
  <c r="T490" i="11"/>
  <c r="R490" i="11"/>
  <c r="A490" i="11"/>
  <c r="T489" i="11"/>
  <c r="R489" i="11"/>
  <c r="A489" i="11"/>
  <c r="T488" i="11"/>
  <c r="R488" i="11"/>
  <c r="A488" i="11"/>
  <c r="T487" i="11"/>
  <c r="R487" i="11"/>
  <c r="A487" i="11"/>
  <c r="T486" i="11"/>
  <c r="R486" i="11"/>
  <c r="A486" i="11"/>
  <c r="T485" i="11"/>
  <c r="R485" i="11"/>
  <c r="A485" i="11"/>
  <c r="T484" i="11"/>
  <c r="R484" i="11"/>
  <c r="A484" i="11"/>
  <c r="T483" i="11"/>
  <c r="R483" i="11"/>
  <c r="A483" i="11"/>
  <c r="T482" i="11"/>
  <c r="R482" i="11"/>
  <c r="A482" i="11"/>
  <c r="T481" i="11"/>
  <c r="R481" i="11"/>
  <c r="A481" i="11"/>
  <c r="T480" i="11"/>
  <c r="R480" i="11"/>
  <c r="A480" i="11"/>
  <c r="T479" i="11"/>
  <c r="R479" i="11"/>
  <c r="A479" i="11"/>
  <c r="T478" i="11"/>
  <c r="R478" i="11"/>
  <c r="A478" i="11"/>
  <c r="T477" i="11"/>
  <c r="R477" i="11"/>
  <c r="A477" i="11"/>
  <c r="T476" i="11"/>
  <c r="R476" i="11"/>
  <c r="A476" i="11"/>
  <c r="T475" i="11"/>
  <c r="R475" i="11"/>
  <c r="A475" i="11"/>
  <c r="T474" i="11"/>
  <c r="R474" i="11"/>
  <c r="A474" i="11"/>
  <c r="T473" i="11"/>
  <c r="R473" i="11"/>
  <c r="A473" i="11"/>
  <c r="T472" i="11"/>
  <c r="R472" i="11"/>
  <c r="A472" i="11"/>
  <c r="T471" i="11"/>
  <c r="R471" i="11"/>
  <c r="A471" i="11"/>
  <c r="T470" i="11"/>
  <c r="R470" i="11"/>
  <c r="A470" i="11"/>
  <c r="T469" i="11"/>
  <c r="R469" i="11"/>
  <c r="A469" i="11"/>
  <c r="T468" i="11"/>
  <c r="R468" i="11"/>
  <c r="A468" i="11"/>
  <c r="T467" i="11"/>
  <c r="R467" i="11"/>
  <c r="A467" i="11"/>
  <c r="T466" i="11"/>
  <c r="R466" i="11"/>
  <c r="A466" i="11"/>
  <c r="T465" i="11"/>
  <c r="R465" i="11"/>
  <c r="A465" i="11"/>
  <c r="T464" i="11"/>
  <c r="R464" i="11"/>
  <c r="A464" i="11"/>
  <c r="T463" i="11"/>
  <c r="R463" i="11"/>
  <c r="A463" i="11"/>
  <c r="T462" i="11"/>
  <c r="R462" i="11"/>
  <c r="A462" i="11"/>
  <c r="T461" i="11"/>
  <c r="R461" i="11"/>
  <c r="A461" i="11"/>
  <c r="T460" i="11"/>
  <c r="R460" i="11"/>
  <c r="A460" i="11"/>
  <c r="T459" i="11"/>
  <c r="R459" i="11"/>
  <c r="A459" i="11"/>
  <c r="T458" i="11"/>
  <c r="R458" i="11"/>
  <c r="A458" i="11"/>
  <c r="T457" i="11"/>
  <c r="R457" i="11"/>
  <c r="A457" i="11"/>
  <c r="T456" i="11"/>
  <c r="R456" i="11"/>
  <c r="A456" i="11"/>
  <c r="T455" i="11"/>
  <c r="R455" i="11"/>
  <c r="A455" i="11"/>
  <c r="T454" i="11"/>
  <c r="R454" i="11"/>
  <c r="A454" i="11"/>
  <c r="T453" i="11"/>
  <c r="R453" i="11"/>
  <c r="A453" i="11"/>
  <c r="T452" i="11"/>
  <c r="R452" i="11"/>
  <c r="A452" i="11"/>
  <c r="T451" i="11"/>
  <c r="R451" i="11"/>
  <c r="A451" i="11"/>
  <c r="T450" i="11"/>
  <c r="R450" i="11"/>
  <c r="A450" i="11"/>
  <c r="T449" i="11"/>
  <c r="R449" i="11"/>
  <c r="A449" i="11"/>
  <c r="T448" i="11"/>
  <c r="R448" i="11"/>
  <c r="A448" i="11"/>
  <c r="T447" i="11"/>
  <c r="R447" i="11"/>
  <c r="A447" i="11"/>
  <c r="T446" i="11"/>
  <c r="R446" i="11"/>
  <c r="A446" i="11"/>
  <c r="T445" i="11"/>
  <c r="R445" i="11"/>
  <c r="A445" i="11"/>
  <c r="T444" i="11"/>
  <c r="R444" i="11"/>
  <c r="A444" i="11"/>
  <c r="T443" i="11"/>
  <c r="R443" i="11"/>
  <c r="A443" i="11"/>
  <c r="T442" i="11"/>
  <c r="R442" i="11"/>
  <c r="A442" i="11"/>
  <c r="T441" i="11"/>
  <c r="R441" i="11"/>
  <c r="A441" i="11"/>
  <c r="T440" i="11"/>
  <c r="R440" i="11"/>
  <c r="A440" i="11"/>
  <c r="T439" i="11"/>
  <c r="R439" i="11"/>
  <c r="A439" i="11"/>
  <c r="T438" i="11"/>
  <c r="R438" i="11"/>
  <c r="A438" i="11"/>
  <c r="T437" i="11"/>
  <c r="R437" i="11"/>
  <c r="A437" i="11"/>
  <c r="T436" i="11"/>
  <c r="R436" i="11"/>
  <c r="A436" i="11"/>
  <c r="T435" i="11"/>
  <c r="R435" i="11"/>
  <c r="A435" i="11"/>
  <c r="T434" i="11"/>
  <c r="R434" i="11"/>
  <c r="A434" i="11"/>
  <c r="T433" i="11"/>
  <c r="R433" i="11"/>
  <c r="A433" i="11"/>
  <c r="T432" i="11"/>
  <c r="R432" i="11"/>
  <c r="A432" i="11"/>
  <c r="T431" i="11"/>
  <c r="R431" i="11"/>
  <c r="A431" i="11"/>
  <c r="T430" i="11"/>
  <c r="R430" i="11"/>
  <c r="A430" i="11"/>
  <c r="T429" i="11"/>
  <c r="R429" i="11"/>
  <c r="A429" i="11"/>
  <c r="T428" i="11"/>
  <c r="R428" i="11"/>
  <c r="A428" i="11"/>
  <c r="T427" i="11"/>
  <c r="R427" i="11"/>
  <c r="A427" i="11"/>
  <c r="T426" i="11"/>
  <c r="R426" i="11"/>
  <c r="A426" i="11"/>
  <c r="T425" i="11"/>
  <c r="R425" i="11"/>
  <c r="A425" i="11"/>
  <c r="T424" i="11"/>
  <c r="R424" i="11"/>
  <c r="A424" i="11"/>
  <c r="T423" i="11"/>
  <c r="R423" i="11"/>
  <c r="A423" i="11"/>
  <c r="T422" i="11"/>
  <c r="R422" i="11"/>
  <c r="A422" i="11"/>
  <c r="T421" i="11"/>
  <c r="R421" i="11"/>
  <c r="A421" i="11"/>
  <c r="T420" i="11"/>
  <c r="R420" i="11"/>
  <c r="A420" i="11"/>
  <c r="T419" i="11"/>
  <c r="R419" i="11"/>
  <c r="A419" i="11"/>
  <c r="T418" i="11"/>
  <c r="R418" i="11"/>
  <c r="A418" i="11"/>
  <c r="T417" i="11"/>
  <c r="R417" i="11"/>
  <c r="A417" i="11"/>
  <c r="T416" i="11"/>
  <c r="R416" i="11"/>
  <c r="A416" i="11"/>
  <c r="T415" i="11"/>
  <c r="R415" i="11"/>
  <c r="A415" i="11"/>
  <c r="T414" i="11"/>
  <c r="R414" i="11"/>
  <c r="A414" i="11"/>
  <c r="T413" i="11"/>
  <c r="R413" i="11"/>
  <c r="A413" i="11"/>
  <c r="T412" i="11"/>
  <c r="R412" i="11"/>
  <c r="A412" i="11"/>
  <c r="T411" i="11"/>
  <c r="R411" i="11"/>
  <c r="A411" i="11"/>
  <c r="T410" i="11"/>
  <c r="R410" i="11"/>
  <c r="A410" i="11"/>
  <c r="T409" i="11"/>
  <c r="R409" i="11"/>
  <c r="A409" i="11"/>
  <c r="T408" i="11"/>
  <c r="R408" i="11"/>
  <c r="A408" i="11"/>
  <c r="T407" i="11"/>
  <c r="R407" i="11"/>
  <c r="A407" i="11"/>
  <c r="T406" i="11"/>
  <c r="R406" i="11"/>
  <c r="A406" i="11"/>
  <c r="T405" i="11"/>
  <c r="R405" i="11"/>
  <c r="A405" i="11"/>
  <c r="T404" i="11"/>
  <c r="R404" i="11"/>
  <c r="A404" i="11"/>
  <c r="T403" i="11"/>
  <c r="R403" i="11"/>
  <c r="A403" i="11"/>
  <c r="T402" i="11"/>
  <c r="R402" i="11"/>
  <c r="A402" i="11"/>
  <c r="T401" i="11"/>
  <c r="R401" i="11"/>
  <c r="A401" i="11"/>
  <c r="T400" i="11"/>
  <c r="R400" i="11"/>
  <c r="A400" i="11"/>
  <c r="T399" i="11"/>
  <c r="R399" i="11"/>
  <c r="A399" i="11"/>
  <c r="T398" i="11"/>
  <c r="R398" i="11"/>
  <c r="A398" i="11"/>
  <c r="T397" i="11"/>
  <c r="R397" i="11"/>
  <c r="A397" i="11"/>
  <c r="T396" i="11"/>
  <c r="R396" i="11"/>
  <c r="A396" i="11"/>
  <c r="T395" i="11"/>
  <c r="R395" i="11"/>
  <c r="A395" i="11"/>
  <c r="T394" i="11"/>
  <c r="R394" i="11"/>
  <c r="A394" i="11"/>
  <c r="T393" i="11"/>
  <c r="R393" i="11"/>
  <c r="A393" i="11"/>
  <c r="T392" i="11"/>
  <c r="R392" i="11"/>
  <c r="A392" i="11"/>
  <c r="T391" i="11"/>
  <c r="R391" i="11"/>
  <c r="A391" i="11"/>
  <c r="T390" i="11"/>
  <c r="R390" i="11"/>
  <c r="A390" i="11"/>
  <c r="T389" i="11"/>
  <c r="R389" i="11"/>
  <c r="A389" i="11"/>
  <c r="T388" i="11"/>
  <c r="R388" i="11"/>
  <c r="A388" i="11"/>
  <c r="T387" i="11"/>
  <c r="R387" i="11"/>
  <c r="A387" i="11"/>
  <c r="T386" i="11"/>
  <c r="R386" i="11"/>
  <c r="A386" i="11"/>
  <c r="T385" i="11"/>
  <c r="R385" i="11"/>
  <c r="A385" i="11"/>
  <c r="T384" i="11"/>
  <c r="R384" i="11"/>
  <c r="A384" i="11"/>
  <c r="T383" i="11"/>
  <c r="R383" i="11"/>
  <c r="A383" i="11"/>
  <c r="T382" i="11"/>
  <c r="R382" i="11"/>
  <c r="A382" i="11"/>
  <c r="T381" i="11"/>
  <c r="R381" i="11"/>
  <c r="A381" i="11"/>
  <c r="T380" i="11"/>
  <c r="R380" i="11"/>
  <c r="A380" i="11"/>
  <c r="T379" i="11"/>
  <c r="R379" i="11"/>
  <c r="A379" i="11"/>
  <c r="T378" i="11"/>
  <c r="R378" i="11"/>
  <c r="A378" i="11"/>
  <c r="T377" i="11"/>
  <c r="R377" i="11"/>
  <c r="A377" i="11"/>
  <c r="T376" i="11"/>
  <c r="R376" i="11"/>
  <c r="A376" i="11"/>
  <c r="T375" i="11"/>
  <c r="R375" i="11"/>
  <c r="A375" i="11"/>
  <c r="T374" i="11"/>
  <c r="R374" i="11"/>
  <c r="A374" i="11"/>
  <c r="T373" i="11"/>
  <c r="R373" i="11"/>
  <c r="A373" i="11"/>
  <c r="T372" i="11"/>
  <c r="R372" i="11"/>
  <c r="A372" i="11"/>
  <c r="T371" i="11"/>
  <c r="R371" i="11"/>
  <c r="A371" i="11"/>
  <c r="T370" i="11"/>
  <c r="R370" i="11"/>
  <c r="A370" i="11"/>
  <c r="T369" i="11"/>
  <c r="R369" i="11"/>
  <c r="A369" i="11"/>
  <c r="T368" i="11"/>
  <c r="R368" i="11"/>
  <c r="A368" i="11"/>
  <c r="T367" i="11"/>
  <c r="R367" i="11"/>
  <c r="A367" i="11"/>
  <c r="T366" i="11"/>
  <c r="R366" i="11"/>
  <c r="A366" i="11"/>
  <c r="T365" i="11"/>
  <c r="R365" i="11"/>
  <c r="A365" i="11"/>
  <c r="T364" i="11"/>
  <c r="R364" i="11"/>
  <c r="A364" i="11"/>
  <c r="T363" i="11"/>
  <c r="R363" i="11"/>
  <c r="A363" i="11"/>
  <c r="T362" i="11"/>
  <c r="R362" i="11"/>
  <c r="A362" i="11"/>
  <c r="T361" i="11"/>
  <c r="R361" i="11"/>
  <c r="A361" i="11"/>
  <c r="T360" i="11"/>
  <c r="R360" i="11"/>
  <c r="A360" i="11"/>
  <c r="T359" i="11"/>
  <c r="R359" i="11"/>
  <c r="A359" i="11"/>
  <c r="T358" i="11"/>
  <c r="R358" i="11"/>
  <c r="A358" i="11"/>
  <c r="T357" i="11"/>
  <c r="R357" i="11"/>
  <c r="A357" i="11"/>
  <c r="T356" i="11"/>
  <c r="R356" i="11"/>
  <c r="A356" i="11"/>
  <c r="T355" i="11"/>
  <c r="R355" i="11"/>
  <c r="A355" i="11"/>
  <c r="T354" i="11"/>
  <c r="R354" i="11"/>
  <c r="A354" i="11"/>
  <c r="T353" i="11"/>
  <c r="R353" i="11"/>
  <c r="A353" i="11"/>
  <c r="T352" i="11"/>
  <c r="R352" i="11"/>
  <c r="A352" i="11"/>
  <c r="T351" i="11"/>
  <c r="R351" i="11"/>
  <c r="A351" i="11"/>
  <c r="T350" i="11"/>
  <c r="R350" i="11"/>
  <c r="A350" i="11"/>
  <c r="T349" i="11"/>
  <c r="R349" i="11"/>
  <c r="A349" i="11"/>
  <c r="T348" i="11"/>
  <c r="R348" i="11"/>
  <c r="A348" i="11"/>
  <c r="T347" i="11"/>
  <c r="R347" i="11"/>
  <c r="A347" i="11"/>
  <c r="T346" i="11"/>
  <c r="R346" i="11"/>
  <c r="A346" i="11"/>
  <c r="T345" i="11"/>
  <c r="R345" i="11"/>
  <c r="A345" i="11"/>
  <c r="T344" i="11"/>
  <c r="R344" i="11"/>
  <c r="A344" i="11"/>
  <c r="T343" i="11"/>
  <c r="R343" i="11"/>
  <c r="A343" i="11"/>
  <c r="T342" i="11"/>
  <c r="R342" i="11"/>
  <c r="A342" i="11"/>
  <c r="T341" i="11"/>
  <c r="R341" i="11"/>
  <c r="A341" i="11"/>
  <c r="T340" i="11"/>
  <c r="R340" i="11"/>
  <c r="A340" i="11"/>
  <c r="T339" i="11"/>
  <c r="R339" i="11"/>
  <c r="A339" i="11"/>
  <c r="T338" i="11"/>
  <c r="R338" i="11"/>
  <c r="A338" i="11"/>
  <c r="T337" i="11"/>
  <c r="R337" i="11"/>
  <c r="A337" i="11"/>
  <c r="T336" i="11"/>
  <c r="R336" i="11"/>
  <c r="A336" i="11"/>
  <c r="T335" i="11"/>
  <c r="R335" i="11"/>
  <c r="A335" i="11"/>
  <c r="T334" i="11"/>
  <c r="R334" i="11"/>
  <c r="A334" i="11"/>
  <c r="T333" i="11"/>
  <c r="R333" i="11"/>
  <c r="A333" i="11"/>
  <c r="T332" i="11"/>
  <c r="R332" i="11"/>
  <c r="A332" i="11"/>
  <c r="T331" i="11"/>
  <c r="R331" i="11"/>
  <c r="A331" i="11"/>
  <c r="T330" i="11"/>
  <c r="R330" i="11"/>
  <c r="A330" i="11"/>
  <c r="T329" i="11"/>
  <c r="R329" i="11"/>
  <c r="A329" i="11"/>
  <c r="T328" i="11"/>
  <c r="R328" i="11"/>
  <c r="A328" i="11"/>
  <c r="T327" i="11"/>
  <c r="R327" i="11"/>
  <c r="A327" i="11"/>
  <c r="T326" i="11"/>
  <c r="R326" i="11"/>
  <c r="A326" i="11"/>
  <c r="T325" i="11"/>
  <c r="R325" i="11"/>
  <c r="A325" i="11"/>
  <c r="T324" i="11"/>
  <c r="R324" i="11"/>
  <c r="A324" i="11"/>
  <c r="T323" i="11"/>
  <c r="R323" i="11"/>
  <c r="A323" i="11"/>
  <c r="T322" i="11"/>
  <c r="R322" i="11"/>
  <c r="A322" i="11"/>
  <c r="T321" i="11"/>
  <c r="R321" i="11"/>
  <c r="A321" i="11"/>
  <c r="T320" i="11"/>
  <c r="R320" i="11"/>
  <c r="A320" i="11"/>
  <c r="T319" i="11"/>
  <c r="R319" i="11"/>
  <c r="A319" i="11"/>
  <c r="T318" i="11"/>
  <c r="R318" i="11"/>
  <c r="A318" i="11"/>
  <c r="T317" i="11"/>
  <c r="R317" i="11"/>
  <c r="A317" i="11"/>
  <c r="T316" i="11"/>
  <c r="R316" i="11"/>
  <c r="A316" i="11"/>
  <c r="T315" i="11"/>
  <c r="R315" i="11"/>
  <c r="A315" i="11"/>
  <c r="T314" i="11"/>
  <c r="R314" i="11"/>
  <c r="A314" i="11"/>
  <c r="T313" i="11"/>
  <c r="R313" i="11"/>
  <c r="A313" i="11"/>
  <c r="T312" i="11"/>
  <c r="R312" i="11"/>
  <c r="A312" i="11"/>
  <c r="T311" i="11"/>
  <c r="R311" i="11"/>
  <c r="A311" i="11"/>
  <c r="T310" i="11"/>
  <c r="R310" i="11"/>
  <c r="A310" i="11"/>
  <c r="T309" i="11"/>
  <c r="R309" i="11"/>
  <c r="A309" i="11"/>
  <c r="T308" i="11"/>
  <c r="R308" i="11"/>
  <c r="A308" i="11"/>
  <c r="T307" i="11"/>
  <c r="R307" i="11"/>
  <c r="A307" i="11"/>
  <c r="T306" i="11"/>
  <c r="R306" i="11"/>
  <c r="A306" i="11"/>
  <c r="T305" i="11"/>
  <c r="R305" i="11"/>
  <c r="A305" i="11"/>
  <c r="T304" i="11"/>
  <c r="R304" i="11"/>
  <c r="A304" i="11"/>
  <c r="T303" i="11"/>
  <c r="R303" i="11"/>
  <c r="A303" i="11"/>
  <c r="T302" i="11"/>
  <c r="R302" i="11"/>
  <c r="A302" i="11"/>
  <c r="T301" i="11"/>
  <c r="R301" i="11"/>
  <c r="A301" i="11"/>
  <c r="T300" i="11"/>
  <c r="R300" i="11"/>
  <c r="A300" i="11"/>
  <c r="T299" i="11"/>
  <c r="R299" i="11"/>
  <c r="A299" i="11"/>
  <c r="T298" i="11"/>
  <c r="R298" i="11"/>
  <c r="A298" i="11"/>
  <c r="T297" i="11"/>
  <c r="R297" i="11"/>
  <c r="A297" i="11"/>
  <c r="T296" i="11"/>
  <c r="R296" i="11"/>
  <c r="A296" i="11"/>
  <c r="T295" i="11"/>
  <c r="R295" i="11"/>
  <c r="A295" i="11"/>
  <c r="T294" i="11"/>
  <c r="R294" i="11"/>
  <c r="A294" i="11"/>
  <c r="T293" i="11"/>
  <c r="R293" i="11"/>
  <c r="A293" i="11"/>
  <c r="T292" i="11"/>
  <c r="R292" i="11"/>
  <c r="A292" i="11"/>
  <c r="T291" i="11"/>
  <c r="R291" i="11"/>
  <c r="A291" i="11"/>
  <c r="T290" i="11"/>
  <c r="R290" i="11"/>
  <c r="A290" i="11"/>
  <c r="T289" i="11"/>
  <c r="R289" i="11"/>
  <c r="A289" i="11"/>
  <c r="T288" i="11"/>
  <c r="R288" i="11"/>
  <c r="A288" i="11"/>
  <c r="T287" i="11"/>
  <c r="R287" i="11"/>
  <c r="A287" i="11"/>
  <c r="T286" i="11"/>
  <c r="R286" i="11"/>
  <c r="A286" i="11"/>
  <c r="T285" i="11"/>
  <c r="R285" i="11"/>
  <c r="A285" i="11"/>
  <c r="T284" i="11"/>
  <c r="R284" i="11"/>
  <c r="A284" i="11"/>
  <c r="T283" i="11"/>
  <c r="R283" i="11"/>
  <c r="A283" i="11"/>
  <c r="T282" i="11"/>
  <c r="R282" i="11"/>
  <c r="A282" i="11"/>
  <c r="T281" i="11"/>
  <c r="R281" i="11"/>
  <c r="A281" i="11"/>
  <c r="T280" i="11"/>
  <c r="R280" i="11"/>
  <c r="A280" i="11"/>
  <c r="T279" i="11"/>
  <c r="R279" i="11"/>
  <c r="A279" i="11"/>
  <c r="T278" i="11"/>
  <c r="R278" i="11"/>
  <c r="A278" i="11"/>
  <c r="T277" i="11"/>
  <c r="R277" i="11"/>
  <c r="A277" i="11"/>
  <c r="T276" i="11"/>
  <c r="R276" i="11"/>
  <c r="A276" i="11"/>
  <c r="T275" i="11"/>
  <c r="R275" i="11"/>
  <c r="A275" i="11"/>
  <c r="T274" i="11"/>
  <c r="R274" i="11"/>
  <c r="A274" i="11"/>
  <c r="T273" i="11"/>
  <c r="R273" i="11"/>
  <c r="A273" i="11"/>
  <c r="T272" i="11"/>
  <c r="R272" i="11"/>
  <c r="A272" i="11"/>
  <c r="T271" i="11"/>
  <c r="R271" i="11"/>
  <c r="A271" i="11"/>
  <c r="T270" i="11"/>
  <c r="R270" i="11"/>
  <c r="A270" i="11"/>
  <c r="T269" i="11"/>
  <c r="R269" i="11"/>
  <c r="A269" i="11"/>
  <c r="T268" i="11"/>
  <c r="R268" i="11"/>
  <c r="A268" i="11"/>
  <c r="T267" i="11"/>
  <c r="R267" i="11"/>
  <c r="A267" i="11"/>
  <c r="T266" i="11"/>
  <c r="R266" i="11"/>
  <c r="A266" i="11"/>
  <c r="T265" i="11"/>
  <c r="R265" i="11"/>
  <c r="A265" i="11"/>
  <c r="T264" i="11"/>
  <c r="R264" i="11"/>
  <c r="A264" i="11"/>
  <c r="T263" i="11"/>
  <c r="R263" i="11"/>
  <c r="A263" i="11"/>
  <c r="T262" i="11"/>
  <c r="R262" i="11"/>
  <c r="A262" i="11"/>
  <c r="T261" i="11"/>
  <c r="R261" i="11"/>
  <c r="A261" i="11"/>
  <c r="T260" i="11"/>
  <c r="R260" i="11"/>
  <c r="A260" i="11"/>
  <c r="T259" i="11"/>
  <c r="R259" i="11"/>
  <c r="A259" i="11"/>
  <c r="T258" i="11"/>
  <c r="R258" i="11"/>
  <c r="A258" i="11"/>
  <c r="T257" i="11"/>
  <c r="R257" i="11"/>
  <c r="A257" i="11"/>
  <c r="T256" i="11"/>
  <c r="R256" i="11"/>
  <c r="A256" i="11"/>
  <c r="T255" i="11"/>
  <c r="R255" i="11"/>
  <c r="A255" i="11"/>
  <c r="T254" i="11"/>
  <c r="R254" i="11"/>
  <c r="A254" i="11"/>
  <c r="T253" i="11"/>
  <c r="R253" i="11"/>
  <c r="A253" i="11"/>
  <c r="T252" i="11"/>
  <c r="R252" i="11"/>
  <c r="A252" i="11"/>
  <c r="T251" i="11"/>
  <c r="R251" i="11"/>
  <c r="A251" i="11"/>
  <c r="T250" i="11"/>
  <c r="R250" i="11"/>
  <c r="A250" i="11"/>
  <c r="T249" i="11"/>
  <c r="R249" i="11"/>
  <c r="A249" i="11"/>
  <c r="T248" i="11"/>
  <c r="R248" i="11"/>
  <c r="A248" i="11"/>
  <c r="T247" i="11"/>
  <c r="R247" i="11"/>
  <c r="A247" i="11"/>
  <c r="T246" i="11"/>
  <c r="R246" i="11"/>
  <c r="A246" i="11"/>
  <c r="T245" i="11"/>
  <c r="R245" i="11"/>
  <c r="A245" i="11"/>
  <c r="T244" i="11"/>
  <c r="R244" i="11"/>
  <c r="A244" i="11"/>
  <c r="T243" i="11"/>
  <c r="R243" i="11"/>
  <c r="A243" i="11"/>
  <c r="T242" i="11"/>
  <c r="R242" i="11"/>
  <c r="A242" i="11"/>
  <c r="T241" i="11"/>
  <c r="R241" i="11"/>
  <c r="A241" i="11"/>
  <c r="T240" i="11"/>
  <c r="R240" i="11"/>
  <c r="A240" i="11"/>
  <c r="T239" i="11"/>
  <c r="R239" i="11"/>
  <c r="A239" i="11"/>
  <c r="T238" i="11"/>
  <c r="R238" i="11"/>
  <c r="A238" i="11"/>
  <c r="T237" i="11"/>
  <c r="R237" i="11"/>
  <c r="A237" i="11"/>
  <c r="T236" i="11"/>
  <c r="R236" i="11"/>
  <c r="A236" i="11"/>
  <c r="T235" i="11"/>
  <c r="R235" i="11"/>
  <c r="A235" i="11"/>
  <c r="T234" i="11"/>
  <c r="R234" i="11"/>
  <c r="A234" i="11"/>
  <c r="T233" i="11"/>
  <c r="R233" i="11"/>
  <c r="A233" i="11"/>
  <c r="T232" i="11"/>
  <c r="R232" i="11"/>
  <c r="A232" i="11"/>
  <c r="T231" i="11"/>
  <c r="R231" i="11"/>
  <c r="A231" i="11"/>
  <c r="T230" i="11"/>
  <c r="R230" i="11"/>
  <c r="A230" i="11"/>
  <c r="T229" i="11"/>
  <c r="R229" i="11"/>
  <c r="A229" i="11"/>
  <c r="T228" i="11"/>
  <c r="R228" i="11"/>
  <c r="A228" i="11"/>
  <c r="T227" i="11"/>
  <c r="R227" i="11"/>
  <c r="A227" i="11"/>
  <c r="T226" i="11"/>
  <c r="R226" i="11"/>
  <c r="A226" i="11"/>
  <c r="T225" i="11"/>
  <c r="R225" i="11"/>
  <c r="A225" i="11"/>
  <c r="T224" i="11"/>
  <c r="R224" i="11"/>
  <c r="A224" i="11"/>
  <c r="T223" i="11"/>
  <c r="R223" i="11"/>
  <c r="A223" i="11"/>
  <c r="T222" i="11"/>
  <c r="R222" i="11"/>
  <c r="A222" i="11"/>
  <c r="T221" i="11"/>
  <c r="R221" i="11"/>
  <c r="A221" i="11"/>
  <c r="T220" i="11"/>
  <c r="R220" i="11"/>
  <c r="A220" i="11"/>
  <c r="T219" i="11"/>
  <c r="R219" i="11"/>
  <c r="A219" i="11"/>
  <c r="T218" i="11"/>
  <c r="R218" i="11"/>
  <c r="A218" i="11"/>
  <c r="T217" i="11"/>
  <c r="R217" i="11"/>
  <c r="A217" i="11"/>
  <c r="T216" i="11"/>
  <c r="R216" i="11"/>
  <c r="A216" i="11"/>
  <c r="T215" i="11"/>
  <c r="R215" i="11"/>
  <c r="A215" i="11"/>
  <c r="T214" i="11"/>
  <c r="R214" i="11"/>
  <c r="A214" i="11"/>
  <c r="T213" i="11"/>
  <c r="R213" i="11"/>
  <c r="A213" i="11"/>
  <c r="T212" i="11"/>
  <c r="R212" i="11"/>
  <c r="A212" i="11"/>
  <c r="T211" i="11"/>
  <c r="R211" i="11"/>
  <c r="A211" i="11"/>
  <c r="T210" i="11"/>
  <c r="R210" i="11"/>
  <c r="A210" i="11"/>
  <c r="T209" i="11"/>
  <c r="R209" i="11"/>
  <c r="A209" i="11"/>
  <c r="T208" i="11"/>
  <c r="R208" i="11"/>
  <c r="A208" i="11"/>
  <c r="T207" i="11"/>
  <c r="R207" i="11"/>
  <c r="A207" i="11"/>
  <c r="T206" i="11"/>
  <c r="R206" i="11"/>
  <c r="A206" i="11"/>
  <c r="T205" i="11"/>
  <c r="R205" i="11"/>
  <c r="A205" i="11"/>
  <c r="T204" i="11"/>
  <c r="R204" i="11"/>
  <c r="A204" i="11"/>
  <c r="T203" i="11"/>
  <c r="R203" i="11"/>
  <c r="A203" i="11"/>
  <c r="T202" i="11"/>
  <c r="R202" i="11"/>
  <c r="A202" i="11"/>
  <c r="T201" i="11"/>
  <c r="R201" i="11"/>
  <c r="A201" i="11"/>
  <c r="T200" i="11"/>
  <c r="R200" i="11"/>
  <c r="A200" i="11"/>
  <c r="T199" i="11"/>
  <c r="R199" i="11"/>
  <c r="A199" i="11"/>
  <c r="T198" i="11"/>
  <c r="R198" i="11"/>
  <c r="A198" i="11"/>
  <c r="T197" i="11"/>
  <c r="R197" i="11"/>
  <c r="A197" i="11"/>
  <c r="T196" i="11"/>
  <c r="R196" i="11"/>
  <c r="A196" i="11"/>
  <c r="T195" i="11"/>
  <c r="R195" i="11"/>
  <c r="A195" i="11"/>
  <c r="T194" i="11"/>
  <c r="R194" i="11"/>
  <c r="A194" i="11"/>
  <c r="T193" i="11"/>
  <c r="R193" i="11"/>
  <c r="A193" i="11"/>
  <c r="T192" i="11"/>
  <c r="R192" i="11"/>
  <c r="A192" i="11"/>
  <c r="T191" i="11"/>
  <c r="R191" i="11"/>
  <c r="A191" i="11"/>
  <c r="T190" i="11"/>
  <c r="R190" i="11"/>
  <c r="A190" i="11"/>
  <c r="T189" i="11"/>
  <c r="R189" i="11"/>
  <c r="A189" i="11"/>
  <c r="T188" i="11"/>
  <c r="R188" i="11"/>
  <c r="A188" i="11"/>
  <c r="T187" i="11"/>
  <c r="R187" i="11"/>
  <c r="A187" i="11"/>
  <c r="T186" i="11"/>
  <c r="R186" i="11"/>
  <c r="A186" i="11"/>
  <c r="T185" i="11"/>
  <c r="R185" i="11"/>
  <c r="A185" i="11"/>
  <c r="T184" i="11"/>
  <c r="R184" i="11"/>
  <c r="A184" i="11"/>
  <c r="T183" i="11"/>
  <c r="R183" i="11"/>
  <c r="A183" i="11"/>
  <c r="T182" i="11"/>
  <c r="R182" i="11"/>
  <c r="A182" i="11"/>
  <c r="T181" i="11"/>
  <c r="R181" i="11"/>
  <c r="A181" i="11"/>
  <c r="T180" i="11"/>
  <c r="R180" i="11"/>
  <c r="A180" i="11"/>
  <c r="T179" i="11"/>
  <c r="R179" i="11"/>
  <c r="A179" i="11"/>
  <c r="T178" i="11"/>
  <c r="R178" i="11"/>
  <c r="A178" i="11"/>
  <c r="T177" i="11"/>
  <c r="R177" i="11"/>
  <c r="A177" i="11"/>
  <c r="T176" i="11"/>
  <c r="R176" i="11"/>
  <c r="A176" i="11"/>
  <c r="T175" i="11"/>
  <c r="R175" i="11"/>
  <c r="A175" i="11"/>
  <c r="T174" i="11"/>
  <c r="R174" i="11"/>
  <c r="A174" i="11"/>
  <c r="T173" i="11"/>
  <c r="R173" i="11"/>
  <c r="A173" i="11"/>
  <c r="T172" i="11"/>
  <c r="R172" i="11"/>
  <c r="A172" i="11"/>
  <c r="T171" i="11"/>
  <c r="R171" i="11"/>
  <c r="A171" i="11"/>
  <c r="T170" i="11"/>
  <c r="R170" i="11"/>
  <c r="A170" i="11"/>
  <c r="T169" i="11"/>
  <c r="R169" i="11"/>
  <c r="A169" i="11"/>
  <c r="T168" i="11"/>
  <c r="R168" i="11"/>
  <c r="A168" i="11"/>
  <c r="T167" i="11"/>
  <c r="R167" i="11"/>
  <c r="A167" i="11"/>
  <c r="T166" i="11"/>
  <c r="R166" i="11"/>
  <c r="A166" i="11"/>
  <c r="T165" i="11"/>
  <c r="R165" i="11"/>
  <c r="A165" i="11"/>
  <c r="T164" i="11"/>
  <c r="R164" i="11"/>
  <c r="A164" i="11"/>
  <c r="T163" i="11"/>
  <c r="R163" i="11"/>
  <c r="A163" i="11"/>
  <c r="T162" i="11"/>
  <c r="R162" i="11"/>
  <c r="A162" i="11"/>
  <c r="T161" i="11"/>
  <c r="R161" i="11"/>
  <c r="A161" i="11"/>
  <c r="T160" i="11"/>
  <c r="R160" i="11"/>
  <c r="A160" i="11"/>
  <c r="T159" i="11"/>
  <c r="R159" i="11"/>
  <c r="A159" i="11"/>
  <c r="T158" i="11"/>
  <c r="R158" i="11"/>
  <c r="A158" i="11"/>
  <c r="T157" i="11"/>
  <c r="R157" i="11"/>
  <c r="A157" i="11"/>
  <c r="T156" i="11"/>
  <c r="R156" i="11"/>
  <c r="A156" i="11"/>
  <c r="T155" i="11"/>
  <c r="R155" i="11"/>
  <c r="A155" i="11"/>
  <c r="T154" i="11"/>
  <c r="R154" i="11"/>
  <c r="A154" i="11"/>
  <c r="T153" i="11"/>
  <c r="R153" i="11"/>
  <c r="A153" i="11"/>
  <c r="T152" i="11"/>
  <c r="R152" i="11"/>
  <c r="A152" i="11"/>
  <c r="T151" i="11"/>
  <c r="R151" i="11"/>
  <c r="A151" i="11"/>
  <c r="T150" i="11"/>
  <c r="R150" i="11"/>
  <c r="A150" i="11"/>
  <c r="T149" i="11"/>
  <c r="R149" i="11"/>
  <c r="A149" i="11"/>
  <c r="T148" i="11"/>
  <c r="R148" i="11"/>
  <c r="A148" i="11"/>
  <c r="T147" i="11"/>
  <c r="R147" i="11"/>
  <c r="A147" i="11"/>
  <c r="T146" i="11"/>
  <c r="R146" i="11"/>
  <c r="A146" i="11"/>
  <c r="T145" i="11"/>
  <c r="R145" i="11"/>
  <c r="A145" i="11"/>
  <c r="T144" i="11"/>
  <c r="R144" i="11"/>
  <c r="A144" i="11"/>
  <c r="T143" i="11"/>
  <c r="R143" i="11"/>
  <c r="A143" i="11"/>
  <c r="T142" i="11"/>
  <c r="R142" i="11"/>
  <c r="A142" i="11"/>
  <c r="T141" i="11"/>
  <c r="R141" i="11"/>
  <c r="A141" i="11"/>
  <c r="T140" i="11"/>
  <c r="R140" i="11"/>
  <c r="A140" i="11"/>
  <c r="T139" i="11"/>
  <c r="R139" i="11"/>
  <c r="A139" i="11"/>
  <c r="T138" i="11"/>
  <c r="R138" i="11"/>
  <c r="A138" i="11"/>
  <c r="T137" i="11"/>
  <c r="R137" i="11"/>
  <c r="A137" i="11"/>
  <c r="T136" i="11"/>
  <c r="R136" i="11"/>
  <c r="A136" i="11"/>
  <c r="T135" i="11"/>
  <c r="R135" i="11"/>
  <c r="A135" i="11"/>
  <c r="T134" i="11"/>
  <c r="R134" i="11"/>
  <c r="A134" i="11"/>
  <c r="T133" i="11"/>
  <c r="R133" i="11"/>
  <c r="A133" i="11"/>
  <c r="T132" i="11"/>
  <c r="R132" i="11"/>
  <c r="A132" i="11"/>
  <c r="T131" i="11"/>
  <c r="R131" i="11"/>
  <c r="A131" i="11"/>
  <c r="T130" i="11"/>
  <c r="R130" i="11"/>
  <c r="A130" i="11"/>
  <c r="T129" i="11"/>
  <c r="R129" i="11"/>
  <c r="A129" i="11"/>
  <c r="T128" i="11"/>
  <c r="R128" i="11"/>
  <c r="A128" i="11"/>
  <c r="T127" i="11"/>
  <c r="R127" i="11"/>
  <c r="A127" i="11"/>
  <c r="T126" i="11"/>
  <c r="R126" i="11"/>
  <c r="A126" i="11"/>
  <c r="T125" i="11"/>
  <c r="R125" i="11"/>
  <c r="A125" i="11"/>
  <c r="T124" i="11"/>
  <c r="R124" i="11"/>
  <c r="A124" i="11"/>
  <c r="T123" i="11"/>
  <c r="R123" i="11"/>
  <c r="A123" i="11"/>
  <c r="T122" i="11"/>
  <c r="R122" i="11"/>
  <c r="A122" i="11"/>
  <c r="T121" i="11"/>
  <c r="R121" i="11"/>
  <c r="A121" i="11"/>
  <c r="T120" i="11"/>
  <c r="R120" i="11"/>
  <c r="A120" i="11"/>
  <c r="T119" i="11"/>
  <c r="R119" i="11"/>
  <c r="A119" i="11"/>
  <c r="T118" i="11"/>
  <c r="R118" i="11"/>
  <c r="A118" i="11"/>
  <c r="T117" i="11"/>
  <c r="R117" i="11"/>
  <c r="A117" i="11"/>
  <c r="T116" i="11"/>
  <c r="R116" i="11"/>
  <c r="A116" i="11"/>
  <c r="T115" i="11"/>
  <c r="R115" i="11"/>
  <c r="A115" i="11"/>
  <c r="T114" i="11"/>
  <c r="R114" i="11"/>
  <c r="A114" i="11"/>
  <c r="T113" i="11"/>
  <c r="R113" i="11"/>
  <c r="A113" i="11"/>
  <c r="T112" i="11"/>
  <c r="R112" i="11"/>
  <c r="A112" i="11"/>
  <c r="T111" i="11"/>
  <c r="R111" i="11"/>
  <c r="A111" i="11"/>
  <c r="T110" i="11"/>
  <c r="R110" i="11"/>
  <c r="A110" i="11"/>
  <c r="T109" i="11"/>
  <c r="R109" i="11"/>
  <c r="A109" i="11"/>
  <c r="T108" i="11"/>
  <c r="R108" i="11"/>
  <c r="A108" i="11"/>
  <c r="T107" i="11"/>
  <c r="R107" i="11"/>
  <c r="A107" i="11"/>
  <c r="T106" i="11"/>
  <c r="R106" i="11"/>
  <c r="A106" i="11"/>
  <c r="T105" i="11"/>
  <c r="R105" i="11"/>
  <c r="A105" i="11"/>
  <c r="T104" i="11"/>
  <c r="R104" i="11"/>
  <c r="A104" i="11"/>
  <c r="T103" i="11"/>
  <c r="R103" i="11"/>
  <c r="A103" i="11"/>
  <c r="T102" i="11"/>
  <c r="R102" i="11"/>
  <c r="A102" i="11"/>
  <c r="T101" i="11"/>
  <c r="R101" i="11"/>
  <c r="A101" i="11"/>
  <c r="T100" i="11"/>
  <c r="R100" i="11"/>
  <c r="A100" i="11"/>
  <c r="T99" i="11"/>
  <c r="R99" i="11"/>
  <c r="A99" i="11"/>
  <c r="T98" i="11"/>
  <c r="R98" i="11"/>
  <c r="A98" i="11"/>
  <c r="T97" i="11"/>
  <c r="R97" i="11"/>
  <c r="A97" i="11"/>
  <c r="T96" i="11"/>
  <c r="R96" i="11"/>
  <c r="A96" i="11"/>
  <c r="T95" i="11"/>
  <c r="R95" i="11"/>
  <c r="A95" i="11"/>
  <c r="T94" i="11"/>
  <c r="R94" i="11"/>
  <c r="A94" i="11"/>
  <c r="T93" i="11"/>
  <c r="R93" i="11"/>
  <c r="A93" i="11"/>
  <c r="T92" i="11"/>
  <c r="R92" i="11"/>
  <c r="A92" i="11"/>
  <c r="T91" i="11"/>
  <c r="R91" i="11"/>
  <c r="A91" i="11"/>
  <c r="T90" i="11"/>
  <c r="R90" i="11"/>
  <c r="A90" i="11"/>
  <c r="T89" i="11"/>
  <c r="R89" i="11"/>
  <c r="A89" i="11"/>
  <c r="T88" i="11"/>
  <c r="R88" i="11"/>
  <c r="A88" i="11"/>
  <c r="T87" i="11"/>
  <c r="R87" i="11"/>
  <c r="A87" i="11"/>
  <c r="T86" i="11"/>
  <c r="R86" i="11"/>
  <c r="A86" i="11"/>
  <c r="T85" i="11"/>
  <c r="R85" i="11"/>
  <c r="A85" i="11"/>
  <c r="T84" i="11"/>
  <c r="R84" i="11"/>
  <c r="A84" i="11"/>
  <c r="T83" i="11"/>
  <c r="R83" i="11"/>
  <c r="A83" i="11"/>
  <c r="T82" i="11"/>
  <c r="R82" i="11"/>
  <c r="A82" i="11"/>
  <c r="T81" i="11"/>
  <c r="R81" i="11"/>
  <c r="A81" i="11"/>
  <c r="T80" i="11"/>
  <c r="R80" i="11"/>
  <c r="A80" i="11"/>
  <c r="T79" i="11"/>
  <c r="R79" i="11"/>
  <c r="A79" i="11"/>
  <c r="T78" i="11"/>
  <c r="R78" i="11"/>
  <c r="A78" i="11"/>
  <c r="T77" i="11"/>
  <c r="R77" i="11"/>
  <c r="A77" i="11"/>
  <c r="T76" i="11"/>
  <c r="R76" i="11"/>
  <c r="A76" i="11"/>
  <c r="T75" i="11"/>
  <c r="R75" i="11"/>
  <c r="A75" i="11"/>
  <c r="T74" i="11"/>
  <c r="R74" i="11"/>
  <c r="A74" i="11"/>
  <c r="T73" i="11"/>
  <c r="R73" i="11"/>
  <c r="A73" i="11"/>
  <c r="T72" i="11"/>
  <c r="R72" i="11"/>
  <c r="A72" i="11"/>
  <c r="T71" i="11"/>
  <c r="R71" i="11"/>
  <c r="A71" i="11"/>
  <c r="T70" i="11"/>
  <c r="R70" i="11"/>
  <c r="A70" i="11"/>
  <c r="T69" i="11"/>
  <c r="R69" i="11"/>
  <c r="A69" i="11"/>
  <c r="T68" i="11"/>
  <c r="R68" i="11"/>
  <c r="A68" i="11"/>
  <c r="T67" i="11"/>
  <c r="R67" i="11"/>
  <c r="A67" i="11"/>
  <c r="T66" i="11"/>
  <c r="R66" i="11"/>
  <c r="A66" i="11"/>
  <c r="T65" i="11"/>
  <c r="R65" i="11"/>
  <c r="A65" i="11"/>
  <c r="T64" i="11"/>
  <c r="R64" i="11"/>
  <c r="A64" i="11"/>
  <c r="T63" i="11"/>
  <c r="R63" i="11"/>
  <c r="A63" i="11"/>
  <c r="T62" i="11"/>
  <c r="R62" i="11"/>
  <c r="A62" i="11"/>
  <c r="T61" i="11"/>
  <c r="R61" i="11"/>
  <c r="A61" i="11"/>
  <c r="T60" i="11"/>
  <c r="R60" i="11"/>
  <c r="A60" i="11"/>
  <c r="T59" i="11"/>
  <c r="R59" i="11"/>
  <c r="A59" i="11"/>
  <c r="T58" i="11"/>
  <c r="R58" i="11"/>
  <c r="A58" i="11"/>
  <c r="T57" i="11"/>
  <c r="R57" i="11"/>
  <c r="A57" i="11"/>
  <c r="T56" i="11"/>
  <c r="R56" i="11"/>
  <c r="A56" i="11"/>
  <c r="T55" i="11"/>
  <c r="R55" i="11"/>
  <c r="A55" i="11"/>
  <c r="T54" i="11"/>
  <c r="R54" i="11"/>
  <c r="A54" i="11"/>
  <c r="T53" i="11"/>
  <c r="R53" i="11"/>
  <c r="A53" i="11"/>
  <c r="T52" i="11"/>
  <c r="R52" i="11"/>
  <c r="A52" i="11"/>
  <c r="T51" i="11"/>
  <c r="R51" i="11"/>
  <c r="A51" i="11"/>
  <c r="T50" i="11"/>
  <c r="R50" i="11"/>
  <c r="A50" i="11"/>
  <c r="T49" i="11"/>
  <c r="R49" i="11"/>
  <c r="A49" i="11"/>
  <c r="T48" i="11"/>
  <c r="R48" i="11"/>
  <c r="A48" i="11"/>
  <c r="T47" i="11"/>
  <c r="R47" i="11"/>
  <c r="A47" i="11"/>
  <c r="T46" i="11"/>
  <c r="R46" i="11"/>
  <c r="A46" i="11"/>
  <c r="T45" i="11"/>
  <c r="R45" i="11"/>
  <c r="A45" i="11"/>
  <c r="T44" i="11"/>
  <c r="R44" i="11"/>
  <c r="A44" i="11"/>
  <c r="T43" i="11"/>
  <c r="R43" i="11"/>
  <c r="A43" i="11"/>
  <c r="T42" i="11"/>
  <c r="R42" i="11"/>
  <c r="A42" i="11"/>
  <c r="T41" i="11"/>
  <c r="R41" i="11"/>
  <c r="A41" i="11"/>
  <c r="T40" i="11"/>
  <c r="R40" i="11"/>
  <c r="A40" i="11"/>
  <c r="T39" i="11"/>
  <c r="R39" i="11"/>
  <c r="A39" i="11"/>
  <c r="T38" i="11"/>
  <c r="R38" i="11"/>
  <c r="A38" i="11"/>
  <c r="T37" i="11"/>
  <c r="R37" i="11"/>
  <c r="A37" i="11"/>
  <c r="T36" i="11"/>
  <c r="R36" i="11"/>
  <c r="A36" i="11"/>
  <c r="T35" i="11"/>
  <c r="R35" i="11"/>
  <c r="A35" i="11"/>
  <c r="T34" i="11"/>
  <c r="R34" i="11"/>
  <c r="A34" i="11"/>
  <c r="T33" i="11"/>
  <c r="R33" i="11"/>
  <c r="A33" i="11"/>
  <c r="T32" i="11"/>
  <c r="R32" i="11"/>
  <c r="A32" i="11"/>
  <c r="T31" i="11"/>
  <c r="R31" i="11"/>
  <c r="A31" i="11"/>
  <c r="T30" i="11"/>
  <c r="R30" i="11"/>
  <c r="A30" i="11"/>
  <c r="T29" i="11"/>
  <c r="R29" i="11"/>
  <c r="A29" i="11"/>
  <c r="T28" i="11"/>
  <c r="R28" i="11"/>
  <c r="A28" i="11"/>
  <c r="T27" i="11"/>
  <c r="R27" i="11"/>
  <c r="A27" i="11"/>
  <c r="T26" i="11"/>
  <c r="R26" i="11"/>
  <c r="A26" i="11"/>
  <c r="T25" i="11"/>
  <c r="R25" i="11"/>
  <c r="A25" i="11"/>
  <c r="T24" i="11"/>
  <c r="R24" i="11"/>
  <c r="A24" i="11"/>
  <c r="T23" i="11"/>
  <c r="R23" i="11"/>
  <c r="A23" i="11"/>
  <c r="T22" i="11"/>
  <c r="R22" i="11"/>
  <c r="A22" i="11"/>
  <c r="T21" i="11"/>
  <c r="R21" i="11"/>
  <c r="A21" i="11"/>
  <c r="T20" i="11"/>
  <c r="R20" i="11"/>
  <c r="A20" i="11"/>
  <c r="T19" i="11"/>
  <c r="R19" i="11"/>
  <c r="A19" i="11"/>
  <c r="T18" i="11"/>
  <c r="R18" i="11"/>
  <c r="A18" i="11"/>
  <c r="T17" i="11"/>
  <c r="R17" i="11"/>
  <c r="A17" i="11"/>
  <c r="T16" i="11"/>
  <c r="R16" i="11"/>
  <c r="A16" i="11"/>
  <c r="T15" i="11"/>
  <c r="R15" i="11"/>
  <c r="I15" i="11"/>
  <c r="T14" i="11"/>
  <c r="R14" i="11"/>
  <c r="T13" i="11"/>
  <c r="R13" i="11"/>
  <c r="T12" i="11"/>
  <c r="R12" i="11"/>
  <c r="A12" i="11"/>
  <c r="T11" i="11"/>
  <c r="R11" i="11"/>
  <c r="H11" i="11"/>
  <c r="A11" i="11" s="1"/>
  <c r="T10" i="11"/>
  <c r="R10" i="11"/>
  <c r="A10" i="11"/>
  <c r="T9" i="11"/>
  <c r="R9" i="11"/>
  <c r="A9" i="11"/>
  <c r="T8" i="11"/>
  <c r="R8" i="11"/>
  <c r="A8" i="11"/>
  <c r="T7" i="11"/>
  <c r="R7" i="11"/>
  <c r="A7" i="11"/>
  <c r="T6" i="11"/>
  <c r="R6" i="11"/>
  <c r="A6" i="11"/>
  <c r="T5" i="11"/>
  <c r="R5" i="11"/>
  <c r="A5" i="11"/>
  <c r="T4" i="11"/>
  <c r="R4" i="11"/>
  <c r="H4" i="11"/>
  <c r="X4" i="11" s="1"/>
  <c r="T3" i="11"/>
  <c r="R3" i="11"/>
  <c r="H3" i="11"/>
  <c r="A3" i="11" s="1"/>
  <c r="H500" i="10"/>
  <c r="E500" i="10"/>
  <c r="A500" i="10"/>
  <c r="H499" i="10"/>
  <c r="E499" i="10"/>
  <c r="A499" i="10"/>
  <c r="H498" i="10"/>
  <c r="E498" i="10"/>
  <c r="A498" i="10"/>
  <c r="H497" i="10"/>
  <c r="E497" i="10"/>
  <c r="A497" i="10"/>
  <c r="H496" i="10"/>
  <c r="E496" i="10"/>
  <c r="A496" i="10"/>
  <c r="H495" i="10"/>
  <c r="E495" i="10"/>
  <c r="A495" i="10"/>
  <c r="H494" i="10"/>
  <c r="E494" i="10"/>
  <c r="A494" i="10"/>
  <c r="H493" i="10"/>
  <c r="E493" i="10"/>
  <c r="A493" i="10"/>
  <c r="H492" i="10"/>
  <c r="E492" i="10"/>
  <c r="A492" i="10"/>
  <c r="H491" i="10"/>
  <c r="E491" i="10"/>
  <c r="A491" i="10"/>
  <c r="H490" i="10"/>
  <c r="E490" i="10"/>
  <c r="A490" i="10"/>
  <c r="H489" i="10"/>
  <c r="E489" i="10"/>
  <c r="A489" i="10"/>
  <c r="H488" i="10"/>
  <c r="E488" i="10"/>
  <c r="A488" i="10"/>
  <c r="H487" i="10"/>
  <c r="E487" i="10"/>
  <c r="A487" i="10"/>
  <c r="H486" i="10"/>
  <c r="E486" i="10"/>
  <c r="A486" i="10"/>
  <c r="H485" i="10"/>
  <c r="E485" i="10"/>
  <c r="A485" i="10"/>
  <c r="H484" i="10"/>
  <c r="E484" i="10"/>
  <c r="A484" i="10"/>
  <c r="H483" i="10"/>
  <c r="E483" i="10"/>
  <c r="A483" i="10"/>
  <c r="H482" i="10"/>
  <c r="E482" i="10"/>
  <c r="A482" i="10"/>
  <c r="H481" i="10"/>
  <c r="E481" i="10"/>
  <c r="A481" i="10"/>
  <c r="H480" i="10"/>
  <c r="E480" i="10"/>
  <c r="A480" i="10"/>
  <c r="H479" i="10"/>
  <c r="E479" i="10"/>
  <c r="A479" i="10"/>
  <c r="H478" i="10"/>
  <c r="E478" i="10"/>
  <c r="A478" i="10"/>
  <c r="H477" i="10"/>
  <c r="E477" i="10"/>
  <c r="A477" i="10"/>
  <c r="H476" i="10"/>
  <c r="E476" i="10"/>
  <c r="A476" i="10"/>
  <c r="H475" i="10"/>
  <c r="E475" i="10"/>
  <c r="A475" i="10"/>
  <c r="H474" i="10"/>
  <c r="E474" i="10"/>
  <c r="A474" i="10"/>
  <c r="H473" i="10"/>
  <c r="E473" i="10"/>
  <c r="A473" i="10"/>
  <c r="H472" i="10"/>
  <c r="E472" i="10"/>
  <c r="A472" i="10"/>
  <c r="H471" i="10"/>
  <c r="E471" i="10"/>
  <c r="A471" i="10"/>
  <c r="H470" i="10"/>
  <c r="E470" i="10"/>
  <c r="A470" i="10"/>
  <c r="H469" i="10"/>
  <c r="E469" i="10"/>
  <c r="A469" i="10"/>
  <c r="H468" i="10"/>
  <c r="E468" i="10"/>
  <c r="A468" i="10"/>
  <c r="H467" i="10"/>
  <c r="E467" i="10"/>
  <c r="A467" i="10"/>
  <c r="H466" i="10"/>
  <c r="E466" i="10"/>
  <c r="A466" i="10"/>
  <c r="H465" i="10"/>
  <c r="E465" i="10"/>
  <c r="A465" i="10"/>
  <c r="H464" i="10"/>
  <c r="E464" i="10"/>
  <c r="A464" i="10"/>
  <c r="H463" i="10"/>
  <c r="E463" i="10"/>
  <c r="A463" i="10"/>
  <c r="H462" i="10"/>
  <c r="E462" i="10"/>
  <c r="A462" i="10"/>
  <c r="H461" i="10"/>
  <c r="E461" i="10"/>
  <c r="A461" i="10"/>
  <c r="H460" i="10"/>
  <c r="E460" i="10"/>
  <c r="A460" i="10"/>
  <c r="H459" i="10"/>
  <c r="E459" i="10"/>
  <c r="A459" i="10"/>
  <c r="H458" i="10"/>
  <c r="E458" i="10"/>
  <c r="A458" i="10"/>
  <c r="H457" i="10"/>
  <c r="E457" i="10"/>
  <c r="A457" i="10"/>
  <c r="H456" i="10"/>
  <c r="E456" i="10"/>
  <c r="A456" i="10"/>
  <c r="H455" i="10"/>
  <c r="E455" i="10"/>
  <c r="A455" i="10"/>
  <c r="H454" i="10"/>
  <c r="E454" i="10"/>
  <c r="A454" i="10"/>
  <c r="H453" i="10"/>
  <c r="E453" i="10"/>
  <c r="A453" i="10"/>
  <c r="H452" i="10"/>
  <c r="E452" i="10"/>
  <c r="A452" i="10"/>
  <c r="H451" i="10"/>
  <c r="E451" i="10"/>
  <c r="A451" i="10"/>
  <c r="H450" i="10"/>
  <c r="E450" i="10"/>
  <c r="A450" i="10"/>
  <c r="H449" i="10"/>
  <c r="E449" i="10"/>
  <c r="A449" i="10"/>
  <c r="H448" i="10"/>
  <c r="E448" i="10"/>
  <c r="A448" i="10"/>
  <c r="H447" i="10"/>
  <c r="E447" i="10"/>
  <c r="A447" i="10"/>
  <c r="H446" i="10"/>
  <c r="E446" i="10"/>
  <c r="A446" i="10"/>
  <c r="H445" i="10"/>
  <c r="E445" i="10"/>
  <c r="A445" i="10"/>
  <c r="H444" i="10"/>
  <c r="E444" i="10"/>
  <c r="A444" i="10"/>
  <c r="H443" i="10"/>
  <c r="E443" i="10"/>
  <c r="A443" i="10"/>
  <c r="H442" i="10"/>
  <c r="E442" i="10"/>
  <c r="A442" i="10"/>
  <c r="H441" i="10"/>
  <c r="E441" i="10"/>
  <c r="A441" i="10"/>
  <c r="H440" i="10"/>
  <c r="E440" i="10"/>
  <c r="A440" i="10"/>
  <c r="H439" i="10"/>
  <c r="E439" i="10"/>
  <c r="A439" i="10"/>
  <c r="H438" i="10"/>
  <c r="E438" i="10"/>
  <c r="A438" i="10"/>
  <c r="H437" i="10"/>
  <c r="E437" i="10"/>
  <c r="A437" i="10"/>
  <c r="H436" i="10"/>
  <c r="E436" i="10"/>
  <c r="A436" i="10"/>
  <c r="H435" i="10"/>
  <c r="E435" i="10"/>
  <c r="A435" i="10"/>
  <c r="H434" i="10"/>
  <c r="E434" i="10"/>
  <c r="A434" i="10"/>
  <c r="H433" i="10"/>
  <c r="E433" i="10"/>
  <c r="A433" i="10"/>
  <c r="H432" i="10"/>
  <c r="E432" i="10"/>
  <c r="A432" i="10"/>
  <c r="H431" i="10"/>
  <c r="E431" i="10"/>
  <c r="A431" i="10"/>
  <c r="H430" i="10"/>
  <c r="E430" i="10"/>
  <c r="A430" i="10"/>
  <c r="H429" i="10"/>
  <c r="E429" i="10"/>
  <c r="A429" i="10"/>
  <c r="H428" i="10"/>
  <c r="E428" i="10"/>
  <c r="A428" i="10"/>
  <c r="H427" i="10"/>
  <c r="E427" i="10"/>
  <c r="A427" i="10"/>
  <c r="H426" i="10"/>
  <c r="E426" i="10"/>
  <c r="A426" i="10"/>
  <c r="H425" i="10"/>
  <c r="E425" i="10"/>
  <c r="A425" i="10"/>
  <c r="H424" i="10"/>
  <c r="E424" i="10"/>
  <c r="A424" i="10"/>
  <c r="H423" i="10"/>
  <c r="E423" i="10"/>
  <c r="A423" i="10"/>
  <c r="H422" i="10"/>
  <c r="E422" i="10"/>
  <c r="A422" i="10"/>
  <c r="H421" i="10"/>
  <c r="E421" i="10"/>
  <c r="A421" i="10"/>
  <c r="H420" i="10"/>
  <c r="E420" i="10"/>
  <c r="A420" i="10"/>
  <c r="H419" i="10"/>
  <c r="E419" i="10"/>
  <c r="A419" i="10"/>
  <c r="H418" i="10"/>
  <c r="E418" i="10"/>
  <c r="A418" i="10"/>
  <c r="H417" i="10"/>
  <c r="E417" i="10"/>
  <c r="A417" i="10"/>
  <c r="H416" i="10"/>
  <c r="E416" i="10"/>
  <c r="A416" i="10"/>
  <c r="H415" i="10"/>
  <c r="E415" i="10"/>
  <c r="A415" i="10"/>
  <c r="H414" i="10"/>
  <c r="E414" i="10"/>
  <c r="A414" i="10"/>
  <c r="H413" i="10"/>
  <c r="E413" i="10"/>
  <c r="A413" i="10"/>
  <c r="H412" i="10"/>
  <c r="E412" i="10"/>
  <c r="A412" i="10"/>
  <c r="H411" i="10"/>
  <c r="E411" i="10"/>
  <c r="A411" i="10"/>
  <c r="H410" i="10"/>
  <c r="E410" i="10"/>
  <c r="A410" i="10"/>
  <c r="H409" i="10"/>
  <c r="E409" i="10"/>
  <c r="A409" i="10"/>
  <c r="H408" i="10"/>
  <c r="E408" i="10"/>
  <c r="A408" i="10"/>
  <c r="H407" i="10"/>
  <c r="E407" i="10"/>
  <c r="A407" i="10"/>
  <c r="H406" i="10"/>
  <c r="E406" i="10"/>
  <c r="A406" i="10"/>
  <c r="H405" i="10"/>
  <c r="E405" i="10"/>
  <c r="A405" i="10"/>
  <c r="H404" i="10"/>
  <c r="E404" i="10"/>
  <c r="A404" i="10"/>
  <c r="H403" i="10"/>
  <c r="E403" i="10"/>
  <c r="A403" i="10"/>
  <c r="H402" i="10"/>
  <c r="E402" i="10"/>
  <c r="A402" i="10"/>
  <c r="H401" i="10"/>
  <c r="E401" i="10"/>
  <c r="A401" i="10"/>
  <c r="H400" i="10"/>
  <c r="E400" i="10"/>
  <c r="A400" i="10"/>
  <c r="H399" i="10"/>
  <c r="E399" i="10"/>
  <c r="A399" i="10"/>
  <c r="H398" i="10"/>
  <c r="E398" i="10"/>
  <c r="A398" i="10"/>
  <c r="H397" i="10"/>
  <c r="E397" i="10"/>
  <c r="A397" i="10"/>
  <c r="H396" i="10"/>
  <c r="E396" i="10"/>
  <c r="A396" i="10"/>
  <c r="H395" i="10"/>
  <c r="E395" i="10"/>
  <c r="A395" i="10"/>
  <c r="H394" i="10"/>
  <c r="E394" i="10"/>
  <c r="A394" i="10"/>
  <c r="H393" i="10"/>
  <c r="E393" i="10"/>
  <c r="A393" i="10"/>
  <c r="H392" i="10"/>
  <c r="E392" i="10"/>
  <c r="A392" i="10"/>
  <c r="H391" i="10"/>
  <c r="E391" i="10"/>
  <c r="A391" i="10"/>
  <c r="H390" i="10"/>
  <c r="E390" i="10"/>
  <c r="A390" i="10"/>
  <c r="H389" i="10"/>
  <c r="E389" i="10"/>
  <c r="A389" i="10"/>
  <c r="H388" i="10"/>
  <c r="E388" i="10"/>
  <c r="A388" i="10"/>
  <c r="H387" i="10"/>
  <c r="E387" i="10"/>
  <c r="A387" i="10"/>
  <c r="H386" i="10"/>
  <c r="E386" i="10"/>
  <c r="A386" i="10"/>
  <c r="H385" i="10"/>
  <c r="E385" i="10"/>
  <c r="A385" i="10"/>
  <c r="H384" i="10"/>
  <c r="E384" i="10"/>
  <c r="A384" i="10"/>
  <c r="H383" i="10"/>
  <c r="E383" i="10"/>
  <c r="A383" i="10"/>
  <c r="H382" i="10"/>
  <c r="E382" i="10"/>
  <c r="A382" i="10"/>
  <c r="H381" i="10"/>
  <c r="E381" i="10"/>
  <c r="A381" i="10"/>
  <c r="H380" i="10"/>
  <c r="E380" i="10"/>
  <c r="A380" i="10"/>
  <c r="H379" i="10"/>
  <c r="E379" i="10"/>
  <c r="A379" i="10"/>
  <c r="H378" i="10"/>
  <c r="E378" i="10"/>
  <c r="A378" i="10"/>
  <c r="H377" i="10"/>
  <c r="E377" i="10"/>
  <c r="A377" i="10"/>
  <c r="H376" i="10"/>
  <c r="E376" i="10"/>
  <c r="A376" i="10"/>
  <c r="H375" i="10"/>
  <c r="E375" i="10"/>
  <c r="A375" i="10"/>
  <c r="H374" i="10"/>
  <c r="E374" i="10"/>
  <c r="A374" i="10"/>
  <c r="H373" i="10"/>
  <c r="E373" i="10"/>
  <c r="A373" i="10"/>
  <c r="H372" i="10"/>
  <c r="E372" i="10"/>
  <c r="A372" i="10"/>
  <c r="H371" i="10"/>
  <c r="E371" i="10"/>
  <c r="A371" i="10"/>
  <c r="H370" i="10"/>
  <c r="E370" i="10"/>
  <c r="A370" i="10"/>
  <c r="H369" i="10"/>
  <c r="E369" i="10"/>
  <c r="A369" i="10"/>
  <c r="H368" i="10"/>
  <c r="E368" i="10"/>
  <c r="A368" i="10"/>
  <c r="H367" i="10"/>
  <c r="E367" i="10"/>
  <c r="A367" i="10"/>
  <c r="H366" i="10"/>
  <c r="E366" i="10"/>
  <c r="A366" i="10"/>
  <c r="H365" i="10"/>
  <c r="E365" i="10"/>
  <c r="A365" i="10"/>
  <c r="H364" i="10"/>
  <c r="E364" i="10"/>
  <c r="A364" i="10"/>
  <c r="H363" i="10"/>
  <c r="E363" i="10"/>
  <c r="A363" i="10"/>
  <c r="H362" i="10"/>
  <c r="E362" i="10"/>
  <c r="A362" i="10"/>
  <c r="H361" i="10"/>
  <c r="E361" i="10"/>
  <c r="A361" i="10"/>
  <c r="H360" i="10"/>
  <c r="E360" i="10"/>
  <c r="A360" i="10"/>
  <c r="H359" i="10"/>
  <c r="E359" i="10"/>
  <c r="A359" i="10"/>
  <c r="H358" i="10"/>
  <c r="E358" i="10"/>
  <c r="A358" i="10"/>
  <c r="H357" i="10"/>
  <c r="E357" i="10"/>
  <c r="A357" i="10"/>
  <c r="H356" i="10"/>
  <c r="E356" i="10"/>
  <c r="A356" i="10"/>
  <c r="H355" i="10"/>
  <c r="E355" i="10"/>
  <c r="A355" i="10"/>
  <c r="H354" i="10"/>
  <c r="E354" i="10"/>
  <c r="A354" i="10"/>
  <c r="H353" i="10"/>
  <c r="E353" i="10"/>
  <c r="A353" i="10"/>
  <c r="H352" i="10"/>
  <c r="E352" i="10"/>
  <c r="A352" i="10"/>
  <c r="H351" i="10"/>
  <c r="E351" i="10"/>
  <c r="A351" i="10"/>
  <c r="H350" i="10"/>
  <c r="E350" i="10"/>
  <c r="A350" i="10"/>
  <c r="H349" i="10"/>
  <c r="E349" i="10"/>
  <c r="A349" i="10"/>
  <c r="H348" i="10"/>
  <c r="E348" i="10"/>
  <c r="A348" i="10"/>
  <c r="H347" i="10"/>
  <c r="E347" i="10"/>
  <c r="A347" i="10"/>
  <c r="H346" i="10"/>
  <c r="E346" i="10"/>
  <c r="A346" i="10"/>
  <c r="H345" i="10"/>
  <c r="E345" i="10"/>
  <c r="A345" i="10"/>
  <c r="H344" i="10"/>
  <c r="E344" i="10"/>
  <c r="A344" i="10"/>
  <c r="H343" i="10"/>
  <c r="E343" i="10"/>
  <c r="A343" i="10"/>
  <c r="H342" i="10"/>
  <c r="E342" i="10"/>
  <c r="A342" i="10"/>
  <c r="H341" i="10"/>
  <c r="E341" i="10"/>
  <c r="A341" i="10"/>
  <c r="H340" i="10"/>
  <c r="E340" i="10"/>
  <c r="A340" i="10"/>
  <c r="H339" i="10"/>
  <c r="E339" i="10"/>
  <c r="A339" i="10"/>
  <c r="H338" i="10"/>
  <c r="E338" i="10"/>
  <c r="A338" i="10"/>
  <c r="H337" i="10"/>
  <c r="E337" i="10"/>
  <c r="A337" i="10"/>
  <c r="H336" i="10"/>
  <c r="E336" i="10"/>
  <c r="A336" i="10"/>
  <c r="H335" i="10"/>
  <c r="E335" i="10"/>
  <c r="A335" i="10"/>
  <c r="H334" i="10"/>
  <c r="E334" i="10"/>
  <c r="A334" i="10"/>
  <c r="H333" i="10"/>
  <c r="E333" i="10"/>
  <c r="A333" i="10"/>
  <c r="H332" i="10"/>
  <c r="E332" i="10"/>
  <c r="A332" i="10"/>
  <c r="H331" i="10"/>
  <c r="E331" i="10"/>
  <c r="A331" i="10"/>
  <c r="H330" i="10"/>
  <c r="E330" i="10"/>
  <c r="A330" i="10"/>
  <c r="H329" i="10"/>
  <c r="E329" i="10"/>
  <c r="A329" i="10"/>
  <c r="H328" i="10"/>
  <c r="E328" i="10"/>
  <c r="A328" i="10"/>
  <c r="H327" i="10"/>
  <c r="E327" i="10"/>
  <c r="A327" i="10"/>
  <c r="H326" i="10"/>
  <c r="E326" i="10"/>
  <c r="A326" i="10"/>
  <c r="H325" i="10"/>
  <c r="E325" i="10"/>
  <c r="A325" i="10"/>
  <c r="H324" i="10"/>
  <c r="E324" i="10"/>
  <c r="A324" i="10"/>
  <c r="H323" i="10"/>
  <c r="E323" i="10"/>
  <c r="A323" i="10"/>
  <c r="H322" i="10"/>
  <c r="E322" i="10"/>
  <c r="A322" i="10"/>
  <c r="H321" i="10"/>
  <c r="E321" i="10"/>
  <c r="A321" i="10"/>
  <c r="H320" i="10"/>
  <c r="E320" i="10"/>
  <c r="A320" i="10"/>
  <c r="H319" i="10"/>
  <c r="E319" i="10"/>
  <c r="A319" i="10"/>
  <c r="H318" i="10"/>
  <c r="E318" i="10"/>
  <c r="A318" i="10"/>
  <c r="H317" i="10"/>
  <c r="E317" i="10"/>
  <c r="A317" i="10"/>
  <c r="H316" i="10"/>
  <c r="E316" i="10"/>
  <c r="A316" i="10"/>
  <c r="H315" i="10"/>
  <c r="E315" i="10"/>
  <c r="A315" i="10"/>
  <c r="H314" i="10"/>
  <c r="E314" i="10"/>
  <c r="A314" i="10"/>
  <c r="H313" i="10"/>
  <c r="E313" i="10"/>
  <c r="A313" i="10"/>
  <c r="H312" i="10"/>
  <c r="E312" i="10"/>
  <c r="A312" i="10"/>
  <c r="H311" i="10"/>
  <c r="E311" i="10"/>
  <c r="A311" i="10"/>
  <c r="H310" i="10"/>
  <c r="E310" i="10"/>
  <c r="A310" i="10"/>
  <c r="H309" i="10"/>
  <c r="E309" i="10"/>
  <c r="A309" i="10"/>
  <c r="H308" i="10"/>
  <c r="E308" i="10"/>
  <c r="A308" i="10"/>
  <c r="H307" i="10"/>
  <c r="E307" i="10"/>
  <c r="A307" i="10"/>
  <c r="H306" i="10"/>
  <c r="E306" i="10"/>
  <c r="A306" i="10"/>
  <c r="H305" i="10"/>
  <c r="E305" i="10"/>
  <c r="A305" i="10"/>
  <c r="H304" i="10"/>
  <c r="E304" i="10"/>
  <c r="A304" i="10"/>
  <c r="H303" i="10"/>
  <c r="E303" i="10"/>
  <c r="A303" i="10"/>
  <c r="H302" i="10"/>
  <c r="E302" i="10"/>
  <c r="A302" i="10"/>
  <c r="H301" i="10"/>
  <c r="E301" i="10"/>
  <c r="A301" i="10"/>
  <c r="H300" i="10"/>
  <c r="E300" i="10"/>
  <c r="A300" i="10"/>
  <c r="H299" i="10"/>
  <c r="E299" i="10"/>
  <c r="A299" i="10"/>
  <c r="H298" i="10"/>
  <c r="E298" i="10"/>
  <c r="A298" i="10"/>
  <c r="H297" i="10"/>
  <c r="E297" i="10"/>
  <c r="A297" i="10"/>
  <c r="H296" i="10"/>
  <c r="E296" i="10"/>
  <c r="A296" i="10"/>
  <c r="H295" i="10"/>
  <c r="E295" i="10"/>
  <c r="A295" i="10"/>
  <c r="H294" i="10"/>
  <c r="E294" i="10"/>
  <c r="A294" i="10"/>
  <c r="H293" i="10"/>
  <c r="E293" i="10"/>
  <c r="A293" i="10"/>
  <c r="H292" i="10"/>
  <c r="E292" i="10"/>
  <c r="A292" i="10"/>
  <c r="H291" i="10"/>
  <c r="E291" i="10"/>
  <c r="A291" i="10"/>
  <c r="H290" i="10"/>
  <c r="E290" i="10"/>
  <c r="A290" i="10"/>
  <c r="H289" i="10"/>
  <c r="E289" i="10"/>
  <c r="A289" i="10"/>
  <c r="H288" i="10"/>
  <c r="E288" i="10"/>
  <c r="A288" i="10"/>
  <c r="H287" i="10"/>
  <c r="E287" i="10"/>
  <c r="A287" i="10"/>
  <c r="H286" i="10"/>
  <c r="E286" i="10"/>
  <c r="A286" i="10"/>
  <c r="H285" i="10"/>
  <c r="E285" i="10"/>
  <c r="A285" i="10"/>
  <c r="H284" i="10"/>
  <c r="E284" i="10"/>
  <c r="A284" i="10"/>
  <c r="H283" i="10"/>
  <c r="E283" i="10"/>
  <c r="A283" i="10"/>
  <c r="H282" i="10"/>
  <c r="E282" i="10"/>
  <c r="A282" i="10"/>
  <c r="H281" i="10"/>
  <c r="E281" i="10"/>
  <c r="A281" i="10"/>
  <c r="H280" i="10"/>
  <c r="E280" i="10"/>
  <c r="A280" i="10"/>
  <c r="H279" i="10"/>
  <c r="E279" i="10"/>
  <c r="A279" i="10"/>
  <c r="H278" i="10"/>
  <c r="E278" i="10"/>
  <c r="A278" i="10"/>
  <c r="H277" i="10"/>
  <c r="E277" i="10"/>
  <c r="A277" i="10"/>
  <c r="H276" i="10"/>
  <c r="E276" i="10"/>
  <c r="A276" i="10"/>
  <c r="H275" i="10"/>
  <c r="E275" i="10"/>
  <c r="A275" i="10"/>
  <c r="H274" i="10"/>
  <c r="E274" i="10"/>
  <c r="A274" i="10"/>
  <c r="H273" i="10"/>
  <c r="E273" i="10"/>
  <c r="A273" i="10"/>
  <c r="H272" i="10"/>
  <c r="E272" i="10"/>
  <c r="A272" i="10"/>
  <c r="H271" i="10"/>
  <c r="E271" i="10"/>
  <c r="A271" i="10"/>
  <c r="H270" i="10"/>
  <c r="E270" i="10"/>
  <c r="A270" i="10"/>
  <c r="H269" i="10"/>
  <c r="E269" i="10"/>
  <c r="A269" i="10"/>
  <c r="H268" i="10"/>
  <c r="E268" i="10"/>
  <c r="A268" i="10"/>
  <c r="H267" i="10"/>
  <c r="E267" i="10"/>
  <c r="A267" i="10"/>
  <c r="H266" i="10"/>
  <c r="E266" i="10"/>
  <c r="A266" i="10"/>
  <c r="H265" i="10"/>
  <c r="E265" i="10"/>
  <c r="A265" i="10"/>
  <c r="H264" i="10"/>
  <c r="E264" i="10"/>
  <c r="A264" i="10"/>
  <c r="H263" i="10"/>
  <c r="E263" i="10"/>
  <c r="A263" i="10"/>
  <c r="H262" i="10"/>
  <c r="E262" i="10"/>
  <c r="A262" i="10"/>
  <c r="H261" i="10"/>
  <c r="E261" i="10"/>
  <c r="A261" i="10"/>
  <c r="H260" i="10"/>
  <c r="E260" i="10"/>
  <c r="A260" i="10"/>
  <c r="H259" i="10"/>
  <c r="E259" i="10"/>
  <c r="A259" i="10"/>
  <c r="H258" i="10"/>
  <c r="E258" i="10"/>
  <c r="A258" i="10"/>
  <c r="H257" i="10"/>
  <c r="E257" i="10"/>
  <c r="A257" i="10"/>
  <c r="H256" i="10"/>
  <c r="E256" i="10"/>
  <c r="A256" i="10"/>
  <c r="H255" i="10"/>
  <c r="E255" i="10"/>
  <c r="A255" i="10"/>
  <c r="H254" i="10"/>
  <c r="E254" i="10"/>
  <c r="A254" i="10"/>
  <c r="H253" i="10"/>
  <c r="E253" i="10"/>
  <c r="A253" i="10"/>
  <c r="H252" i="10"/>
  <c r="E252" i="10"/>
  <c r="A252" i="10"/>
  <c r="H251" i="10"/>
  <c r="E251" i="10"/>
  <c r="A251" i="10"/>
  <c r="H250" i="10"/>
  <c r="E250" i="10"/>
  <c r="A250" i="10"/>
  <c r="H249" i="10"/>
  <c r="E249" i="10"/>
  <c r="A249" i="10"/>
  <c r="H248" i="10"/>
  <c r="E248" i="10"/>
  <c r="A248" i="10"/>
  <c r="H247" i="10"/>
  <c r="E247" i="10"/>
  <c r="A247" i="10"/>
  <c r="H246" i="10"/>
  <c r="E246" i="10"/>
  <c r="A246" i="10"/>
  <c r="H245" i="10"/>
  <c r="E245" i="10"/>
  <c r="A245" i="10"/>
  <c r="H244" i="10"/>
  <c r="E244" i="10"/>
  <c r="A244" i="10"/>
  <c r="H243" i="10"/>
  <c r="E243" i="10"/>
  <c r="A243" i="10"/>
  <c r="H242" i="10"/>
  <c r="E242" i="10"/>
  <c r="A242" i="10"/>
  <c r="H241" i="10"/>
  <c r="E241" i="10"/>
  <c r="A241" i="10"/>
  <c r="H240" i="10"/>
  <c r="E240" i="10"/>
  <c r="A240" i="10"/>
  <c r="H239" i="10"/>
  <c r="E239" i="10"/>
  <c r="A239" i="10"/>
  <c r="H238" i="10"/>
  <c r="E238" i="10"/>
  <c r="A238" i="10"/>
  <c r="H237" i="10"/>
  <c r="E237" i="10"/>
  <c r="A237" i="10"/>
  <c r="H236" i="10"/>
  <c r="E236" i="10"/>
  <c r="A236" i="10"/>
  <c r="H235" i="10"/>
  <c r="E235" i="10"/>
  <c r="A235" i="10"/>
  <c r="H234" i="10"/>
  <c r="E234" i="10"/>
  <c r="A234" i="10"/>
  <c r="H233" i="10"/>
  <c r="E233" i="10"/>
  <c r="A233" i="10"/>
  <c r="H232" i="10"/>
  <c r="E232" i="10"/>
  <c r="A232" i="10"/>
  <c r="H231" i="10"/>
  <c r="E231" i="10"/>
  <c r="A231" i="10"/>
  <c r="H230" i="10"/>
  <c r="E230" i="10"/>
  <c r="A230" i="10"/>
  <c r="H229" i="10"/>
  <c r="E229" i="10"/>
  <c r="A229" i="10"/>
  <c r="H228" i="10"/>
  <c r="E228" i="10"/>
  <c r="A228" i="10"/>
  <c r="H227" i="10"/>
  <c r="E227" i="10"/>
  <c r="A227" i="10"/>
  <c r="H226" i="10"/>
  <c r="E226" i="10"/>
  <c r="A226" i="10"/>
  <c r="H225" i="10"/>
  <c r="E225" i="10"/>
  <c r="A225" i="10"/>
  <c r="H224" i="10"/>
  <c r="E224" i="10"/>
  <c r="A224" i="10"/>
  <c r="H223" i="10"/>
  <c r="E223" i="10"/>
  <c r="A223" i="10"/>
  <c r="H222" i="10"/>
  <c r="E222" i="10"/>
  <c r="A222" i="10"/>
  <c r="H221" i="10"/>
  <c r="E221" i="10"/>
  <c r="A221" i="10"/>
  <c r="H220" i="10"/>
  <c r="E220" i="10"/>
  <c r="A220" i="10"/>
  <c r="H219" i="10"/>
  <c r="E219" i="10"/>
  <c r="A219" i="10"/>
  <c r="H218" i="10"/>
  <c r="E218" i="10"/>
  <c r="A218" i="10"/>
  <c r="H217" i="10"/>
  <c r="E217" i="10"/>
  <c r="A217" i="10"/>
  <c r="H216" i="10"/>
  <c r="E216" i="10"/>
  <c r="A216" i="10"/>
  <c r="H215" i="10"/>
  <c r="E215" i="10"/>
  <c r="A215" i="10"/>
  <c r="H214" i="10"/>
  <c r="E214" i="10"/>
  <c r="A214" i="10"/>
  <c r="H213" i="10"/>
  <c r="E213" i="10"/>
  <c r="A213" i="10"/>
  <c r="H212" i="10"/>
  <c r="E212" i="10"/>
  <c r="A212" i="10"/>
  <c r="H211" i="10"/>
  <c r="E211" i="10"/>
  <c r="A211" i="10"/>
  <c r="H210" i="10"/>
  <c r="E210" i="10"/>
  <c r="A210" i="10"/>
  <c r="H209" i="10"/>
  <c r="E209" i="10"/>
  <c r="A209" i="10"/>
  <c r="H208" i="10"/>
  <c r="E208" i="10"/>
  <c r="A208" i="10"/>
  <c r="H207" i="10"/>
  <c r="E207" i="10"/>
  <c r="A207" i="10"/>
  <c r="H206" i="10"/>
  <c r="E206" i="10"/>
  <c r="A206" i="10"/>
  <c r="H205" i="10"/>
  <c r="E205" i="10"/>
  <c r="A205" i="10"/>
  <c r="H204" i="10"/>
  <c r="E204" i="10"/>
  <c r="A204" i="10"/>
  <c r="H203" i="10"/>
  <c r="E203" i="10"/>
  <c r="A203" i="10"/>
  <c r="H202" i="10"/>
  <c r="E202" i="10"/>
  <c r="A202" i="10"/>
  <c r="H201" i="10"/>
  <c r="E201" i="10"/>
  <c r="A201" i="10"/>
  <c r="H200" i="10"/>
  <c r="E200" i="10"/>
  <c r="A200" i="10"/>
  <c r="H199" i="10"/>
  <c r="E199" i="10"/>
  <c r="A199" i="10"/>
  <c r="H198" i="10"/>
  <c r="E198" i="10"/>
  <c r="A198" i="10"/>
  <c r="H197" i="10"/>
  <c r="E197" i="10"/>
  <c r="A197" i="10"/>
  <c r="H196" i="10"/>
  <c r="E196" i="10"/>
  <c r="A196" i="10"/>
  <c r="H195" i="10"/>
  <c r="E195" i="10"/>
  <c r="A195" i="10"/>
  <c r="H194" i="10"/>
  <c r="E194" i="10"/>
  <c r="A194" i="10"/>
  <c r="H193" i="10"/>
  <c r="E193" i="10"/>
  <c r="A193" i="10"/>
  <c r="H192" i="10"/>
  <c r="E192" i="10"/>
  <c r="A192" i="10"/>
  <c r="H191" i="10"/>
  <c r="E191" i="10"/>
  <c r="A191" i="10"/>
  <c r="H190" i="10"/>
  <c r="E190" i="10"/>
  <c r="A190" i="10"/>
  <c r="H189" i="10"/>
  <c r="E189" i="10"/>
  <c r="A189" i="10"/>
  <c r="H188" i="10"/>
  <c r="E188" i="10"/>
  <c r="A188" i="10"/>
  <c r="H187" i="10"/>
  <c r="E187" i="10"/>
  <c r="A187" i="10"/>
  <c r="H186" i="10"/>
  <c r="E186" i="10"/>
  <c r="A186" i="10"/>
  <c r="H185" i="10"/>
  <c r="E185" i="10"/>
  <c r="A185" i="10"/>
  <c r="H184" i="10"/>
  <c r="E184" i="10"/>
  <c r="A184" i="10"/>
  <c r="H183" i="10"/>
  <c r="E183" i="10"/>
  <c r="A183" i="10"/>
  <c r="H182" i="10"/>
  <c r="E182" i="10"/>
  <c r="A182" i="10"/>
  <c r="H181" i="10"/>
  <c r="E181" i="10"/>
  <c r="A181" i="10"/>
  <c r="H180" i="10"/>
  <c r="E180" i="10"/>
  <c r="A180" i="10"/>
  <c r="H179" i="10"/>
  <c r="E179" i="10"/>
  <c r="A179" i="10"/>
  <c r="H178" i="10"/>
  <c r="E178" i="10"/>
  <c r="A178" i="10"/>
  <c r="H177" i="10"/>
  <c r="E177" i="10"/>
  <c r="A177" i="10"/>
  <c r="H176" i="10"/>
  <c r="E176" i="10"/>
  <c r="A176" i="10"/>
  <c r="H175" i="10"/>
  <c r="E175" i="10"/>
  <c r="A175" i="10"/>
  <c r="H174" i="10"/>
  <c r="E174" i="10"/>
  <c r="A174" i="10"/>
  <c r="H173" i="10"/>
  <c r="E173" i="10"/>
  <c r="A173" i="10"/>
  <c r="H172" i="10"/>
  <c r="E172" i="10"/>
  <c r="A172" i="10"/>
  <c r="H171" i="10"/>
  <c r="E171" i="10"/>
  <c r="A171" i="10"/>
  <c r="H170" i="10"/>
  <c r="E170" i="10"/>
  <c r="A170" i="10"/>
  <c r="H169" i="10"/>
  <c r="E169" i="10"/>
  <c r="A169" i="10"/>
  <c r="H168" i="10"/>
  <c r="E168" i="10"/>
  <c r="A168" i="10"/>
  <c r="H167" i="10"/>
  <c r="E167" i="10"/>
  <c r="A167" i="10"/>
  <c r="H166" i="10"/>
  <c r="E166" i="10"/>
  <c r="A166" i="10"/>
  <c r="H165" i="10"/>
  <c r="E165" i="10"/>
  <c r="A165" i="10"/>
  <c r="H164" i="10"/>
  <c r="E164" i="10"/>
  <c r="A164" i="10"/>
  <c r="H163" i="10"/>
  <c r="E163" i="10"/>
  <c r="A163" i="10"/>
  <c r="H162" i="10"/>
  <c r="E162" i="10"/>
  <c r="A162" i="10"/>
  <c r="H161" i="10"/>
  <c r="E161" i="10"/>
  <c r="A161" i="10"/>
  <c r="H160" i="10"/>
  <c r="E160" i="10"/>
  <c r="A160" i="10"/>
  <c r="H159" i="10"/>
  <c r="E159" i="10"/>
  <c r="A159" i="10"/>
  <c r="H158" i="10"/>
  <c r="E158" i="10"/>
  <c r="A158" i="10"/>
  <c r="H157" i="10"/>
  <c r="E157" i="10"/>
  <c r="A157" i="10"/>
  <c r="H156" i="10"/>
  <c r="E156" i="10"/>
  <c r="A156" i="10"/>
  <c r="H155" i="10"/>
  <c r="E155" i="10"/>
  <c r="A155" i="10"/>
  <c r="H154" i="10"/>
  <c r="E154" i="10"/>
  <c r="A154" i="10"/>
  <c r="H153" i="10"/>
  <c r="E153" i="10"/>
  <c r="A153" i="10"/>
  <c r="H152" i="10"/>
  <c r="E152" i="10"/>
  <c r="A152" i="10"/>
  <c r="H151" i="10"/>
  <c r="E151" i="10"/>
  <c r="A151" i="10"/>
  <c r="H150" i="10"/>
  <c r="E150" i="10"/>
  <c r="A150" i="10"/>
  <c r="H149" i="10"/>
  <c r="E149" i="10"/>
  <c r="A149" i="10"/>
  <c r="H148" i="10"/>
  <c r="E148" i="10"/>
  <c r="A148" i="10"/>
  <c r="H147" i="10"/>
  <c r="E147" i="10"/>
  <c r="A147" i="10"/>
  <c r="H146" i="10"/>
  <c r="E146" i="10"/>
  <c r="A146" i="10"/>
  <c r="H145" i="10"/>
  <c r="E145" i="10"/>
  <c r="A145" i="10"/>
  <c r="H144" i="10"/>
  <c r="E144" i="10"/>
  <c r="A144" i="10"/>
  <c r="H143" i="10"/>
  <c r="E143" i="10"/>
  <c r="A143" i="10"/>
  <c r="H142" i="10"/>
  <c r="E142" i="10"/>
  <c r="A142" i="10"/>
  <c r="H141" i="10"/>
  <c r="E141" i="10"/>
  <c r="A141" i="10"/>
  <c r="H140" i="10"/>
  <c r="E140" i="10"/>
  <c r="A140" i="10"/>
  <c r="H139" i="10"/>
  <c r="E139" i="10"/>
  <c r="A139" i="10"/>
  <c r="H138" i="10"/>
  <c r="E138" i="10"/>
  <c r="A138" i="10"/>
  <c r="H137" i="10"/>
  <c r="E137" i="10"/>
  <c r="A137" i="10"/>
  <c r="H136" i="10"/>
  <c r="E136" i="10"/>
  <c r="A136" i="10"/>
  <c r="H135" i="10"/>
  <c r="E135" i="10"/>
  <c r="A135" i="10"/>
  <c r="H134" i="10"/>
  <c r="E134" i="10"/>
  <c r="A134" i="10"/>
  <c r="H133" i="10"/>
  <c r="E133" i="10"/>
  <c r="A133" i="10"/>
  <c r="H132" i="10"/>
  <c r="E132" i="10"/>
  <c r="A132" i="10"/>
  <c r="H131" i="10"/>
  <c r="E131" i="10"/>
  <c r="A131" i="10"/>
  <c r="H130" i="10"/>
  <c r="E130" i="10"/>
  <c r="A130" i="10"/>
  <c r="H129" i="10"/>
  <c r="E129" i="10"/>
  <c r="A129" i="10"/>
  <c r="H128" i="10"/>
  <c r="E128" i="10"/>
  <c r="A128" i="10"/>
  <c r="H127" i="10"/>
  <c r="E127" i="10"/>
  <c r="A127" i="10"/>
  <c r="H126" i="10"/>
  <c r="E126" i="10"/>
  <c r="A126" i="10"/>
  <c r="H125" i="10"/>
  <c r="E125" i="10"/>
  <c r="A125" i="10"/>
  <c r="H124" i="10"/>
  <c r="E124" i="10"/>
  <c r="A124" i="10"/>
  <c r="H123" i="10"/>
  <c r="E123" i="10"/>
  <c r="A123" i="10"/>
  <c r="H122" i="10"/>
  <c r="E122" i="10"/>
  <c r="A122" i="10"/>
  <c r="H121" i="10"/>
  <c r="E121" i="10"/>
  <c r="A121" i="10"/>
  <c r="H120" i="10"/>
  <c r="E120" i="10"/>
  <c r="A120" i="10"/>
  <c r="H119" i="10"/>
  <c r="E119" i="10"/>
  <c r="A119" i="10"/>
  <c r="H118" i="10"/>
  <c r="E118" i="10"/>
  <c r="A118" i="10"/>
  <c r="H117" i="10"/>
  <c r="E117" i="10"/>
  <c r="A117" i="10"/>
  <c r="H116" i="10"/>
  <c r="E116" i="10"/>
  <c r="A116" i="10"/>
  <c r="H115" i="10"/>
  <c r="E115" i="10"/>
  <c r="A115" i="10"/>
  <c r="H114" i="10"/>
  <c r="E114" i="10"/>
  <c r="A114" i="10"/>
  <c r="H113" i="10"/>
  <c r="E113" i="10"/>
  <c r="A113" i="10"/>
  <c r="H112" i="10"/>
  <c r="E112" i="10"/>
  <c r="A112" i="10"/>
  <c r="H111" i="10"/>
  <c r="E111" i="10"/>
  <c r="A111" i="10"/>
  <c r="H110" i="10"/>
  <c r="E110" i="10"/>
  <c r="A110" i="10"/>
  <c r="H109" i="10"/>
  <c r="E109" i="10"/>
  <c r="A109" i="10"/>
  <c r="H108" i="10"/>
  <c r="E108" i="10"/>
  <c r="A108" i="10"/>
  <c r="H107" i="10"/>
  <c r="E107" i="10"/>
  <c r="A107" i="10"/>
  <c r="H106" i="10"/>
  <c r="E106" i="10"/>
  <c r="A106" i="10"/>
  <c r="H105" i="10"/>
  <c r="E105" i="10"/>
  <c r="A105" i="10"/>
  <c r="H104" i="10"/>
  <c r="E104" i="10"/>
  <c r="A104" i="10"/>
  <c r="H103" i="10"/>
  <c r="E103" i="10"/>
  <c r="A103" i="10"/>
  <c r="H102" i="10"/>
  <c r="E102" i="10"/>
  <c r="A102" i="10"/>
  <c r="H101" i="10"/>
  <c r="E101" i="10"/>
  <c r="A101" i="10"/>
  <c r="H100" i="10"/>
  <c r="E100" i="10"/>
  <c r="A100" i="10"/>
  <c r="H99" i="10"/>
  <c r="E99" i="10"/>
  <c r="A99" i="10"/>
  <c r="H98" i="10"/>
  <c r="E98" i="10"/>
  <c r="A98" i="10"/>
  <c r="H97" i="10"/>
  <c r="E97" i="10"/>
  <c r="A97" i="10"/>
  <c r="H96" i="10"/>
  <c r="E96" i="10"/>
  <c r="A96" i="10"/>
  <c r="H95" i="10"/>
  <c r="E95" i="10"/>
  <c r="A95" i="10"/>
  <c r="H94" i="10"/>
  <c r="E94" i="10"/>
  <c r="A94" i="10"/>
  <c r="H93" i="10"/>
  <c r="E93" i="10"/>
  <c r="A93" i="10"/>
  <c r="H92" i="10"/>
  <c r="E92" i="10"/>
  <c r="A92" i="10"/>
  <c r="H91" i="10"/>
  <c r="E91" i="10"/>
  <c r="A91" i="10"/>
  <c r="H90" i="10"/>
  <c r="E90" i="10"/>
  <c r="A90" i="10"/>
  <c r="H89" i="10"/>
  <c r="E89" i="10"/>
  <c r="A89" i="10"/>
  <c r="H88" i="10"/>
  <c r="E88" i="10"/>
  <c r="A88" i="10"/>
  <c r="H87" i="10"/>
  <c r="E87" i="10"/>
  <c r="A87" i="10"/>
  <c r="H86" i="10"/>
  <c r="E86" i="10"/>
  <c r="A86" i="10"/>
  <c r="H85" i="10"/>
  <c r="E85" i="10"/>
  <c r="A85" i="10"/>
  <c r="H84" i="10"/>
  <c r="E84" i="10"/>
  <c r="A84" i="10"/>
  <c r="H83" i="10"/>
  <c r="E83" i="10"/>
  <c r="A83" i="10"/>
  <c r="H82" i="10"/>
  <c r="E82" i="10"/>
  <c r="A82" i="10"/>
  <c r="H81" i="10"/>
  <c r="E81" i="10"/>
  <c r="A81" i="10"/>
  <c r="H80" i="10"/>
  <c r="E80" i="10"/>
  <c r="A80" i="10"/>
  <c r="H79" i="10"/>
  <c r="E79" i="10"/>
  <c r="A79" i="10"/>
  <c r="H78" i="10"/>
  <c r="E78" i="10"/>
  <c r="A78" i="10"/>
  <c r="H77" i="10"/>
  <c r="E77" i="10"/>
  <c r="A77" i="10"/>
  <c r="H76" i="10"/>
  <c r="E76" i="10"/>
  <c r="A76" i="10"/>
  <c r="H75" i="10"/>
  <c r="E75" i="10"/>
  <c r="A75" i="10"/>
  <c r="H74" i="10"/>
  <c r="E74" i="10"/>
  <c r="A74" i="10"/>
  <c r="H73" i="10"/>
  <c r="E73" i="10"/>
  <c r="A73" i="10"/>
  <c r="H72" i="10"/>
  <c r="E72" i="10"/>
  <c r="A72" i="10"/>
  <c r="H71" i="10"/>
  <c r="E71" i="10"/>
  <c r="A71" i="10"/>
  <c r="H70" i="10"/>
  <c r="E70" i="10"/>
  <c r="A70" i="10"/>
  <c r="H69" i="10"/>
  <c r="E69" i="10"/>
  <c r="A69" i="10"/>
  <c r="H68" i="10"/>
  <c r="E68" i="10"/>
  <c r="A68" i="10"/>
  <c r="H67" i="10"/>
  <c r="E67" i="10"/>
  <c r="A67" i="10"/>
  <c r="H66" i="10"/>
  <c r="E66" i="10"/>
  <c r="A66" i="10"/>
  <c r="H65" i="10"/>
  <c r="E65" i="10"/>
  <c r="A65" i="10"/>
  <c r="H64" i="10"/>
  <c r="E64" i="10"/>
  <c r="A64" i="10"/>
  <c r="H63" i="10"/>
  <c r="E63" i="10"/>
  <c r="A63" i="10"/>
  <c r="H62" i="10"/>
  <c r="E62" i="10"/>
  <c r="A62" i="10"/>
  <c r="H61" i="10"/>
  <c r="E61" i="10"/>
  <c r="A61" i="10"/>
  <c r="H60" i="10"/>
  <c r="E60" i="10"/>
  <c r="A60" i="10"/>
  <c r="H59" i="10"/>
  <c r="E59" i="10"/>
  <c r="A59" i="10"/>
  <c r="H58" i="10"/>
  <c r="E58" i="10"/>
  <c r="A58" i="10"/>
  <c r="H57" i="10"/>
  <c r="E57" i="10"/>
  <c r="A57" i="10"/>
  <c r="H56" i="10"/>
  <c r="E56" i="10"/>
  <c r="A56" i="10"/>
  <c r="H55" i="10"/>
  <c r="E55" i="10"/>
  <c r="A55" i="10"/>
  <c r="H54" i="10"/>
  <c r="E54" i="10"/>
  <c r="A54" i="10"/>
  <c r="H53" i="10"/>
  <c r="E53" i="10"/>
  <c r="A53" i="10"/>
  <c r="H52" i="10"/>
  <c r="E52" i="10"/>
  <c r="A52" i="10"/>
  <c r="H51" i="10"/>
  <c r="E51" i="10"/>
  <c r="A51" i="10"/>
  <c r="H50" i="10"/>
  <c r="E50" i="10"/>
  <c r="A50" i="10"/>
  <c r="H49" i="10"/>
  <c r="E49" i="10"/>
  <c r="A49" i="10"/>
  <c r="H48" i="10"/>
  <c r="E48" i="10"/>
  <c r="A48" i="10"/>
  <c r="H47" i="10"/>
  <c r="E47" i="10"/>
  <c r="A47" i="10"/>
  <c r="H46" i="10"/>
  <c r="E46" i="10"/>
  <c r="A46" i="10"/>
  <c r="H45" i="10"/>
  <c r="E45" i="10"/>
  <c r="A45" i="10"/>
  <c r="H44" i="10"/>
  <c r="E44" i="10"/>
  <c r="A44" i="10"/>
  <c r="H43" i="10"/>
  <c r="E43" i="10"/>
  <c r="A43" i="10"/>
  <c r="H42" i="10"/>
  <c r="E42" i="10"/>
  <c r="A42" i="10"/>
  <c r="H41" i="10"/>
  <c r="E41" i="10"/>
  <c r="A41" i="10"/>
  <c r="H40" i="10"/>
  <c r="E40" i="10"/>
  <c r="A40" i="10"/>
  <c r="H39" i="10"/>
  <c r="E39" i="10"/>
  <c r="A39" i="10"/>
  <c r="H38" i="10"/>
  <c r="E38" i="10"/>
  <c r="A38" i="10"/>
  <c r="H37" i="10"/>
  <c r="E37" i="10"/>
  <c r="A37" i="10"/>
  <c r="H36" i="10"/>
  <c r="E36" i="10"/>
  <c r="A36" i="10"/>
  <c r="H35" i="10"/>
  <c r="E35" i="10"/>
  <c r="A35" i="10"/>
  <c r="H34" i="10"/>
  <c r="E34" i="10"/>
  <c r="A34" i="10"/>
  <c r="H33" i="10"/>
  <c r="E33" i="10"/>
  <c r="A33" i="10"/>
  <c r="H32" i="10"/>
  <c r="E32" i="10"/>
  <c r="A32" i="10"/>
  <c r="H31" i="10"/>
  <c r="E31" i="10"/>
  <c r="A31" i="10"/>
  <c r="H30" i="10"/>
  <c r="E30" i="10"/>
  <c r="A30" i="10"/>
  <c r="H29" i="10"/>
  <c r="E29" i="10"/>
  <c r="A29" i="10"/>
  <c r="H28" i="10"/>
  <c r="E28" i="10"/>
  <c r="A28" i="10"/>
  <c r="H27" i="10"/>
  <c r="E27" i="10"/>
  <c r="A27" i="10"/>
  <c r="H26" i="10"/>
  <c r="E26" i="10"/>
  <c r="A26" i="10"/>
  <c r="H25" i="10"/>
  <c r="E25" i="10"/>
  <c r="A25" i="10"/>
  <c r="H24" i="10"/>
  <c r="E24" i="10"/>
  <c r="A24" i="10"/>
  <c r="H23" i="10"/>
  <c r="E23" i="10"/>
  <c r="A23" i="10"/>
  <c r="H22" i="10"/>
  <c r="E22" i="10"/>
  <c r="A22" i="10"/>
  <c r="H21" i="10"/>
  <c r="E21" i="10"/>
  <c r="A21" i="10"/>
  <c r="H20" i="10"/>
  <c r="E20" i="10"/>
  <c r="A20" i="10"/>
  <c r="H19" i="10"/>
  <c r="E19" i="10"/>
  <c r="A19" i="10"/>
  <c r="H18" i="10"/>
  <c r="E18" i="10"/>
  <c r="A18" i="10"/>
  <c r="H17" i="10"/>
  <c r="E17" i="10"/>
  <c r="A17" i="10"/>
  <c r="H16" i="10"/>
  <c r="E16" i="10"/>
  <c r="A16" i="10"/>
  <c r="H15" i="10"/>
  <c r="E15" i="10"/>
  <c r="A15" i="10"/>
  <c r="H14" i="10"/>
  <c r="E14" i="10"/>
  <c r="A14" i="10"/>
  <c r="H13" i="10"/>
  <c r="E13" i="10"/>
  <c r="A13" i="10"/>
  <c r="H12" i="10"/>
  <c r="E12" i="10"/>
  <c r="A12" i="10"/>
  <c r="H11" i="10"/>
  <c r="E11" i="10"/>
  <c r="A11" i="10"/>
  <c r="H10" i="10"/>
  <c r="E10" i="10"/>
  <c r="A10" i="10"/>
  <c r="H9" i="10"/>
  <c r="E9" i="10"/>
  <c r="A9" i="10"/>
  <c r="H8" i="10"/>
  <c r="E8" i="10"/>
  <c r="A8" i="10"/>
  <c r="H7" i="10"/>
  <c r="E7" i="10"/>
  <c r="A7" i="10"/>
  <c r="H6" i="10"/>
  <c r="E6" i="10"/>
  <c r="A6" i="10"/>
  <c r="H5" i="10"/>
  <c r="E5" i="10"/>
  <c r="A5" i="10"/>
  <c r="H4" i="10"/>
  <c r="E4" i="10"/>
  <c r="A4" i="10"/>
  <c r="H3" i="10"/>
  <c r="E3" i="10"/>
  <c r="A3" i="10"/>
  <c r="X3" i="11" l="1"/>
  <c r="A14" i="11"/>
  <c r="A13" i="11"/>
  <c r="A15" i="11"/>
  <c r="A4" i="11"/>
</calcChain>
</file>

<file path=xl/sharedStrings.xml><?xml version="1.0" encoding="utf-8"?>
<sst xmlns="http://schemas.openxmlformats.org/spreadsheetml/2006/main" count="311" uniqueCount="127">
  <si>
    <t>id</t>
  </si>
  <si>
    <t>name</t>
  </si>
  <si>
    <t>General inspection</t>
  </si>
  <si>
    <t>-</t>
  </si>
  <si>
    <t>€</t>
  </si>
  <si>
    <t>€/technician/day</t>
  </si>
  <si>
    <t>every X years</t>
  </si>
  <si>
    <t>06, 07, 08, 09</t>
  </si>
  <si>
    <t>Blade replacement</t>
  </si>
  <si>
    <t>periodicity</t>
  </si>
  <si>
    <t>preferred_months</t>
  </si>
  <si>
    <t>technicians_required</t>
  </si>
  <si>
    <t>technician_cost</t>
  </si>
  <si>
    <t>parts_cost</t>
  </si>
  <si>
    <t>other_costs</t>
  </si>
  <si>
    <t>wtg_intervened</t>
  </si>
  <si>
    <t>wec_intervened</t>
  </si>
  <si>
    <t>pv_intervened</t>
  </si>
  <si>
    <t>rov_drone</t>
  </si>
  <si>
    <t>Export cable repair</t>
  </si>
  <si>
    <t>WEC removal</t>
  </si>
  <si>
    <t>WEC on land inspection</t>
  </si>
  <si>
    <t>WEC on land replacement</t>
  </si>
  <si>
    <t>WEC re-deploy</t>
  </si>
  <si>
    <t>Mooring line replacement</t>
  </si>
  <si>
    <t>ofw_OP103</t>
  </si>
  <si>
    <t>oce_OP110</t>
  </si>
  <si>
    <t>id_short</t>
  </si>
  <si>
    <t>CPO_A1</t>
  </si>
  <si>
    <t>WEC visual inspection</t>
  </si>
  <si>
    <t>04, 05, 10, 11</t>
  </si>
  <si>
    <t>CPO_A2</t>
  </si>
  <si>
    <t>WEC visual inspection and filter replacement</t>
  </si>
  <si>
    <t>SuAB_1</t>
  </si>
  <si>
    <t>Visual inspection - blades</t>
  </si>
  <si>
    <t>04, 05, 06, 07, 08, 09</t>
  </si>
  <si>
    <t>SuAB_2</t>
  </si>
  <si>
    <t>Drive train inspection</t>
  </si>
  <si>
    <t>SuAB_3</t>
  </si>
  <si>
    <t>Inspection of control system and electrical</t>
  </si>
  <si>
    <t>SuAB_4</t>
  </si>
  <si>
    <t>Inspection of hydraulic and pneumatic systems</t>
  </si>
  <si>
    <t>SuAB_5</t>
  </si>
  <si>
    <t>Visual inspection to tower</t>
  </si>
  <si>
    <t>SuAB_6</t>
  </si>
  <si>
    <t>Inspection of mooring system (3 mooring lines)</t>
  </si>
  <si>
    <t>SuAB_cable_1</t>
  </si>
  <si>
    <t>Inspection of WTG dynamic power cables</t>
  </si>
  <si>
    <t>SuAB_cable_2</t>
  </si>
  <si>
    <t>Inspection of export power cables</t>
  </si>
  <si>
    <t>OP001</t>
  </si>
  <si>
    <t>OP002</t>
  </si>
  <si>
    <t>Underwater inspection</t>
  </si>
  <si>
    <t>OP003</t>
  </si>
  <si>
    <t>General inspection with drone</t>
  </si>
  <si>
    <t>vessel1_id</t>
  </si>
  <si>
    <t>vessel2_id</t>
  </si>
  <si>
    <t>tow_to_port</t>
  </si>
  <si>
    <t>overnight_stay</t>
  </si>
  <si>
    <t>dur_per_device</t>
  </si>
  <si>
    <t>hs</t>
  </si>
  <si>
    <t>tp</t>
  </si>
  <si>
    <t>ws</t>
  </si>
  <si>
    <t>cs</t>
  </si>
  <si>
    <t>vessel1</t>
  </si>
  <si>
    <t>vessel2</t>
  </si>
  <si>
    <t>technicians_per_device</t>
  </si>
  <si>
    <t>h</t>
  </si>
  <si>
    <t>m</t>
  </si>
  <si>
    <t>s</t>
  </si>
  <si>
    <t>m/s</t>
  </si>
  <si>
    <t>V101 - CTV</t>
  </si>
  <si>
    <t>V005 - CTV</t>
  </si>
  <si>
    <t>V004 - DSV</t>
  </si>
  <si>
    <t>V003 - AHTS</t>
  </si>
  <si>
    <t>V001 - Tug</t>
  </si>
  <si>
    <t>V002 - Multicat</t>
  </si>
  <si>
    <t>owc_removal</t>
  </si>
  <si>
    <t>V006 - Multicat</t>
  </si>
  <si>
    <t>owc_redeploy</t>
  </si>
  <si>
    <t>level</t>
  </si>
  <si>
    <t>device</t>
  </si>
  <si>
    <t>exp_cable</t>
  </si>
  <si>
    <t>device_shutdown</t>
  </si>
  <si>
    <t>vessel1_qt</t>
  </si>
  <si>
    <t>owc_redeploy_removal</t>
  </si>
  <si>
    <t>WEC re-deploy and removal</t>
  </si>
  <si>
    <t>ofw_removal</t>
  </si>
  <si>
    <t>WTG removal</t>
  </si>
  <si>
    <t>ofw_redeploy_removal</t>
  </si>
  <si>
    <t>WTG re-deploy and removal</t>
  </si>
  <si>
    <t>ofw_redeploy</t>
  </si>
  <si>
    <t>WTG re-deploy</t>
  </si>
  <si>
    <t>wtg</t>
  </si>
  <si>
    <t>wec</t>
  </si>
  <si>
    <t>pv</t>
  </si>
  <si>
    <t>duration_net</t>
  </si>
  <si>
    <t>technicians</t>
  </si>
  <si>
    <t xml:space="preserve">Minor repair </t>
  </si>
  <si>
    <t>x</t>
  </si>
  <si>
    <t>V201 - CTV</t>
  </si>
  <si>
    <t>Medium repair type1</t>
  </si>
  <si>
    <t>Medium repair type2</t>
  </si>
  <si>
    <t>Medium repair type3</t>
  </si>
  <si>
    <t>Medium repair type4</t>
  </si>
  <si>
    <t>Medium repair type5</t>
  </si>
  <si>
    <t>devices_intervened</t>
  </si>
  <si>
    <t>OPm001</t>
  </si>
  <si>
    <t>OPm002</t>
  </si>
  <si>
    <t>OPm003</t>
  </si>
  <si>
    <t>OPm005</t>
  </si>
  <si>
    <t>OPm006</t>
  </si>
  <si>
    <t>owc_OP101</t>
  </si>
  <si>
    <t>CPO_A3</t>
  </si>
  <si>
    <t>CPO_A4</t>
  </si>
  <si>
    <t>owc_CPO_A4</t>
  </si>
  <si>
    <t>owc_CPO_A3</t>
  </si>
  <si>
    <t>OPm004</t>
  </si>
  <si>
    <t>ws_hub</t>
  </si>
  <si>
    <t>to_group_with</t>
  </si>
  <si>
    <t>stork_1</t>
  </si>
  <si>
    <t>EVA_ROV_2</t>
  </si>
  <si>
    <t>port_costs</t>
  </si>
  <si>
    <t>€/day</t>
  </si>
  <si>
    <t>ofw_SuAB_2</t>
  </si>
  <si>
    <t>to_be_grouped</t>
  </si>
  <si>
    <t>additional_previous_op_tow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</si>
</sst>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164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0" fillId="0" borderId="0" xfId="0" applyAlignment="1">
      <alignment horizontal="left" vertical="center" inden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vec.sharepoint.com/sites/EquipaWavEC/Shared%20Documents/General/20%20Projects/Proj_SCORES/WP5/T5.1/Tool/form_v4.xlsx" TargetMode="External"/><Relationship Id="rId1" Type="http://schemas.openxmlformats.org/officeDocument/2006/relationships/externalLinkPath" Target="https://wavec.sharepoint.com/sites/EquipaWavEC/Shared%20Documents/General/20%20Projects/Proj_SCORES/WP5/T5.1/Tool/form_v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vec.sharepoint.com/sites/EquipaWavEC/Shared%20Documents/General/20%20Projects/Proj_SCORES/WP5/T5.1/Tool/form_v3.xlsx" TargetMode="External"/><Relationship Id="rId1" Type="http://schemas.openxmlformats.org/officeDocument/2006/relationships/externalLinkPath" Target="https://wavec.sharepoint.com/sites/EquipaWavEC/Shared%20Documents/General/20%20Projects/Proj_SCORES/WP5/T5.1/Tool/form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_page"/>
      <sheetName val="Gen_inputs"/>
      <sheetName val="Gen_WTG"/>
      <sheetName val="Gen_WEC"/>
      <sheetName val="Gen_PV"/>
      <sheetName val="Gen_Vessels"/>
      <sheetName val="Gen_ROVs"/>
      <sheetName val="InspectionSite"/>
      <sheetName val="Operations_prev"/>
      <sheetName val="InspectionPort"/>
      <sheetName val="CorrectiveMajor"/>
      <sheetName val="CorrectiveMinor"/>
      <sheetName val="OperationTow"/>
      <sheetName val="Activities"/>
      <sheetName val="TSA_inputs"/>
      <sheetName val="SA_inputs"/>
      <sheetName val="SA_Scenarios"/>
      <sheetName val="SA_Failures"/>
      <sheetName val="C_inputs"/>
      <sheetName val="Vessel_fuel"/>
      <sheetName val="Vessel_load_factor"/>
      <sheetName val="Vessel_fuel_density"/>
    </sheetNames>
    <sheetDataSet>
      <sheetData sheetId="0"/>
      <sheetData sheetId="1"/>
      <sheetData sheetId="2">
        <row r="2">
          <cell r="C2">
            <v>40</v>
          </cell>
        </row>
        <row r="8">
          <cell r="C8">
            <v>3</v>
          </cell>
        </row>
      </sheetData>
      <sheetData sheetId="3">
        <row r="2">
          <cell r="C2">
            <v>100</v>
          </cell>
        </row>
      </sheetData>
      <sheetData sheetId="4">
        <row r="2">
          <cell r="C2">
            <v>4</v>
          </cell>
        </row>
      </sheetData>
      <sheetData sheetId="5">
        <row r="3">
          <cell r="A3" t="str">
            <v>V001</v>
          </cell>
          <cell r="B3" t="str">
            <v>Tug</v>
          </cell>
          <cell r="C3" t="str">
            <v>V001 - Tug</v>
          </cell>
        </row>
        <row r="4">
          <cell r="A4" t="str">
            <v>V002</v>
          </cell>
          <cell r="B4" t="str">
            <v>Multicat</v>
          </cell>
          <cell r="C4" t="str">
            <v>V002 - Multicat</v>
          </cell>
        </row>
        <row r="5">
          <cell r="A5" t="str">
            <v>V003</v>
          </cell>
          <cell r="B5" t="str">
            <v>AHTS</v>
          </cell>
          <cell r="C5" t="str">
            <v>V003 - AHTS</v>
          </cell>
        </row>
        <row r="6">
          <cell r="A6" t="str">
            <v>V004</v>
          </cell>
          <cell r="B6" t="str">
            <v>DSV</v>
          </cell>
          <cell r="C6" t="str">
            <v>V004 - DSV</v>
          </cell>
        </row>
        <row r="7">
          <cell r="A7" t="str">
            <v>V005</v>
          </cell>
          <cell r="B7" t="str">
            <v>CTV</v>
          </cell>
          <cell r="C7" t="str">
            <v>V005 - CTV</v>
          </cell>
        </row>
        <row r="8">
          <cell r="A8" t="str">
            <v>V006</v>
          </cell>
          <cell r="B8" t="str">
            <v>Multicat</v>
          </cell>
          <cell r="C8" t="str">
            <v>V006 - Multicat</v>
          </cell>
        </row>
        <row r="9">
          <cell r="A9" t="str">
            <v>V101</v>
          </cell>
          <cell r="B9" t="str">
            <v>CTV</v>
          </cell>
          <cell r="C9" t="str">
            <v>V101 - CTV</v>
          </cell>
        </row>
        <row r="10">
          <cell r="A10" t="str">
            <v>V201</v>
          </cell>
          <cell r="B10" t="str">
            <v>CTV</v>
          </cell>
          <cell r="C10" t="str">
            <v>V201 - CTV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C11">
            <v>6</v>
          </cell>
        </row>
      </sheetData>
      <sheetData sheetId="15">
        <row r="10">
          <cell r="C10">
            <v>2</v>
          </cell>
        </row>
        <row r="11">
          <cell r="C11">
            <v>3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_page"/>
      <sheetName val="Gen_inputs"/>
      <sheetName val="Gen_WTG"/>
      <sheetName val="Gen_WEC"/>
      <sheetName val="Gen_PV"/>
      <sheetName val="Gen_Vessels"/>
      <sheetName val="Gen_ROVs"/>
      <sheetName val="Operations_tow"/>
      <sheetName val="Inspection_campaings"/>
      <sheetName val="Operations_prev"/>
      <sheetName val="Operations_correct"/>
      <sheetName val="Activities"/>
      <sheetName val="TSA_inputs"/>
      <sheetName val="SA_inputs"/>
      <sheetName val="SA_Scenarios"/>
      <sheetName val="SA_Failures"/>
      <sheetName val="C_inputs"/>
      <sheetName val="Vessel_fuel"/>
      <sheetName val="Vessel_load_factor"/>
      <sheetName val="Vessel_fuel_density"/>
    </sheetNames>
    <sheetDataSet>
      <sheetData sheetId="0"/>
      <sheetData sheetId="1"/>
      <sheetData sheetId="2">
        <row r="2">
          <cell r="C2">
            <v>40</v>
          </cell>
        </row>
        <row r="8">
          <cell r="C8">
            <v>3</v>
          </cell>
        </row>
      </sheetData>
      <sheetData sheetId="3">
        <row r="2">
          <cell r="C2">
            <v>100</v>
          </cell>
        </row>
      </sheetData>
      <sheetData sheetId="4">
        <row r="2">
          <cell r="C2">
            <v>4</v>
          </cell>
        </row>
      </sheetData>
      <sheetData sheetId="5">
        <row r="3">
          <cell r="A3" t="str">
            <v>V001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1">
          <cell r="C11">
            <v>6</v>
          </cell>
        </row>
      </sheetData>
      <sheetData sheetId="13">
        <row r="10">
          <cell r="C10">
            <v>2</v>
          </cell>
        </row>
        <row r="11">
          <cell r="C11">
            <v>3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584F-40CF-4FC5-9EFF-9E22BCC5C0B2}">
  <sheetPr>
    <tabColor theme="4" tint="0.39997558519241921"/>
  </sheetPr>
  <dimension ref="A1:AH498"/>
  <sheetViews>
    <sheetView zoomScale="62" zoomScaleNormal="100" workbookViewId="0">
      <pane xSplit="3" ySplit="2" topLeftCell="M3" activePane="bottomRight" state="frozen"/>
      <selection pane="topRight" activeCell="C1" sqref="C1"/>
      <selection pane="bottomLeft" activeCell="A3" sqref="A3"/>
      <selection pane="bottomRight" activeCell="AB27" sqref="AB27"/>
    </sheetView>
  </sheetViews>
  <sheetFormatPr defaultColWidth="9.28515625" defaultRowHeight="15" x14ac:dyDescent="0.25"/>
  <cols>
    <col min="1" max="1" width="18.7109375" style="1" customWidth="1"/>
    <col min="2" max="2" width="16.7109375" style="1" customWidth="1"/>
    <col min="3" max="3" width="40.7109375" style="1" customWidth="1"/>
    <col min="4" max="4" width="13.85546875" style="1" bestFit="1" customWidth="1"/>
    <col min="5" max="5" width="12.7109375" style="1" customWidth="1"/>
    <col min="6" max="6" width="19.42578125" style="1" customWidth="1"/>
    <col min="7" max="7" width="18.7109375" style="4" customWidth="1"/>
    <col min="8" max="8" width="18.7109375" style="1" customWidth="1"/>
    <col min="9" max="9" width="18.7109375" style="5" customWidth="1"/>
    <col min="10" max="10" width="13.7109375" style="1" customWidth="1"/>
    <col min="11" max="11" width="13.7109375" style="11" customWidth="1"/>
    <col min="12" max="12" width="6.7109375" style="4" customWidth="1"/>
    <col min="13" max="15" width="6.7109375" style="1" customWidth="1"/>
    <col min="16" max="16" width="6.7109375" style="5" customWidth="1"/>
    <col min="17" max="17" width="15.5703125" style="1" customWidth="1"/>
    <col min="18" max="18" width="15.5703125" style="1" hidden="1" customWidth="1"/>
    <col min="19" max="19" width="15.5703125" style="1" customWidth="1"/>
    <col min="20" max="20" width="15.5703125" style="1" hidden="1" customWidth="1"/>
    <col min="21" max="21" width="15.5703125" style="1" customWidth="1"/>
    <col min="22" max="23" width="21.42578125" style="1" customWidth="1"/>
    <col min="24" max="24" width="13.5703125" style="1" customWidth="1"/>
    <col min="25" max="25" width="12.7109375" style="1" customWidth="1"/>
    <col min="26" max="26" width="15.42578125" bestFit="1" customWidth="1"/>
    <col min="27" max="27" width="14.5703125" style="1" bestFit="1" customWidth="1"/>
    <col min="28" max="16384" width="9.28515625" style="1"/>
  </cols>
  <sheetData>
    <row r="1" spans="1:34" x14ac:dyDescent="0.25">
      <c r="A1" s="1" t="s">
        <v>0</v>
      </c>
      <c r="B1" s="1" t="s">
        <v>27</v>
      </c>
      <c r="C1" s="1" t="s">
        <v>1</v>
      </c>
      <c r="D1" s="1" t="s">
        <v>58</v>
      </c>
      <c r="E1" s="1" t="s">
        <v>9</v>
      </c>
      <c r="F1" s="1" t="s">
        <v>10</v>
      </c>
      <c r="G1" s="4" t="s">
        <v>15</v>
      </c>
      <c r="H1" s="1" t="s">
        <v>16</v>
      </c>
      <c r="I1" s="5" t="s">
        <v>17</v>
      </c>
      <c r="J1" s="1" t="s">
        <v>59</v>
      </c>
      <c r="K1" s="10" t="s">
        <v>83</v>
      </c>
      <c r="L1" s="4" t="s">
        <v>60</v>
      </c>
      <c r="M1" s="1" t="s">
        <v>61</v>
      </c>
      <c r="N1" s="1" t="s">
        <v>62</v>
      </c>
      <c r="O1" s="1" t="s">
        <v>118</v>
      </c>
      <c r="P1" s="5" t="s">
        <v>63</v>
      </c>
      <c r="Q1" s="1" t="s">
        <v>64</v>
      </c>
      <c r="R1" s="1" t="s">
        <v>55</v>
      </c>
      <c r="S1" s="1" t="s">
        <v>65</v>
      </c>
      <c r="T1" s="1" t="s">
        <v>56</v>
      </c>
      <c r="U1" s="1" t="s">
        <v>18</v>
      </c>
      <c r="V1" s="1" t="s">
        <v>66</v>
      </c>
      <c r="W1" s="1" t="s">
        <v>12</v>
      </c>
      <c r="X1" s="1" t="s">
        <v>13</v>
      </c>
      <c r="Y1" s="1" t="s">
        <v>14</v>
      </c>
      <c r="Z1" s="1" t="s">
        <v>80</v>
      </c>
      <c r="AA1" s="1" t="s">
        <v>119</v>
      </c>
      <c r="AB1" s="1" t="s">
        <v>125</v>
      </c>
    </row>
    <row r="2" spans="1:34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6</v>
      </c>
      <c r="F2" s="1" t="s">
        <v>3</v>
      </c>
      <c r="G2" s="4" t="s">
        <v>3</v>
      </c>
      <c r="H2" s="1" t="s">
        <v>3</v>
      </c>
      <c r="I2" s="5" t="s">
        <v>3</v>
      </c>
      <c r="J2" s="1" t="s">
        <v>67</v>
      </c>
      <c r="K2" s="10" t="s">
        <v>3</v>
      </c>
      <c r="L2" s="4" t="s">
        <v>68</v>
      </c>
      <c r="M2" s="1" t="s">
        <v>69</v>
      </c>
      <c r="N2" s="1" t="s">
        <v>70</v>
      </c>
      <c r="O2" s="1" t="s">
        <v>70</v>
      </c>
      <c r="P2" s="5" t="s">
        <v>70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5</v>
      </c>
      <c r="X2" s="1" t="s">
        <v>4</v>
      </c>
      <c r="Y2" s="1" t="s">
        <v>4</v>
      </c>
      <c r="Z2" s="1" t="s">
        <v>3</v>
      </c>
      <c r="AA2" s="1" t="s">
        <v>3</v>
      </c>
      <c r="AB2" s="1" t="s">
        <v>3</v>
      </c>
    </row>
    <row r="3" spans="1:34" x14ac:dyDescent="0.25">
      <c r="A3" s="1" t="str">
        <f t="shared" ref="A3:A66" si="0">IF(ISBLANK($B3)=FALSE,IF(AND($G3&gt;0,$H3&lt;=0,$I3&lt;=0),_xlfn.CONCAT("ofw_",$B3),IF(AND($G3&lt;=0,$H3&gt;0,$I3&lt;=0),_xlfn.CONCAT("owc_",$B3),IF(AND($G3&lt;=0,$H3&lt;=0,$I3&gt;0),_xlfn.CONCAT("opv_",$B3),_xlfn.CONCAT("oce_",$B3)))),"")</f>
        <v>owc_CPO_A1</v>
      </c>
      <c r="B3" s="2" t="s">
        <v>28</v>
      </c>
      <c r="C3" s="2" t="s">
        <v>29</v>
      </c>
      <c r="D3" s="2" t="b">
        <v>0</v>
      </c>
      <c r="E3" s="2">
        <v>0.5</v>
      </c>
      <c r="F3" s="2" t="s">
        <v>30</v>
      </c>
      <c r="G3" s="6">
        <v>0</v>
      </c>
      <c r="H3" s="2">
        <f>0.8*wec_devices</f>
        <v>80</v>
      </c>
      <c r="I3" s="7">
        <v>0</v>
      </c>
      <c r="J3" s="8">
        <v>6</v>
      </c>
      <c r="K3" s="11" t="b">
        <v>1</v>
      </c>
      <c r="L3" s="4">
        <v>1.5</v>
      </c>
      <c r="P3" s="9"/>
      <c r="Q3" s="2" t="s">
        <v>71</v>
      </c>
      <c r="R3" s="2" t="str">
        <f>IFERROR(IF(ISBLANK(Q3),"",INDEX([1]Gen_Vessels!$A$3:$C$500,MATCH(InspectionSite!$Q3,[1]Gen_Vessels!$C$3:$C$500,0),1)),"")</f>
        <v>V101</v>
      </c>
      <c r="S3" s="2"/>
      <c r="T3" s="2" t="str">
        <f>IFERROR(IF(ISBLANK(S3),"",INDEX([1]Gen_Vessels!$A$3:$C$500,MATCH(InspectionSite!$S3,[1]Gen_Vessels!$C$3:$C$500,0),1)),"")</f>
        <v/>
      </c>
      <c r="U3" s="2"/>
      <c r="V3" s="2">
        <v>2</v>
      </c>
      <c r="W3" s="3">
        <v>300</v>
      </c>
      <c r="X3" s="2">
        <f>1830*H3</f>
        <v>146400</v>
      </c>
      <c r="Y3" s="2"/>
      <c r="Z3" s="12" t="s">
        <v>81</v>
      </c>
      <c r="AB3" s="2" t="b">
        <v>0</v>
      </c>
      <c r="AC3" s="2"/>
      <c r="AD3" s="2"/>
      <c r="AE3" s="2"/>
      <c r="AF3" s="2"/>
      <c r="AG3" s="2"/>
      <c r="AH3" s="2"/>
    </row>
    <row r="4" spans="1:34" x14ac:dyDescent="0.25">
      <c r="A4" s="1" t="str">
        <f t="shared" si="0"/>
        <v>owc_CPO_A2</v>
      </c>
      <c r="B4" s="2" t="s">
        <v>31</v>
      </c>
      <c r="C4" s="2" t="s">
        <v>32</v>
      </c>
      <c r="D4" s="2" t="b">
        <v>0</v>
      </c>
      <c r="E4" s="2">
        <v>1</v>
      </c>
      <c r="F4" s="2" t="s">
        <v>7</v>
      </c>
      <c r="G4" s="6">
        <v>0</v>
      </c>
      <c r="H4" s="2">
        <f>0.8*wec_devices</f>
        <v>80</v>
      </c>
      <c r="I4" s="7">
        <v>0</v>
      </c>
      <c r="J4" s="8">
        <v>6</v>
      </c>
      <c r="K4" s="11" t="b">
        <v>1</v>
      </c>
      <c r="L4" s="4">
        <v>1.5</v>
      </c>
      <c r="P4" s="9"/>
      <c r="Q4" s="2" t="s">
        <v>71</v>
      </c>
      <c r="R4" s="2" t="str">
        <f>IFERROR(IF(ISBLANK(Q4),"",INDEX([1]Gen_Vessels!$A$3:$C$500,MATCH(InspectionSite!$Q4,[1]Gen_Vessels!$C$3:$C$500,0),1)),"")</f>
        <v>V101</v>
      </c>
      <c r="S4" s="2"/>
      <c r="T4" s="2" t="str">
        <f>IFERROR(IF(ISBLANK(S4),"",INDEX([1]Gen_Vessels!$A$3:$C$500,MATCH(InspectionSite!$S4,[1]Gen_Vessels!$C$3:$C$500,0),1)),"")</f>
        <v/>
      </c>
      <c r="U4" s="2"/>
      <c r="V4" s="2">
        <v>2</v>
      </c>
      <c r="W4" s="3">
        <v>300</v>
      </c>
      <c r="X4" s="2">
        <f>5175*H4</f>
        <v>414000</v>
      </c>
      <c r="Y4" s="2"/>
      <c r="Z4" s="12" t="s">
        <v>81</v>
      </c>
      <c r="AA4" s="1" t="s">
        <v>124</v>
      </c>
      <c r="AB4" s="2" t="b">
        <v>1</v>
      </c>
      <c r="AC4" s="2"/>
      <c r="AD4" s="2"/>
      <c r="AE4" s="2"/>
      <c r="AF4" s="2"/>
      <c r="AG4" s="2"/>
      <c r="AH4" s="2"/>
    </row>
    <row r="5" spans="1:34" x14ac:dyDescent="0.25">
      <c r="A5" s="1" t="str">
        <f t="shared" si="0"/>
        <v>ofw_SuAB_1</v>
      </c>
      <c r="B5" s="2" t="s">
        <v>33</v>
      </c>
      <c r="C5" s="2" t="s">
        <v>34</v>
      </c>
      <c r="D5" s="2" t="b">
        <v>0</v>
      </c>
      <c r="E5" s="2">
        <v>1</v>
      </c>
      <c r="F5" s="2" t="s">
        <v>35</v>
      </c>
      <c r="G5" s="6">
        <v>3</v>
      </c>
      <c r="H5" s="2">
        <v>0</v>
      </c>
      <c r="I5" s="7">
        <v>0</v>
      </c>
      <c r="J5" s="8">
        <v>2.4</v>
      </c>
      <c r="K5" s="11" t="b">
        <v>1</v>
      </c>
      <c r="L5" s="4">
        <v>3</v>
      </c>
      <c r="O5" s="1">
        <v>10</v>
      </c>
      <c r="P5" s="9"/>
      <c r="Q5" s="2" t="s">
        <v>72</v>
      </c>
      <c r="R5" s="2" t="str">
        <f>IFERROR(IF(ISBLANK(Q5),"",INDEX([1]Gen_Vessels!$A$3:$C$500,MATCH(InspectionSite!$Q5,[1]Gen_Vessels!$C$3:$C$500,0),1)),"")</f>
        <v>V005</v>
      </c>
      <c r="S5" s="2"/>
      <c r="T5" s="2" t="str">
        <f>IFERROR(IF(ISBLANK(S5),"",INDEX([1]Gen_Vessels!$A$3:$C$500,MATCH(InspectionSite!$S5,[1]Gen_Vessels!$C$3:$C$500,0),1)),"")</f>
        <v/>
      </c>
      <c r="U5" s="2" t="s">
        <v>120</v>
      </c>
      <c r="V5" s="2">
        <v>3</v>
      </c>
      <c r="W5" s="2">
        <v>300</v>
      </c>
      <c r="X5" s="2"/>
      <c r="Y5" s="2"/>
      <c r="Z5" s="12" t="s">
        <v>81</v>
      </c>
      <c r="AB5" s="2" t="b">
        <v>1</v>
      </c>
      <c r="AC5" s="2"/>
      <c r="AD5" s="2"/>
      <c r="AE5" s="2"/>
      <c r="AF5" s="2"/>
      <c r="AG5" s="2"/>
      <c r="AH5" s="2"/>
    </row>
    <row r="6" spans="1:34" x14ac:dyDescent="0.25">
      <c r="A6" s="1" t="str">
        <f t="shared" si="0"/>
        <v>ofw_SuAB_2</v>
      </c>
      <c r="B6" s="2" t="s">
        <v>36</v>
      </c>
      <c r="C6" s="2" t="s">
        <v>37</v>
      </c>
      <c r="D6" s="2" t="b">
        <v>0</v>
      </c>
      <c r="E6" s="2">
        <v>1</v>
      </c>
      <c r="F6" s="2" t="s">
        <v>35</v>
      </c>
      <c r="G6" s="6">
        <v>3</v>
      </c>
      <c r="H6" s="2">
        <v>0</v>
      </c>
      <c r="I6" s="7">
        <v>0</v>
      </c>
      <c r="J6" s="8">
        <v>4</v>
      </c>
      <c r="K6" s="11" t="b">
        <v>1</v>
      </c>
      <c r="L6" s="4">
        <v>2</v>
      </c>
      <c r="P6" s="9"/>
      <c r="Q6" s="2" t="s">
        <v>71</v>
      </c>
      <c r="R6" s="2" t="str">
        <f>IFERROR(IF(ISBLANK(Q6),"",INDEX([1]Gen_Vessels!$A$3:$C$500,MATCH(InspectionSite!$Q6,[1]Gen_Vessels!$C$3:$C$500,0),1)),"")</f>
        <v>V101</v>
      </c>
      <c r="S6" s="2"/>
      <c r="T6" s="2" t="str">
        <f>IFERROR(IF(ISBLANK(S6),"",INDEX([1]Gen_Vessels!$A$3:$C$500,MATCH(InspectionSite!$S6,[1]Gen_Vessels!$C$3:$C$500,0),1)),"")</f>
        <v/>
      </c>
      <c r="U6" s="2"/>
      <c r="V6" s="2">
        <v>3</v>
      </c>
      <c r="W6" s="2">
        <v>200</v>
      </c>
      <c r="X6" s="2"/>
      <c r="Y6" s="2"/>
      <c r="Z6" s="12" t="s">
        <v>81</v>
      </c>
      <c r="AB6" s="2" t="b">
        <v>0</v>
      </c>
      <c r="AC6" s="2"/>
      <c r="AD6" s="2"/>
      <c r="AE6" s="2"/>
      <c r="AF6" s="2"/>
      <c r="AG6" s="2"/>
      <c r="AH6" s="2"/>
    </row>
    <row r="7" spans="1:34" x14ac:dyDescent="0.25">
      <c r="A7" s="1" t="str">
        <f t="shared" si="0"/>
        <v>ofw_SuAB_3</v>
      </c>
      <c r="B7" s="2" t="s">
        <v>38</v>
      </c>
      <c r="C7" s="2" t="s">
        <v>39</v>
      </c>
      <c r="D7" s="2" t="b">
        <v>0</v>
      </c>
      <c r="E7" s="2">
        <v>1</v>
      </c>
      <c r="F7" s="2" t="s">
        <v>35</v>
      </c>
      <c r="G7" s="6">
        <v>3</v>
      </c>
      <c r="H7" s="2">
        <v>0</v>
      </c>
      <c r="I7" s="7">
        <v>0</v>
      </c>
      <c r="J7" s="8">
        <v>3</v>
      </c>
      <c r="K7" s="11" t="b">
        <v>1</v>
      </c>
      <c r="L7" s="4">
        <v>2</v>
      </c>
      <c r="Q7" s="2" t="s">
        <v>72</v>
      </c>
      <c r="R7" s="2" t="str">
        <f>IFERROR(IF(ISBLANK(Q7),"",INDEX([1]Gen_Vessels!$A$3:$C$500,MATCH(InspectionSite!$Q7,[1]Gen_Vessels!$C$3:$C$500,0),1)),"")</f>
        <v>V005</v>
      </c>
      <c r="S7" s="2"/>
      <c r="T7" s="2" t="str">
        <f>IFERROR(IF(ISBLANK(S7),"",INDEX([1]Gen_Vessels!$A$3:$C$500,MATCH(InspectionSite!$S7,[1]Gen_Vessels!$C$3:$C$500,0),1)),"")</f>
        <v/>
      </c>
      <c r="U7" s="2"/>
      <c r="V7" s="2">
        <v>3</v>
      </c>
      <c r="W7" s="2">
        <v>200</v>
      </c>
      <c r="X7" s="2"/>
      <c r="Y7" s="2"/>
      <c r="Z7" s="12" t="s">
        <v>81</v>
      </c>
      <c r="AB7" s="2" t="b">
        <v>0</v>
      </c>
      <c r="AC7" s="2"/>
      <c r="AD7" s="2"/>
      <c r="AE7" s="2"/>
      <c r="AF7" s="2"/>
      <c r="AG7" s="2"/>
      <c r="AH7" s="2"/>
    </row>
    <row r="8" spans="1:34" x14ac:dyDescent="0.25">
      <c r="A8" s="1" t="str">
        <f t="shared" si="0"/>
        <v>ofw_SuAB_4</v>
      </c>
      <c r="B8" s="2" t="s">
        <v>40</v>
      </c>
      <c r="C8" s="2" t="s">
        <v>41</v>
      </c>
      <c r="D8" s="2" t="b">
        <v>0</v>
      </c>
      <c r="E8" s="2">
        <v>1</v>
      </c>
      <c r="F8" s="2" t="s">
        <v>35</v>
      </c>
      <c r="G8" s="6">
        <v>3</v>
      </c>
      <c r="H8" s="2">
        <v>0</v>
      </c>
      <c r="I8" s="7">
        <v>0</v>
      </c>
      <c r="J8" s="8">
        <v>3</v>
      </c>
      <c r="K8" s="11" t="b">
        <v>1</v>
      </c>
      <c r="L8" s="4">
        <v>2</v>
      </c>
      <c r="Q8" s="2" t="s">
        <v>72</v>
      </c>
      <c r="R8" s="2" t="str">
        <f>IFERROR(IF(ISBLANK(Q8),"",INDEX([1]Gen_Vessels!$A$3:$C$500,MATCH(InspectionSite!$Q8,[1]Gen_Vessels!$C$3:$C$500,0),1)),"")</f>
        <v>V005</v>
      </c>
      <c r="S8" s="2"/>
      <c r="T8" s="2" t="str">
        <f>IFERROR(IF(ISBLANK(S8),"",INDEX([1]Gen_Vessels!$A$3:$C$500,MATCH(InspectionSite!$S8,[1]Gen_Vessels!$C$3:$C$500,0),1)),"")</f>
        <v/>
      </c>
      <c r="U8" s="2"/>
      <c r="V8" s="2">
        <v>3</v>
      </c>
      <c r="W8" s="2">
        <v>200</v>
      </c>
      <c r="X8" s="2"/>
      <c r="Y8" s="2"/>
      <c r="Z8" s="12" t="s">
        <v>81</v>
      </c>
      <c r="AB8" s="2" t="b">
        <v>0</v>
      </c>
      <c r="AC8" s="2"/>
      <c r="AD8" s="2"/>
      <c r="AE8" s="2"/>
      <c r="AF8" s="2"/>
      <c r="AG8" s="2"/>
      <c r="AH8" s="2"/>
    </row>
    <row r="9" spans="1:34" x14ac:dyDescent="0.25">
      <c r="A9" s="1" t="str">
        <f t="shared" si="0"/>
        <v>ofw_SuAB_5</v>
      </c>
      <c r="B9" s="2" t="s">
        <v>42</v>
      </c>
      <c r="C9" s="2" t="s">
        <v>43</v>
      </c>
      <c r="D9" s="2" t="b">
        <v>0</v>
      </c>
      <c r="E9" s="2">
        <v>1</v>
      </c>
      <c r="F9" s="2" t="s">
        <v>35</v>
      </c>
      <c r="G9" s="6">
        <v>3</v>
      </c>
      <c r="H9" s="2">
        <v>0</v>
      </c>
      <c r="I9" s="7">
        <v>0</v>
      </c>
      <c r="J9" s="8">
        <v>1.5</v>
      </c>
      <c r="K9" s="11" t="b">
        <v>1</v>
      </c>
      <c r="L9" s="4">
        <v>2</v>
      </c>
      <c r="O9" s="1">
        <v>10</v>
      </c>
      <c r="Q9" s="2" t="s">
        <v>72</v>
      </c>
      <c r="R9" s="2" t="str">
        <f>IFERROR(IF(ISBLANK(Q9),"",INDEX([1]Gen_Vessels!$A$3:$C$500,MATCH(InspectionSite!$Q9,[1]Gen_Vessels!$C$3:$C$500,0),1)),"")</f>
        <v>V005</v>
      </c>
      <c r="S9" s="2"/>
      <c r="T9" s="2" t="str">
        <f>IFERROR(IF(ISBLANK(S9),"",INDEX([1]Gen_Vessels!$A$3:$C$500,MATCH(InspectionSite!$S9,[1]Gen_Vessels!$C$3:$C$500,0),1)),"")</f>
        <v/>
      </c>
      <c r="U9" s="2"/>
      <c r="V9" s="2">
        <v>2</v>
      </c>
      <c r="W9" s="2">
        <v>300</v>
      </c>
      <c r="X9" s="2"/>
      <c r="Y9" s="2"/>
      <c r="Z9" s="12" t="s">
        <v>81</v>
      </c>
      <c r="AB9" s="2" t="b">
        <v>0</v>
      </c>
      <c r="AC9" s="2"/>
      <c r="AD9" s="2"/>
      <c r="AE9" s="2"/>
      <c r="AF9" s="2"/>
      <c r="AG9" s="2"/>
      <c r="AH9" s="2"/>
    </row>
    <row r="10" spans="1:34" x14ac:dyDescent="0.25">
      <c r="A10" s="1" t="str">
        <f t="shared" si="0"/>
        <v>ofw_SuAB_6</v>
      </c>
      <c r="B10" s="2" t="s">
        <v>44</v>
      </c>
      <c r="C10" s="2" t="s">
        <v>45</v>
      </c>
      <c r="D10" s="2" t="b">
        <v>0</v>
      </c>
      <c r="E10" s="2">
        <v>1</v>
      </c>
      <c r="F10" s="2" t="s">
        <v>35</v>
      </c>
      <c r="G10" s="6">
        <v>3</v>
      </c>
      <c r="H10" s="2">
        <v>0</v>
      </c>
      <c r="I10" s="7">
        <v>0</v>
      </c>
      <c r="J10" s="8">
        <v>6.15</v>
      </c>
      <c r="K10" s="11" t="b">
        <v>0</v>
      </c>
      <c r="L10" s="4">
        <v>2</v>
      </c>
      <c r="P10" s="5">
        <v>1.5</v>
      </c>
      <c r="Q10" s="2" t="s">
        <v>73</v>
      </c>
      <c r="R10" s="2" t="str">
        <f>IFERROR(IF(ISBLANK(Q10),"",INDEX([1]Gen_Vessels!$A$3:$C$500,MATCH(InspectionSite!$Q10,[1]Gen_Vessels!$C$3:$C$500,0),1)),"")</f>
        <v>V004</v>
      </c>
      <c r="S10" s="2"/>
      <c r="T10" s="2" t="str">
        <f>IFERROR(IF(ISBLANK(S10),"",INDEX([1]Gen_Vessels!$A$3:$C$500,MATCH(InspectionSite!$S10,[1]Gen_Vessels!$C$3:$C$500,0),1)),"")</f>
        <v/>
      </c>
      <c r="U10" s="2"/>
      <c r="V10" s="2">
        <v>6</v>
      </c>
      <c r="W10" s="2">
        <v>600</v>
      </c>
      <c r="X10" s="2"/>
      <c r="Y10" s="2"/>
      <c r="Z10" s="12" t="s">
        <v>81</v>
      </c>
      <c r="AB10" s="2" t="b">
        <v>0</v>
      </c>
      <c r="AC10" s="2"/>
      <c r="AD10" s="2"/>
      <c r="AE10" s="2"/>
      <c r="AF10" s="2"/>
      <c r="AG10" s="2"/>
      <c r="AH10" s="2"/>
    </row>
    <row r="11" spans="1:34" x14ac:dyDescent="0.25">
      <c r="A11" s="1" t="str">
        <f t="shared" si="0"/>
        <v>oce_SuAB_cable_1</v>
      </c>
      <c r="B11" s="2" t="s">
        <v>46</v>
      </c>
      <c r="C11" s="2" t="s">
        <v>47</v>
      </c>
      <c r="D11" s="2" t="b">
        <v>0</v>
      </c>
      <c r="E11" s="2">
        <v>2</v>
      </c>
      <c r="F11" s="2" t="s">
        <v>35</v>
      </c>
      <c r="G11" s="6">
        <v>3</v>
      </c>
      <c r="H11" s="2">
        <f>0.7*wec_devices</f>
        <v>70</v>
      </c>
      <c r="I11" s="7">
        <v>4</v>
      </c>
      <c r="J11" s="8">
        <v>2</v>
      </c>
      <c r="K11" s="11" t="b">
        <v>0</v>
      </c>
      <c r="L11" s="4">
        <v>2</v>
      </c>
      <c r="P11" s="5">
        <v>1.5</v>
      </c>
      <c r="Q11" s="2" t="s">
        <v>73</v>
      </c>
      <c r="R11" s="2" t="str">
        <f>IFERROR(IF(ISBLANK(Q11),"",INDEX([1]Gen_Vessels!$A$3:$C$500,MATCH(InspectionSite!$Q11,[1]Gen_Vessels!$C$3:$C$500,0),1)),"")</f>
        <v>V004</v>
      </c>
      <c r="S11" s="2"/>
      <c r="T11" s="2" t="str">
        <f>IFERROR(IF(ISBLANK(S11),"",INDEX([1]Gen_Vessels!$A$3:$C$500,MATCH(InspectionSite!$S11,[1]Gen_Vessels!$C$3:$C$500,0),1)),"")</f>
        <v/>
      </c>
      <c r="U11" s="2"/>
      <c r="V11" s="2">
        <v>6</v>
      </c>
      <c r="W11" s="2">
        <v>600</v>
      </c>
      <c r="X11" s="2"/>
      <c r="Y11" s="2"/>
      <c r="Z11" s="12" t="s">
        <v>81</v>
      </c>
      <c r="AB11" s="2" t="b">
        <v>0</v>
      </c>
      <c r="AC11" s="2"/>
      <c r="AD11" s="2"/>
      <c r="AE11" s="2"/>
      <c r="AF11" s="2"/>
      <c r="AG11" s="2"/>
      <c r="AH11" s="2"/>
    </row>
    <row r="12" spans="1:34" x14ac:dyDescent="0.25">
      <c r="A12" s="1" t="str">
        <f t="shared" si="0"/>
        <v>oce_SuAB_cable_2</v>
      </c>
      <c r="B12" s="2" t="s">
        <v>48</v>
      </c>
      <c r="C12" s="2" t="s">
        <v>49</v>
      </c>
      <c r="D12" s="2" t="b">
        <v>0</v>
      </c>
      <c r="E12" s="2">
        <v>2</v>
      </c>
      <c r="F12" s="2" t="s">
        <v>35</v>
      </c>
      <c r="G12" s="6">
        <v>1</v>
      </c>
      <c r="H12" s="2">
        <v>1</v>
      </c>
      <c r="I12" s="7">
        <v>1</v>
      </c>
      <c r="J12" s="8">
        <v>24</v>
      </c>
      <c r="K12" s="11" t="b">
        <v>0</v>
      </c>
      <c r="L12" s="4">
        <v>2</v>
      </c>
      <c r="P12" s="5">
        <v>1.5</v>
      </c>
      <c r="Q12" s="2" t="s">
        <v>73</v>
      </c>
      <c r="R12" s="2" t="str">
        <f>IFERROR(IF(ISBLANK(Q12),"",INDEX([1]Gen_Vessels!$A$3:$C$500,MATCH(InspectionSite!$Q12,[1]Gen_Vessels!$C$3:$C$500,0),1)),"")</f>
        <v>V004</v>
      </c>
      <c r="S12" s="2"/>
      <c r="T12" s="2" t="str">
        <f>IFERROR(IF(ISBLANK(S12),"",INDEX([1]Gen_Vessels!$A$3:$C$500,MATCH(InspectionSite!$S12,[1]Gen_Vessels!$C$3:$C$500,0),1)),"")</f>
        <v/>
      </c>
      <c r="U12" t="s">
        <v>121</v>
      </c>
      <c r="V12" s="2">
        <v>6</v>
      </c>
      <c r="W12" s="2">
        <v>600</v>
      </c>
      <c r="X12" s="2"/>
      <c r="Y12" s="2"/>
      <c r="Z12" s="12" t="s">
        <v>82</v>
      </c>
      <c r="AB12" s="2" t="b">
        <v>0</v>
      </c>
      <c r="AC12" s="2"/>
      <c r="AD12" s="2"/>
      <c r="AE12" s="2"/>
      <c r="AF12" s="2"/>
      <c r="AG12" s="2"/>
      <c r="AH12" s="2"/>
    </row>
    <row r="13" spans="1:34" x14ac:dyDescent="0.25">
      <c r="A13" s="1" t="str">
        <f t="shared" si="0"/>
        <v>oce_OP001</v>
      </c>
      <c r="B13" s="2" t="s">
        <v>50</v>
      </c>
      <c r="C13" s="2" t="s">
        <v>2</v>
      </c>
      <c r="D13" s="2" t="b">
        <v>1</v>
      </c>
      <c r="E13" s="2">
        <v>1</v>
      </c>
      <c r="F13" s="2" t="s">
        <v>7</v>
      </c>
      <c r="G13" s="6">
        <v>3</v>
      </c>
      <c r="H13" s="2">
        <v>10</v>
      </c>
      <c r="I13" s="7">
        <v>10</v>
      </c>
      <c r="J13" s="8">
        <v>3</v>
      </c>
      <c r="K13" s="11" t="b">
        <v>1</v>
      </c>
      <c r="L13" s="4">
        <v>2</v>
      </c>
      <c r="M13" s="1">
        <v>15</v>
      </c>
      <c r="N13" s="1">
        <v>20</v>
      </c>
      <c r="Q13" s="2" t="s">
        <v>71</v>
      </c>
      <c r="R13" s="2" t="str">
        <f>IFERROR(IF(ISBLANK(Q13),"",INDEX([1]Gen_Vessels!$A$3:$C$500,MATCH(InspectionSite!$Q13,[1]Gen_Vessels!$C$3:$C$500,0),1)),"")</f>
        <v>V101</v>
      </c>
      <c r="S13" s="2"/>
      <c r="T13" s="2" t="str">
        <f>IFERROR(IF(ISBLANK(S13),"",INDEX([1]Gen_Vessels!$A$3:$C$500,MATCH(InspectionSite!$S13,[1]Gen_Vessels!$C$3:$C$500,0),1)),"")</f>
        <v/>
      </c>
      <c r="U13" s="2"/>
      <c r="V13" s="2">
        <v>3</v>
      </c>
      <c r="W13" s="2">
        <v>200</v>
      </c>
      <c r="X13" s="2"/>
      <c r="Y13" s="2">
        <v>10000</v>
      </c>
      <c r="Z13" s="12" t="s">
        <v>81</v>
      </c>
      <c r="AB13" s="2" t="b">
        <v>0</v>
      </c>
      <c r="AC13" s="2"/>
      <c r="AD13" s="2"/>
      <c r="AE13" s="2"/>
      <c r="AF13" s="2"/>
      <c r="AG13" s="2"/>
      <c r="AH13" s="2"/>
    </row>
    <row r="14" spans="1:34" x14ac:dyDescent="0.25">
      <c r="A14" s="1" t="str">
        <f t="shared" si="0"/>
        <v>oce_OP002</v>
      </c>
      <c r="B14" s="2" t="s">
        <v>51</v>
      </c>
      <c r="C14" s="2" t="s">
        <v>52</v>
      </c>
      <c r="D14" s="2" t="b">
        <v>1</v>
      </c>
      <c r="E14" s="2">
        <v>2</v>
      </c>
      <c r="F14" s="2"/>
      <c r="G14" s="6">
        <v>3</v>
      </c>
      <c r="H14" s="2">
        <v>10</v>
      </c>
      <c r="I14" s="7">
        <v>10</v>
      </c>
      <c r="J14" s="8">
        <v>1.5</v>
      </c>
      <c r="K14" s="11" t="b">
        <v>0</v>
      </c>
      <c r="L14" s="4">
        <v>2.5</v>
      </c>
      <c r="M14" s="1">
        <v>15</v>
      </c>
      <c r="Q14" s="2" t="s">
        <v>73</v>
      </c>
      <c r="R14" s="2" t="str">
        <f>IFERROR(IF(ISBLANK(Q14),"",INDEX([1]Gen_Vessels!$A$3:$C$500,MATCH(InspectionSite!$Q14,[1]Gen_Vessels!$C$3:$C$500,0),1)),"")</f>
        <v>V004</v>
      </c>
      <c r="S14" s="2"/>
      <c r="T14" s="2" t="str">
        <f>IFERROR(IF(ISBLANK(S14),"",INDEX([1]Gen_Vessels!$A$3:$C$500,MATCH(InspectionSite!$S14,[1]Gen_Vessels!$C$3:$C$500,0),1)),"")</f>
        <v/>
      </c>
      <c r="U14" t="s">
        <v>121</v>
      </c>
      <c r="V14" s="2">
        <v>6</v>
      </c>
      <c r="W14" s="2">
        <v>600</v>
      </c>
      <c r="X14" s="2"/>
      <c r="Y14" s="2">
        <v>10000</v>
      </c>
      <c r="Z14" s="12" t="s">
        <v>81</v>
      </c>
      <c r="AB14" s="2" t="b">
        <v>0</v>
      </c>
      <c r="AC14" s="2"/>
      <c r="AD14" s="2"/>
      <c r="AE14" s="2"/>
      <c r="AF14" s="2"/>
      <c r="AG14" s="2"/>
      <c r="AH14" s="2"/>
    </row>
    <row r="15" spans="1:34" x14ac:dyDescent="0.25">
      <c r="A15" s="1" t="str">
        <f t="shared" si="0"/>
        <v>oce_OP003</v>
      </c>
      <c r="B15" s="2" t="s">
        <v>53</v>
      </c>
      <c r="C15" s="2" t="s">
        <v>54</v>
      </c>
      <c r="D15" s="2" t="b">
        <v>0</v>
      </c>
      <c r="E15" s="2">
        <v>1</v>
      </c>
      <c r="F15" s="2" t="s">
        <v>7</v>
      </c>
      <c r="G15" s="6">
        <v>3</v>
      </c>
      <c r="H15" s="2">
        <v>10</v>
      </c>
      <c r="I15" s="7">
        <f>pv_islands</f>
        <v>4</v>
      </c>
      <c r="J15" s="8">
        <v>2</v>
      </c>
      <c r="K15" s="11" t="b">
        <v>1</v>
      </c>
      <c r="L15" s="4">
        <v>3</v>
      </c>
      <c r="N15" s="1">
        <v>10</v>
      </c>
      <c r="Q15" s="2" t="s">
        <v>71</v>
      </c>
      <c r="R15" s="2" t="str">
        <f>IFERROR(IF(ISBLANK(Q15),"",INDEX([1]Gen_Vessels!$A$3:$C$500,MATCH(InspectionSite!$Q15,[1]Gen_Vessels!$C$3:$C$500,0),1)),"")</f>
        <v>V101</v>
      </c>
      <c r="S15" s="2"/>
      <c r="T15" s="2" t="str">
        <f>IFERROR(IF(ISBLANK(S15),"",INDEX([1]Gen_Vessels!$A$3:$C$500,MATCH(InspectionSite!$S15,[1]Gen_Vessels!$C$3:$C$500,0),1)),"")</f>
        <v/>
      </c>
      <c r="U15" s="2" t="s">
        <v>120</v>
      </c>
      <c r="V15" s="2">
        <v>3</v>
      </c>
      <c r="W15" s="2">
        <v>400</v>
      </c>
      <c r="X15" s="2"/>
      <c r="Y15" s="2">
        <v>3000</v>
      </c>
      <c r="Z15" s="12" t="s">
        <v>81</v>
      </c>
      <c r="AB15" s="2" t="b">
        <v>0</v>
      </c>
      <c r="AC15" s="2"/>
      <c r="AD15" s="2"/>
      <c r="AE15" s="2"/>
      <c r="AF15" s="2"/>
      <c r="AG15" s="2"/>
      <c r="AH15" s="2"/>
    </row>
    <row r="16" spans="1:34" x14ac:dyDescent="0.25">
      <c r="A16" s="1" t="str">
        <f t="shared" si="0"/>
        <v/>
      </c>
      <c r="B16" s="2"/>
      <c r="C16" s="2"/>
      <c r="D16" s="2"/>
      <c r="E16" s="2"/>
      <c r="F16" s="2"/>
      <c r="G16" s="6"/>
      <c r="H16" s="2"/>
      <c r="I16" s="7"/>
      <c r="J16" s="8"/>
      <c r="Q16" s="2"/>
      <c r="R16" s="2" t="str">
        <f>IFERROR(IF(ISBLANK(Q16),"",INDEX([1]Gen_Vessels!$A$3:$C$500,MATCH(InspectionSite!$Q16,[1]Gen_Vessels!$C$3:$C$500,0),1)),"")</f>
        <v/>
      </c>
      <c r="S16" s="2"/>
      <c r="T16" s="2" t="str">
        <f>IFERROR(IF(ISBLANK(S16),"",INDEX([1]Gen_Vessels!$A$3:$C$500,MATCH(InspectionSite!$S16,[1]Gen_Vessels!$C$3:$C$500,0),1)),"")</f>
        <v/>
      </c>
      <c r="U16" s="2"/>
      <c r="V16" s="2"/>
      <c r="W16" s="2"/>
      <c r="X16" s="2"/>
      <c r="Y16" s="2"/>
      <c r="Z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tr">
        <f t="shared" si="0"/>
        <v/>
      </c>
      <c r="B17" s="2"/>
      <c r="C17" s="2"/>
      <c r="D17" s="2"/>
      <c r="E17" s="2"/>
      <c r="F17" s="2"/>
      <c r="G17" s="6"/>
      <c r="H17" s="2"/>
      <c r="I17" s="7"/>
      <c r="J17" s="8"/>
      <c r="Q17" s="2"/>
      <c r="R17" s="2" t="str">
        <f>IFERROR(IF(ISBLANK(Q17),"",INDEX([1]Gen_Vessels!$A$3:$C$500,MATCH(InspectionSite!$Q17,[1]Gen_Vessels!$C$3:$C$500,0),1)),"")</f>
        <v/>
      </c>
      <c r="S17" s="2"/>
      <c r="T17" s="2" t="str">
        <f>IFERROR(IF(ISBLANK(S17),"",INDEX([1]Gen_Vessels!$A$3:$C$500,MATCH(InspectionSite!$S17,[1]Gen_Vessels!$C$3:$C$500,0),1)),"")</f>
        <v/>
      </c>
      <c r="U17" s="2"/>
      <c r="V17" s="2"/>
      <c r="W17" s="2"/>
      <c r="X17" s="2"/>
      <c r="Y17" s="2"/>
      <c r="AB17" s="2"/>
      <c r="AC17" s="2"/>
      <c r="AD17" s="2"/>
      <c r="AE17" s="2"/>
      <c r="AF17" s="2"/>
      <c r="AG17" s="2"/>
      <c r="AH17" s="2"/>
    </row>
    <row r="18" spans="1:34" x14ac:dyDescent="0.25">
      <c r="A18" s="1" t="str">
        <f t="shared" si="0"/>
        <v/>
      </c>
      <c r="B18" s="2"/>
      <c r="C18" s="2"/>
      <c r="D18" s="2"/>
      <c r="E18" s="2"/>
      <c r="F18" s="2"/>
      <c r="G18" s="6"/>
      <c r="H18" s="2"/>
      <c r="I18" s="7"/>
      <c r="J18" s="8"/>
      <c r="Q18" s="2"/>
      <c r="R18" s="2" t="str">
        <f>IFERROR(IF(ISBLANK(Q18),"",INDEX([1]Gen_Vessels!$A$3:$C$500,MATCH(InspectionSite!$Q18,[1]Gen_Vessels!$C$3:$C$500,0),1)),"")</f>
        <v/>
      </c>
      <c r="S18" s="2"/>
      <c r="T18" s="2" t="str">
        <f>IFERROR(IF(ISBLANK(S18),"",INDEX([1]Gen_Vessels!$A$3:$C$500,MATCH(InspectionSite!$S18,[1]Gen_Vessels!$C$3:$C$500,0),1)),"")</f>
        <v/>
      </c>
      <c r="U18" s="2"/>
      <c r="V18" s="2"/>
      <c r="W18" s="2"/>
      <c r="X18" s="2"/>
      <c r="Y18" s="2"/>
      <c r="AB18" s="2"/>
      <c r="AC18" s="2"/>
      <c r="AD18" s="2"/>
      <c r="AE18" s="2"/>
      <c r="AF18" s="2"/>
      <c r="AG18" s="2"/>
      <c r="AH18" s="2"/>
    </row>
    <row r="19" spans="1:34" x14ac:dyDescent="0.25">
      <c r="A19" s="1" t="str">
        <f t="shared" si="0"/>
        <v/>
      </c>
      <c r="B19" s="2"/>
      <c r="C19" s="2"/>
      <c r="D19" s="2"/>
      <c r="E19" s="2"/>
      <c r="F19" s="2"/>
      <c r="G19" s="6"/>
      <c r="H19" s="2"/>
      <c r="I19" s="7"/>
      <c r="J19" s="8"/>
      <c r="Q19" s="2"/>
      <c r="R19" s="2" t="str">
        <f>IFERROR(IF(ISBLANK(Q19),"",INDEX([1]Gen_Vessels!$A$3:$C$500,MATCH(InspectionSite!$Q19,[1]Gen_Vessels!$C$3:$C$500,0),1)),"")</f>
        <v/>
      </c>
      <c r="S19" s="2"/>
      <c r="T19" s="2" t="str">
        <f>IFERROR(IF(ISBLANK(S19),"",INDEX([1]Gen_Vessels!$A$3:$C$500,MATCH(InspectionSite!$S19,[1]Gen_Vessels!$C$3:$C$500,0),1)),"")</f>
        <v/>
      </c>
      <c r="U19" s="2"/>
      <c r="V19" s="2"/>
      <c r="W19" s="2"/>
      <c r="X19" s="2"/>
      <c r="Y19" s="2"/>
      <c r="AB19" s="2"/>
      <c r="AC19" s="2"/>
      <c r="AD19" s="2"/>
      <c r="AE19" s="2"/>
      <c r="AF19" s="2"/>
      <c r="AG19" s="2"/>
      <c r="AH19" s="2"/>
    </row>
    <row r="20" spans="1:34" x14ac:dyDescent="0.25">
      <c r="A20" s="1" t="str">
        <f t="shared" si="0"/>
        <v/>
      </c>
      <c r="B20" s="2"/>
      <c r="C20" s="2"/>
      <c r="D20" s="2"/>
      <c r="E20" s="2"/>
      <c r="F20" s="2"/>
      <c r="G20" s="6"/>
      <c r="H20" s="2"/>
      <c r="I20" s="7"/>
      <c r="J20" s="8"/>
      <c r="Q20" s="2"/>
      <c r="R20" s="2" t="str">
        <f>IFERROR(IF(ISBLANK(Q20),"",INDEX([1]Gen_Vessels!$A$3:$C$500,MATCH(InspectionSite!$Q20,[1]Gen_Vessels!$C$3:$C$500,0),1)),"")</f>
        <v/>
      </c>
      <c r="S20" s="2"/>
      <c r="T20" s="2" t="str">
        <f>IFERROR(IF(ISBLANK(S20),"",INDEX([1]Gen_Vessels!$A$3:$C$500,MATCH(InspectionSite!$S20,[1]Gen_Vessels!$C$3:$C$500,0),1)),"")</f>
        <v/>
      </c>
      <c r="U20" s="2"/>
      <c r="V20" s="2"/>
      <c r="W20" s="2"/>
      <c r="X20" s="2"/>
      <c r="Y20" s="2"/>
      <c r="AB20" s="2"/>
      <c r="AC20" s="2"/>
      <c r="AD20" s="2"/>
      <c r="AE20" s="2"/>
      <c r="AF20" s="2"/>
      <c r="AG20" s="2"/>
      <c r="AH20" s="2"/>
    </row>
    <row r="21" spans="1:34" x14ac:dyDescent="0.25">
      <c r="A21" s="1" t="str">
        <f t="shared" si="0"/>
        <v/>
      </c>
      <c r="B21" s="2"/>
      <c r="C21" s="2"/>
      <c r="D21" s="2"/>
      <c r="E21" s="2"/>
      <c r="F21" s="2"/>
      <c r="G21" s="6"/>
      <c r="H21" s="2"/>
      <c r="I21" s="7"/>
      <c r="J21" s="8"/>
      <c r="Q21" s="2"/>
      <c r="R21" s="2" t="str">
        <f>IFERROR(IF(ISBLANK(Q21),"",INDEX([1]Gen_Vessels!$A$3:$C$500,MATCH(InspectionSite!$Q21,[1]Gen_Vessels!$C$3:$C$500,0),1)),"")</f>
        <v/>
      </c>
      <c r="S21" s="2"/>
      <c r="T21" s="2" t="str">
        <f>IFERROR(IF(ISBLANK(S21),"",INDEX([1]Gen_Vessels!$A$3:$C$500,MATCH(InspectionSite!$S21,[1]Gen_Vessels!$C$3:$C$500,0),1)),"")</f>
        <v/>
      </c>
      <c r="U21" s="2"/>
      <c r="V21" s="2"/>
      <c r="W21" s="2"/>
      <c r="X21" s="2"/>
      <c r="Y21" s="2"/>
      <c r="AB21" s="2"/>
      <c r="AC21" s="2"/>
      <c r="AD21" s="2"/>
      <c r="AE21" s="2"/>
      <c r="AF21" s="2"/>
      <c r="AG21" s="2"/>
      <c r="AH21" s="2"/>
    </row>
    <row r="22" spans="1:34" x14ac:dyDescent="0.25">
      <c r="A22" s="1" t="str">
        <f t="shared" si="0"/>
        <v/>
      </c>
      <c r="B22" s="2"/>
      <c r="C22" s="2"/>
      <c r="D22" s="2"/>
      <c r="E22" s="2"/>
      <c r="F22" s="2"/>
      <c r="G22" s="6"/>
      <c r="H22" s="2"/>
      <c r="I22" s="7"/>
      <c r="J22" s="8"/>
      <c r="Q22" s="2"/>
      <c r="R22" s="2" t="str">
        <f>IFERROR(IF(ISBLANK(Q22),"",INDEX([1]Gen_Vessels!$A$3:$C$500,MATCH(InspectionSite!$Q22,[1]Gen_Vessels!$C$3:$C$500,0),1)),"")</f>
        <v/>
      </c>
      <c r="S22" s="2"/>
      <c r="T22" s="2" t="str">
        <f>IFERROR(IF(ISBLANK(S22),"",INDEX([1]Gen_Vessels!$A$3:$C$500,MATCH(InspectionSite!$S22,[1]Gen_Vessels!$C$3:$C$500,0),1)),"")</f>
        <v/>
      </c>
      <c r="U22" s="2"/>
      <c r="V22" s="2"/>
      <c r="W22" s="2"/>
      <c r="X22" s="2"/>
      <c r="Y22" s="2"/>
      <c r="AB22" s="2"/>
      <c r="AC22" s="2"/>
      <c r="AD22" s="2"/>
      <c r="AE22" s="2"/>
      <c r="AF22" s="2"/>
      <c r="AG22" s="2"/>
      <c r="AH22" s="2"/>
    </row>
    <row r="23" spans="1:34" x14ac:dyDescent="0.25">
      <c r="A23" s="1" t="str">
        <f t="shared" si="0"/>
        <v/>
      </c>
      <c r="B23" s="2"/>
      <c r="C23" s="2"/>
      <c r="D23" s="2"/>
      <c r="E23" s="2"/>
      <c r="F23" s="2"/>
      <c r="G23" s="6"/>
      <c r="H23" s="2"/>
      <c r="I23" s="7"/>
      <c r="J23" s="8"/>
      <c r="Q23" s="2"/>
      <c r="R23" s="2" t="str">
        <f>IFERROR(IF(ISBLANK(Q23),"",INDEX([1]Gen_Vessels!$A$3:$C$500,MATCH(InspectionSite!$Q23,[1]Gen_Vessels!$C$3:$C$500,0),1)),"")</f>
        <v/>
      </c>
      <c r="S23" s="2"/>
      <c r="T23" s="2" t="str">
        <f>IFERROR(IF(ISBLANK(S23),"",INDEX([1]Gen_Vessels!$A$3:$C$500,MATCH(InspectionSite!$S23,[1]Gen_Vessels!$C$3:$C$500,0),1)),"")</f>
        <v/>
      </c>
      <c r="U23" s="2"/>
      <c r="V23" s="2"/>
      <c r="W23" s="2"/>
      <c r="X23" s="2"/>
      <c r="Y23" s="2"/>
      <c r="AB23" s="2"/>
      <c r="AC23" s="2"/>
      <c r="AD23" s="2"/>
      <c r="AE23" s="2"/>
      <c r="AF23" s="2"/>
      <c r="AG23" s="2"/>
      <c r="AH23" s="2"/>
    </row>
    <row r="24" spans="1:34" x14ac:dyDescent="0.25">
      <c r="A24" s="1" t="str">
        <f t="shared" si="0"/>
        <v/>
      </c>
      <c r="B24" s="2"/>
      <c r="C24" s="2"/>
      <c r="D24" s="2"/>
      <c r="E24" s="2"/>
      <c r="F24" s="2"/>
      <c r="G24" s="6"/>
      <c r="H24" s="2"/>
      <c r="I24" s="7"/>
      <c r="J24" s="8"/>
      <c r="Q24" s="2"/>
      <c r="R24" s="2" t="str">
        <f>IFERROR(IF(ISBLANK(Q24),"",INDEX([1]Gen_Vessels!$A$3:$C$500,MATCH(InspectionSite!$Q24,[1]Gen_Vessels!$C$3:$C$500,0),1)),"")</f>
        <v/>
      </c>
      <c r="S24" s="2"/>
      <c r="T24" s="2" t="str">
        <f>IFERROR(IF(ISBLANK(S24),"",INDEX([1]Gen_Vessels!$A$3:$C$500,MATCH(InspectionSite!$S24,[1]Gen_Vessels!$C$3:$C$500,0),1)),"")</f>
        <v/>
      </c>
      <c r="U24" s="2"/>
      <c r="V24" s="2"/>
      <c r="W24" s="2"/>
      <c r="X24" s="2"/>
      <c r="Y24" s="2"/>
      <c r="AB24" s="2"/>
      <c r="AC24" s="2"/>
      <c r="AD24" s="2"/>
      <c r="AE24" s="2"/>
      <c r="AF24" s="2"/>
      <c r="AG24" s="2"/>
      <c r="AH24" s="2"/>
    </row>
    <row r="25" spans="1:34" x14ac:dyDescent="0.25">
      <c r="A25" s="1" t="str">
        <f t="shared" si="0"/>
        <v/>
      </c>
      <c r="B25" s="2"/>
      <c r="C25" s="2"/>
      <c r="D25" s="2"/>
      <c r="E25" s="2"/>
      <c r="F25" s="2"/>
      <c r="G25" s="6"/>
      <c r="H25" s="2"/>
      <c r="I25" s="7"/>
      <c r="J25" s="8"/>
      <c r="Q25" s="2"/>
      <c r="R25" s="2" t="str">
        <f>IFERROR(IF(ISBLANK(Q25),"",INDEX([1]Gen_Vessels!$A$3:$C$500,MATCH(InspectionSite!$Q25,[1]Gen_Vessels!$C$3:$C$500,0),1)),"")</f>
        <v/>
      </c>
      <c r="S25" s="2"/>
      <c r="T25" s="2" t="str">
        <f>IFERROR(IF(ISBLANK(S25),"",INDEX([1]Gen_Vessels!$A$3:$C$500,MATCH(InspectionSite!$S25,[1]Gen_Vessels!$C$3:$C$500,0),1)),"")</f>
        <v/>
      </c>
      <c r="U25" s="2"/>
      <c r="V25" s="2"/>
      <c r="W25" s="2"/>
      <c r="X25" s="2"/>
      <c r="Y25" s="2"/>
      <c r="AB25" s="2"/>
      <c r="AC25" s="2"/>
      <c r="AD25" s="2"/>
      <c r="AE25" s="2"/>
      <c r="AF25" s="2"/>
      <c r="AG25" s="2"/>
      <c r="AH25" s="2"/>
    </row>
    <row r="26" spans="1:34" x14ac:dyDescent="0.25">
      <c r="A26" s="1" t="str">
        <f t="shared" si="0"/>
        <v/>
      </c>
      <c r="B26" s="2"/>
      <c r="C26" s="2"/>
      <c r="D26" s="2"/>
      <c r="E26" s="2"/>
      <c r="F26" s="2"/>
      <c r="G26" s="6"/>
      <c r="H26" s="2"/>
      <c r="I26" s="7"/>
      <c r="J26" s="8"/>
      <c r="Q26" s="2"/>
      <c r="R26" s="2" t="str">
        <f>IFERROR(IF(ISBLANK(Q26),"",INDEX([1]Gen_Vessels!$A$3:$C$500,MATCH(InspectionSite!$Q26,[1]Gen_Vessels!$C$3:$C$500,0),1)),"")</f>
        <v/>
      </c>
      <c r="S26" s="2"/>
      <c r="T26" s="2" t="str">
        <f>IFERROR(IF(ISBLANK(S26),"",INDEX([1]Gen_Vessels!$A$3:$C$500,MATCH(InspectionSite!$S26,[1]Gen_Vessels!$C$3:$C$500,0),1)),"")</f>
        <v/>
      </c>
      <c r="U26" s="2"/>
      <c r="V26" s="2"/>
      <c r="W26" s="2"/>
      <c r="X26" s="2"/>
      <c r="Y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 t="str">
        <f t="shared" si="0"/>
        <v/>
      </c>
      <c r="B27" s="2"/>
      <c r="C27" s="2"/>
      <c r="D27" s="2"/>
      <c r="E27" s="2"/>
      <c r="F27" s="2"/>
      <c r="G27" s="6"/>
      <c r="H27" s="2"/>
      <c r="I27" s="7"/>
      <c r="J27" s="8"/>
      <c r="Q27" s="2"/>
      <c r="R27" s="2" t="str">
        <f>IFERROR(IF(ISBLANK(Q27),"",INDEX([1]Gen_Vessels!$A$3:$C$500,MATCH(InspectionSite!$Q27,[1]Gen_Vessels!$C$3:$C$500,0),1)),"")</f>
        <v/>
      </c>
      <c r="S27" s="2"/>
      <c r="T27" s="2" t="str">
        <f>IFERROR(IF(ISBLANK(S27),"",INDEX([1]Gen_Vessels!$A$3:$C$500,MATCH(InspectionSite!$S27,[1]Gen_Vessels!$C$3:$C$500,0),1)),"")</f>
        <v/>
      </c>
      <c r="U27" s="2"/>
      <c r="V27" s="2"/>
      <c r="W27" s="2"/>
      <c r="X27" s="2"/>
      <c r="Y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 t="str">
        <f t="shared" si="0"/>
        <v/>
      </c>
      <c r="B28" s="2"/>
      <c r="C28" s="2"/>
      <c r="D28" s="2"/>
      <c r="E28" s="2"/>
      <c r="F28" s="2"/>
      <c r="G28" s="6"/>
      <c r="H28" s="2"/>
      <c r="I28" s="7"/>
      <c r="J28" s="8"/>
      <c r="Q28" s="2"/>
      <c r="R28" s="2" t="str">
        <f>IFERROR(IF(ISBLANK(Q28),"",INDEX([1]Gen_Vessels!$A$3:$C$500,MATCH(InspectionSite!$Q28,[1]Gen_Vessels!$C$3:$C$500,0),1)),"")</f>
        <v/>
      </c>
      <c r="S28" s="2"/>
      <c r="T28" s="2" t="str">
        <f>IFERROR(IF(ISBLANK(S28),"",INDEX([1]Gen_Vessels!$A$3:$C$500,MATCH(InspectionSite!$S28,[1]Gen_Vessels!$C$3:$C$500,0),1)),"")</f>
        <v/>
      </c>
      <c r="U28" s="2"/>
      <c r="V28" s="2"/>
      <c r="W28" s="2"/>
      <c r="X28" s="2"/>
      <c r="Y28" s="2"/>
      <c r="AB28" s="2"/>
      <c r="AC28" s="2"/>
      <c r="AD28" s="2"/>
      <c r="AE28" s="2"/>
      <c r="AF28" s="2"/>
      <c r="AG28" s="2"/>
      <c r="AH28" s="2"/>
    </row>
    <row r="29" spans="1:34" x14ac:dyDescent="0.25">
      <c r="A29" s="1" t="str">
        <f t="shared" si="0"/>
        <v/>
      </c>
      <c r="B29" s="2"/>
      <c r="C29" s="2"/>
      <c r="D29" s="2"/>
      <c r="E29" s="2"/>
      <c r="F29" s="2"/>
      <c r="G29" s="6"/>
      <c r="H29" s="2"/>
      <c r="I29" s="7"/>
      <c r="J29" s="8"/>
      <c r="Q29" s="2"/>
      <c r="R29" s="2" t="str">
        <f>IFERROR(IF(ISBLANK(Q29),"",INDEX([1]Gen_Vessels!$A$3:$C$500,MATCH(InspectionSite!$Q29,[1]Gen_Vessels!$C$3:$C$500,0),1)),"")</f>
        <v/>
      </c>
      <c r="S29" s="2"/>
      <c r="T29" s="2" t="str">
        <f>IFERROR(IF(ISBLANK(S29),"",INDEX([1]Gen_Vessels!$A$3:$C$500,MATCH(InspectionSite!$S29,[1]Gen_Vessels!$C$3:$C$500,0),1)),"")</f>
        <v/>
      </c>
      <c r="U29" s="2"/>
      <c r="V29" s="2"/>
      <c r="W29" s="2"/>
      <c r="X29" s="2"/>
      <c r="Y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 t="str">
        <f t="shared" si="0"/>
        <v/>
      </c>
      <c r="B30" s="2"/>
      <c r="C30" s="2"/>
      <c r="D30" s="2"/>
      <c r="E30" s="2"/>
      <c r="F30" s="2"/>
      <c r="G30" s="6"/>
      <c r="H30" s="2"/>
      <c r="I30" s="7"/>
      <c r="J30" s="8"/>
      <c r="Q30" s="2"/>
      <c r="R30" s="2" t="str">
        <f>IFERROR(IF(ISBLANK(Q30),"",INDEX([1]Gen_Vessels!$A$3:$C$500,MATCH(InspectionSite!$Q30,[1]Gen_Vessels!$C$3:$C$500,0),1)),"")</f>
        <v/>
      </c>
      <c r="S30" s="2"/>
      <c r="T30" s="2" t="str">
        <f>IFERROR(IF(ISBLANK(S30),"",INDEX([1]Gen_Vessels!$A$3:$C$500,MATCH(InspectionSite!$S30,[1]Gen_Vessels!$C$3:$C$500,0),1)),"")</f>
        <v/>
      </c>
      <c r="U30" s="2"/>
      <c r="V30" s="2"/>
      <c r="W30" s="2"/>
      <c r="X30" s="2"/>
      <c r="Y30" s="2"/>
      <c r="AB30" s="2"/>
      <c r="AC30" s="2"/>
      <c r="AD30" s="2"/>
      <c r="AE30" s="2"/>
      <c r="AF30" s="2"/>
      <c r="AG30" s="2"/>
      <c r="AH30" s="2"/>
    </row>
    <row r="31" spans="1:34" x14ac:dyDescent="0.25">
      <c r="A31" s="1" t="str">
        <f t="shared" si="0"/>
        <v/>
      </c>
      <c r="B31" s="2"/>
      <c r="C31" s="2"/>
      <c r="D31" s="2"/>
      <c r="E31" s="2"/>
      <c r="F31" s="2"/>
      <c r="G31" s="6"/>
      <c r="H31" s="2"/>
      <c r="I31" s="7"/>
      <c r="J31" s="8"/>
      <c r="Q31" s="2"/>
      <c r="R31" s="2" t="str">
        <f>IFERROR(IF(ISBLANK(Q31),"",INDEX([1]Gen_Vessels!$A$3:$C$500,MATCH(InspectionSite!$Q31,[1]Gen_Vessels!$C$3:$C$500,0),1)),"")</f>
        <v/>
      </c>
      <c r="S31" s="2"/>
      <c r="T31" s="2" t="str">
        <f>IFERROR(IF(ISBLANK(S31),"",INDEX([1]Gen_Vessels!$A$3:$C$500,MATCH(InspectionSite!$S31,[1]Gen_Vessels!$C$3:$C$500,0),1)),"")</f>
        <v/>
      </c>
      <c r="U31" s="2"/>
      <c r="V31" s="2"/>
      <c r="W31" s="2"/>
      <c r="X31" s="2"/>
      <c r="Y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 t="str">
        <f t="shared" si="0"/>
        <v/>
      </c>
      <c r="B32" s="2"/>
      <c r="C32" s="2"/>
      <c r="D32" s="2"/>
      <c r="E32" s="2"/>
      <c r="F32" s="2"/>
      <c r="G32" s="6"/>
      <c r="H32" s="2"/>
      <c r="I32" s="7"/>
      <c r="J32" s="8"/>
      <c r="Q32" s="2"/>
      <c r="R32" s="2" t="str">
        <f>IFERROR(IF(ISBLANK(Q32),"",INDEX([1]Gen_Vessels!$A$3:$C$500,MATCH(InspectionSite!$Q32,[1]Gen_Vessels!$C$3:$C$500,0),1)),"")</f>
        <v/>
      </c>
      <c r="S32" s="2"/>
      <c r="T32" s="2" t="str">
        <f>IFERROR(IF(ISBLANK(S32),"",INDEX([1]Gen_Vessels!$A$3:$C$500,MATCH(InspectionSite!$S32,[1]Gen_Vessels!$C$3:$C$500,0),1)),"")</f>
        <v/>
      </c>
      <c r="U32" s="2"/>
      <c r="V32" s="2"/>
      <c r="W32" s="2"/>
      <c r="X32" s="2"/>
      <c r="Y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 t="str">
        <f t="shared" si="0"/>
        <v/>
      </c>
      <c r="B33" s="2"/>
      <c r="C33" s="2"/>
      <c r="D33" s="2"/>
      <c r="E33" s="2"/>
      <c r="F33" s="2"/>
      <c r="G33" s="6"/>
      <c r="H33" s="2"/>
      <c r="I33" s="7"/>
      <c r="J33" s="8"/>
      <c r="Q33" s="2"/>
      <c r="R33" s="2" t="str">
        <f>IFERROR(IF(ISBLANK(Q33),"",INDEX([1]Gen_Vessels!$A$3:$C$500,MATCH(InspectionSite!$Q33,[1]Gen_Vessels!$C$3:$C$500,0),1)),"")</f>
        <v/>
      </c>
      <c r="S33" s="2"/>
      <c r="T33" s="2" t="str">
        <f>IFERROR(IF(ISBLANK(S33),"",INDEX([1]Gen_Vessels!$A$3:$C$500,MATCH(InspectionSite!$S33,[1]Gen_Vessels!$C$3:$C$500,0),1)),"")</f>
        <v/>
      </c>
      <c r="U33" s="2"/>
      <c r="V33" s="2"/>
      <c r="W33" s="2"/>
      <c r="X33" s="2"/>
      <c r="Y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 t="str">
        <f t="shared" si="0"/>
        <v/>
      </c>
      <c r="B34" s="2"/>
      <c r="C34" s="2"/>
      <c r="D34" s="2"/>
      <c r="E34" s="2"/>
      <c r="F34" s="2"/>
      <c r="G34" s="6"/>
      <c r="H34" s="2"/>
      <c r="I34" s="7"/>
      <c r="J34" s="8"/>
      <c r="Q34" s="2"/>
      <c r="R34" s="2" t="str">
        <f>IFERROR(IF(ISBLANK(Q34),"",INDEX([1]Gen_Vessels!$A$3:$C$500,MATCH(InspectionSite!$Q34,[1]Gen_Vessels!$C$3:$C$500,0),1)),"")</f>
        <v/>
      </c>
      <c r="S34" s="2"/>
      <c r="T34" s="2" t="str">
        <f>IFERROR(IF(ISBLANK(S34),"",INDEX([1]Gen_Vessels!$A$3:$C$500,MATCH(InspectionSite!$S34,[1]Gen_Vessels!$C$3:$C$500,0),1)),"")</f>
        <v/>
      </c>
      <c r="U34" s="2"/>
      <c r="V34" s="2"/>
      <c r="W34" s="2"/>
      <c r="X34" s="2"/>
      <c r="Y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 t="str">
        <f t="shared" si="0"/>
        <v/>
      </c>
      <c r="B35" s="2"/>
      <c r="C35" s="2"/>
      <c r="D35" s="2"/>
      <c r="E35" s="2"/>
      <c r="F35" s="2"/>
      <c r="G35" s="6"/>
      <c r="H35" s="2"/>
      <c r="I35" s="7"/>
      <c r="J35" s="8"/>
      <c r="Q35" s="2"/>
      <c r="R35" s="2" t="str">
        <f>IFERROR(IF(ISBLANK(Q35),"",INDEX([1]Gen_Vessels!$A$3:$C$500,MATCH(InspectionSite!$Q35,[1]Gen_Vessels!$C$3:$C$500,0),1)),"")</f>
        <v/>
      </c>
      <c r="S35" s="2"/>
      <c r="T35" s="2" t="str">
        <f>IFERROR(IF(ISBLANK(S35),"",INDEX([1]Gen_Vessels!$A$3:$C$500,MATCH(InspectionSite!$S35,[1]Gen_Vessels!$C$3:$C$500,0),1)),"")</f>
        <v/>
      </c>
      <c r="U35" s="2"/>
      <c r="V35" s="2"/>
      <c r="W35" s="2"/>
      <c r="X35" s="2"/>
      <c r="Y35" s="2"/>
      <c r="AB35" s="2"/>
      <c r="AC35" s="2"/>
      <c r="AD35" s="2"/>
      <c r="AE35" s="2"/>
      <c r="AF35" s="2"/>
      <c r="AG35" s="2"/>
      <c r="AH35" s="2"/>
    </row>
    <row r="36" spans="1:34" x14ac:dyDescent="0.25">
      <c r="A36" s="1" t="str">
        <f t="shared" si="0"/>
        <v/>
      </c>
      <c r="B36" s="2"/>
      <c r="C36" s="2"/>
      <c r="D36" s="2"/>
      <c r="E36" s="2"/>
      <c r="F36" s="2"/>
      <c r="G36" s="6"/>
      <c r="H36" s="2"/>
      <c r="I36" s="7"/>
      <c r="J36" s="8"/>
      <c r="Q36" s="2"/>
      <c r="R36" s="2" t="str">
        <f>IFERROR(IF(ISBLANK(Q36),"",INDEX([1]Gen_Vessels!$A$3:$C$500,MATCH(InspectionSite!$Q36,[1]Gen_Vessels!$C$3:$C$500,0),1)),"")</f>
        <v/>
      </c>
      <c r="S36" s="2"/>
      <c r="T36" s="2" t="str">
        <f>IFERROR(IF(ISBLANK(S36),"",INDEX([1]Gen_Vessels!$A$3:$C$500,MATCH(InspectionSite!$S36,[1]Gen_Vessels!$C$3:$C$500,0),1)),"")</f>
        <v/>
      </c>
      <c r="U36" s="2"/>
      <c r="V36" s="2"/>
      <c r="W36" s="2"/>
      <c r="X36" s="2"/>
      <c r="Y36" s="2"/>
      <c r="AB36" s="2"/>
      <c r="AC36" s="2"/>
      <c r="AD36" s="2"/>
      <c r="AE36" s="2"/>
      <c r="AF36" s="2"/>
      <c r="AG36" s="2"/>
      <c r="AH36" s="2"/>
    </row>
    <row r="37" spans="1:34" x14ac:dyDescent="0.25">
      <c r="A37" s="1" t="str">
        <f t="shared" si="0"/>
        <v/>
      </c>
      <c r="B37" s="2"/>
      <c r="C37" s="2"/>
      <c r="D37" s="2"/>
      <c r="E37" s="2"/>
      <c r="F37" s="2"/>
      <c r="G37" s="6"/>
      <c r="H37" s="2"/>
      <c r="I37" s="7"/>
      <c r="J37" s="8"/>
      <c r="Q37" s="2"/>
      <c r="R37" s="2" t="str">
        <f>IFERROR(IF(ISBLANK(Q37),"",INDEX([1]Gen_Vessels!$A$3:$C$500,MATCH(InspectionSite!$Q37,[1]Gen_Vessels!$C$3:$C$500,0),1)),"")</f>
        <v/>
      </c>
      <c r="S37" s="2"/>
      <c r="T37" s="2" t="str">
        <f>IFERROR(IF(ISBLANK(S37),"",INDEX([1]Gen_Vessels!$A$3:$C$500,MATCH(InspectionSite!$S37,[1]Gen_Vessels!$C$3:$C$500,0),1)),"")</f>
        <v/>
      </c>
      <c r="U37" s="2"/>
      <c r="V37" s="2"/>
      <c r="W37" s="2"/>
      <c r="X37" s="2"/>
      <c r="Y37" s="2"/>
      <c r="AB37" s="2"/>
      <c r="AC37" s="2"/>
      <c r="AD37" s="2"/>
      <c r="AE37" s="2"/>
      <c r="AF37" s="2"/>
      <c r="AG37" s="2"/>
      <c r="AH37" s="2"/>
    </row>
    <row r="38" spans="1:34" x14ac:dyDescent="0.25">
      <c r="A38" s="1" t="str">
        <f t="shared" si="0"/>
        <v/>
      </c>
      <c r="B38" s="2"/>
      <c r="C38" s="2"/>
      <c r="D38" s="2"/>
      <c r="E38" s="2"/>
      <c r="F38" s="2"/>
      <c r="G38" s="6"/>
      <c r="H38" s="2"/>
      <c r="I38" s="7"/>
      <c r="J38" s="8"/>
      <c r="Q38" s="2"/>
      <c r="R38" s="2" t="str">
        <f>IFERROR(IF(ISBLANK(Q38),"",INDEX([1]Gen_Vessels!$A$3:$C$500,MATCH(InspectionSite!$Q38,[1]Gen_Vessels!$C$3:$C$500,0),1)),"")</f>
        <v/>
      </c>
      <c r="S38" s="2"/>
      <c r="T38" s="2" t="str">
        <f>IFERROR(IF(ISBLANK(S38),"",INDEX([1]Gen_Vessels!$A$3:$C$500,MATCH(InspectionSite!$S38,[1]Gen_Vessels!$C$3:$C$500,0),1)),"")</f>
        <v/>
      </c>
      <c r="U38" s="2"/>
      <c r="V38" s="2"/>
      <c r="W38" s="2"/>
      <c r="X38" s="2"/>
      <c r="Y38" s="2"/>
      <c r="AB38" s="2"/>
      <c r="AC38" s="2"/>
      <c r="AD38" s="2"/>
      <c r="AE38" s="2"/>
      <c r="AF38" s="2"/>
      <c r="AG38" s="2"/>
      <c r="AH38" s="2"/>
    </row>
    <row r="39" spans="1:34" x14ac:dyDescent="0.25">
      <c r="A39" s="1" t="str">
        <f t="shared" si="0"/>
        <v/>
      </c>
      <c r="B39" s="2"/>
      <c r="C39" s="2"/>
      <c r="D39" s="2"/>
      <c r="E39" s="2"/>
      <c r="F39" s="2"/>
      <c r="G39" s="6"/>
      <c r="H39" s="2"/>
      <c r="I39" s="7"/>
      <c r="J39" s="8"/>
      <c r="Q39" s="2"/>
      <c r="R39" s="2" t="str">
        <f>IFERROR(IF(ISBLANK(Q39),"",INDEX([1]Gen_Vessels!$A$3:$C$500,MATCH(InspectionSite!$Q39,[1]Gen_Vessels!$C$3:$C$500,0),1)),"")</f>
        <v/>
      </c>
      <c r="S39" s="2"/>
      <c r="T39" s="2" t="str">
        <f>IFERROR(IF(ISBLANK(S39),"",INDEX([1]Gen_Vessels!$A$3:$C$500,MATCH(InspectionSite!$S39,[1]Gen_Vessels!$C$3:$C$500,0),1)),"")</f>
        <v/>
      </c>
      <c r="U39" s="2"/>
      <c r="V39" s="2"/>
      <c r="W39" s="2"/>
      <c r="X39" s="2"/>
      <c r="Y39" s="2"/>
      <c r="AB39" s="2"/>
      <c r="AC39" s="2"/>
      <c r="AD39" s="2"/>
      <c r="AE39" s="2"/>
      <c r="AF39" s="2"/>
      <c r="AG39" s="2"/>
      <c r="AH39" s="2"/>
    </row>
    <row r="40" spans="1:34" x14ac:dyDescent="0.25">
      <c r="A40" s="1" t="str">
        <f t="shared" si="0"/>
        <v/>
      </c>
      <c r="B40" s="2"/>
      <c r="C40" s="2"/>
      <c r="D40" s="2"/>
      <c r="E40" s="2"/>
      <c r="F40" s="2"/>
      <c r="G40" s="6"/>
      <c r="H40" s="2"/>
      <c r="I40" s="7"/>
      <c r="J40" s="8"/>
      <c r="Q40" s="2"/>
      <c r="R40" s="2" t="str">
        <f>IFERROR(IF(ISBLANK(Q40),"",INDEX([1]Gen_Vessels!$A$3:$C$500,MATCH(InspectionSite!$Q40,[1]Gen_Vessels!$C$3:$C$500,0),1)),"")</f>
        <v/>
      </c>
      <c r="S40" s="2"/>
      <c r="T40" s="2" t="str">
        <f>IFERROR(IF(ISBLANK(S40),"",INDEX([1]Gen_Vessels!$A$3:$C$500,MATCH(InspectionSite!$S40,[1]Gen_Vessels!$C$3:$C$500,0),1)),"")</f>
        <v/>
      </c>
      <c r="U40" s="2"/>
      <c r="V40" s="2"/>
      <c r="W40" s="2"/>
      <c r="X40" s="2"/>
      <c r="Y40" s="2"/>
      <c r="AB40" s="2"/>
      <c r="AC40" s="2"/>
      <c r="AD40" s="2"/>
      <c r="AE40" s="2"/>
      <c r="AF40" s="2"/>
      <c r="AG40" s="2"/>
      <c r="AH40" s="2"/>
    </row>
    <row r="41" spans="1:34" x14ac:dyDescent="0.25">
      <c r="A41" s="1" t="str">
        <f t="shared" si="0"/>
        <v/>
      </c>
      <c r="B41" s="2"/>
      <c r="C41" s="2"/>
      <c r="D41" s="2"/>
      <c r="E41" s="2"/>
      <c r="F41" s="2"/>
      <c r="G41" s="6"/>
      <c r="H41" s="2"/>
      <c r="I41" s="7"/>
      <c r="J41" s="8"/>
      <c r="Q41" s="2"/>
      <c r="R41" s="2" t="str">
        <f>IFERROR(IF(ISBLANK(Q41),"",INDEX([1]Gen_Vessels!$A$3:$C$500,MATCH(InspectionSite!$Q41,[1]Gen_Vessels!$C$3:$C$500,0),1)),"")</f>
        <v/>
      </c>
      <c r="S41" s="2"/>
      <c r="T41" s="2" t="str">
        <f>IFERROR(IF(ISBLANK(S41),"",INDEX([1]Gen_Vessels!$A$3:$C$500,MATCH(InspectionSite!$S41,[1]Gen_Vessels!$C$3:$C$500,0),1)),"")</f>
        <v/>
      </c>
      <c r="U41" s="2"/>
      <c r="V41" s="2"/>
      <c r="W41" s="2"/>
      <c r="X41" s="2"/>
      <c r="Y41" s="2"/>
      <c r="AB41" s="2"/>
      <c r="AC41" s="2"/>
      <c r="AD41" s="2"/>
      <c r="AE41" s="2"/>
      <c r="AF41" s="2"/>
      <c r="AG41" s="2"/>
      <c r="AH41" s="2"/>
    </row>
    <row r="42" spans="1:34" x14ac:dyDescent="0.25">
      <c r="A42" s="1" t="str">
        <f t="shared" si="0"/>
        <v/>
      </c>
      <c r="B42" s="2"/>
      <c r="C42" s="2"/>
      <c r="D42" s="2"/>
      <c r="E42" s="2"/>
      <c r="F42" s="2"/>
      <c r="G42" s="6"/>
      <c r="H42" s="2"/>
      <c r="I42" s="7"/>
      <c r="J42" s="8"/>
      <c r="Q42" s="2"/>
      <c r="R42" s="2" t="str">
        <f>IFERROR(IF(ISBLANK(Q42),"",INDEX([1]Gen_Vessels!$A$3:$C$500,MATCH(InspectionSite!$Q42,[1]Gen_Vessels!$C$3:$C$500,0),1)),"")</f>
        <v/>
      </c>
      <c r="S42" s="2"/>
      <c r="T42" s="2" t="str">
        <f>IFERROR(IF(ISBLANK(S42),"",INDEX([1]Gen_Vessels!$A$3:$C$500,MATCH(InspectionSite!$S42,[1]Gen_Vessels!$C$3:$C$500,0),1)),"")</f>
        <v/>
      </c>
      <c r="U42" s="2"/>
      <c r="V42" s="2"/>
      <c r="W42" s="2"/>
      <c r="X42" s="2"/>
      <c r="Y42" s="2"/>
      <c r="AB42" s="2"/>
      <c r="AC42" s="2"/>
      <c r="AD42" s="2"/>
      <c r="AE42" s="2"/>
      <c r="AF42" s="2"/>
      <c r="AG42" s="2"/>
      <c r="AH42" s="2"/>
    </row>
    <row r="43" spans="1:34" x14ac:dyDescent="0.25">
      <c r="A43" s="1" t="str">
        <f t="shared" si="0"/>
        <v/>
      </c>
      <c r="B43" s="2"/>
      <c r="C43" s="2"/>
      <c r="D43" s="2"/>
      <c r="E43" s="2"/>
      <c r="F43" s="2"/>
      <c r="G43" s="6"/>
      <c r="H43" s="2"/>
      <c r="I43" s="7"/>
      <c r="J43" s="8"/>
      <c r="Q43" s="2"/>
      <c r="R43" s="2" t="str">
        <f>IFERROR(IF(ISBLANK(Q43),"",INDEX([1]Gen_Vessels!$A$3:$C$500,MATCH(InspectionSite!$Q43,[1]Gen_Vessels!$C$3:$C$500,0),1)),"")</f>
        <v/>
      </c>
      <c r="S43" s="2"/>
      <c r="T43" s="2" t="str">
        <f>IFERROR(IF(ISBLANK(S43),"",INDEX([1]Gen_Vessels!$A$3:$C$500,MATCH(InspectionSite!$S43,[1]Gen_Vessels!$C$3:$C$500,0),1)),"")</f>
        <v/>
      </c>
      <c r="U43" s="2"/>
      <c r="V43" s="2"/>
      <c r="W43" s="2"/>
      <c r="X43" s="2"/>
      <c r="Y43" s="2"/>
      <c r="AB43" s="2"/>
      <c r="AC43" s="2"/>
      <c r="AD43" s="2"/>
      <c r="AE43" s="2"/>
      <c r="AF43" s="2"/>
      <c r="AG43" s="2"/>
      <c r="AH43" s="2"/>
    </row>
    <row r="44" spans="1:34" x14ac:dyDescent="0.25">
      <c r="A44" s="1" t="str">
        <f t="shared" si="0"/>
        <v/>
      </c>
      <c r="B44" s="2"/>
      <c r="C44" s="2"/>
      <c r="D44" s="2"/>
      <c r="E44" s="2"/>
      <c r="F44" s="2"/>
      <c r="G44" s="6"/>
      <c r="H44" s="2"/>
      <c r="I44" s="7"/>
      <c r="J44" s="8"/>
      <c r="Q44" s="2"/>
      <c r="R44" s="2" t="str">
        <f>IFERROR(IF(ISBLANK(Q44),"",INDEX([1]Gen_Vessels!$A$3:$C$500,MATCH(InspectionSite!$Q44,[1]Gen_Vessels!$C$3:$C$500,0),1)),"")</f>
        <v/>
      </c>
      <c r="S44" s="2"/>
      <c r="T44" s="2" t="str">
        <f>IFERROR(IF(ISBLANK(S44),"",INDEX([1]Gen_Vessels!$A$3:$C$500,MATCH(InspectionSite!$S44,[1]Gen_Vessels!$C$3:$C$500,0),1)),"")</f>
        <v/>
      </c>
      <c r="U44" s="2"/>
      <c r="V44" s="2"/>
      <c r="W44" s="2"/>
      <c r="X44" s="2"/>
      <c r="Y44" s="2"/>
      <c r="AB44" s="2"/>
      <c r="AC44" s="2"/>
      <c r="AD44" s="2"/>
      <c r="AE44" s="2"/>
      <c r="AF44" s="2"/>
      <c r="AG44" s="2"/>
      <c r="AH44" s="2"/>
    </row>
    <row r="45" spans="1:34" x14ac:dyDescent="0.25">
      <c r="A45" s="1" t="str">
        <f t="shared" si="0"/>
        <v/>
      </c>
      <c r="B45" s="2"/>
      <c r="C45" s="2"/>
      <c r="D45" s="2"/>
      <c r="E45" s="2"/>
      <c r="F45" s="2"/>
      <c r="G45" s="6"/>
      <c r="H45" s="2"/>
      <c r="I45" s="7"/>
      <c r="J45" s="8"/>
      <c r="Q45" s="2"/>
      <c r="R45" s="2" t="str">
        <f>IFERROR(IF(ISBLANK(Q45),"",INDEX([1]Gen_Vessels!$A$3:$C$500,MATCH(InspectionSite!$Q45,[1]Gen_Vessels!$C$3:$C$500,0),1)),"")</f>
        <v/>
      </c>
      <c r="S45" s="2"/>
      <c r="T45" s="2" t="str">
        <f>IFERROR(IF(ISBLANK(S45),"",INDEX([1]Gen_Vessels!$A$3:$C$500,MATCH(InspectionSite!$S45,[1]Gen_Vessels!$C$3:$C$500,0),1)),"")</f>
        <v/>
      </c>
      <c r="U45" s="2"/>
      <c r="V45" s="2"/>
      <c r="W45" s="2"/>
      <c r="X45" s="2"/>
      <c r="Y45" s="2"/>
      <c r="AB45" s="2"/>
      <c r="AC45" s="2"/>
      <c r="AD45" s="2"/>
      <c r="AE45" s="2"/>
      <c r="AF45" s="2"/>
      <c r="AG45" s="2"/>
      <c r="AH45" s="2"/>
    </row>
    <row r="46" spans="1:34" x14ac:dyDescent="0.25">
      <c r="A46" s="1" t="str">
        <f t="shared" si="0"/>
        <v/>
      </c>
      <c r="B46" s="2"/>
      <c r="C46" s="2"/>
      <c r="D46" s="2"/>
      <c r="E46" s="2"/>
      <c r="F46" s="2"/>
      <c r="G46" s="6"/>
      <c r="H46" s="2"/>
      <c r="I46" s="7"/>
      <c r="J46" s="8"/>
      <c r="Q46" s="2"/>
      <c r="R46" s="2" t="str">
        <f>IFERROR(IF(ISBLANK(Q46),"",INDEX([1]Gen_Vessels!$A$3:$C$500,MATCH(InspectionSite!$Q46,[1]Gen_Vessels!$C$3:$C$500,0),1)),"")</f>
        <v/>
      </c>
      <c r="S46" s="2"/>
      <c r="T46" s="2" t="str">
        <f>IFERROR(IF(ISBLANK(S46),"",INDEX([1]Gen_Vessels!$A$3:$C$500,MATCH(InspectionSite!$S46,[1]Gen_Vessels!$C$3:$C$500,0),1)),"")</f>
        <v/>
      </c>
      <c r="U46" s="2"/>
      <c r="V46" s="2"/>
      <c r="W46" s="2"/>
      <c r="X46" s="2"/>
      <c r="Y46" s="2"/>
      <c r="AB46" s="2"/>
      <c r="AC46" s="2"/>
      <c r="AD46" s="2"/>
      <c r="AE46" s="2"/>
      <c r="AF46" s="2"/>
      <c r="AG46" s="2"/>
      <c r="AH46" s="2"/>
    </row>
    <row r="47" spans="1:34" x14ac:dyDescent="0.25">
      <c r="A47" s="1" t="str">
        <f t="shared" si="0"/>
        <v/>
      </c>
      <c r="B47" s="2"/>
      <c r="C47" s="2"/>
      <c r="D47" s="2"/>
      <c r="E47" s="2"/>
      <c r="F47" s="2"/>
      <c r="G47" s="6"/>
      <c r="H47" s="2"/>
      <c r="I47" s="7"/>
      <c r="J47" s="8"/>
      <c r="Q47" s="2"/>
      <c r="R47" s="2" t="str">
        <f>IFERROR(IF(ISBLANK(Q47),"",INDEX([1]Gen_Vessels!$A$3:$C$500,MATCH(InspectionSite!$Q47,[1]Gen_Vessels!$C$3:$C$500,0),1)),"")</f>
        <v/>
      </c>
      <c r="S47" s="2"/>
      <c r="T47" s="2" t="str">
        <f>IFERROR(IF(ISBLANK(S47),"",INDEX([1]Gen_Vessels!$A$3:$C$500,MATCH(InspectionSite!$S47,[1]Gen_Vessels!$C$3:$C$500,0),1)),"")</f>
        <v/>
      </c>
      <c r="U47" s="2"/>
      <c r="V47" s="2"/>
      <c r="W47" s="2"/>
      <c r="X47" s="2"/>
      <c r="Y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 t="str">
        <f t="shared" si="0"/>
        <v/>
      </c>
      <c r="B48" s="2"/>
      <c r="C48" s="2"/>
      <c r="D48" s="2"/>
      <c r="E48" s="2"/>
      <c r="F48" s="2"/>
      <c r="G48" s="6"/>
      <c r="H48" s="2"/>
      <c r="I48" s="7"/>
      <c r="J48" s="8"/>
      <c r="Q48" s="2"/>
      <c r="R48" s="2" t="str">
        <f>IFERROR(IF(ISBLANK(Q48),"",INDEX([1]Gen_Vessels!$A$3:$C$500,MATCH(InspectionSite!$Q48,[1]Gen_Vessels!$C$3:$C$500,0),1)),"")</f>
        <v/>
      </c>
      <c r="S48" s="2"/>
      <c r="T48" s="2" t="str">
        <f>IFERROR(IF(ISBLANK(S48),"",INDEX([1]Gen_Vessels!$A$3:$C$500,MATCH(InspectionSite!$S48,[1]Gen_Vessels!$C$3:$C$500,0),1)),"")</f>
        <v/>
      </c>
      <c r="U48" s="2"/>
      <c r="V48" s="2"/>
      <c r="W48" s="2"/>
      <c r="X48" s="2"/>
      <c r="Y48" s="2"/>
      <c r="AB48" s="2"/>
      <c r="AC48" s="2"/>
      <c r="AD48" s="2"/>
      <c r="AE48" s="2"/>
      <c r="AF48" s="2"/>
      <c r="AG48" s="2"/>
      <c r="AH48" s="2"/>
    </row>
    <row r="49" spans="1:34" x14ac:dyDescent="0.25">
      <c r="A49" s="1" t="str">
        <f t="shared" si="0"/>
        <v/>
      </c>
      <c r="B49" s="2"/>
      <c r="C49" s="2"/>
      <c r="D49" s="2"/>
      <c r="E49" s="2"/>
      <c r="F49" s="2"/>
      <c r="G49" s="6"/>
      <c r="H49" s="2"/>
      <c r="I49" s="7"/>
      <c r="J49" s="8"/>
      <c r="Q49" s="2"/>
      <c r="R49" s="2" t="str">
        <f>IFERROR(IF(ISBLANK(Q49),"",INDEX([1]Gen_Vessels!$A$3:$C$500,MATCH(InspectionSite!$Q49,[1]Gen_Vessels!$C$3:$C$500,0),1)),"")</f>
        <v/>
      </c>
      <c r="S49" s="2"/>
      <c r="T49" s="2" t="str">
        <f>IFERROR(IF(ISBLANK(S49),"",INDEX([1]Gen_Vessels!$A$3:$C$500,MATCH(InspectionSite!$S49,[1]Gen_Vessels!$C$3:$C$500,0),1)),"")</f>
        <v/>
      </c>
      <c r="U49" s="2"/>
      <c r="V49" s="2"/>
      <c r="W49" s="2"/>
      <c r="X49" s="2"/>
      <c r="Y49" s="2"/>
      <c r="AB49" s="2"/>
      <c r="AC49" s="2"/>
      <c r="AD49" s="2"/>
      <c r="AE49" s="2"/>
      <c r="AF49" s="2"/>
      <c r="AG49" s="2"/>
      <c r="AH49" s="2"/>
    </row>
    <row r="50" spans="1:34" x14ac:dyDescent="0.25">
      <c r="A50" s="1" t="str">
        <f t="shared" si="0"/>
        <v/>
      </c>
      <c r="B50" s="2"/>
      <c r="C50" s="2"/>
      <c r="D50" s="2"/>
      <c r="E50" s="2"/>
      <c r="F50" s="2"/>
      <c r="G50" s="6"/>
      <c r="H50" s="2"/>
      <c r="I50" s="7"/>
      <c r="J50" s="8"/>
      <c r="Q50" s="2"/>
      <c r="R50" s="2" t="str">
        <f>IFERROR(IF(ISBLANK(Q50),"",INDEX([1]Gen_Vessels!$A$3:$C$500,MATCH(InspectionSite!$Q50,[1]Gen_Vessels!$C$3:$C$500,0),1)),"")</f>
        <v/>
      </c>
      <c r="S50" s="2"/>
      <c r="T50" s="2" t="str">
        <f>IFERROR(IF(ISBLANK(S50),"",INDEX([1]Gen_Vessels!$A$3:$C$500,MATCH(InspectionSite!$S50,[1]Gen_Vessels!$C$3:$C$500,0),1)),"")</f>
        <v/>
      </c>
      <c r="U50" s="2"/>
      <c r="V50" s="2"/>
      <c r="W50" s="2"/>
      <c r="X50" s="2"/>
      <c r="Y50" s="2"/>
      <c r="AB50" s="2"/>
      <c r="AC50" s="2"/>
      <c r="AD50" s="2"/>
      <c r="AE50" s="2"/>
      <c r="AF50" s="2"/>
      <c r="AG50" s="2"/>
      <c r="AH50" s="2"/>
    </row>
    <row r="51" spans="1:34" x14ac:dyDescent="0.25">
      <c r="A51" s="1" t="str">
        <f t="shared" si="0"/>
        <v/>
      </c>
      <c r="B51" s="2"/>
      <c r="C51" s="2"/>
      <c r="D51" s="2"/>
      <c r="E51" s="2"/>
      <c r="F51" s="2"/>
      <c r="G51" s="6"/>
      <c r="H51" s="2"/>
      <c r="I51" s="7"/>
      <c r="J51" s="8"/>
      <c r="Q51" s="2"/>
      <c r="R51" s="2" t="str">
        <f>IFERROR(IF(ISBLANK(Q51),"",INDEX([1]Gen_Vessels!$A$3:$C$500,MATCH(InspectionSite!$Q51,[1]Gen_Vessels!$C$3:$C$500,0),1)),"")</f>
        <v/>
      </c>
      <c r="S51" s="2"/>
      <c r="T51" s="2" t="str">
        <f>IFERROR(IF(ISBLANK(S51),"",INDEX([1]Gen_Vessels!$A$3:$C$500,MATCH(InspectionSite!$S51,[1]Gen_Vessels!$C$3:$C$500,0),1)),"")</f>
        <v/>
      </c>
      <c r="U51" s="2"/>
      <c r="V51" s="2"/>
      <c r="W51" s="2"/>
      <c r="X51" s="2"/>
      <c r="Y51" s="2"/>
      <c r="AB51" s="2"/>
      <c r="AC51" s="2"/>
      <c r="AD51" s="2"/>
      <c r="AE51" s="2"/>
      <c r="AF51" s="2"/>
      <c r="AG51" s="2"/>
      <c r="AH51" s="2"/>
    </row>
    <row r="52" spans="1:34" x14ac:dyDescent="0.25">
      <c r="A52" s="1" t="str">
        <f t="shared" si="0"/>
        <v/>
      </c>
      <c r="B52" s="2"/>
      <c r="C52" s="2"/>
      <c r="D52" s="2"/>
      <c r="E52" s="2"/>
      <c r="F52" s="2"/>
      <c r="G52" s="6"/>
      <c r="H52" s="2"/>
      <c r="I52" s="7"/>
      <c r="J52" s="8"/>
      <c r="Q52" s="2"/>
      <c r="R52" s="2" t="str">
        <f>IFERROR(IF(ISBLANK(Q52),"",INDEX([1]Gen_Vessels!$A$3:$C$500,MATCH(InspectionSite!$Q52,[1]Gen_Vessels!$C$3:$C$500,0),1)),"")</f>
        <v/>
      </c>
      <c r="S52" s="2"/>
      <c r="T52" s="2" t="str">
        <f>IFERROR(IF(ISBLANK(S52),"",INDEX([1]Gen_Vessels!$A$3:$C$500,MATCH(InspectionSite!$S52,[1]Gen_Vessels!$C$3:$C$500,0),1)),"")</f>
        <v/>
      </c>
      <c r="U52" s="2"/>
      <c r="V52" s="2"/>
      <c r="W52" s="2"/>
      <c r="X52" s="2"/>
      <c r="Y52" s="2"/>
      <c r="AB52" s="2"/>
      <c r="AC52" s="2"/>
      <c r="AD52" s="2"/>
      <c r="AE52" s="2"/>
      <c r="AF52" s="2"/>
      <c r="AG52" s="2"/>
      <c r="AH52" s="2"/>
    </row>
    <row r="53" spans="1:34" x14ac:dyDescent="0.25">
      <c r="A53" s="1" t="str">
        <f t="shared" si="0"/>
        <v/>
      </c>
      <c r="B53" s="2"/>
      <c r="C53" s="2"/>
      <c r="D53" s="2"/>
      <c r="E53" s="2"/>
      <c r="F53" s="2"/>
      <c r="G53" s="6"/>
      <c r="H53" s="2"/>
      <c r="I53" s="7"/>
      <c r="J53" s="8"/>
      <c r="Q53" s="2"/>
      <c r="R53" s="2" t="str">
        <f>IFERROR(IF(ISBLANK(Q53),"",INDEX([1]Gen_Vessels!$A$3:$C$500,MATCH(InspectionSite!$Q53,[1]Gen_Vessels!$C$3:$C$500,0),1)),"")</f>
        <v/>
      </c>
      <c r="S53" s="2"/>
      <c r="T53" s="2" t="str">
        <f>IFERROR(IF(ISBLANK(S53),"",INDEX([1]Gen_Vessels!$A$3:$C$500,MATCH(InspectionSite!$S53,[1]Gen_Vessels!$C$3:$C$500,0),1)),"")</f>
        <v/>
      </c>
      <c r="U53" s="2"/>
      <c r="V53" s="2"/>
      <c r="W53" s="2"/>
      <c r="X53" s="2"/>
      <c r="Y53" s="2"/>
      <c r="AB53" s="2"/>
      <c r="AC53" s="2"/>
      <c r="AD53" s="2"/>
      <c r="AE53" s="2"/>
      <c r="AF53" s="2"/>
      <c r="AG53" s="2"/>
      <c r="AH53" s="2"/>
    </row>
    <row r="54" spans="1:34" x14ac:dyDescent="0.25">
      <c r="A54" s="1" t="str">
        <f t="shared" si="0"/>
        <v/>
      </c>
      <c r="B54" s="2"/>
      <c r="C54" s="2"/>
      <c r="D54" s="2"/>
      <c r="E54" s="2"/>
      <c r="F54" s="2"/>
      <c r="G54" s="6"/>
      <c r="H54" s="2"/>
      <c r="I54" s="7"/>
      <c r="J54" s="8"/>
      <c r="Q54" s="2"/>
      <c r="R54" s="2" t="str">
        <f>IFERROR(IF(ISBLANK(Q54),"",INDEX([1]Gen_Vessels!$A$3:$C$500,MATCH(InspectionSite!$Q54,[1]Gen_Vessels!$C$3:$C$500,0),1)),"")</f>
        <v/>
      </c>
      <c r="S54" s="2"/>
      <c r="T54" s="2" t="str">
        <f>IFERROR(IF(ISBLANK(S54),"",INDEX([1]Gen_Vessels!$A$3:$C$500,MATCH(InspectionSite!$S54,[1]Gen_Vessels!$C$3:$C$500,0),1)),"")</f>
        <v/>
      </c>
      <c r="U54" s="2"/>
      <c r="V54" s="2"/>
      <c r="W54" s="2"/>
      <c r="X54" s="2"/>
      <c r="Y54" s="2"/>
      <c r="AB54" s="2"/>
      <c r="AC54" s="2"/>
      <c r="AD54" s="2"/>
      <c r="AE54" s="2"/>
      <c r="AF54" s="2"/>
      <c r="AG54" s="2"/>
      <c r="AH54" s="2"/>
    </row>
    <row r="55" spans="1:34" x14ac:dyDescent="0.25">
      <c r="A55" s="1" t="str">
        <f t="shared" si="0"/>
        <v/>
      </c>
      <c r="B55" s="2"/>
      <c r="C55" s="2"/>
      <c r="D55" s="2"/>
      <c r="E55" s="2"/>
      <c r="F55" s="2"/>
      <c r="G55" s="6"/>
      <c r="H55" s="2"/>
      <c r="I55" s="7"/>
      <c r="J55" s="8"/>
      <c r="Q55" s="2"/>
      <c r="R55" s="2" t="str">
        <f>IFERROR(IF(ISBLANK(Q55),"",INDEX([1]Gen_Vessels!$A$3:$C$500,MATCH(InspectionSite!$Q55,[1]Gen_Vessels!$C$3:$C$500,0),1)),"")</f>
        <v/>
      </c>
      <c r="S55" s="2"/>
      <c r="T55" s="2" t="str">
        <f>IFERROR(IF(ISBLANK(S55),"",INDEX([1]Gen_Vessels!$A$3:$C$500,MATCH(InspectionSite!$S55,[1]Gen_Vessels!$C$3:$C$500,0),1)),"")</f>
        <v/>
      </c>
      <c r="U55" s="2"/>
      <c r="V55" s="2"/>
      <c r="W55" s="2"/>
      <c r="X55" s="2"/>
      <c r="Y55" s="2"/>
      <c r="AB55" s="2"/>
      <c r="AC55" s="2"/>
      <c r="AD55" s="2"/>
      <c r="AE55" s="2"/>
      <c r="AF55" s="2"/>
      <c r="AG55" s="2"/>
      <c r="AH55" s="2"/>
    </row>
    <row r="56" spans="1:34" x14ac:dyDescent="0.25">
      <c r="A56" s="1" t="str">
        <f t="shared" si="0"/>
        <v/>
      </c>
      <c r="B56" s="2"/>
      <c r="C56" s="2"/>
      <c r="D56" s="2"/>
      <c r="E56" s="2"/>
      <c r="F56" s="2"/>
      <c r="G56" s="6"/>
      <c r="H56" s="2"/>
      <c r="I56" s="7"/>
      <c r="J56" s="8"/>
      <c r="Q56" s="2"/>
      <c r="R56" s="2" t="str">
        <f>IFERROR(IF(ISBLANK(Q56),"",INDEX([1]Gen_Vessels!$A$3:$C$500,MATCH(InspectionSite!$Q56,[1]Gen_Vessels!$C$3:$C$500,0),1)),"")</f>
        <v/>
      </c>
      <c r="S56" s="2"/>
      <c r="T56" s="2" t="str">
        <f>IFERROR(IF(ISBLANK(S56),"",INDEX([1]Gen_Vessels!$A$3:$C$500,MATCH(InspectionSite!$S56,[1]Gen_Vessels!$C$3:$C$500,0),1)),"")</f>
        <v/>
      </c>
      <c r="U56" s="2"/>
      <c r="V56" s="2"/>
      <c r="W56" s="2"/>
      <c r="X56" s="2"/>
      <c r="Y56" s="2"/>
      <c r="AB56" s="2"/>
      <c r="AC56" s="2"/>
      <c r="AD56" s="2"/>
      <c r="AE56" s="2"/>
      <c r="AF56" s="2"/>
      <c r="AG56" s="2"/>
      <c r="AH56" s="2"/>
    </row>
    <row r="57" spans="1:34" x14ac:dyDescent="0.25">
      <c r="A57" s="1" t="str">
        <f t="shared" si="0"/>
        <v/>
      </c>
      <c r="B57" s="2"/>
      <c r="C57" s="2"/>
      <c r="D57" s="2"/>
      <c r="E57" s="2"/>
      <c r="F57" s="2"/>
      <c r="G57" s="6"/>
      <c r="H57" s="2"/>
      <c r="I57" s="7"/>
      <c r="J57" s="8"/>
      <c r="Q57" s="2"/>
      <c r="R57" s="2" t="str">
        <f>IFERROR(IF(ISBLANK(Q57),"",INDEX([1]Gen_Vessels!$A$3:$C$500,MATCH(InspectionSite!$Q57,[1]Gen_Vessels!$C$3:$C$500,0),1)),"")</f>
        <v/>
      </c>
      <c r="S57" s="2"/>
      <c r="T57" s="2" t="str">
        <f>IFERROR(IF(ISBLANK(S57),"",INDEX([1]Gen_Vessels!$A$3:$C$500,MATCH(InspectionSite!$S57,[1]Gen_Vessels!$C$3:$C$500,0),1)),"")</f>
        <v/>
      </c>
      <c r="U57" s="2"/>
      <c r="V57" s="2"/>
      <c r="W57" s="2"/>
      <c r="X57" s="2"/>
      <c r="Y57" s="2"/>
      <c r="AB57" s="2"/>
      <c r="AC57" s="2"/>
      <c r="AD57" s="2"/>
      <c r="AE57" s="2"/>
      <c r="AF57" s="2"/>
      <c r="AG57" s="2"/>
      <c r="AH57" s="2"/>
    </row>
    <row r="58" spans="1:34" x14ac:dyDescent="0.25">
      <c r="A58" s="1" t="str">
        <f t="shared" si="0"/>
        <v/>
      </c>
      <c r="B58" s="2"/>
      <c r="C58" s="2"/>
      <c r="D58" s="2"/>
      <c r="E58" s="2"/>
      <c r="F58" s="2"/>
      <c r="G58" s="6"/>
      <c r="H58" s="2"/>
      <c r="I58" s="7"/>
      <c r="J58" s="8"/>
      <c r="Q58" s="2"/>
      <c r="R58" s="2" t="str">
        <f>IFERROR(IF(ISBLANK(Q58),"",INDEX([1]Gen_Vessels!$A$3:$C$500,MATCH(InspectionSite!$Q58,[1]Gen_Vessels!$C$3:$C$500,0),1)),"")</f>
        <v/>
      </c>
      <c r="S58" s="2"/>
      <c r="T58" s="2" t="str">
        <f>IFERROR(IF(ISBLANK(S58),"",INDEX([1]Gen_Vessels!$A$3:$C$500,MATCH(InspectionSite!$S58,[1]Gen_Vessels!$C$3:$C$500,0),1)),"")</f>
        <v/>
      </c>
      <c r="U58" s="2"/>
      <c r="V58" s="2"/>
      <c r="W58" s="2"/>
      <c r="X58" s="2"/>
      <c r="Y58" s="2"/>
      <c r="AB58" s="2"/>
      <c r="AC58" s="2"/>
      <c r="AD58" s="2"/>
      <c r="AE58" s="2"/>
      <c r="AF58" s="2"/>
      <c r="AG58" s="2"/>
      <c r="AH58" s="2"/>
    </row>
    <row r="59" spans="1:34" x14ac:dyDescent="0.25">
      <c r="A59" s="1" t="str">
        <f t="shared" si="0"/>
        <v/>
      </c>
      <c r="B59" s="2"/>
      <c r="C59" s="2"/>
      <c r="D59" s="2"/>
      <c r="E59" s="2"/>
      <c r="F59" s="2"/>
      <c r="G59" s="6"/>
      <c r="H59" s="2"/>
      <c r="I59" s="7"/>
      <c r="J59" s="8"/>
      <c r="Q59" s="2"/>
      <c r="R59" s="2" t="str">
        <f>IFERROR(IF(ISBLANK(Q59),"",INDEX([1]Gen_Vessels!$A$3:$C$500,MATCH(InspectionSite!$Q59,[1]Gen_Vessels!$C$3:$C$500,0),1)),"")</f>
        <v/>
      </c>
      <c r="S59" s="2"/>
      <c r="T59" s="2" t="str">
        <f>IFERROR(IF(ISBLANK(S59),"",INDEX([1]Gen_Vessels!$A$3:$C$500,MATCH(InspectionSite!$S59,[1]Gen_Vessels!$C$3:$C$500,0),1)),"")</f>
        <v/>
      </c>
      <c r="U59" s="2"/>
      <c r="V59" s="2"/>
      <c r="W59" s="2"/>
      <c r="X59" s="2"/>
      <c r="Y59" s="2"/>
      <c r="AB59" s="2"/>
      <c r="AC59" s="2"/>
      <c r="AD59" s="2"/>
      <c r="AE59" s="2"/>
      <c r="AF59" s="2"/>
      <c r="AG59" s="2"/>
      <c r="AH59" s="2"/>
    </row>
    <row r="60" spans="1:34" x14ac:dyDescent="0.25">
      <c r="A60" s="1" t="str">
        <f t="shared" si="0"/>
        <v/>
      </c>
      <c r="B60" s="2"/>
      <c r="C60" s="2"/>
      <c r="D60" s="2"/>
      <c r="E60" s="2"/>
      <c r="F60" s="2"/>
      <c r="G60" s="6"/>
      <c r="H60" s="2"/>
      <c r="I60" s="7"/>
      <c r="J60" s="8"/>
      <c r="Q60" s="2"/>
      <c r="R60" s="2" t="str">
        <f>IFERROR(IF(ISBLANK(Q60),"",INDEX([1]Gen_Vessels!$A$3:$C$500,MATCH(InspectionSite!$Q60,[1]Gen_Vessels!$C$3:$C$500,0),1)),"")</f>
        <v/>
      </c>
      <c r="S60" s="2"/>
      <c r="T60" s="2" t="str">
        <f>IFERROR(IF(ISBLANK(S60),"",INDEX([1]Gen_Vessels!$A$3:$C$500,MATCH(InspectionSite!$S60,[1]Gen_Vessels!$C$3:$C$500,0),1)),"")</f>
        <v/>
      </c>
      <c r="U60" s="2"/>
      <c r="V60" s="2"/>
      <c r="W60" s="2"/>
      <c r="X60" s="2"/>
      <c r="Y60" s="2"/>
      <c r="AB60" s="2"/>
      <c r="AC60" s="2"/>
      <c r="AD60" s="2"/>
      <c r="AE60" s="2"/>
      <c r="AF60" s="2"/>
      <c r="AG60" s="2"/>
      <c r="AH60" s="2"/>
    </row>
    <row r="61" spans="1:34" x14ac:dyDescent="0.25">
      <c r="A61" s="1" t="str">
        <f t="shared" si="0"/>
        <v/>
      </c>
      <c r="B61" s="2"/>
      <c r="C61" s="2"/>
      <c r="D61" s="2"/>
      <c r="E61" s="2"/>
      <c r="F61" s="2"/>
      <c r="G61" s="6"/>
      <c r="H61" s="2"/>
      <c r="I61" s="7"/>
      <c r="J61" s="8"/>
      <c r="Q61" s="2"/>
      <c r="R61" s="2" t="str">
        <f>IFERROR(IF(ISBLANK(Q61),"",INDEX([1]Gen_Vessels!$A$3:$C$500,MATCH(InspectionSite!$Q61,[1]Gen_Vessels!$C$3:$C$500,0),1)),"")</f>
        <v/>
      </c>
      <c r="S61" s="2"/>
      <c r="T61" s="2" t="str">
        <f>IFERROR(IF(ISBLANK(S61),"",INDEX([1]Gen_Vessels!$A$3:$C$500,MATCH(InspectionSite!$S61,[1]Gen_Vessels!$C$3:$C$500,0),1)),"")</f>
        <v/>
      </c>
      <c r="U61" s="2"/>
      <c r="V61" s="2"/>
      <c r="W61" s="2"/>
      <c r="X61" s="2"/>
      <c r="Y61" s="2"/>
      <c r="AB61" s="2"/>
      <c r="AC61" s="2"/>
      <c r="AD61" s="2"/>
      <c r="AE61" s="2"/>
      <c r="AF61" s="2"/>
      <c r="AG61" s="2"/>
      <c r="AH61" s="2"/>
    </row>
    <row r="62" spans="1:34" x14ac:dyDescent="0.25">
      <c r="A62" s="1" t="str">
        <f t="shared" si="0"/>
        <v/>
      </c>
      <c r="B62" s="2"/>
      <c r="C62" s="2"/>
      <c r="D62" s="2"/>
      <c r="E62" s="2"/>
      <c r="F62" s="2"/>
      <c r="G62" s="6"/>
      <c r="H62" s="2"/>
      <c r="I62" s="7"/>
      <c r="J62" s="8"/>
      <c r="Q62" s="2"/>
      <c r="R62" s="2" t="str">
        <f>IFERROR(IF(ISBLANK(Q62),"",INDEX([1]Gen_Vessels!$A$3:$C$500,MATCH(InspectionSite!$Q62,[1]Gen_Vessels!$C$3:$C$500,0),1)),"")</f>
        <v/>
      </c>
      <c r="S62" s="2"/>
      <c r="T62" s="2" t="str">
        <f>IFERROR(IF(ISBLANK(S62),"",INDEX([1]Gen_Vessels!$A$3:$C$500,MATCH(InspectionSite!$S62,[1]Gen_Vessels!$C$3:$C$500,0),1)),"")</f>
        <v/>
      </c>
      <c r="U62" s="2"/>
      <c r="V62" s="2"/>
      <c r="W62" s="2"/>
      <c r="X62" s="2"/>
      <c r="Y62" s="2"/>
      <c r="AB62" s="2"/>
      <c r="AC62" s="2"/>
      <c r="AD62" s="2"/>
      <c r="AE62" s="2"/>
      <c r="AF62" s="2"/>
      <c r="AG62" s="2"/>
      <c r="AH62" s="2"/>
    </row>
    <row r="63" spans="1:34" x14ac:dyDescent="0.25">
      <c r="A63" s="1" t="str">
        <f t="shared" si="0"/>
        <v/>
      </c>
      <c r="B63" s="2"/>
      <c r="C63" s="2"/>
      <c r="D63" s="2"/>
      <c r="E63" s="2"/>
      <c r="F63" s="2"/>
      <c r="G63" s="6"/>
      <c r="H63" s="2"/>
      <c r="I63" s="7"/>
      <c r="J63" s="8"/>
      <c r="Q63" s="2"/>
      <c r="R63" s="2" t="str">
        <f>IFERROR(IF(ISBLANK(Q63),"",INDEX([1]Gen_Vessels!$A$3:$C$500,MATCH(InspectionSite!$Q63,[1]Gen_Vessels!$C$3:$C$500,0),1)),"")</f>
        <v/>
      </c>
      <c r="S63" s="2"/>
      <c r="T63" s="2" t="str">
        <f>IFERROR(IF(ISBLANK(S63),"",INDEX([1]Gen_Vessels!$A$3:$C$500,MATCH(InspectionSite!$S63,[1]Gen_Vessels!$C$3:$C$500,0),1)),"")</f>
        <v/>
      </c>
      <c r="U63" s="2"/>
      <c r="V63" s="2"/>
      <c r="W63" s="2"/>
      <c r="X63" s="2"/>
      <c r="Y63" s="2"/>
      <c r="AB63" s="2"/>
      <c r="AC63" s="2"/>
      <c r="AD63" s="2"/>
      <c r="AE63" s="2"/>
      <c r="AF63" s="2"/>
      <c r="AG63" s="2"/>
      <c r="AH63" s="2"/>
    </row>
    <row r="64" spans="1:34" x14ac:dyDescent="0.25">
      <c r="A64" s="1" t="str">
        <f t="shared" si="0"/>
        <v/>
      </c>
      <c r="B64" s="2"/>
      <c r="C64" s="2"/>
      <c r="D64" s="2"/>
      <c r="E64" s="2"/>
      <c r="F64" s="2"/>
      <c r="G64" s="6"/>
      <c r="H64" s="2"/>
      <c r="I64" s="7"/>
      <c r="J64" s="8"/>
      <c r="Q64" s="2"/>
      <c r="R64" s="2" t="str">
        <f>IFERROR(IF(ISBLANK(Q64),"",INDEX([1]Gen_Vessels!$A$3:$C$500,MATCH(InspectionSite!$Q64,[1]Gen_Vessels!$C$3:$C$500,0),1)),"")</f>
        <v/>
      </c>
      <c r="S64" s="2"/>
      <c r="T64" s="2" t="str">
        <f>IFERROR(IF(ISBLANK(S64),"",INDEX([1]Gen_Vessels!$A$3:$C$500,MATCH(InspectionSite!$S64,[1]Gen_Vessels!$C$3:$C$500,0),1)),"")</f>
        <v/>
      </c>
      <c r="U64" s="2"/>
      <c r="V64" s="2"/>
      <c r="W64" s="2"/>
      <c r="X64" s="2"/>
      <c r="Y64" s="2"/>
      <c r="AB64" s="2"/>
      <c r="AC64" s="2"/>
      <c r="AD64" s="2"/>
      <c r="AE64" s="2"/>
      <c r="AF64" s="2"/>
      <c r="AG64" s="2"/>
      <c r="AH64" s="2"/>
    </row>
    <row r="65" spans="1:34" x14ac:dyDescent="0.25">
      <c r="A65" s="1" t="str">
        <f t="shared" si="0"/>
        <v/>
      </c>
      <c r="B65" s="2"/>
      <c r="C65" s="2"/>
      <c r="D65" s="2"/>
      <c r="E65" s="2"/>
      <c r="F65" s="2"/>
      <c r="G65" s="6"/>
      <c r="H65" s="2"/>
      <c r="I65" s="7"/>
      <c r="J65" s="8"/>
      <c r="Q65" s="2"/>
      <c r="R65" s="2" t="str">
        <f>IFERROR(IF(ISBLANK(Q65),"",INDEX([1]Gen_Vessels!$A$3:$C$500,MATCH(InspectionSite!$Q65,[1]Gen_Vessels!$C$3:$C$500,0),1)),"")</f>
        <v/>
      </c>
      <c r="S65" s="2"/>
      <c r="T65" s="2" t="str">
        <f>IFERROR(IF(ISBLANK(S65),"",INDEX([1]Gen_Vessels!$A$3:$C$500,MATCH(InspectionSite!$S65,[1]Gen_Vessels!$C$3:$C$500,0),1)),"")</f>
        <v/>
      </c>
      <c r="U65" s="2"/>
      <c r="V65" s="2"/>
      <c r="W65" s="2"/>
      <c r="X65" s="2"/>
      <c r="Y65" s="2"/>
      <c r="AB65" s="2"/>
      <c r="AC65" s="2"/>
      <c r="AD65" s="2"/>
      <c r="AE65" s="2"/>
      <c r="AF65" s="2"/>
      <c r="AG65" s="2"/>
      <c r="AH65" s="2"/>
    </row>
    <row r="66" spans="1:34" x14ac:dyDescent="0.25">
      <c r="A66" s="1" t="str">
        <f t="shared" si="0"/>
        <v/>
      </c>
      <c r="B66" s="2"/>
      <c r="C66" s="2"/>
      <c r="D66" s="2"/>
      <c r="E66" s="2"/>
      <c r="F66" s="2"/>
      <c r="G66" s="6"/>
      <c r="H66" s="2"/>
      <c r="I66" s="7"/>
      <c r="J66" s="8"/>
      <c r="Q66" s="2"/>
      <c r="R66" s="2" t="str">
        <f>IFERROR(IF(ISBLANK(Q66),"",INDEX([1]Gen_Vessels!$A$3:$C$500,MATCH(InspectionSite!$Q66,[1]Gen_Vessels!$C$3:$C$500,0),1)),"")</f>
        <v/>
      </c>
      <c r="S66" s="2"/>
      <c r="T66" s="2" t="str">
        <f>IFERROR(IF(ISBLANK(S66),"",INDEX([1]Gen_Vessels!$A$3:$C$500,MATCH(InspectionSite!$S66,[1]Gen_Vessels!$C$3:$C$500,0),1)),"")</f>
        <v/>
      </c>
      <c r="U66" s="2"/>
      <c r="V66" s="2"/>
      <c r="W66" s="2"/>
      <c r="X66" s="2"/>
      <c r="Y66" s="2"/>
      <c r="AB66" s="2"/>
      <c r="AC66" s="2"/>
      <c r="AD66" s="2"/>
      <c r="AE66" s="2"/>
      <c r="AF66" s="2"/>
      <c r="AG66" s="2"/>
      <c r="AH66" s="2"/>
    </row>
    <row r="67" spans="1:34" x14ac:dyDescent="0.25">
      <c r="A67" s="1" t="str">
        <f t="shared" ref="A67:A130" si="1">IF(ISBLANK($B67)=FALSE,IF(AND($G67&gt;0,$H67&lt;=0,$I67&lt;=0),_xlfn.CONCAT("ofw_",$B67),IF(AND($G67&lt;=0,$H67&gt;0,$I67&lt;=0),_xlfn.CONCAT("owc_",$B67),IF(AND($G67&lt;=0,$H67&lt;=0,$I67&gt;0),_xlfn.CONCAT("opv_",$B67),_xlfn.CONCAT("oce_",$B67)))),"")</f>
        <v/>
      </c>
      <c r="B67" s="2"/>
      <c r="C67" s="2"/>
      <c r="D67" s="2"/>
      <c r="E67" s="2"/>
      <c r="F67" s="2"/>
      <c r="G67" s="6"/>
      <c r="H67" s="2"/>
      <c r="I67" s="7"/>
      <c r="J67" s="8"/>
      <c r="Q67" s="2"/>
      <c r="R67" s="2" t="str">
        <f>IFERROR(IF(ISBLANK(Q67),"",INDEX([1]Gen_Vessels!$A$3:$C$500,MATCH(InspectionSite!$Q67,[1]Gen_Vessels!$C$3:$C$500,0),1)),"")</f>
        <v/>
      </c>
      <c r="S67" s="2"/>
      <c r="T67" s="2" t="str">
        <f>IFERROR(IF(ISBLANK(S67),"",INDEX([1]Gen_Vessels!$A$3:$C$500,MATCH(InspectionSite!$S67,[1]Gen_Vessels!$C$3:$C$500,0),1)),"")</f>
        <v/>
      </c>
      <c r="U67" s="2"/>
      <c r="V67" s="2"/>
      <c r="W67" s="2"/>
      <c r="X67" s="2"/>
      <c r="Y67" s="2"/>
      <c r="AB67" s="2"/>
      <c r="AC67" s="2"/>
      <c r="AD67" s="2"/>
      <c r="AE67" s="2"/>
      <c r="AF67" s="2"/>
      <c r="AG67" s="2"/>
      <c r="AH67" s="2"/>
    </row>
    <row r="68" spans="1:34" x14ac:dyDescent="0.25">
      <c r="A68" s="1" t="str">
        <f t="shared" si="1"/>
        <v/>
      </c>
      <c r="B68" s="2"/>
      <c r="C68" s="2"/>
      <c r="D68" s="2"/>
      <c r="E68" s="2"/>
      <c r="F68" s="2"/>
      <c r="G68" s="6"/>
      <c r="H68" s="2"/>
      <c r="I68" s="7"/>
      <c r="J68" s="8"/>
      <c r="Q68" s="2"/>
      <c r="R68" s="2" t="str">
        <f>IFERROR(IF(ISBLANK(Q68),"",INDEX([1]Gen_Vessels!$A$3:$C$500,MATCH(InspectionSite!$Q68,[1]Gen_Vessels!$C$3:$C$500,0),1)),"")</f>
        <v/>
      </c>
      <c r="S68" s="2"/>
      <c r="T68" s="2" t="str">
        <f>IFERROR(IF(ISBLANK(S68),"",INDEX([1]Gen_Vessels!$A$3:$C$500,MATCH(InspectionSite!$S68,[1]Gen_Vessels!$C$3:$C$500,0),1)),"")</f>
        <v/>
      </c>
      <c r="U68" s="2"/>
      <c r="V68" s="2"/>
      <c r="W68" s="2"/>
      <c r="X68" s="2"/>
      <c r="Y68" s="2"/>
      <c r="AB68" s="2"/>
      <c r="AC68" s="2"/>
      <c r="AD68" s="2"/>
      <c r="AE68" s="2"/>
      <c r="AF68" s="2"/>
      <c r="AG68" s="2"/>
      <c r="AH68" s="2"/>
    </row>
    <row r="69" spans="1:34" x14ac:dyDescent="0.25">
      <c r="A69" s="1" t="str">
        <f t="shared" si="1"/>
        <v/>
      </c>
      <c r="B69" s="2"/>
      <c r="C69" s="2"/>
      <c r="D69" s="2"/>
      <c r="E69" s="2"/>
      <c r="F69" s="2"/>
      <c r="G69" s="6"/>
      <c r="H69" s="2"/>
      <c r="I69" s="7"/>
      <c r="J69" s="8"/>
      <c r="Q69" s="2"/>
      <c r="R69" s="2" t="str">
        <f>IFERROR(IF(ISBLANK(Q69),"",INDEX([1]Gen_Vessels!$A$3:$C$500,MATCH(InspectionSite!$Q69,[1]Gen_Vessels!$C$3:$C$500,0),1)),"")</f>
        <v/>
      </c>
      <c r="S69" s="2"/>
      <c r="T69" s="2" t="str">
        <f>IFERROR(IF(ISBLANK(S69),"",INDEX([1]Gen_Vessels!$A$3:$C$500,MATCH(InspectionSite!$S69,[1]Gen_Vessels!$C$3:$C$500,0),1)),"")</f>
        <v/>
      </c>
      <c r="U69" s="2"/>
      <c r="V69" s="2"/>
      <c r="W69" s="2"/>
      <c r="X69" s="2"/>
      <c r="Y69" s="2"/>
      <c r="AB69" s="2"/>
      <c r="AC69" s="2"/>
      <c r="AD69" s="2"/>
      <c r="AE69" s="2"/>
      <c r="AF69" s="2"/>
      <c r="AG69" s="2"/>
      <c r="AH69" s="2"/>
    </row>
    <row r="70" spans="1:34" x14ac:dyDescent="0.25">
      <c r="A70" s="1" t="str">
        <f t="shared" si="1"/>
        <v/>
      </c>
      <c r="B70" s="2"/>
      <c r="C70" s="2"/>
      <c r="D70" s="2"/>
      <c r="E70" s="2"/>
      <c r="F70" s="2"/>
      <c r="G70" s="6"/>
      <c r="H70" s="2"/>
      <c r="I70" s="7"/>
      <c r="J70" s="8"/>
      <c r="Q70" s="2"/>
      <c r="R70" s="2" t="str">
        <f>IFERROR(IF(ISBLANK(Q70),"",INDEX([1]Gen_Vessels!$A$3:$C$500,MATCH(InspectionSite!$Q70,[1]Gen_Vessels!$C$3:$C$500,0),1)),"")</f>
        <v/>
      </c>
      <c r="S70" s="2"/>
      <c r="T70" s="2" t="str">
        <f>IFERROR(IF(ISBLANK(S70),"",INDEX([1]Gen_Vessels!$A$3:$C$500,MATCH(InspectionSite!$S70,[1]Gen_Vessels!$C$3:$C$500,0),1)),"")</f>
        <v/>
      </c>
      <c r="U70" s="2"/>
      <c r="V70" s="2"/>
      <c r="W70" s="2"/>
      <c r="X70" s="2"/>
      <c r="Y70" s="2"/>
      <c r="AB70" s="2"/>
      <c r="AC70" s="2"/>
      <c r="AD70" s="2"/>
      <c r="AE70" s="2"/>
      <c r="AF70" s="2"/>
      <c r="AG70" s="2"/>
      <c r="AH70" s="2"/>
    </row>
    <row r="71" spans="1:34" x14ac:dyDescent="0.25">
      <c r="A71" s="1" t="str">
        <f t="shared" si="1"/>
        <v/>
      </c>
      <c r="B71" s="2"/>
      <c r="C71" s="2"/>
      <c r="D71" s="2"/>
      <c r="E71" s="2"/>
      <c r="F71" s="2"/>
      <c r="G71" s="6"/>
      <c r="H71" s="2"/>
      <c r="I71" s="7"/>
      <c r="J71" s="8"/>
      <c r="Q71" s="2"/>
      <c r="R71" s="2" t="str">
        <f>IFERROR(IF(ISBLANK(Q71),"",INDEX([1]Gen_Vessels!$A$3:$C$500,MATCH(InspectionSite!$Q71,[1]Gen_Vessels!$C$3:$C$500,0),1)),"")</f>
        <v/>
      </c>
      <c r="S71" s="2"/>
      <c r="T71" s="2" t="str">
        <f>IFERROR(IF(ISBLANK(S71),"",INDEX([1]Gen_Vessels!$A$3:$C$500,MATCH(InspectionSite!$S71,[1]Gen_Vessels!$C$3:$C$500,0),1)),"")</f>
        <v/>
      </c>
      <c r="U71" s="2"/>
      <c r="V71" s="2"/>
      <c r="W71" s="2"/>
      <c r="X71" s="2"/>
      <c r="Y71" s="2"/>
      <c r="AB71" s="2"/>
      <c r="AC71" s="2"/>
      <c r="AD71" s="2"/>
      <c r="AE71" s="2"/>
      <c r="AF71" s="2"/>
      <c r="AG71" s="2"/>
      <c r="AH71" s="2"/>
    </row>
    <row r="72" spans="1:34" x14ac:dyDescent="0.25">
      <c r="A72" s="1" t="str">
        <f t="shared" si="1"/>
        <v/>
      </c>
      <c r="B72" s="2"/>
      <c r="C72" s="2"/>
      <c r="D72" s="2"/>
      <c r="E72" s="2"/>
      <c r="F72" s="2"/>
      <c r="G72" s="6"/>
      <c r="H72" s="2"/>
      <c r="I72" s="7"/>
      <c r="J72" s="8"/>
      <c r="Q72" s="2"/>
      <c r="R72" s="2" t="str">
        <f>IFERROR(IF(ISBLANK(Q72),"",INDEX([1]Gen_Vessels!$A$3:$C$500,MATCH(InspectionSite!$Q72,[1]Gen_Vessels!$C$3:$C$500,0),1)),"")</f>
        <v/>
      </c>
      <c r="S72" s="2"/>
      <c r="T72" s="2" t="str">
        <f>IFERROR(IF(ISBLANK(S72),"",INDEX([1]Gen_Vessels!$A$3:$C$500,MATCH(InspectionSite!$S72,[1]Gen_Vessels!$C$3:$C$500,0),1)),"")</f>
        <v/>
      </c>
      <c r="U72" s="2"/>
      <c r="V72" s="2"/>
      <c r="W72" s="2"/>
      <c r="X72" s="2"/>
      <c r="Y72" s="2"/>
      <c r="AB72" s="2"/>
      <c r="AC72" s="2"/>
      <c r="AD72" s="2"/>
      <c r="AE72" s="2"/>
      <c r="AF72" s="2"/>
      <c r="AG72" s="2"/>
      <c r="AH72" s="2"/>
    </row>
    <row r="73" spans="1:34" x14ac:dyDescent="0.25">
      <c r="A73" s="1" t="str">
        <f t="shared" si="1"/>
        <v/>
      </c>
      <c r="B73" s="2"/>
      <c r="C73" s="2"/>
      <c r="D73" s="2"/>
      <c r="E73" s="2"/>
      <c r="F73" s="2"/>
      <c r="G73" s="6"/>
      <c r="H73" s="2"/>
      <c r="I73" s="7"/>
      <c r="J73" s="8"/>
      <c r="Q73" s="2"/>
      <c r="R73" s="2" t="str">
        <f>IFERROR(IF(ISBLANK(Q73),"",INDEX([1]Gen_Vessels!$A$3:$C$500,MATCH(InspectionSite!$Q73,[1]Gen_Vessels!$C$3:$C$500,0),1)),"")</f>
        <v/>
      </c>
      <c r="S73" s="2"/>
      <c r="T73" s="2" t="str">
        <f>IFERROR(IF(ISBLANK(S73),"",INDEX([1]Gen_Vessels!$A$3:$C$500,MATCH(InspectionSite!$S73,[1]Gen_Vessels!$C$3:$C$500,0),1)),"")</f>
        <v/>
      </c>
      <c r="U73" s="2"/>
      <c r="V73" s="2"/>
      <c r="W73" s="2"/>
      <c r="X73" s="2"/>
      <c r="Y73" s="2"/>
      <c r="AB73" s="2"/>
      <c r="AC73" s="2"/>
      <c r="AD73" s="2"/>
      <c r="AE73" s="2"/>
      <c r="AF73" s="2"/>
      <c r="AG73" s="2"/>
      <c r="AH73" s="2"/>
    </row>
    <row r="74" spans="1:34" x14ac:dyDescent="0.25">
      <c r="A74" s="1" t="str">
        <f t="shared" si="1"/>
        <v/>
      </c>
      <c r="B74" s="2"/>
      <c r="C74" s="2"/>
      <c r="D74" s="2"/>
      <c r="E74" s="2"/>
      <c r="F74" s="2"/>
      <c r="G74" s="6"/>
      <c r="H74" s="2"/>
      <c r="I74" s="7"/>
      <c r="J74" s="8"/>
      <c r="Q74" s="2"/>
      <c r="R74" s="2" t="str">
        <f>IFERROR(IF(ISBLANK(Q74),"",INDEX([1]Gen_Vessels!$A$3:$C$500,MATCH(InspectionSite!$Q74,[1]Gen_Vessels!$C$3:$C$500,0),1)),"")</f>
        <v/>
      </c>
      <c r="S74" s="2"/>
      <c r="T74" s="2" t="str">
        <f>IFERROR(IF(ISBLANK(S74),"",INDEX([1]Gen_Vessels!$A$3:$C$500,MATCH(InspectionSite!$S74,[1]Gen_Vessels!$C$3:$C$500,0),1)),"")</f>
        <v/>
      </c>
      <c r="U74" s="2"/>
      <c r="V74" s="2"/>
      <c r="W74" s="2"/>
      <c r="X74" s="2"/>
      <c r="Y74" s="2"/>
      <c r="AB74" s="2"/>
      <c r="AC74" s="2"/>
      <c r="AD74" s="2"/>
      <c r="AE74" s="2"/>
      <c r="AF74" s="2"/>
      <c r="AG74" s="2"/>
      <c r="AH74" s="2"/>
    </row>
    <row r="75" spans="1:34" x14ac:dyDescent="0.25">
      <c r="A75" s="1" t="str">
        <f t="shared" si="1"/>
        <v/>
      </c>
      <c r="B75" s="2"/>
      <c r="C75" s="2"/>
      <c r="D75" s="2"/>
      <c r="E75" s="2"/>
      <c r="F75" s="2"/>
      <c r="G75" s="6"/>
      <c r="H75" s="2"/>
      <c r="I75" s="7"/>
      <c r="J75" s="8"/>
      <c r="Q75" s="2"/>
      <c r="R75" s="2" t="str">
        <f>IFERROR(IF(ISBLANK(Q75),"",INDEX([1]Gen_Vessels!$A$3:$C$500,MATCH(InspectionSite!$Q75,[1]Gen_Vessels!$C$3:$C$500,0),1)),"")</f>
        <v/>
      </c>
      <c r="S75" s="2"/>
      <c r="T75" s="2" t="str">
        <f>IFERROR(IF(ISBLANK(S75),"",INDEX([1]Gen_Vessels!$A$3:$C$500,MATCH(InspectionSite!$S75,[1]Gen_Vessels!$C$3:$C$500,0),1)),"")</f>
        <v/>
      </c>
      <c r="U75" s="2"/>
      <c r="V75" s="2"/>
      <c r="W75" s="2"/>
      <c r="X75" s="2"/>
      <c r="Y75" s="2"/>
      <c r="AB75" s="2"/>
      <c r="AC75" s="2"/>
      <c r="AD75" s="2"/>
      <c r="AE75" s="2"/>
      <c r="AF75" s="2"/>
      <c r="AG75" s="2"/>
      <c r="AH75" s="2"/>
    </row>
    <row r="76" spans="1:34" x14ac:dyDescent="0.25">
      <c r="A76" s="1" t="str">
        <f t="shared" si="1"/>
        <v/>
      </c>
      <c r="B76" s="2"/>
      <c r="C76" s="2"/>
      <c r="D76" s="2"/>
      <c r="E76" s="2"/>
      <c r="F76" s="2"/>
      <c r="G76" s="6"/>
      <c r="H76" s="2"/>
      <c r="I76" s="7"/>
      <c r="J76" s="8"/>
      <c r="Q76" s="2"/>
      <c r="R76" s="2" t="str">
        <f>IFERROR(IF(ISBLANK(Q76),"",INDEX([1]Gen_Vessels!$A$3:$C$500,MATCH(InspectionSite!$Q76,[1]Gen_Vessels!$C$3:$C$500,0),1)),"")</f>
        <v/>
      </c>
      <c r="S76" s="2"/>
      <c r="T76" s="2" t="str">
        <f>IFERROR(IF(ISBLANK(S76),"",INDEX([1]Gen_Vessels!$A$3:$C$500,MATCH(InspectionSite!$S76,[1]Gen_Vessels!$C$3:$C$500,0),1)),"")</f>
        <v/>
      </c>
      <c r="U76" s="2"/>
      <c r="V76" s="2"/>
      <c r="W76" s="2"/>
      <c r="X76" s="2"/>
      <c r="Y76" s="2"/>
      <c r="AB76" s="2"/>
      <c r="AC76" s="2"/>
      <c r="AD76" s="2"/>
      <c r="AE76" s="2"/>
      <c r="AF76" s="2"/>
      <c r="AG76" s="2"/>
      <c r="AH76" s="2"/>
    </row>
    <row r="77" spans="1:34" x14ac:dyDescent="0.25">
      <c r="A77" s="1" t="str">
        <f t="shared" si="1"/>
        <v/>
      </c>
      <c r="B77" s="2"/>
      <c r="C77" s="2"/>
      <c r="D77" s="2"/>
      <c r="E77" s="2"/>
      <c r="F77" s="2"/>
      <c r="G77" s="6"/>
      <c r="H77" s="2"/>
      <c r="I77" s="7"/>
      <c r="J77" s="8"/>
      <c r="Q77" s="2"/>
      <c r="R77" s="2" t="str">
        <f>IFERROR(IF(ISBLANK(Q77),"",INDEX([1]Gen_Vessels!$A$3:$C$500,MATCH(InspectionSite!$Q77,[1]Gen_Vessels!$C$3:$C$500,0),1)),"")</f>
        <v/>
      </c>
      <c r="S77" s="2"/>
      <c r="T77" s="2" t="str">
        <f>IFERROR(IF(ISBLANK(S77),"",INDEX([1]Gen_Vessels!$A$3:$C$500,MATCH(InspectionSite!$S77,[1]Gen_Vessels!$C$3:$C$500,0),1)),"")</f>
        <v/>
      </c>
      <c r="U77" s="2"/>
      <c r="V77" s="2"/>
      <c r="W77" s="2"/>
      <c r="X77" s="2"/>
      <c r="Y77" s="2"/>
      <c r="AB77" s="2"/>
      <c r="AC77" s="2"/>
      <c r="AD77" s="2"/>
      <c r="AE77" s="2"/>
      <c r="AF77" s="2"/>
      <c r="AG77" s="2"/>
      <c r="AH77" s="2"/>
    </row>
    <row r="78" spans="1:34" x14ac:dyDescent="0.25">
      <c r="A78" s="1" t="str">
        <f t="shared" si="1"/>
        <v/>
      </c>
      <c r="B78" s="2"/>
      <c r="C78" s="2"/>
      <c r="D78" s="2"/>
      <c r="E78" s="2"/>
      <c r="F78" s="2"/>
      <c r="G78" s="6"/>
      <c r="H78" s="2"/>
      <c r="I78" s="7"/>
      <c r="J78" s="8"/>
      <c r="Q78" s="2"/>
      <c r="R78" s="2" t="str">
        <f>IFERROR(IF(ISBLANK(Q78),"",INDEX([1]Gen_Vessels!$A$3:$C$500,MATCH(InspectionSite!$Q78,[1]Gen_Vessels!$C$3:$C$500,0),1)),"")</f>
        <v/>
      </c>
      <c r="S78" s="2"/>
      <c r="T78" s="2" t="str">
        <f>IFERROR(IF(ISBLANK(S78),"",INDEX([1]Gen_Vessels!$A$3:$C$500,MATCH(InspectionSite!$S78,[1]Gen_Vessels!$C$3:$C$500,0),1)),"")</f>
        <v/>
      </c>
      <c r="U78" s="2"/>
      <c r="V78" s="2"/>
      <c r="W78" s="2"/>
      <c r="X78" s="2"/>
      <c r="Y78" s="2"/>
      <c r="AB78" s="2"/>
      <c r="AC78" s="2"/>
      <c r="AD78" s="2"/>
      <c r="AE78" s="2"/>
      <c r="AF78" s="2"/>
      <c r="AG78" s="2"/>
      <c r="AH78" s="2"/>
    </row>
    <row r="79" spans="1:34" x14ac:dyDescent="0.25">
      <c r="A79" s="1" t="str">
        <f t="shared" si="1"/>
        <v/>
      </c>
      <c r="B79" s="2"/>
      <c r="C79" s="2"/>
      <c r="D79" s="2"/>
      <c r="E79" s="2"/>
      <c r="F79" s="2"/>
      <c r="G79" s="6"/>
      <c r="H79" s="2"/>
      <c r="I79" s="7"/>
      <c r="J79" s="8"/>
      <c r="Q79" s="2"/>
      <c r="R79" s="2" t="str">
        <f>IFERROR(IF(ISBLANK(Q79),"",INDEX([1]Gen_Vessels!$A$3:$C$500,MATCH(InspectionSite!$Q79,[1]Gen_Vessels!$C$3:$C$500,0),1)),"")</f>
        <v/>
      </c>
      <c r="S79" s="2"/>
      <c r="T79" s="2" t="str">
        <f>IFERROR(IF(ISBLANK(S79),"",INDEX([1]Gen_Vessels!$A$3:$C$500,MATCH(InspectionSite!$S79,[1]Gen_Vessels!$C$3:$C$500,0),1)),"")</f>
        <v/>
      </c>
      <c r="U79" s="2"/>
      <c r="V79" s="2"/>
      <c r="W79" s="2"/>
      <c r="X79" s="2"/>
      <c r="Y79" s="2"/>
      <c r="AB79" s="2"/>
      <c r="AC79" s="2"/>
      <c r="AD79" s="2"/>
      <c r="AE79" s="2"/>
      <c r="AF79" s="2"/>
      <c r="AG79" s="2"/>
      <c r="AH79" s="2"/>
    </row>
    <row r="80" spans="1:34" x14ac:dyDescent="0.25">
      <c r="A80" s="1" t="str">
        <f t="shared" si="1"/>
        <v/>
      </c>
      <c r="B80" s="2"/>
      <c r="C80" s="2"/>
      <c r="D80" s="2"/>
      <c r="E80" s="2"/>
      <c r="F80" s="2"/>
      <c r="G80" s="6"/>
      <c r="H80" s="2"/>
      <c r="I80" s="7"/>
      <c r="J80" s="8"/>
      <c r="Q80" s="2"/>
      <c r="R80" s="2" t="str">
        <f>IFERROR(IF(ISBLANK(Q80),"",INDEX([1]Gen_Vessels!$A$3:$C$500,MATCH(InspectionSite!$Q80,[1]Gen_Vessels!$C$3:$C$500,0),1)),"")</f>
        <v/>
      </c>
      <c r="S80" s="2"/>
      <c r="T80" s="2" t="str">
        <f>IFERROR(IF(ISBLANK(S80),"",INDEX([1]Gen_Vessels!$A$3:$C$500,MATCH(InspectionSite!$S80,[1]Gen_Vessels!$C$3:$C$500,0),1)),"")</f>
        <v/>
      </c>
      <c r="U80" s="2"/>
      <c r="V80" s="2"/>
      <c r="W80" s="2"/>
      <c r="X80" s="2"/>
      <c r="Y80" s="2"/>
      <c r="AB80" s="2"/>
      <c r="AC80" s="2"/>
      <c r="AD80" s="2"/>
      <c r="AE80" s="2"/>
      <c r="AF80" s="2"/>
      <c r="AG80" s="2"/>
      <c r="AH80" s="2"/>
    </row>
    <row r="81" spans="1:34" x14ac:dyDescent="0.25">
      <c r="A81" s="1" t="str">
        <f t="shared" si="1"/>
        <v/>
      </c>
      <c r="B81" s="2"/>
      <c r="C81" s="2"/>
      <c r="D81" s="2"/>
      <c r="E81" s="2"/>
      <c r="F81" s="2"/>
      <c r="G81" s="6"/>
      <c r="H81" s="2"/>
      <c r="I81" s="7"/>
      <c r="J81" s="8"/>
      <c r="Q81" s="2"/>
      <c r="R81" s="2" t="str">
        <f>IFERROR(IF(ISBLANK(Q81),"",INDEX([1]Gen_Vessels!$A$3:$C$500,MATCH(InspectionSite!$Q81,[1]Gen_Vessels!$C$3:$C$500,0),1)),"")</f>
        <v/>
      </c>
      <c r="S81" s="2"/>
      <c r="T81" s="2" t="str">
        <f>IFERROR(IF(ISBLANK(S81),"",INDEX([1]Gen_Vessels!$A$3:$C$500,MATCH(InspectionSite!$S81,[1]Gen_Vessels!$C$3:$C$500,0),1)),"")</f>
        <v/>
      </c>
      <c r="U81" s="2"/>
      <c r="V81" s="2"/>
      <c r="W81" s="2"/>
      <c r="X81" s="2"/>
      <c r="Y81" s="2"/>
      <c r="AB81" s="2"/>
      <c r="AC81" s="2"/>
      <c r="AD81" s="2"/>
      <c r="AE81" s="2"/>
      <c r="AF81" s="2"/>
      <c r="AG81" s="2"/>
      <c r="AH81" s="2"/>
    </row>
    <row r="82" spans="1:34" x14ac:dyDescent="0.25">
      <c r="A82" s="1" t="str">
        <f t="shared" si="1"/>
        <v/>
      </c>
      <c r="B82" s="2"/>
      <c r="C82" s="2"/>
      <c r="D82" s="2"/>
      <c r="E82" s="2"/>
      <c r="F82" s="2"/>
      <c r="G82" s="6"/>
      <c r="H82" s="2"/>
      <c r="I82" s="7"/>
      <c r="J82" s="8"/>
      <c r="Q82" s="2"/>
      <c r="R82" s="2" t="str">
        <f>IFERROR(IF(ISBLANK(Q82),"",INDEX([1]Gen_Vessels!$A$3:$C$500,MATCH(InspectionSite!$Q82,[1]Gen_Vessels!$C$3:$C$500,0),1)),"")</f>
        <v/>
      </c>
      <c r="S82" s="2"/>
      <c r="T82" s="2" t="str">
        <f>IFERROR(IF(ISBLANK(S82),"",INDEX([1]Gen_Vessels!$A$3:$C$500,MATCH(InspectionSite!$S82,[1]Gen_Vessels!$C$3:$C$500,0),1)),"")</f>
        <v/>
      </c>
      <c r="U82" s="2"/>
      <c r="V82" s="2"/>
      <c r="W82" s="2"/>
      <c r="X82" s="2"/>
      <c r="Y82" s="2"/>
      <c r="AB82" s="2"/>
      <c r="AC82" s="2"/>
      <c r="AD82" s="2"/>
      <c r="AE82" s="2"/>
      <c r="AF82" s="2"/>
      <c r="AG82" s="2"/>
      <c r="AH82" s="2"/>
    </row>
    <row r="83" spans="1:34" x14ac:dyDescent="0.25">
      <c r="A83" s="1" t="str">
        <f t="shared" si="1"/>
        <v/>
      </c>
      <c r="B83" s="2"/>
      <c r="C83" s="2"/>
      <c r="D83" s="2"/>
      <c r="E83" s="2"/>
      <c r="F83" s="2"/>
      <c r="G83" s="6"/>
      <c r="H83" s="2"/>
      <c r="I83" s="7"/>
      <c r="J83" s="8"/>
      <c r="Q83" s="2"/>
      <c r="R83" s="2" t="str">
        <f>IFERROR(IF(ISBLANK(Q83),"",INDEX([1]Gen_Vessels!$A$3:$C$500,MATCH(InspectionSite!$Q83,[1]Gen_Vessels!$C$3:$C$500,0),1)),"")</f>
        <v/>
      </c>
      <c r="S83" s="2"/>
      <c r="T83" s="2" t="str">
        <f>IFERROR(IF(ISBLANK(S83),"",INDEX([1]Gen_Vessels!$A$3:$C$500,MATCH(InspectionSite!$S83,[1]Gen_Vessels!$C$3:$C$500,0),1)),"")</f>
        <v/>
      </c>
      <c r="U83" s="2"/>
      <c r="V83" s="2"/>
      <c r="W83" s="2"/>
      <c r="X83" s="2"/>
      <c r="Y83" s="2"/>
      <c r="AB83" s="2"/>
      <c r="AC83" s="2"/>
      <c r="AD83" s="2"/>
      <c r="AE83" s="2"/>
      <c r="AF83" s="2"/>
      <c r="AG83" s="2"/>
      <c r="AH83" s="2"/>
    </row>
    <row r="84" spans="1:34" x14ac:dyDescent="0.25">
      <c r="A84" s="1" t="str">
        <f t="shared" si="1"/>
        <v/>
      </c>
      <c r="B84" s="2"/>
      <c r="C84" s="2"/>
      <c r="D84" s="2"/>
      <c r="E84" s="2"/>
      <c r="F84" s="2"/>
      <c r="G84" s="6"/>
      <c r="H84" s="2"/>
      <c r="I84" s="7"/>
      <c r="J84" s="8"/>
      <c r="Q84" s="2"/>
      <c r="R84" s="2" t="str">
        <f>IFERROR(IF(ISBLANK(Q84),"",INDEX([1]Gen_Vessels!$A$3:$C$500,MATCH(InspectionSite!$Q84,[1]Gen_Vessels!$C$3:$C$500,0),1)),"")</f>
        <v/>
      </c>
      <c r="S84" s="2"/>
      <c r="T84" s="2" t="str">
        <f>IFERROR(IF(ISBLANK(S84),"",INDEX([1]Gen_Vessels!$A$3:$C$500,MATCH(InspectionSite!$S84,[1]Gen_Vessels!$C$3:$C$500,0),1)),"")</f>
        <v/>
      </c>
      <c r="U84" s="2"/>
      <c r="V84" s="2"/>
      <c r="W84" s="2"/>
      <c r="X84" s="2"/>
      <c r="Y84" s="2"/>
      <c r="AB84" s="2"/>
      <c r="AC84" s="2"/>
      <c r="AD84" s="2"/>
      <c r="AE84" s="2"/>
      <c r="AF84" s="2"/>
      <c r="AG84" s="2"/>
      <c r="AH84" s="2"/>
    </row>
    <row r="85" spans="1:34" x14ac:dyDescent="0.25">
      <c r="A85" s="1" t="str">
        <f t="shared" si="1"/>
        <v/>
      </c>
      <c r="B85" s="2"/>
      <c r="C85" s="2"/>
      <c r="D85" s="2"/>
      <c r="E85" s="2"/>
      <c r="F85" s="2"/>
      <c r="G85" s="6"/>
      <c r="H85" s="2"/>
      <c r="I85" s="7"/>
      <c r="J85" s="8"/>
      <c r="Q85" s="2"/>
      <c r="R85" s="2" t="str">
        <f>IFERROR(IF(ISBLANK(Q85),"",INDEX([1]Gen_Vessels!$A$3:$C$500,MATCH(InspectionSite!$Q85,[1]Gen_Vessels!$C$3:$C$500,0),1)),"")</f>
        <v/>
      </c>
      <c r="S85" s="2"/>
      <c r="T85" s="2" t="str">
        <f>IFERROR(IF(ISBLANK(S85),"",INDEX([1]Gen_Vessels!$A$3:$C$500,MATCH(InspectionSite!$S85,[1]Gen_Vessels!$C$3:$C$500,0),1)),"")</f>
        <v/>
      </c>
      <c r="U85" s="2"/>
      <c r="V85" s="2"/>
      <c r="W85" s="2"/>
      <c r="X85" s="2"/>
      <c r="Y85" s="2"/>
      <c r="AB85" s="2"/>
      <c r="AC85" s="2"/>
      <c r="AD85" s="2"/>
      <c r="AE85" s="2"/>
      <c r="AF85" s="2"/>
      <c r="AG85" s="2"/>
      <c r="AH85" s="2"/>
    </row>
    <row r="86" spans="1:34" x14ac:dyDescent="0.25">
      <c r="A86" s="1" t="str">
        <f t="shared" si="1"/>
        <v/>
      </c>
      <c r="B86" s="2"/>
      <c r="C86" s="2"/>
      <c r="D86" s="2"/>
      <c r="E86" s="2"/>
      <c r="F86" s="2"/>
      <c r="G86" s="6"/>
      <c r="H86" s="2"/>
      <c r="I86" s="7"/>
      <c r="J86" s="8"/>
      <c r="Q86" s="2"/>
      <c r="R86" s="2" t="str">
        <f>IFERROR(IF(ISBLANK(Q86),"",INDEX([1]Gen_Vessels!$A$3:$C$500,MATCH(InspectionSite!$Q86,[1]Gen_Vessels!$C$3:$C$500,0),1)),"")</f>
        <v/>
      </c>
      <c r="S86" s="2"/>
      <c r="T86" s="2" t="str">
        <f>IFERROR(IF(ISBLANK(S86),"",INDEX([1]Gen_Vessels!$A$3:$C$500,MATCH(InspectionSite!$S86,[1]Gen_Vessels!$C$3:$C$500,0),1)),"")</f>
        <v/>
      </c>
      <c r="U86" s="2"/>
      <c r="V86" s="2"/>
      <c r="W86" s="2"/>
      <c r="X86" s="2"/>
      <c r="Y86" s="2"/>
      <c r="AB86" s="2"/>
      <c r="AC86" s="2"/>
      <c r="AD86" s="2"/>
      <c r="AE86" s="2"/>
      <c r="AF86" s="2"/>
      <c r="AG86" s="2"/>
      <c r="AH86" s="2"/>
    </row>
    <row r="87" spans="1:34" x14ac:dyDescent="0.25">
      <c r="A87" s="1" t="str">
        <f t="shared" si="1"/>
        <v/>
      </c>
      <c r="B87" s="2"/>
      <c r="C87" s="2"/>
      <c r="D87" s="2"/>
      <c r="E87" s="2"/>
      <c r="F87" s="2"/>
      <c r="G87" s="6"/>
      <c r="H87" s="2"/>
      <c r="I87" s="7"/>
      <c r="J87" s="8"/>
      <c r="Q87" s="2"/>
      <c r="R87" s="2" t="str">
        <f>IFERROR(IF(ISBLANK(Q87),"",INDEX([1]Gen_Vessels!$A$3:$C$500,MATCH(InspectionSite!$Q87,[1]Gen_Vessels!$C$3:$C$500,0),1)),"")</f>
        <v/>
      </c>
      <c r="S87" s="2"/>
      <c r="T87" s="2" t="str">
        <f>IFERROR(IF(ISBLANK(S87),"",INDEX([1]Gen_Vessels!$A$3:$C$500,MATCH(InspectionSite!$S87,[1]Gen_Vessels!$C$3:$C$500,0),1)),"")</f>
        <v/>
      </c>
      <c r="U87" s="2"/>
      <c r="V87" s="2"/>
      <c r="W87" s="2"/>
      <c r="X87" s="2"/>
      <c r="Y87" s="2"/>
      <c r="AB87" s="2"/>
      <c r="AC87" s="2"/>
      <c r="AD87" s="2"/>
      <c r="AE87" s="2"/>
      <c r="AF87" s="2"/>
      <c r="AG87" s="2"/>
      <c r="AH87" s="2"/>
    </row>
    <row r="88" spans="1:34" x14ac:dyDescent="0.25">
      <c r="A88" s="1" t="str">
        <f t="shared" si="1"/>
        <v/>
      </c>
      <c r="B88" s="2"/>
      <c r="C88" s="2"/>
      <c r="D88" s="2"/>
      <c r="E88" s="2"/>
      <c r="F88" s="2"/>
      <c r="G88" s="6"/>
      <c r="H88" s="2"/>
      <c r="I88" s="7"/>
      <c r="J88" s="8"/>
      <c r="Q88" s="2"/>
      <c r="R88" s="2" t="str">
        <f>IFERROR(IF(ISBLANK(Q88),"",INDEX([1]Gen_Vessels!$A$3:$C$500,MATCH(InspectionSite!$Q88,[1]Gen_Vessels!$C$3:$C$500,0),1)),"")</f>
        <v/>
      </c>
      <c r="S88" s="2"/>
      <c r="T88" s="2" t="str">
        <f>IFERROR(IF(ISBLANK(S88),"",INDEX([1]Gen_Vessels!$A$3:$C$500,MATCH(InspectionSite!$S88,[1]Gen_Vessels!$C$3:$C$500,0),1)),"")</f>
        <v/>
      </c>
      <c r="U88" s="2"/>
      <c r="V88" s="2"/>
      <c r="W88" s="2"/>
      <c r="X88" s="2"/>
      <c r="Y88" s="2"/>
      <c r="AB88" s="2"/>
      <c r="AC88" s="2"/>
      <c r="AD88" s="2"/>
      <c r="AE88" s="2"/>
      <c r="AF88" s="2"/>
      <c r="AG88" s="2"/>
      <c r="AH88" s="2"/>
    </row>
    <row r="89" spans="1:34" x14ac:dyDescent="0.25">
      <c r="A89" s="1" t="str">
        <f t="shared" si="1"/>
        <v/>
      </c>
      <c r="B89" s="2"/>
      <c r="C89" s="2"/>
      <c r="D89" s="2"/>
      <c r="E89" s="2"/>
      <c r="F89" s="2"/>
      <c r="G89" s="6"/>
      <c r="H89" s="2"/>
      <c r="I89" s="7"/>
      <c r="J89" s="8"/>
      <c r="Q89" s="2"/>
      <c r="R89" s="2" t="str">
        <f>IFERROR(IF(ISBLANK(Q89),"",INDEX([1]Gen_Vessels!$A$3:$C$500,MATCH(InspectionSite!$Q89,[1]Gen_Vessels!$C$3:$C$500,0),1)),"")</f>
        <v/>
      </c>
      <c r="S89" s="2"/>
      <c r="T89" s="2" t="str">
        <f>IFERROR(IF(ISBLANK(S89),"",INDEX([1]Gen_Vessels!$A$3:$C$500,MATCH(InspectionSite!$S89,[1]Gen_Vessels!$C$3:$C$500,0),1)),"")</f>
        <v/>
      </c>
      <c r="U89" s="2"/>
      <c r="V89" s="2"/>
      <c r="W89" s="2"/>
      <c r="X89" s="2"/>
      <c r="Y89" s="2"/>
      <c r="AB89" s="2"/>
      <c r="AC89" s="2"/>
      <c r="AD89" s="2"/>
      <c r="AE89" s="2"/>
      <c r="AF89" s="2"/>
      <c r="AG89" s="2"/>
      <c r="AH89" s="2"/>
    </row>
    <row r="90" spans="1:34" x14ac:dyDescent="0.25">
      <c r="A90" s="1" t="str">
        <f t="shared" si="1"/>
        <v/>
      </c>
      <c r="B90" s="2"/>
      <c r="C90" s="2"/>
      <c r="D90" s="2"/>
      <c r="E90" s="2"/>
      <c r="F90" s="2"/>
      <c r="G90" s="6"/>
      <c r="H90" s="2"/>
      <c r="I90" s="7"/>
      <c r="J90" s="8"/>
      <c r="Q90" s="2"/>
      <c r="R90" s="2" t="str">
        <f>IFERROR(IF(ISBLANK(Q90),"",INDEX([1]Gen_Vessels!$A$3:$C$500,MATCH(InspectionSite!$Q90,[1]Gen_Vessels!$C$3:$C$500,0),1)),"")</f>
        <v/>
      </c>
      <c r="S90" s="2"/>
      <c r="T90" s="2" t="str">
        <f>IFERROR(IF(ISBLANK(S90),"",INDEX([1]Gen_Vessels!$A$3:$C$500,MATCH(InspectionSite!$S90,[1]Gen_Vessels!$C$3:$C$500,0),1)),"")</f>
        <v/>
      </c>
      <c r="U90" s="2"/>
      <c r="V90" s="2"/>
      <c r="W90" s="2"/>
      <c r="X90" s="2"/>
      <c r="Y90" s="2"/>
      <c r="AB90" s="2"/>
      <c r="AC90" s="2"/>
      <c r="AD90" s="2"/>
      <c r="AE90" s="2"/>
      <c r="AF90" s="2"/>
      <c r="AG90" s="2"/>
      <c r="AH90" s="2"/>
    </row>
    <row r="91" spans="1:34" x14ac:dyDescent="0.25">
      <c r="A91" s="1" t="str">
        <f t="shared" si="1"/>
        <v/>
      </c>
      <c r="B91" s="2"/>
      <c r="C91" s="2"/>
      <c r="D91" s="2"/>
      <c r="E91" s="2"/>
      <c r="F91" s="2"/>
      <c r="G91" s="6"/>
      <c r="H91" s="2"/>
      <c r="I91" s="7"/>
      <c r="J91" s="8"/>
      <c r="Q91" s="2"/>
      <c r="R91" s="2" t="str">
        <f>IFERROR(IF(ISBLANK(Q91),"",INDEX([1]Gen_Vessels!$A$3:$C$500,MATCH(InspectionSite!$Q91,[1]Gen_Vessels!$C$3:$C$500,0),1)),"")</f>
        <v/>
      </c>
      <c r="S91" s="2"/>
      <c r="T91" s="2" t="str">
        <f>IFERROR(IF(ISBLANK(S91),"",INDEX([1]Gen_Vessels!$A$3:$C$500,MATCH(InspectionSite!$S91,[1]Gen_Vessels!$C$3:$C$500,0),1)),"")</f>
        <v/>
      </c>
      <c r="U91" s="2"/>
      <c r="V91" s="2"/>
      <c r="W91" s="2"/>
      <c r="X91" s="2"/>
      <c r="Y91" s="2"/>
      <c r="AB91" s="2"/>
      <c r="AC91" s="2"/>
      <c r="AD91" s="2"/>
      <c r="AE91" s="2"/>
      <c r="AF91" s="2"/>
      <c r="AG91" s="2"/>
      <c r="AH91" s="2"/>
    </row>
    <row r="92" spans="1:34" x14ac:dyDescent="0.25">
      <c r="A92" s="1" t="str">
        <f t="shared" si="1"/>
        <v/>
      </c>
      <c r="B92" s="2"/>
      <c r="C92" s="2"/>
      <c r="D92" s="2"/>
      <c r="E92" s="2"/>
      <c r="F92" s="2"/>
      <c r="G92" s="6"/>
      <c r="H92" s="2"/>
      <c r="I92" s="7"/>
      <c r="J92" s="8"/>
      <c r="Q92" s="2"/>
      <c r="R92" s="2" t="str">
        <f>IFERROR(IF(ISBLANK(Q92),"",INDEX([1]Gen_Vessels!$A$3:$C$500,MATCH(InspectionSite!$Q92,[1]Gen_Vessels!$C$3:$C$500,0),1)),"")</f>
        <v/>
      </c>
      <c r="S92" s="2"/>
      <c r="T92" s="2" t="str">
        <f>IFERROR(IF(ISBLANK(S92),"",INDEX([1]Gen_Vessels!$A$3:$C$500,MATCH(InspectionSite!$S92,[1]Gen_Vessels!$C$3:$C$500,0),1)),"")</f>
        <v/>
      </c>
      <c r="U92" s="2"/>
      <c r="V92" s="2"/>
      <c r="W92" s="2"/>
      <c r="X92" s="2"/>
      <c r="Y92" s="2"/>
      <c r="AB92" s="2"/>
      <c r="AC92" s="2"/>
      <c r="AD92" s="2"/>
      <c r="AE92" s="2"/>
      <c r="AF92" s="2"/>
      <c r="AG92" s="2"/>
      <c r="AH92" s="2"/>
    </row>
    <row r="93" spans="1:34" x14ac:dyDescent="0.25">
      <c r="A93" s="1" t="str">
        <f t="shared" si="1"/>
        <v/>
      </c>
      <c r="B93" s="2"/>
      <c r="C93" s="2"/>
      <c r="D93" s="2"/>
      <c r="E93" s="2"/>
      <c r="F93" s="2"/>
      <c r="G93" s="6"/>
      <c r="H93" s="2"/>
      <c r="I93" s="7"/>
      <c r="J93" s="8"/>
      <c r="Q93" s="2"/>
      <c r="R93" s="2" t="str">
        <f>IFERROR(IF(ISBLANK(Q93),"",INDEX([1]Gen_Vessels!$A$3:$C$500,MATCH(InspectionSite!$Q93,[1]Gen_Vessels!$C$3:$C$500,0),1)),"")</f>
        <v/>
      </c>
      <c r="S93" s="2"/>
      <c r="T93" s="2" t="str">
        <f>IFERROR(IF(ISBLANK(S93),"",INDEX([1]Gen_Vessels!$A$3:$C$500,MATCH(InspectionSite!$S93,[1]Gen_Vessels!$C$3:$C$500,0),1)),"")</f>
        <v/>
      </c>
      <c r="U93" s="2"/>
      <c r="V93" s="2"/>
      <c r="W93" s="2"/>
      <c r="X93" s="2"/>
      <c r="Y93" s="2"/>
      <c r="AB93" s="2"/>
      <c r="AC93" s="2"/>
      <c r="AD93" s="2"/>
      <c r="AE93" s="2"/>
      <c r="AF93" s="2"/>
      <c r="AG93" s="2"/>
      <c r="AH93" s="2"/>
    </row>
    <row r="94" spans="1:34" x14ac:dyDescent="0.25">
      <c r="A94" s="1" t="str">
        <f t="shared" si="1"/>
        <v/>
      </c>
      <c r="B94" s="2"/>
      <c r="C94" s="2"/>
      <c r="D94" s="2"/>
      <c r="E94" s="2"/>
      <c r="F94" s="2"/>
      <c r="G94" s="6"/>
      <c r="H94" s="2"/>
      <c r="I94" s="7"/>
      <c r="J94" s="8"/>
      <c r="Q94" s="2"/>
      <c r="R94" s="2" t="str">
        <f>IFERROR(IF(ISBLANK(Q94),"",INDEX([1]Gen_Vessels!$A$3:$C$500,MATCH(InspectionSite!$Q94,[1]Gen_Vessels!$C$3:$C$500,0),1)),"")</f>
        <v/>
      </c>
      <c r="S94" s="2"/>
      <c r="T94" s="2" t="str">
        <f>IFERROR(IF(ISBLANK(S94),"",INDEX([1]Gen_Vessels!$A$3:$C$500,MATCH(InspectionSite!$S94,[1]Gen_Vessels!$C$3:$C$500,0),1)),"")</f>
        <v/>
      </c>
      <c r="U94" s="2"/>
      <c r="V94" s="2"/>
      <c r="W94" s="2"/>
      <c r="X94" s="2"/>
      <c r="Y94" s="2"/>
      <c r="AB94" s="2"/>
      <c r="AC94" s="2"/>
      <c r="AD94" s="2"/>
      <c r="AE94" s="2"/>
      <c r="AF94" s="2"/>
      <c r="AG94" s="2"/>
      <c r="AH94" s="2"/>
    </row>
    <row r="95" spans="1:34" x14ac:dyDescent="0.25">
      <c r="A95" s="1" t="str">
        <f t="shared" si="1"/>
        <v/>
      </c>
      <c r="B95" s="2"/>
      <c r="C95" s="2"/>
      <c r="D95" s="2"/>
      <c r="E95" s="2"/>
      <c r="F95" s="2"/>
      <c r="G95" s="6"/>
      <c r="H95" s="2"/>
      <c r="I95" s="7"/>
      <c r="J95" s="8"/>
      <c r="Q95" s="2"/>
      <c r="R95" s="2" t="str">
        <f>IFERROR(IF(ISBLANK(Q95),"",INDEX([1]Gen_Vessels!$A$3:$C$500,MATCH(InspectionSite!$Q95,[1]Gen_Vessels!$C$3:$C$500,0),1)),"")</f>
        <v/>
      </c>
      <c r="S95" s="2"/>
      <c r="T95" s="2" t="str">
        <f>IFERROR(IF(ISBLANK(S95),"",INDEX([1]Gen_Vessels!$A$3:$C$500,MATCH(InspectionSite!$S95,[1]Gen_Vessels!$C$3:$C$500,0),1)),"")</f>
        <v/>
      </c>
      <c r="U95" s="2"/>
      <c r="V95" s="2"/>
      <c r="W95" s="2"/>
      <c r="X95" s="2"/>
      <c r="Y95" s="2"/>
      <c r="AB95" s="2"/>
      <c r="AC95" s="2"/>
      <c r="AD95" s="2"/>
      <c r="AE95" s="2"/>
      <c r="AF95" s="2"/>
      <c r="AG95" s="2"/>
      <c r="AH95" s="2"/>
    </row>
    <row r="96" spans="1:34" x14ac:dyDescent="0.25">
      <c r="A96" s="1" t="str">
        <f t="shared" si="1"/>
        <v/>
      </c>
      <c r="B96" s="2"/>
      <c r="C96" s="2"/>
      <c r="D96" s="2"/>
      <c r="E96" s="2"/>
      <c r="F96" s="2"/>
      <c r="G96" s="6"/>
      <c r="H96" s="2"/>
      <c r="I96" s="7"/>
      <c r="J96" s="8"/>
      <c r="Q96" s="2"/>
      <c r="R96" s="2" t="str">
        <f>IFERROR(IF(ISBLANK(Q96),"",INDEX([1]Gen_Vessels!$A$3:$C$500,MATCH(InspectionSite!$Q96,[1]Gen_Vessels!$C$3:$C$500,0),1)),"")</f>
        <v/>
      </c>
      <c r="S96" s="2"/>
      <c r="T96" s="2" t="str">
        <f>IFERROR(IF(ISBLANK(S96),"",INDEX([1]Gen_Vessels!$A$3:$C$500,MATCH(InspectionSite!$S96,[1]Gen_Vessels!$C$3:$C$500,0),1)),"")</f>
        <v/>
      </c>
      <c r="U96" s="2"/>
      <c r="V96" s="2"/>
      <c r="W96" s="2"/>
      <c r="X96" s="2"/>
      <c r="Y96" s="2"/>
      <c r="AB96" s="2"/>
      <c r="AC96" s="2"/>
      <c r="AD96" s="2"/>
      <c r="AE96" s="2"/>
      <c r="AF96" s="2"/>
      <c r="AG96" s="2"/>
      <c r="AH96" s="2"/>
    </row>
    <row r="97" spans="1:34" x14ac:dyDescent="0.25">
      <c r="A97" s="1" t="str">
        <f t="shared" si="1"/>
        <v/>
      </c>
      <c r="B97" s="2"/>
      <c r="C97" s="2"/>
      <c r="D97" s="2"/>
      <c r="E97" s="2"/>
      <c r="F97" s="2"/>
      <c r="G97" s="6"/>
      <c r="H97" s="2"/>
      <c r="I97" s="7"/>
      <c r="J97" s="8"/>
      <c r="Q97" s="2"/>
      <c r="R97" s="2" t="str">
        <f>IFERROR(IF(ISBLANK(Q97),"",INDEX([1]Gen_Vessels!$A$3:$C$500,MATCH(InspectionSite!$Q97,[1]Gen_Vessels!$C$3:$C$500,0),1)),"")</f>
        <v/>
      </c>
      <c r="S97" s="2"/>
      <c r="T97" s="2" t="str">
        <f>IFERROR(IF(ISBLANK(S97),"",INDEX([1]Gen_Vessels!$A$3:$C$500,MATCH(InspectionSite!$S97,[1]Gen_Vessels!$C$3:$C$500,0),1)),"")</f>
        <v/>
      </c>
      <c r="U97" s="2"/>
      <c r="V97" s="2"/>
      <c r="W97" s="2"/>
      <c r="X97" s="2"/>
      <c r="Y97" s="2"/>
      <c r="AB97" s="2"/>
      <c r="AC97" s="2"/>
      <c r="AD97" s="2"/>
      <c r="AE97" s="2"/>
      <c r="AF97" s="2"/>
      <c r="AG97" s="2"/>
      <c r="AH97" s="2"/>
    </row>
    <row r="98" spans="1:34" x14ac:dyDescent="0.25">
      <c r="A98" s="1" t="str">
        <f t="shared" si="1"/>
        <v/>
      </c>
      <c r="B98" s="2"/>
      <c r="C98" s="2"/>
      <c r="D98" s="2"/>
      <c r="E98" s="2"/>
      <c r="F98" s="2"/>
      <c r="G98" s="6"/>
      <c r="H98" s="2"/>
      <c r="I98" s="7"/>
      <c r="J98" s="8"/>
      <c r="Q98" s="2"/>
      <c r="R98" s="2" t="str">
        <f>IFERROR(IF(ISBLANK(Q98),"",INDEX([1]Gen_Vessels!$A$3:$C$500,MATCH(InspectionSite!$Q98,[1]Gen_Vessels!$C$3:$C$500,0),1)),"")</f>
        <v/>
      </c>
      <c r="S98" s="2"/>
      <c r="T98" s="2" t="str">
        <f>IFERROR(IF(ISBLANK(S98),"",INDEX([1]Gen_Vessels!$A$3:$C$500,MATCH(InspectionSite!$S98,[1]Gen_Vessels!$C$3:$C$500,0),1)),"")</f>
        <v/>
      </c>
      <c r="U98" s="2"/>
      <c r="V98" s="2"/>
      <c r="W98" s="2"/>
      <c r="X98" s="2"/>
      <c r="Y98" s="2"/>
      <c r="AB98" s="2"/>
      <c r="AC98" s="2"/>
      <c r="AD98" s="2"/>
      <c r="AE98" s="2"/>
      <c r="AF98" s="2"/>
      <c r="AG98" s="2"/>
      <c r="AH98" s="2"/>
    </row>
    <row r="99" spans="1:34" x14ac:dyDescent="0.25">
      <c r="A99" s="1" t="str">
        <f t="shared" si="1"/>
        <v/>
      </c>
      <c r="B99" s="2"/>
      <c r="C99" s="2"/>
      <c r="D99" s="2"/>
      <c r="E99" s="2"/>
      <c r="F99" s="2"/>
      <c r="G99" s="6"/>
      <c r="H99" s="2"/>
      <c r="I99" s="7"/>
      <c r="J99" s="8"/>
      <c r="Q99" s="2"/>
      <c r="R99" s="2" t="str">
        <f>IFERROR(IF(ISBLANK(Q99),"",INDEX([1]Gen_Vessels!$A$3:$C$500,MATCH(InspectionSite!$Q99,[1]Gen_Vessels!$C$3:$C$500,0),1)),"")</f>
        <v/>
      </c>
      <c r="S99" s="2"/>
      <c r="T99" s="2" t="str">
        <f>IFERROR(IF(ISBLANK(S99),"",INDEX([1]Gen_Vessels!$A$3:$C$500,MATCH(InspectionSite!$S99,[1]Gen_Vessels!$C$3:$C$500,0),1)),"")</f>
        <v/>
      </c>
      <c r="U99" s="2"/>
      <c r="V99" s="2"/>
      <c r="W99" s="2"/>
      <c r="X99" s="2"/>
      <c r="Y99" s="2"/>
      <c r="AB99" s="2"/>
      <c r="AC99" s="2"/>
      <c r="AD99" s="2"/>
      <c r="AE99" s="2"/>
      <c r="AF99" s="2"/>
      <c r="AG99" s="2"/>
      <c r="AH99" s="2"/>
    </row>
    <row r="100" spans="1:34" x14ac:dyDescent="0.25">
      <c r="A100" s="1" t="str">
        <f t="shared" si="1"/>
        <v/>
      </c>
      <c r="B100" s="2"/>
      <c r="C100" s="2"/>
      <c r="D100" s="2"/>
      <c r="E100" s="2"/>
      <c r="F100" s="2"/>
      <c r="G100" s="6"/>
      <c r="H100" s="2"/>
      <c r="I100" s="7"/>
      <c r="J100" s="8"/>
      <c r="Q100" s="2"/>
      <c r="R100" s="2" t="str">
        <f>IFERROR(IF(ISBLANK(Q100),"",INDEX([1]Gen_Vessels!$A$3:$C$500,MATCH(InspectionSite!$Q100,[1]Gen_Vessels!$C$3:$C$500,0),1)),"")</f>
        <v/>
      </c>
      <c r="S100" s="2"/>
      <c r="T100" s="2" t="str">
        <f>IFERROR(IF(ISBLANK(S100),"",INDEX([1]Gen_Vessels!$A$3:$C$500,MATCH(InspectionSite!$S100,[1]Gen_Vessels!$C$3:$C$500,0),1)),"")</f>
        <v/>
      </c>
      <c r="U100" s="2"/>
      <c r="V100" s="2"/>
      <c r="W100" s="2"/>
      <c r="X100" s="2"/>
      <c r="Y100" s="2"/>
      <c r="AB100" s="2"/>
      <c r="AC100" s="2"/>
      <c r="AD100" s="2"/>
      <c r="AE100" s="2"/>
      <c r="AF100" s="2"/>
      <c r="AG100" s="2"/>
      <c r="AH100" s="2"/>
    </row>
    <row r="101" spans="1:34" x14ac:dyDescent="0.25">
      <c r="A101" s="1" t="str">
        <f t="shared" si="1"/>
        <v/>
      </c>
      <c r="B101" s="2"/>
      <c r="C101" s="2"/>
      <c r="D101" s="2"/>
      <c r="E101" s="2"/>
      <c r="F101" s="2"/>
      <c r="G101" s="6"/>
      <c r="H101" s="2"/>
      <c r="I101" s="7"/>
      <c r="J101" s="8"/>
      <c r="Q101" s="2"/>
      <c r="R101" s="2" t="str">
        <f>IFERROR(IF(ISBLANK(Q101),"",INDEX([1]Gen_Vessels!$A$3:$C$500,MATCH(InspectionSite!$Q101,[1]Gen_Vessels!$C$3:$C$500,0),1)),"")</f>
        <v/>
      </c>
      <c r="S101" s="2"/>
      <c r="T101" s="2" t="str">
        <f>IFERROR(IF(ISBLANK(S101),"",INDEX([1]Gen_Vessels!$A$3:$C$500,MATCH(InspectionSite!$S101,[1]Gen_Vessels!$C$3:$C$500,0),1)),"")</f>
        <v/>
      </c>
      <c r="U101" s="2"/>
      <c r="V101" s="2"/>
      <c r="W101" s="2"/>
      <c r="X101" s="2"/>
      <c r="Y101" s="2"/>
      <c r="AB101" s="2"/>
      <c r="AC101" s="2"/>
      <c r="AD101" s="2"/>
      <c r="AE101" s="2"/>
      <c r="AF101" s="2"/>
      <c r="AG101" s="2"/>
      <c r="AH101" s="2"/>
    </row>
    <row r="102" spans="1:34" x14ac:dyDescent="0.25">
      <c r="A102" s="1" t="str">
        <f t="shared" si="1"/>
        <v/>
      </c>
      <c r="B102" s="2"/>
      <c r="C102" s="2"/>
      <c r="D102" s="2"/>
      <c r="E102" s="2"/>
      <c r="F102" s="2"/>
      <c r="G102" s="6"/>
      <c r="H102" s="2"/>
      <c r="I102" s="7"/>
      <c r="J102" s="8"/>
      <c r="Q102" s="2"/>
      <c r="R102" s="2" t="str">
        <f>IFERROR(IF(ISBLANK(Q102),"",INDEX([1]Gen_Vessels!$A$3:$C$500,MATCH(InspectionSite!$Q102,[1]Gen_Vessels!$C$3:$C$500,0),1)),"")</f>
        <v/>
      </c>
      <c r="S102" s="2"/>
      <c r="T102" s="2" t="str">
        <f>IFERROR(IF(ISBLANK(S102),"",INDEX([1]Gen_Vessels!$A$3:$C$500,MATCH(InspectionSite!$S102,[1]Gen_Vessels!$C$3:$C$500,0),1)),"")</f>
        <v/>
      </c>
      <c r="U102" s="2"/>
      <c r="V102" s="2"/>
      <c r="W102" s="2"/>
      <c r="X102" s="2"/>
      <c r="Y102" s="2"/>
      <c r="AB102" s="2"/>
      <c r="AC102" s="2"/>
      <c r="AD102" s="2"/>
      <c r="AE102" s="2"/>
      <c r="AF102" s="2"/>
      <c r="AG102" s="2"/>
      <c r="AH102" s="2"/>
    </row>
    <row r="103" spans="1:34" x14ac:dyDescent="0.25">
      <c r="A103" s="1" t="str">
        <f t="shared" si="1"/>
        <v/>
      </c>
      <c r="B103" s="2"/>
      <c r="C103" s="2"/>
      <c r="D103" s="2"/>
      <c r="E103" s="2"/>
      <c r="F103" s="2"/>
      <c r="G103" s="6"/>
      <c r="H103" s="2"/>
      <c r="I103" s="7"/>
      <c r="J103" s="8"/>
      <c r="Q103" s="2"/>
      <c r="R103" s="2" t="str">
        <f>IFERROR(IF(ISBLANK(Q103),"",INDEX([1]Gen_Vessels!$A$3:$C$500,MATCH(InspectionSite!$Q103,[1]Gen_Vessels!$C$3:$C$500,0),1)),"")</f>
        <v/>
      </c>
      <c r="S103" s="2"/>
      <c r="T103" s="2" t="str">
        <f>IFERROR(IF(ISBLANK(S103),"",INDEX([1]Gen_Vessels!$A$3:$C$500,MATCH(InspectionSite!$S103,[1]Gen_Vessels!$C$3:$C$500,0),1)),"")</f>
        <v/>
      </c>
      <c r="U103" s="2"/>
      <c r="V103" s="2"/>
      <c r="W103" s="2"/>
      <c r="X103" s="2"/>
      <c r="Y103" s="2"/>
      <c r="AB103" s="2"/>
      <c r="AC103" s="2"/>
      <c r="AD103" s="2"/>
      <c r="AE103" s="2"/>
      <c r="AF103" s="2"/>
      <c r="AG103" s="2"/>
      <c r="AH103" s="2"/>
    </row>
    <row r="104" spans="1:34" x14ac:dyDescent="0.25">
      <c r="A104" s="1" t="str">
        <f t="shared" si="1"/>
        <v/>
      </c>
      <c r="B104" s="2"/>
      <c r="C104" s="2"/>
      <c r="D104" s="2"/>
      <c r="E104" s="2"/>
      <c r="F104" s="2"/>
      <c r="G104" s="6"/>
      <c r="H104" s="2"/>
      <c r="I104" s="7"/>
      <c r="J104" s="8"/>
      <c r="Q104" s="2"/>
      <c r="R104" s="2" t="str">
        <f>IFERROR(IF(ISBLANK(Q104),"",INDEX([1]Gen_Vessels!$A$3:$C$500,MATCH(InspectionSite!$Q104,[1]Gen_Vessels!$C$3:$C$500,0),1)),"")</f>
        <v/>
      </c>
      <c r="S104" s="2"/>
      <c r="T104" s="2" t="str">
        <f>IFERROR(IF(ISBLANK(S104),"",INDEX([1]Gen_Vessels!$A$3:$C$500,MATCH(InspectionSite!$S104,[1]Gen_Vessels!$C$3:$C$500,0),1)),"")</f>
        <v/>
      </c>
      <c r="U104" s="2"/>
      <c r="V104" s="2"/>
      <c r="W104" s="2"/>
      <c r="X104" s="2"/>
      <c r="Y104" s="2"/>
      <c r="AB104" s="2"/>
      <c r="AC104" s="2"/>
      <c r="AD104" s="2"/>
      <c r="AE104" s="2"/>
      <c r="AF104" s="2"/>
      <c r="AG104" s="2"/>
      <c r="AH104" s="2"/>
    </row>
    <row r="105" spans="1:34" x14ac:dyDescent="0.25">
      <c r="A105" s="1" t="str">
        <f t="shared" si="1"/>
        <v/>
      </c>
      <c r="B105" s="2"/>
      <c r="C105" s="2"/>
      <c r="D105" s="2"/>
      <c r="E105" s="2"/>
      <c r="F105" s="2"/>
      <c r="G105" s="6"/>
      <c r="H105" s="2"/>
      <c r="I105" s="7"/>
      <c r="J105" s="8"/>
      <c r="Q105" s="2"/>
      <c r="R105" s="2" t="str">
        <f>IFERROR(IF(ISBLANK(Q105),"",INDEX([1]Gen_Vessels!$A$3:$C$500,MATCH(InspectionSite!$Q105,[1]Gen_Vessels!$C$3:$C$500,0),1)),"")</f>
        <v/>
      </c>
      <c r="S105" s="2"/>
      <c r="T105" s="2" t="str">
        <f>IFERROR(IF(ISBLANK(S105),"",INDEX([1]Gen_Vessels!$A$3:$C$500,MATCH(InspectionSite!$S105,[1]Gen_Vessels!$C$3:$C$500,0),1)),"")</f>
        <v/>
      </c>
      <c r="U105" s="2"/>
      <c r="V105" s="2"/>
      <c r="W105" s="2"/>
      <c r="X105" s="2"/>
      <c r="Y105" s="2"/>
      <c r="AB105" s="2"/>
      <c r="AC105" s="2"/>
      <c r="AD105" s="2"/>
      <c r="AE105" s="2"/>
      <c r="AF105" s="2"/>
      <c r="AG105" s="2"/>
      <c r="AH105" s="2"/>
    </row>
    <row r="106" spans="1:34" x14ac:dyDescent="0.25">
      <c r="A106" s="1" t="str">
        <f t="shared" si="1"/>
        <v/>
      </c>
      <c r="B106" s="2"/>
      <c r="C106" s="2"/>
      <c r="D106" s="2"/>
      <c r="E106" s="2"/>
      <c r="F106" s="2"/>
      <c r="G106" s="6"/>
      <c r="H106" s="2"/>
      <c r="I106" s="7"/>
      <c r="J106" s="8"/>
      <c r="Q106" s="2"/>
      <c r="R106" s="2" t="str">
        <f>IFERROR(IF(ISBLANK(Q106),"",INDEX([1]Gen_Vessels!$A$3:$C$500,MATCH(InspectionSite!$Q106,[1]Gen_Vessels!$C$3:$C$500,0),1)),"")</f>
        <v/>
      </c>
      <c r="S106" s="2"/>
      <c r="T106" s="2" t="str">
        <f>IFERROR(IF(ISBLANK(S106),"",INDEX([1]Gen_Vessels!$A$3:$C$500,MATCH(InspectionSite!$S106,[1]Gen_Vessels!$C$3:$C$500,0),1)),"")</f>
        <v/>
      </c>
      <c r="U106" s="2"/>
      <c r="V106" s="2"/>
      <c r="W106" s="2"/>
      <c r="X106" s="2"/>
      <c r="Y106" s="2"/>
      <c r="AB106" s="2"/>
      <c r="AC106" s="2"/>
      <c r="AD106" s="2"/>
      <c r="AE106" s="2"/>
      <c r="AF106" s="2"/>
      <c r="AG106" s="2"/>
      <c r="AH106" s="2"/>
    </row>
    <row r="107" spans="1:34" x14ac:dyDescent="0.25">
      <c r="A107" s="1" t="str">
        <f t="shared" si="1"/>
        <v/>
      </c>
      <c r="B107" s="2"/>
      <c r="C107" s="2"/>
      <c r="D107" s="2"/>
      <c r="E107" s="2"/>
      <c r="F107" s="2"/>
      <c r="G107" s="6"/>
      <c r="H107" s="2"/>
      <c r="I107" s="7"/>
      <c r="J107" s="8"/>
      <c r="Q107" s="2"/>
      <c r="R107" s="2" t="str">
        <f>IFERROR(IF(ISBLANK(Q107),"",INDEX([1]Gen_Vessels!$A$3:$C$500,MATCH(InspectionSite!$Q107,[1]Gen_Vessels!$C$3:$C$500,0),1)),"")</f>
        <v/>
      </c>
      <c r="S107" s="2"/>
      <c r="T107" s="2" t="str">
        <f>IFERROR(IF(ISBLANK(S107),"",INDEX([1]Gen_Vessels!$A$3:$C$500,MATCH(InspectionSite!$S107,[1]Gen_Vessels!$C$3:$C$500,0),1)),"")</f>
        <v/>
      </c>
      <c r="U107" s="2"/>
      <c r="V107" s="2"/>
      <c r="W107" s="2"/>
      <c r="X107" s="2"/>
      <c r="Y107" s="2"/>
      <c r="AB107" s="2"/>
      <c r="AC107" s="2"/>
      <c r="AD107" s="2"/>
      <c r="AE107" s="2"/>
      <c r="AF107" s="2"/>
      <c r="AG107" s="2"/>
      <c r="AH107" s="2"/>
    </row>
    <row r="108" spans="1:34" x14ac:dyDescent="0.25">
      <c r="A108" s="1" t="str">
        <f t="shared" si="1"/>
        <v/>
      </c>
      <c r="B108" s="2"/>
      <c r="C108" s="2"/>
      <c r="D108" s="2"/>
      <c r="E108" s="2"/>
      <c r="F108" s="2"/>
      <c r="G108" s="6"/>
      <c r="H108" s="2"/>
      <c r="I108" s="7"/>
      <c r="J108" s="8"/>
      <c r="Q108" s="2"/>
      <c r="R108" s="2" t="str">
        <f>IFERROR(IF(ISBLANK(Q108),"",INDEX([1]Gen_Vessels!$A$3:$C$500,MATCH(InspectionSite!$Q108,[1]Gen_Vessels!$C$3:$C$500,0),1)),"")</f>
        <v/>
      </c>
      <c r="S108" s="2"/>
      <c r="T108" s="2" t="str">
        <f>IFERROR(IF(ISBLANK(S108),"",INDEX([1]Gen_Vessels!$A$3:$C$500,MATCH(InspectionSite!$S108,[1]Gen_Vessels!$C$3:$C$500,0),1)),"")</f>
        <v/>
      </c>
      <c r="U108" s="2"/>
      <c r="V108" s="2"/>
      <c r="W108" s="2"/>
      <c r="X108" s="2"/>
      <c r="Y108" s="2"/>
      <c r="AB108" s="2"/>
      <c r="AC108" s="2"/>
      <c r="AD108" s="2"/>
      <c r="AE108" s="2"/>
      <c r="AF108" s="2"/>
      <c r="AG108" s="2"/>
      <c r="AH108" s="2"/>
    </row>
    <row r="109" spans="1:34" x14ac:dyDescent="0.25">
      <c r="A109" s="1" t="str">
        <f t="shared" si="1"/>
        <v/>
      </c>
      <c r="B109" s="2"/>
      <c r="C109" s="2"/>
      <c r="D109" s="2"/>
      <c r="E109" s="2"/>
      <c r="F109" s="2"/>
      <c r="G109" s="6"/>
      <c r="H109" s="2"/>
      <c r="I109" s="7"/>
      <c r="J109" s="8"/>
      <c r="Q109" s="2"/>
      <c r="R109" s="2" t="str">
        <f>IFERROR(IF(ISBLANK(Q109),"",INDEX([1]Gen_Vessels!$A$3:$C$500,MATCH(InspectionSite!$Q109,[1]Gen_Vessels!$C$3:$C$500,0),1)),"")</f>
        <v/>
      </c>
      <c r="S109" s="2"/>
      <c r="T109" s="2" t="str">
        <f>IFERROR(IF(ISBLANK(S109),"",INDEX([1]Gen_Vessels!$A$3:$C$500,MATCH(InspectionSite!$S109,[1]Gen_Vessels!$C$3:$C$500,0),1)),"")</f>
        <v/>
      </c>
      <c r="U109" s="2"/>
      <c r="V109" s="2"/>
      <c r="W109" s="2"/>
      <c r="X109" s="2"/>
      <c r="Y109" s="2"/>
      <c r="AB109" s="2"/>
      <c r="AC109" s="2"/>
      <c r="AD109" s="2"/>
      <c r="AE109" s="2"/>
      <c r="AF109" s="2"/>
      <c r="AG109" s="2"/>
      <c r="AH109" s="2"/>
    </row>
    <row r="110" spans="1:34" x14ac:dyDescent="0.25">
      <c r="A110" s="1" t="str">
        <f t="shared" si="1"/>
        <v/>
      </c>
      <c r="B110" s="2"/>
      <c r="C110" s="2"/>
      <c r="D110" s="2"/>
      <c r="E110" s="2"/>
      <c r="F110" s="2"/>
      <c r="G110" s="6"/>
      <c r="H110" s="2"/>
      <c r="I110" s="7"/>
      <c r="J110" s="8"/>
      <c r="Q110" s="2"/>
      <c r="R110" s="2" t="str">
        <f>IFERROR(IF(ISBLANK(Q110),"",INDEX([1]Gen_Vessels!$A$3:$C$500,MATCH(InspectionSite!$Q110,[1]Gen_Vessels!$C$3:$C$500,0),1)),"")</f>
        <v/>
      </c>
      <c r="S110" s="2"/>
      <c r="T110" s="2" t="str">
        <f>IFERROR(IF(ISBLANK(S110),"",INDEX([1]Gen_Vessels!$A$3:$C$500,MATCH(InspectionSite!$S110,[1]Gen_Vessels!$C$3:$C$500,0),1)),"")</f>
        <v/>
      </c>
      <c r="U110" s="2"/>
      <c r="V110" s="2"/>
      <c r="W110" s="2"/>
      <c r="X110" s="2"/>
      <c r="Y110" s="2"/>
      <c r="AB110" s="2"/>
      <c r="AC110" s="2"/>
      <c r="AD110" s="2"/>
      <c r="AE110" s="2"/>
      <c r="AF110" s="2"/>
      <c r="AG110" s="2"/>
      <c r="AH110" s="2"/>
    </row>
    <row r="111" spans="1:34" x14ac:dyDescent="0.25">
      <c r="A111" s="1" t="str">
        <f t="shared" si="1"/>
        <v/>
      </c>
      <c r="B111" s="2"/>
      <c r="C111" s="2"/>
      <c r="D111" s="2"/>
      <c r="E111" s="2"/>
      <c r="F111" s="2"/>
      <c r="G111" s="6"/>
      <c r="H111" s="2"/>
      <c r="I111" s="7"/>
      <c r="J111" s="8"/>
      <c r="Q111" s="2"/>
      <c r="R111" s="2" t="str">
        <f>IFERROR(IF(ISBLANK(Q111),"",INDEX([1]Gen_Vessels!$A$3:$C$500,MATCH(InspectionSite!$Q111,[1]Gen_Vessels!$C$3:$C$500,0),1)),"")</f>
        <v/>
      </c>
      <c r="S111" s="2"/>
      <c r="T111" s="2" t="str">
        <f>IFERROR(IF(ISBLANK(S111),"",INDEX([1]Gen_Vessels!$A$3:$C$500,MATCH(InspectionSite!$S111,[1]Gen_Vessels!$C$3:$C$500,0),1)),"")</f>
        <v/>
      </c>
      <c r="U111" s="2"/>
      <c r="V111" s="2"/>
      <c r="W111" s="2"/>
      <c r="X111" s="2"/>
      <c r="Y111" s="2"/>
      <c r="AB111" s="2"/>
      <c r="AC111" s="2"/>
      <c r="AD111" s="2"/>
      <c r="AE111" s="2"/>
      <c r="AF111" s="2"/>
      <c r="AG111" s="2"/>
      <c r="AH111" s="2"/>
    </row>
    <row r="112" spans="1:34" x14ac:dyDescent="0.25">
      <c r="A112" s="1" t="str">
        <f t="shared" si="1"/>
        <v/>
      </c>
      <c r="B112" s="2"/>
      <c r="C112" s="2"/>
      <c r="D112" s="2"/>
      <c r="E112" s="2"/>
      <c r="F112" s="2"/>
      <c r="G112" s="6"/>
      <c r="H112" s="2"/>
      <c r="I112" s="7"/>
      <c r="J112" s="8"/>
      <c r="Q112" s="2"/>
      <c r="R112" s="2" t="str">
        <f>IFERROR(IF(ISBLANK(Q112),"",INDEX([1]Gen_Vessels!$A$3:$C$500,MATCH(InspectionSite!$Q112,[1]Gen_Vessels!$C$3:$C$500,0),1)),"")</f>
        <v/>
      </c>
      <c r="S112" s="2"/>
      <c r="T112" s="2" t="str">
        <f>IFERROR(IF(ISBLANK(S112),"",INDEX([1]Gen_Vessels!$A$3:$C$500,MATCH(InspectionSite!$S112,[1]Gen_Vessels!$C$3:$C$500,0),1)),"")</f>
        <v/>
      </c>
      <c r="U112" s="2"/>
      <c r="V112" s="2"/>
      <c r="W112" s="2"/>
      <c r="X112" s="2"/>
      <c r="Y112" s="2"/>
      <c r="AB112" s="2"/>
      <c r="AC112" s="2"/>
      <c r="AD112" s="2"/>
      <c r="AE112" s="2"/>
      <c r="AF112" s="2"/>
      <c r="AG112" s="2"/>
      <c r="AH112" s="2"/>
    </row>
    <row r="113" spans="1:34" x14ac:dyDescent="0.25">
      <c r="A113" s="1" t="str">
        <f t="shared" si="1"/>
        <v/>
      </c>
      <c r="B113" s="2"/>
      <c r="C113" s="2"/>
      <c r="D113" s="2"/>
      <c r="E113" s="2"/>
      <c r="F113" s="2"/>
      <c r="G113" s="6"/>
      <c r="H113" s="2"/>
      <c r="I113" s="7"/>
      <c r="J113" s="8"/>
      <c r="Q113" s="2"/>
      <c r="R113" s="2" t="str">
        <f>IFERROR(IF(ISBLANK(Q113),"",INDEX([1]Gen_Vessels!$A$3:$C$500,MATCH(InspectionSite!$Q113,[1]Gen_Vessels!$C$3:$C$500,0),1)),"")</f>
        <v/>
      </c>
      <c r="S113" s="2"/>
      <c r="T113" s="2" t="str">
        <f>IFERROR(IF(ISBLANK(S113),"",INDEX([1]Gen_Vessels!$A$3:$C$500,MATCH(InspectionSite!$S113,[1]Gen_Vessels!$C$3:$C$500,0),1)),"")</f>
        <v/>
      </c>
      <c r="U113" s="2"/>
      <c r="V113" s="2"/>
      <c r="W113" s="2"/>
      <c r="X113" s="2"/>
      <c r="Y113" s="2"/>
      <c r="AB113" s="2"/>
      <c r="AC113" s="2"/>
      <c r="AD113" s="2"/>
      <c r="AE113" s="2"/>
      <c r="AF113" s="2"/>
      <c r="AG113" s="2"/>
      <c r="AH113" s="2"/>
    </row>
    <row r="114" spans="1:34" x14ac:dyDescent="0.25">
      <c r="A114" s="1" t="str">
        <f t="shared" si="1"/>
        <v/>
      </c>
      <c r="B114" s="2"/>
      <c r="C114" s="2"/>
      <c r="D114" s="2"/>
      <c r="E114" s="2"/>
      <c r="F114" s="2"/>
      <c r="G114" s="6"/>
      <c r="H114" s="2"/>
      <c r="I114" s="7"/>
      <c r="J114" s="8"/>
      <c r="Q114" s="2"/>
      <c r="R114" s="2" t="str">
        <f>IFERROR(IF(ISBLANK(Q114),"",INDEX([1]Gen_Vessels!$A$3:$C$500,MATCH(InspectionSite!$Q114,[1]Gen_Vessels!$C$3:$C$500,0),1)),"")</f>
        <v/>
      </c>
      <c r="S114" s="2"/>
      <c r="T114" s="2" t="str">
        <f>IFERROR(IF(ISBLANK(S114),"",INDEX([1]Gen_Vessels!$A$3:$C$500,MATCH(InspectionSite!$S114,[1]Gen_Vessels!$C$3:$C$500,0),1)),"")</f>
        <v/>
      </c>
      <c r="U114" s="2"/>
      <c r="V114" s="2"/>
      <c r="W114" s="2"/>
      <c r="X114" s="2"/>
      <c r="Y114" s="2"/>
      <c r="AB114" s="2"/>
      <c r="AC114" s="2"/>
      <c r="AD114" s="2"/>
      <c r="AE114" s="2"/>
      <c r="AF114" s="2"/>
      <c r="AG114" s="2"/>
      <c r="AH114" s="2"/>
    </row>
    <row r="115" spans="1:34" x14ac:dyDescent="0.25">
      <c r="A115" s="1" t="str">
        <f t="shared" si="1"/>
        <v/>
      </c>
      <c r="B115" s="2"/>
      <c r="C115" s="2"/>
      <c r="D115" s="2"/>
      <c r="E115" s="2"/>
      <c r="F115" s="2"/>
      <c r="G115" s="6"/>
      <c r="H115" s="2"/>
      <c r="I115" s="7"/>
      <c r="J115" s="8"/>
      <c r="Q115" s="2"/>
      <c r="R115" s="2" t="str">
        <f>IFERROR(IF(ISBLANK(Q115),"",INDEX([1]Gen_Vessels!$A$3:$C$500,MATCH(InspectionSite!$Q115,[1]Gen_Vessels!$C$3:$C$500,0),1)),"")</f>
        <v/>
      </c>
      <c r="S115" s="2"/>
      <c r="T115" s="2" t="str">
        <f>IFERROR(IF(ISBLANK(S115),"",INDEX([1]Gen_Vessels!$A$3:$C$500,MATCH(InspectionSite!$S115,[1]Gen_Vessels!$C$3:$C$500,0),1)),"")</f>
        <v/>
      </c>
      <c r="U115" s="2"/>
      <c r="V115" s="2"/>
      <c r="W115" s="2"/>
      <c r="X115" s="2"/>
      <c r="Y115" s="2"/>
      <c r="AB115" s="2"/>
      <c r="AC115" s="2"/>
      <c r="AD115" s="2"/>
      <c r="AE115" s="2"/>
      <c r="AF115" s="2"/>
      <c r="AG115" s="2"/>
      <c r="AH115" s="2"/>
    </row>
    <row r="116" spans="1:34" x14ac:dyDescent="0.25">
      <c r="A116" s="1" t="str">
        <f t="shared" si="1"/>
        <v/>
      </c>
      <c r="B116" s="2"/>
      <c r="C116" s="2"/>
      <c r="D116" s="2"/>
      <c r="E116" s="2"/>
      <c r="F116" s="2"/>
      <c r="G116" s="6"/>
      <c r="H116" s="2"/>
      <c r="I116" s="7"/>
      <c r="J116" s="8"/>
      <c r="Q116" s="2"/>
      <c r="R116" s="2" t="str">
        <f>IFERROR(IF(ISBLANK(Q116),"",INDEX([1]Gen_Vessels!$A$3:$C$500,MATCH(InspectionSite!$Q116,[1]Gen_Vessels!$C$3:$C$500,0),1)),"")</f>
        <v/>
      </c>
      <c r="S116" s="2"/>
      <c r="T116" s="2" t="str">
        <f>IFERROR(IF(ISBLANK(S116),"",INDEX([1]Gen_Vessels!$A$3:$C$500,MATCH(InspectionSite!$S116,[1]Gen_Vessels!$C$3:$C$500,0),1)),"")</f>
        <v/>
      </c>
      <c r="U116" s="2"/>
      <c r="V116" s="2"/>
      <c r="W116" s="2"/>
      <c r="X116" s="2"/>
      <c r="Y116" s="2"/>
      <c r="AB116" s="2"/>
      <c r="AC116" s="2"/>
      <c r="AD116" s="2"/>
      <c r="AE116" s="2"/>
      <c r="AF116" s="2"/>
      <c r="AG116" s="2"/>
      <c r="AH116" s="2"/>
    </row>
    <row r="117" spans="1:34" x14ac:dyDescent="0.25">
      <c r="A117" s="1" t="str">
        <f t="shared" si="1"/>
        <v/>
      </c>
      <c r="B117" s="2"/>
      <c r="C117" s="2"/>
      <c r="D117" s="2"/>
      <c r="E117" s="2"/>
      <c r="F117" s="2"/>
      <c r="G117" s="6"/>
      <c r="H117" s="2"/>
      <c r="I117" s="7"/>
      <c r="J117" s="8"/>
      <c r="Q117" s="2"/>
      <c r="R117" s="2" t="str">
        <f>IFERROR(IF(ISBLANK(Q117),"",INDEX([1]Gen_Vessels!$A$3:$C$500,MATCH(InspectionSite!$Q117,[1]Gen_Vessels!$C$3:$C$500,0),1)),"")</f>
        <v/>
      </c>
      <c r="S117" s="2"/>
      <c r="T117" s="2" t="str">
        <f>IFERROR(IF(ISBLANK(S117),"",INDEX([1]Gen_Vessels!$A$3:$C$500,MATCH(InspectionSite!$S117,[1]Gen_Vessels!$C$3:$C$500,0),1)),"")</f>
        <v/>
      </c>
      <c r="U117" s="2"/>
      <c r="V117" s="2"/>
      <c r="W117" s="2"/>
      <c r="X117" s="2"/>
      <c r="Y117" s="2"/>
      <c r="AB117" s="2"/>
      <c r="AC117" s="2"/>
      <c r="AD117" s="2"/>
      <c r="AE117" s="2"/>
      <c r="AF117" s="2"/>
      <c r="AG117" s="2"/>
      <c r="AH117" s="2"/>
    </row>
    <row r="118" spans="1:34" x14ac:dyDescent="0.25">
      <c r="A118" s="1" t="str">
        <f t="shared" si="1"/>
        <v/>
      </c>
      <c r="B118" s="2"/>
      <c r="C118" s="2"/>
      <c r="D118" s="2"/>
      <c r="E118" s="2"/>
      <c r="F118" s="2"/>
      <c r="G118" s="6"/>
      <c r="H118" s="2"/>
      <c r="I118" s="7"/>
      <c r="J118" s="8"/>
      <c r="Q118" s="2"/>
      <c r="R118" s="2" t="str">
        <f>IFERROR(IF(ISBLANK(Q118),"",INDEX([1]Gen_Vessels!$A$3:$C$500,MATCH(InspectionSite!$Q118,[1]Gen_Vessels!$C$3:$C$500,0),1)),"")</f>
        <v/>
      </c>
      <c r="S118" s="2"/>
      <c r="T118" s="2" t="str">
        <f>IFERROR(IF(ISBLANK(S118),"",INDEX([1]Gen_Vessels!$A$3:$C$500,MATCH(InspectionSite!$S118,[1]Gen_Vessels!$C$3:$C$500,0),1)),"")</f>
        <v/>
      </c>
      <c r="U118" s="2"/>
      <c r="V118" s="2"/>
      <c r="W118" s="2"/>
      <c r="X118" s="2"/>
      <c r="Y118" s="2"/>
      <c r="AB118" s="2"/>
      <c r="AC118" s="2"/>
      <c r="AD118" s="2"/>
      <c r="AE118" s="2"/>
      <c r="AF118" s="2"/>
      <c r="AG118" s="2"/>
      <c r="AH118" s="2"/>
    </row>
    <row r="119" spans="1:34" x14ac:dyDescent="0.25">
      <c r="A119" s="1" t="str">
        <f t="shared" si="1"/>
        <v/>
      </c>
      <c r="B119" s="2"/>
      <c r="C119" s="2"/>
      <c r="D119" s="2"/>
      <c r="E119" s="2"/>
      <c r="F119" s="2"/>
      <c r="G119" s="6"/>
      <c r="H119" s="2"/>
      <c r="I119" s="7"/>
      <c r="J119" s="8"/>
      <c r="Q119" s="2"/>
      <c r="R119" s="2" t="str">
        <f>IFERROR(IF(ISBLANK(Q119),"",INDEX([1]Gen_Vessels!$A$3:$C$500,MATCH(InspectionSite!$Q119,[1]Gen_Vessels!$C$3:$C$500,0),1)),"")</f>
        <v/>
      </c>
      <c r="S119" s="2"/>
      <c r="T119" s="2" t="str">
        <f>IFERROR(IF(ISBLANK(S119),"",INDEX([1]Gen_Vessels!$A$3:$C$500,MATCH(InspectionSite!$S119,[1]Gen_Vessels!$C$3:$C$500,0),1)),"")</f>
        <v/>
      </c>
      <c r="U119" s="2"/>
      <c r="V119" s="2"/>
      <c r="W119" s="2"/>
      <c r="X119" s="2"/>
      <c r="Y119" s="2"/>
      <c r="AB119" s="2"/>
      <c r="AC119" s="2"/>
      <c r="AD119" s="2"/>
      <c r="AE119" s="2"/>
      <c r="AF119" s="2"/>
      <c r="AG119" s="2"/>
      <c r="AH119" s="2"/>
    </row>
    <row r="120" spans="1:34" x14ac:dyDescent="0.25">
      <c r="A120" s="1" t="str">
        <f t="shared" si="1"/>
        <v/>
      </c>
      <c r="B120" s="2"/>
      <c r="C120" s="2"/>
      <c r="D120" s="2"/>
      <c r="E120" s="2"/>
      <c r="F120" s="2"/>
      <c r="G120" s="6"/>
      <c r="H120" s="2"/>
      <c r="I120" s="7"/>
      <c r="J120" s="8"/>
      <c r="Q120" s="2"/>
      <c r="R120" s="2" t="str">
        <f>IFERROR(IF(ISBLANK(Q120),"",INDEX([1]Gen_Vessels!$A$3:$C$500,MATCH(InspectionSite!$Q120,[1]Gen_Vessels!$C$3:$C$500,0),1)),"")</f>
        <v/>
      </c>
      <c r="S120" s="2"/>
      <c r="T120" s="2" t="str">
        <f>IFERROR(IF(ISBLANK(S120),"",INDEX([1]Gen_Vessels!$A$3:$C$500,MATCH(InspectionSite!$S120,[1]Gen_Vessels!$C$3:$C$500,0),1)),"")</f>
        <v/>
      </c>
      <c r="U120" s="2"/>
      <c r="V120" s="2"/>
      <c r="W120" s="2"/>
      <c r="X120" s="2"/>
      <c r="Y120" s="2"/>
      <c r="AB120" s="2"/>
      <c r="AC120" s="2"/>
      <c r="AD120" s="2"/>
      <c r="AE120" s="2"/>
      <c r="AF120" s="2"/>
      <c r="AG120" s="2"/>
      <c r="AH120" s="2"/>
    </row>
    <row r="121" spans="1:34" x14ac:dyDescent="0.25">
      <c r="A121" s="1" t="str">
        <f t="shared" si="1"/>
        <v/>
      </c>
      <c r="B121" s="2"/>
      <c r="C121" s="2"/>
      <c r="D121" s="2"/>
      <c r="E121" s="2"/>
      <c r="F121" s="2"/>
      <c r="G121" s="6"/>
      <c r="H121" s="2"/>
      <c r="I121" s="7"/>
      <c r="J121" s="8"/>
      <c r="Q121" s="2"/>
      <c r="R121" s="2" t="str">
        <f>IFERROR(IF(ISBLANK(Q121),"",INDEX([1]Gen_Vessels!$A$3:$C$500,MATCH(InspectionSite!$Q121,[1]Gen_Vessels!$C$3:$C$500,0),1)),"")</f>
        <v/>
      </c>
      <c r="S121" s="2"/>
      <c r="T121" s="2" t="str">
        <f>IFERROR(IF(ISBLANK(S121),"",INDEX([1]Gen_Vessels!$A$3:$C$500,MATCH(InspectionSite!$S121,[1]Gen_Vessels!$C$3:$C$500,0),1)),"")</f>
        <v/>
      </c>
      <c r="U121" s="2"/>
      <c r="V121" s="2"/>
      <c r="W121" s="2"/>
      <c r="X121" s="2"/>
      <c r="Y121" s="2"/>
      <c r="AB121" s="2"/>
      <c r="AC121" s="2"/>
      <c r="AD121" s="2"/>
      <c r="AE121" s="2"/>
      <c r="AF121" s="2"/>
      <c r="AG121" s="2"/>
      <c r="AH121" s="2"/>
    </row>
    <row r="122" spans="1:34" x14ac:dyDescent="0.25">
      <c r="A122" s="1" t="str">
        <f t="shared" si="1"/>
        <v/>
      </c>
      <c r="B122" s="2"/>
      <c r="C122" s="2"/>
      <c r="D122" s="2"/>
      <c r="E122" s="2"/>
      <c r="F122" s="2"/>
      <c r="G122" s="6"/>
      <c r="H122" s="2"/>
      <c r="I122" s="7"/>
      <c r="J122" s="8"/>
      <c r="Q122" s="2"/>
      <c r="R122" s="2" t="str">
        <f>IFERROR(IF(ISBLANK(Q122),"",INDEX([1]Gen_Vessels!$A$3:$C$500,MATCH(InspectionSite!$Q122,[1]Gen_Vessels!$C$3:$C$500,0),1)),"")</f>
        <v/>
      </c>
      <c r="S122" s="2"/>
      <c r="T122" s="2" t="str">
        <f>IFERROR(IF(ISBLANK(S122),"",INDEX([1]Gen_Vessels!$A$3:$C$500,MATCH(InspectionSite!$S122,[1]Gen_Vessels!$C$3:$C$500,0),1)),"")</f>
        <v/>
      </c>
      <c r="U122" s="2"/>
      <c r="V122" s="2"/>
      <c r="W122" s="2"/>
      <c r="X122" s="2"/>
      <c r="Y122" s="2"/>
      <c r="AB122" s="2"/>
      <c r="AC122" s="2"/>
      <c r="AD122" s="2"/>
      <c r="AE122" s="2"/>
      <c r="AF122" s="2"/>
      <c r="AG122" s="2"/>
      <c r="AH122" s="2"/>
    </row>
    <row r="123" spans="1:34" x14ac:dyDescent="0.25">
      <c r="A123" s="1" t="str">
        <f t="shared" si="1"/>
        <v/>
      </c>
      <c r="B123" s="2"/>
      <c r="C123" s="2"/>
      <c r="D123" s="2"/>
      <c r="E123" s="2"/>
      <c r="F123" s="2"/>
      <c r="G123" s="6"/>
      <c r="H123" s="2"/>
      <c r="I123" s="7"/>
      <c r="J123" s="8"/>
      <c r="Q123" s="2"/>
      <c r="R123" s="2" t="str">
        <f>IFERROR(IF(ISBLANK(Q123),"",INDEX([1]Gen_Vessels!$A$3:$C$500,MATCH(InspectionSite!$Q123,[1]Gen_Vessels!$C$3:$C$500,0),1)),"")</f>
        <v/>
      </c>
      <c r="S123" s="2"/>
      <c r="T123" s="2" t="str">
        <f>IFERROR(IF(ISBLANK(S123),"",INDEX([1]Gen_Vessels!$A$3:$C$500,MATCH(InspectionSite!$S123,[1]Gen_Vessels!$C$3:$C$500,0),1)),"")</f>
        <v/>
      </c>
      <c r="U123" s="2"/>
      <c r="V123" s="2"/>
      <c r="W123" s="2"/>
      <c r="X123" s="2"/>
      <c r="Y123" s="2"/>
      <c r="AB123" s="2"/>
      <c r="AC123" s="2"/>
      <c r="AD123" s="2"/>
      <c r="AE123" s="2"/>
      <c r="AF123" s="2"/>
      <c r="AG123" s="2"/>
      <c r="AH123" s="2"/>
    </row>
    <row r="124" spans="1:34" x14ac:dyDescent="0.25">
      <c r="A124" s="1" t="str">
        <f t="shared" si="1"/>
        <v/>
      </c>
      <c r="B124" s="2"/>
      <c r="C124" s="2"/>
      <c r="D124" s="2"/>
      <c r="E124" s="2"/>
      <c r="F124" s="2"/>
      <c r="G124" s="6"/>
      <c r="H124" s="2"/>
      <c r="I124" s="7"/>
      <c r="J124" s="8"/>
      <c r="Q124" s="2"/>
      <c r="R124" s="2" t="str">
        <f>IFERROR(IF(ISBLANK(Q124),"",INDEX([1]Gen_Vessels!$A$3:$C$500,MATCH(InspectionSite!$Q124,[1]Gen_Vessels!$C$3:$C$500,0),1)),"")</f>
        <v/>
      </c>
      <c r="S124" s="2"/>
      <c r="T124" s="2" t="str">
        <f>IFERROR(IF(ISBLANK(S124),"",INDEX([1]Gen_Vessels!$A$3:$C$500,MATCH(InspectionSite!$S124,[1]Gen_Vessels!$C$3:$C$500,0),1)),"")</f>
        <v/>
      </c>
      <c r="U124" s="2"/>
      <c r="V124" s="2"/>
      <c r="W124" s="2"/>
      <c r="X124" s="2"/>
      <c r="Y124" s="2"/>
      <c r="AB124" s="2"/>
      <c r="AC124" s="2"/>
      <c r="AD124" s="2"/>
      <c r="AE124" s="2"/>
      <c r="AF124" s="2"/>
      <c r="AG124" s="2"/>
      <c r="AH124" s="2"/>
    </row>
    <row r="125" spans="1:34" x14ac:dyDescent="0.25">
      <c r="A125" s="1" t="str">
        <f t="shared" si="1"/>
        <v/>
      </c>
      <c r="B125" s="2"/>
      <c r="C125" s="2"/>
      <c r="D125" s="2"/>
      <c r="E125" s="2"/>
      <c r="F125" s="2"/>
      <c r="G125" s="6"/>
      <c r="H125" s="2"/>
      <c r="I125" s="7"/>
      <c r="J125" s="8"/>
      <c r="Q125" s="2"/>
      <c r="R125" s="2" t="str">
        <f>IFERROR(IF(ISBLANK(Q125),"",INDEX([1]Gen_Vessels!$A$3:$C$500,MATCH(InspectionSite!$Q125,[1]Gen_Vessels!$C$3:$C$500,0),1)),"")</f>
        <v/>
      </c>
      <c r="S125" s="2"/>
      <c r="T125" s="2" t="str">
        <f>IFERROR(IF(ISBLANK(S125),"",INDEX([1]Gen_Vessels!$A$3:$C$500,MATCH(InspectionSite!$S125,[1]Gen_Vessels!$C$3:$C$500,0),1)),"")</f>
        <v/>
      </c>
      <c r="U125" s="2"/>
      <c r="V125" s="2"/>
      <c r="W125" s="2"/>
      <c r="X125" s="2"/>
      <c r="Y125" s="2"/>
      <c r="AB125" s="2"/>
      <c r="AC125" s="2"/>
      <c r="AD125" s="2"/>
      <c r="AE125" s="2"/>
      <c r="AF125" s="2"/>
      <c r="AG125" s="2"/>
      <c r="AH125" s="2"/>
    </row>
    <row r="126" spans="1:34" x14ac:dyDescent="0.25">
      <c r="A126" s="1" t="str">
        <f t="shared" si="1"/>
        <v/>
      </c>
      <c r="B126" s="2"/>
      <c r="C126" s="2"/>
      <c r="D126" s="2"/>
      <c r="E126" s="2"/>
      <c r="F126" s="2"/>
      <c r="G126" s="6"/>
      <c r="H126" s="2"/>
      <c r="I126" s="7"/>
      <c r="J126" s="8"/>
      <c r="Q126" s="2"/>
      <c r="R126" s="2" t="str">
        <f>IFERROR(IF(ISBLANK(Q126),"",INDEX([1]Gen_Vessels!$A$3:$C$500,MATCH(InspectionSite!$Q126,[1]Gen_Vessels!$C$3:$C$500,0),1)),"")</f>
        <v/>
      </c>
      <c r="S126" s="2"/>
      <c r="T126" s="2" t="str">
        <f>IFERROR(IF(ISBLANK(S126),"",INDEX([1]Gen_Vessels!$A$3:$C$500,MATCH(InspectionSite!$S126,[1]Gen_Vessels!$C$3:$C$500,0),1)),"")</f>
        <v/>
      </c>
      <c r="U126" s="2"/>
      <c r="V126" s="2"/>
      <c r="W126" s="2"/>
      <c r="X126" s="2"/>
      <c r="Y126" s="2"/>
      <c r="AB126" s="2"/>
      <c r="AC126" s="2"/>
      <c r="AD126" s="2"/>
      <c r="AE126" s="2"/>
      <c r="AF126" s="2"/>
      <c r="AG126" s="2"/>
      <c r="AH126" s="2"/>
    </row>
    <row r="127" spans="1:34" x14ac:dyDescent="0.25">
      <c r="A127" s="1" t="str">
        <f t="shared" si="1"/>
        <v/>
      </c>
      <c r="B127" s="2"/>
      <c r="C127" s="2"/>
      <c r="D127" s="2"/>
      <c r="E127" s="2"/>
      <c r="F127" s="2"/>
      <c r="G127" s="6"/>
      <c r="H127" s="2"/>
      <c r="I127" s="7"/>
      <c r="J127" s="8"/>
      <c r="Q127" s="2"/>
      <c r="R127" s="2" t="str">
        <f>IFERROR(IF(ISBLANK(Q127),"",INDEX([1]Gen_Vessels!$A$3:$C$500,MATCH(InspectionSite!$Q127,[1]Gen_Vessels!$C$3:$C$500,0),1)),"")</f>
        <v/>
      </c>
      <c r="S127" s="2"/>
      <c r="T127" s="2" t="str">
        <f>IFERROR(IF(ISBLANK(S127),"",INDEX([1]Gen_Vessels!$A$3:$C$500,MATCH(InspectionSite!$S127,[1]Gen_Vessels!$C$3:$C$500,0),1)),"")</f>
        <v/>
      </c>
      <c r="U127" s="2"/>
      <c r="V127" s="2"/>
      <c r="W127" s="2"/>
      <c r="X127" s="2"/>
      <c r="Y127" s="2"/>
      <c r="AB127" s="2"/>
      <c r="AC127" s="2"/>
      <c r="AD127" s="2"/>
      <c r="AE127" s="2"/>
      <c r="AF127" s="2"/>
      <c r="AG127" s="2"/>
      <c r="AH127" s="2"/>
    </row>
    <row r="128" spans="1:34" x14ac:dyDescent="0.25">
      <c r="A128" s="1" t="str">
        <f t="shared" si="1"/>
        <v/>
      </c>
      <c r="B128" s="2"/>
      <c r="C128" s="2"/>
      <c r="D128" s="2"/>
      <c r="E128" s="2"/>
      <c r="F128" s="2"/>
      <c r="G128" s="6"/>
      <c r="H128" s="2"/>
      <c r="I128" s="7"/>
      <c r="J128" s="8"/>
      <c r="Q128" s="2"/>
      <c r="R128" s="2" t="str">
        <f>IFERROR(IF(ISBLANK(Q128),"",INDEX([1]Gen_Vessels!$A$3:$C$500,MATCH(InspectionSite!$Q128,[1]Gen_Vessels!$C$3:$C$500,0),1)),"")</f>
        <v/>
      </c>
      <c r="S128" s="2"/>
      <c r="T128" s="2" t="str">
        <f>IFERROR(IF(ISBLANK(S128),"",INDEX([1]Gen_Vessels!$A$3:$C$500,MATCH(InspectionSite!$S128,[1]Gen_Vessels!$C$3:$C$500,0),1)),"")</f>
        <v/>
      </c>
      <c r="U128" s="2"/>
      <c r="V128" s="2"/>
      <c r="W128" s="2"/>
      <c r="X128" s="2"/>
      <c r="Y128" s="2"/>
      <c r="AB128" s="2"/>
      <c r="AC128" s="2"/>
      <c r="AD128" s="2"/>
      <c r="AE128" s="2"/>
      <c r="AF128" s="2"/>
      <c r="AG128" s="2"/>
      <c r="AH128" s="2"/>
    </row>
    <row r="129" spans="1:34" x14ac:dyDescent="0.25">
      <c r="A129" s="1" t="str">
        <f t="shared" si="1"/>
        <v/>
      </c>
      <c r="B129" s="2"/>
      <c r="C129" s="2"/>
      <c r="D129" s="2"/>
      <c r="E129" s="2"/>
      <c r="F129" s="2"/>
      <c r="G129" s="6"/>
      <c r="H129" s="2"/>
      <c r="I129" s="7"/>
      <c r="J129" s="8"/>
      <c r="Q129" s="2"/>
      <c r="R129" s="2" t="str">
        <f>IFERROR(IF(ISBLANK(Q129),"",INDEX([1]Gen_Vessels!$A$3:$C$500,MATCH(InspectionSite!$Q129,[1]Gen_Vessels!$C$3:$C$500,0),1)),"")</f>
        <v/>
      </c>
      <c r="S129" s="2"/>
      <c r="T129" s="2" t="str">
        <f>IFERROR(IF(ISBLANK(S129),"",INDEX([1]Gen_Vessels!$A$3:$C$500,MATCH(InspectionSite!$S129,[1]Gen_Vessels!$C$3:$C$500,0),1)),"")</f>
        <v/>
      </c>
      <c r="U129" s="2"/>
      <c r="V129" s="2"/>
      <c r="W129" s="2"/>
      <c r="X129" s="2"/>
      <c r="Y129" s="2"/>
      <c r="AB129" s="2"/>
      <c r="AC129" s="2"/>
      <c r="AD129" s="2"/>
      <c r="AE129" s="2"/>
      <c r="AF129" s="2"/>
      <c r="AG129" s="2"/>
      <c r="AH129" s="2"/>
    </row>
    <row r="130" spans="1:34" x14ac:dyDescent="0.25">
      <c r="A130" s="1" t="str">
        <f t="shared" si="1"/>
        <v/>
      </c>
      <c r="B130" s="2"/>
      <c r="C130" s="2"/>
      <c r="D130" s="2"/>
      <c r="E130" s="2"/>
      <c r="F130" s="2"/>
      <c r="G130" s="6"/>
      <c r="H130" s="2"/>
      <c r="I130" s="7"/>
      <c r="J130" s="8"/>
      <c r="Q130" s="2"/>
      <c r="R130" s="2" t="str">
        <f>IFERROR(IF(ISBLANK(Q130),"",INDEX([1]Gen_Vessels!$A$3:$C$500,MATCH(InspectionSite!$Q130,[1]Gen_Vessels!$C$3:$C$500,0),1)),"")</f>
        <v/>
      </c>
      <c r="S130" s="2"/>
      <c r="T130" s="2" t="str">
        <f>IFERROR(IF(ISBLANK(S130),"",INDEX([1]Gen_Vessels!$A$3:$C$500,MATCH(InspectionSite!$S130,[1]Gen_Vessels!$C$3:$C$500,0),1)),"")</f>
        <v/>
      </c>
      <c r="U130" s="2"/>
      <c r="V130" s="2"/>
      <c r="W130" s="2"/>
      <c r="X130" s="2"/>
      <c r="Y130" s="2"/>
      <c r="AB130" s="2"/>
      <c r="AC130" s="2"/>
      <c r="AD130" s="2"/>
      <c r="AE130" s="2"/>
      <c r="AF130" s="2"/>
      <c r="AG130" s="2"/>
      <c r="AH130" s="2"/>
    </row>
    <row r="131" spans="1:34" x14ac:dyDescent="0.25">
      <c r="A131" s="1" t="str">
        <f t="shared" ref="A131:A194" si="2">IF(ISBLANK($B131)=FALSE,IF(AND($G131&gt;0,$H131&lt;=0,$I131&lt;=0),_xlfn.CONCAT("ofw_",$B131),IF(AND($G131&lt;=0,$H131&gt;0,$I131&lt;=0),_xlfn.CONCAT("owc_",$B131),IF(AND($G131&lt;=0,$H131&lt;=0,$I131&gt;0),_xlfn.CONCAT("opv_",$B131),_xlfn.CONCAT("oce_",$B131)))),"")</f>
        <v/>
      </c>
      <c r="B131" s="2"/>
      <c r="C131" s="2"/>
      <c r="D131" s="2"/>
      <c r="E131" s="2"/>
      <c r="F131" s="2"/>
      <c r="G131" s="6"/>
      <c r="H131" s="2"/>
      <c r="I131" s="7"/>
      <c r="J131" s="8"/>
      <c r="Q131" s="2"/>
      <c r="R131" s="2" t="str">
        <f>IFERROR(IF(ISBLANK(Q131),"",INDEX([1]Gen_Vessels!$A$3:$C$500,MATCH(InspectionSite!$Q131,[1]Gen_Vessels!$C$3:$C$500,0),1)),"")</f>
        <v/>
      </c>
      <c r="S131" s="2"/>
      <c r="T131" s="2" t="str">
        <f>IFERROR(IF(ISBLANK(S131),"",INDEX([1]Gen_Vessels!$A$3:$C$500,MATCH(InspectionSite!$S131,[1]Gen_Vessels!$C$3:$C$500,0),1)),"")</f>
        <v/>
      </c>
      <c r="U131" s="2"/>
      <c r="V131" s="2"/>
      <c r="W131" s="2"/>
      <c r="X131" s="2"/>
      <c r="Y131" s="2"/>
      <c r="AB131" s="2"/>
      <c r="AC131" s="2"/>
      <c r="AD131" s="2"/>
      <c r="AE131" s="2"/>
      <c r="AF131" s="2"/>
      <c r="AG131" s="2"/>
      <c r="AH131" s="2"/>
    </row>
    <row r="132" spans="1:34" x14ac:dyDescent="0.25">
      <c r="A132" s="1" t="str">
        <f t="shared" si="2"/>
        <v/>
      </c>
      <c r="B132" s="2"/>
      <c r="C132" s="2"/>
      <c r="D132" s="2"/>
      <c r="E132" s="2"/>
      <c r="F132" s="2"/>
      <c r="G132" s="6"/>
      <c r="H132" s="2"/>
      <c r="I132" s="7"/>
      <c r="J132" s="8"/>
      <c r="Q132" s="2"/>
      <c r="R132" s="2" t="str">
        <f>IFERROR(IF(ISBLANK(Q132),"",INDEX([1]Gen_Vessels!$A$3:$C$500,MATCH(InspectionSite!$Q132,[1]Gen_Vessels!$C$3:$C$500,0),1)),"")</f>
        <v/>
      </c>
      <c r="S132" s="2"/>
      <c r="T132" s="2" t="str">
        <f>IFERROR(IF(ISBLANK(S132),"",INDEX([1]Gen_Vessels!$A$3:$C$500,MATCH(InspectionSite!$S132,[1]Gen_Vessels!$C$3:$C$500,0),1)),"")</f>
        <v/>
      </c>
      <c r="U132" s="2"/>
      <c r="V132" s="2"/>
      <c r="W132" s="2"/>
      <c r="X132" s="2"/>
      <c r="Y132" s="2"/>
      <c r="AB132" s="2"/>
      <c r="AC132" s="2"/>
      <c r="AD132" s="2"/>
      <c r="AE132" s="2"/>
      <c r="AF132" s="2"/>
      <c r="AG132" s="2"/>
      <c r="AH132" s="2"/>
    </row>
    <row r="133" spans="1:34" x14ac:dyDescent="0.25">
      <c r="A133" s="1" t="str">
        <f t="shared" si="2"/>
        <v/>
      </c>
      <c r="B133" s="2"/>
      <c r="C133" s="2"/>
      <c r="D133" s="2"/>
      <c r="E133" s="2"/>
      <c r="F133" s="2"/>
      <c r="G133" s="6"/>
      <c r="H133" s="2"/>
      <c r="I133" s="7"/>
      <c r="J133" s="8"/>
      <c r="Q133" s="2"/>
      <c r="R133" s="2" t="str">
        <f>IFERROR(IF(ISBLANK(Q133),"",INDEX([1]Gen_Vessels!$A$3:$C$500,MATCH(InspectionSite!$Q133,[1]Gen_Vessels!$C$3:$C$500,0),1)),"")</f>
        <v/>
      </c>
      <c r="S133" s="2"/>
      <c r="T133" s="2" t="str">
        <f>IFERROR(IF(ISBLANK(S133),"",INDEX([1]Gen_Vessels!$A$3:$C$500,MATCH(InspectionSite!$S133,[1]Gen_Vessels!$C$3:$C$500,0),1)),"")</f>
        <v/>
      </c>
      <c r="U133" s="2"/>
      <c r="V133" s="2"/>
      <c r="W133" s="2"/>
      <c r="X133" s="2"/>
      <c r="Y133" s="2"/>
      <c r="AB133" s="2"/>
      <c r="AC133" s="2"/>
      <c r="AD133" s="2"/>
      <c r="AE133" s="2"/>
      <c r="AF133" s="2"/>
      <c r="AG133" s="2"/>
      <c r="AH133" s="2"/>
    </row>
    <row r="134" spans="1:34" x14ac:dyDescent="0.25">
      <c r="A134" s="1" t="str">
        <f t="shared" si="2"/>
        <v/>
      </c>
      <c r="B134" s="2"/>
      <c r="C134" s="2"/>
      <c r="D134" s="2"/>
      <c r="E134" s="2"/>
      <c r="F134" s="2"/>
      <c r="G134" s="6"/>
      <c r="H134" s="2"/>
      <c r="I134" s="7"/>
      <c r="J134" s="8"/>
      <c r="Q134" s="2"/>
      <c r="R134" s="2" t="str">
        <f>IFERROR(IF(ISBLANK(Q134),"",INDEX([1]Gen_Vessels!$A$3:$C$500,MATCH(InspectionSite!$Q134,[1]Gen_Vessels!$C$3:$C$500,0),1)),"")</f>
        <v/>
      </c>
      <c r="S134" s="2"/>
      <c r="T134" s="2" t="str">
        <f>IFERROR(IF(ISBLANK(S134),"",INDEX([1]Gen_Vessels!$A$3:$C$500,MATCH(InspectionSite!$S134,[1]Gen_Vessels!$C$3:$C$500,0),1)),"")</f>
        <v/>
      </c>
      <c r="U134" s="2"/>
      <c r="V134" s="2"/>
      <c r="W134" s="2"/>
      <c r="X134" s="2"/>
      <c r="Y134" s="2"/>
      <c r="AB134" s="2"/>
      <c r="AC134" s="2"/>
      <c r="AD134" s="2"/>
      <c r="AE134" s="2"/>
      <c r="AF134" s="2"/>
      <c r="AG134" s="2"/>
      <c r="AH134" s="2"/>
    </row>
    <row r="135" spans="1:34" x14ac:dyDescent="0.25">
      <c r="A135" s="1" t="str">
        <f t="shared" si="2"/>
        <v/>
      </c>
      <c r="B135" s="2"/>
      <c r="C135" s="2"/>
      <c r="D135" s="2"/>
      <c r="E135" s="2"/>
      <c r="F135" s="2"/>
      <c r="G135" s="6"/>
      <c r="H135" s="2"/>
      <c r="I135" s="7"/>
      <c r="J135" s="8"/>
      <c r="Q135" s="2"/>
      <c r="R135" s="2" t="str">
        <f>IFERROR(IF(ISBLANK(Q135),"",INDEX([1]Gen_Vessels!$A$3:$C$500,MATCH(InspectionSite!$Q135,[1]Gen_Vessels!$C$3:$C$500,0),1)),"")</f>
        <v/>
      </c>
      <c r="S135" s="2"/>
      <c r="T135" s="2" t="str">
        <f>IFERROR(IF(ISBLANK(S135),"",INDEX([1]Gen_Vessels!$A$3:$C$500,MATCH(InspectionSite!$S135,[1]Gen_Vessels!$C$3:$C$500,0),1)),"")</f>
        <v/>
      </c>
      <c r="U135" s="2"/>
      <c r="V135" s="2"/>
      <c r="W135" s="2"/>
      <c r="X135" s="2"/>
      <c r="Y135" s="2"/>
      <c r="AB135" s="2"/>
      <c r="AC135" s="2"/>
      <c r="AD135" s="2"/>
      <c r="AE135" s="2"/>
      <c r="AF135" s="2"/>
      <c r="AG135" s="2"/>
      <c r="AH135" s="2"/>
    </row>
    <row r="136" spans="1:34" x14ac:dyDescent="0.25">
      <c r="A136" s="1" t="str">
        <f t="shared" si="2"/>
        <v/>
      </c>
      <c r="B136" s="2"/>
      <c r="C136" s="2"/>
      <c r="D136" s="2"/>
      <c r="E136" s="2"/>
      <c r="F136" s="2"/>
      <c r="G136" s="6"/>
      <c r="H136" s="2"/>
      <c r="I136" s="7"/>
      <c r="J136" s="8"/>
      <c r="Q136" s="2"/>
      <c r="R136" s="2" t="str">
        <f>IFERROR(IF(ISBLANK(Q136),"",INDEX([1]Gen_Vessels!$A$3:$C$500,MATCH(InspectionSite!$Q136,[1]Gen_Vessels!$C$3:$C$500,0),1)),"")</f>
        <v/>
      </c>
      <c r="S136" s="2"/>
      <c r="T136" s="2" t="str">
        <f>IFERROR(IF(ISBLANK(S136),"",INDEX([1]Gen_Vessels!$A$3:$C$500,MATCH(InspectionSite!$S136,[1]Gen_Vessels!$C$3:$C$500,0),1)),"")</f>
        <v/>
      </c>
      <c r="U136" s="2"/>
      <c r="V136" s="2"/>
      <c r="W136" s="2"/>
      <c r="X136" s="2"/>
      <c r="Y136" s="2"/>
      <c r="AB136" s="2"/>
      <c r="AC136" s="2"/>
      <c r="AD136" s="2"/>
      <c r="AE136" s="2"/>
      <c r="AF136" s="2"/>
      <c r="AG136" s="2"/>
      <c r="AH136" s="2"/>
    </row>
    <row r="137" spans="1:34" x14ac:dyDescent="0.25">
      <c r="A137" s="1" t="str">
        <f t="shared" si="2"/>
        <v/>
      </c>
      <c r="B137" s="2"/>
      <c r="C137" s="2"/>
      <c r="D137" s="2"/>
      <c r="E137" s="2"/>
      <c r="F137" s="2"/>
      <c r="G137" s="6"/>
      <c r="H137" s="2"/>
      <c r="I137" s="7"/>
      <c r="J137" s="8"/>
      <c r="Q137" s="2"/>
      <c r="R137" s="2" t="str">
        <f>IFERROR(IF(ISBLANK(Q137),"",INDEX([1]Gen_Vessels!$A$3:$C$500,MATCH(InspectionSite!$Q137,[1]Gen_Vessels!$C$3:$C$500,0),1)),"")</f>
        <v/>
      </c>
      <c r="S137" s="2"/>
      <c r="T137" s="2" t="str">
        <f>IFERROR(IF(ISBLANK(S137),"",INDEX([1]Gen_Vessels!$A$3:$C$500,MATCH(InspectionSite!$S137,[1]Gen_Vessels!$C$3:$C$500,0),1)),"")</f>
        <v/>
      </c>
      <c r="U137" s="2"/>
      <c r="V137" s="2"/>
      <c r="W137" s="2"/>
      <c r="X137" s="2"/>
      <c r="Y137" s="2"/>
      <c r="AB137" s="2"/>
      <c r="AC137" s="2"/>
      <c r="AD137" s="2"/>
      <c r="AE137" s="2"/>
      <c r="AF137" s="2"/>
      <c r="AG137" s="2"/>
      <c r="AH137" s="2"/>
    </row>
    <row r="138" spans="1:34" x14ac:dyDescent="0.25">
      <c r="A138" s="1" t="str">
        <f t="shared" si="2"/>
        <v/>
      </c>
      <c r="B138" s="2"/>
      <c r="C138" s="2"/>
      <c r="D138" s="2"/>
      <c r="E138" s="2"/>
      <c r="F138" s="2"/>
      <c r="G138" s="6"/>
      <c r="H138" s="2"/>
      <c r="I138" s="7"/>
      <c r="J138" s="8"/>
      <c r="Q138" s="2"/>
      <c r="R138" s="2" t="str">
        <f>IFERROR(IF(ISBLANK(Q138),"",INDEX([1]Gen_Vessels!$A$3:$C$500,MATCH(InspectionSite!$Q138,[1]Gen_Vessels!$C$3:$C$500,0),1)),"")</f>
        <v/>
      </c>
      <c r="S138" s="2"/>
      <c r="T138" s="2" t="str">
        <f>IFERROR(IF(ISBLANK(S138),"",INDEX([1]Gen_Vessels!$A$3:$C$500,MATCH(InspectionSite!$S138,[1]Gen_Vessels!$C$3:$C$500,0),1)),"")</f>
        <v/>
      </c>
      <c r="U138" s="2"/>
      <c r="V138" s="2"/>
      <c r="W138" s="2"/>
      <c r="X138" s="2"/>
      <c r="Y138" s="2"/>
      <c r="AB138" s="2"/>
      <c r="AC138" s="2"/>
      <c r="AD138" s="2"/>
      <c r="AE138" s="2"/>
      <c r="AF138" s="2"/>
      <c r="AG138" s="2"/>
      <c r="AH138" s="2"/>
    </row>
    <row r="139" spans="1:34" x14ac:dyDescent="0.25">
      <c r="A139" s="1" t="str">
        <f t="shared" si="2"/>
        <v/>
      </c>
      <c r="B139" s="2"/>
      <c r="C139" s="2"/>
      <c r="D139" s="2"/>
      <c r="E139" s="2"/>
      <c r="F139" s="2"/>
      <c r="G139" s="6"/>
      <c r="H139" s="2"/>
      <c r="I139" s="7"/>
      <c r="J139" s="8"/>
      <c r="Q139" s="2"/>
      <c r="R139" s="2" t="str">
        <f>IFERROR(IF(ISBLANK(Q139),"",INDEX([1]Gen_Vessels!$A$3:$C$500,MATCH(InspectionSite!$Q139,[1]Gen_Vessels!$C$3:$C$500,0),1)),"")</f>
        <v/>
      </c>
      <c r="S139" s="2"/>
      <c r="T139" s="2" t="str">
        <f>IFERROR(IF(ISBLANK(S139),"",INDEX([1]Gen_Vessels!$A$3:$C$500,MATCH(InspectionSite!$S139,[1]Gen_Vessels!$C$3:$C$500,0),1)),"")</f>
        <v/>
      </c>
      <c r="U139" s="2"/>
      <c r="V139" s="2"/>
      <c r="W139" s="2"/>
      <c r="X139" s="2"/>
      <c r="Y139" s="2"/>
      <c r="AB139" s="2"/>
      <c r="AC139" s="2"/>
      <c r="AD139" s="2"/>
      <c r="AE139" s="2"/>
      <c r="AF139" s="2"/>
      <c r="AG139" s="2"/>
      <c r="AH139" s="2"/>
    </row>
    <row r="140" spans="1:34" x14ac:dyDescent="0.25">
      <c r="A140" s="1" t="str">
        <f t="shared" si="2"/>
        <v/>
      </c>
      <c r="B140" s="2"/>
      <c r="C140" s="2"/>
      <c r="D140" s="2"/>
      <c r="E140" s="2"/>
      <c r="F140" s="2"/>
      <c r="G140" s="6"/>
      <c r="H140" s="2"/>
      <c r="I140" s="7"/>
      <c r="J140" s="8"/>
      <c r="Q140" s="2"/>
      <c r="R140" s="2" t="str">
        <f>IFERROR(IF(ISBLANK(Q140),"",INDEX([1]Gen_Vessels!$A$3:$C$500,MATCH(InspectionSite!$Q140,[1]Gen_Vessels!$C$3:$C$500,0),1)),"")</f>
        <v/>
      </c>
      <c r="S140" s="2"/>
      <c r="T140" s="2" t="str">
        <f>IFERROR(IF(ISBLANK(S140),"",INDEX([1]Gen_Vessels!$A$3:$C$500,MATCH(InspectionSite!$S140,[1]Gen_Vessels!$C$3:$C$500,0),1)),"")</f>
        <v/>
      </c>
      <c r="U140" s="2"/>
      <c r="V140" s="2"/>
      <c r="W140" s="2"/>
      <c r="X140" s="2"/>
      <c r="Y140" s="2"/>
      <c r="AB140" s="2"/>
      <c r="AC140" s="2"/>
      <c r="AD140" s="2"/>
      <c r="AE140" s="2"/>
      <c r="AF140" s="2"/>
      <c r="AG140" s="2"/>
      <c r="AH140" s="2"/>
    </row>
    <row r="141" spans="1:34" x14ac:dyDescent="0.25">
      <c r="A141" s="1" t="str">
        <f t="shared" si="2"/>
        <v/>
      </c>
      <c r="B141" s="2"/>
      <c r="C141" s="2"/>
      <c r="D141" s="2"/>
      <c r="E141" s="2"/>
      <c r="F141" s="2"/>
      <c r="G141" s="6"/>
      <c r="H141" s="2"/>
      <c r="I141" s="7"/>
      <c r="J141" s="8"/>
      <c r="Q141" s="2"/>
      <c r="R141" s="2" t="str">
        <f>IFERROR(IF(ISBLANK(Q141),"",INDEX([1]Gen_Vessels!$A$3:$C$500,MATCH(InspectionSite!$Q141,[1]Gen_Vessels!$C$3:$C$500,0),1)),"")</f>
        <v/>
      </c>
      <c r="S141" s="2"/>
      <c r="T141" s="2" t="str">
        <f>IFERROR(IF(ISBLANK(S141),"",INDEX([1]Gen_Vessels!$A$3:$C$500,MATCH(InspectionSite!$S141,[1]Gen_Vessels!$C$3:$C$500,0),1)),"")</f>
        <v/>
      </c>
      <c r="U141" s="2"/>
      <c r="V141" s="2"/>
      <c r="W141" s="2"/>
      <c r="X141" s="2"/>
      <c r="Y141" s="2"/>
      <c r="AB141" s="2"/>
      <c r="AC141" s="2"/>
      <c r="AD141" s="2"/>
      <c r="AE141" s="2"/>
      <c r="AF141" s="2"/>
      <c r="AG141" s="2"/>
      <c r="AH141" s="2"/>
    </row>
    <row r="142" spans="1:34" x14ac:dyDescent="0.25">
      <c r="A142" s="1" t="str">
        <f t="shared" si="2"/>
        <v/>
      </c>
      <c r="B142" s="2"/>
      <c r="C142" s="2"/>
      <c r="D142" s="2"/>
      <c r="E142" s="2"/>
      <c r="F142" s="2"/>
      <c r="G142" s="6"/>
      <c r="H142" s="2"/>
      <c r="I142" s="7"/>
      <c r="J142" s="8"/>
      <c r="Q142" s="2"/>
      <c r="R142" s="2" t="str">
        <f>IFERROR(IF(ISBLANK(Q142),"",INDEX([1]Gen_Vessels!$A$3:$C$500,MATCH(InspectionSite!$Q142,[1]Gen_Vessels!$C$3:$C$500,0),1)),"")</f>
        <v/>
      </c>
      <c r="S142" s="2"/>
      <c r="T142" s="2" t="str">
        <f>IFERROR(IF(ISBLANK(S142),"",INDEX([1]Gen_Vessels!$A$3:$C$500,MATCH(InspectionSite!$S142,[1]Gen_Vessels!$C$3:$C$500,0),1)),"")</f>
        <v/>
      </c>
      <c r="U142" s="2"/>
      <c r="V142" s="2"/>
      <c r="W142" s="2"/>
      <c r="X142" s="2"/>
      <c r="Y142" s="2"/>
      <c r="AB142" s="2"/>
      <c r="AC142" s="2"/>
      <c r="AD142" s="2"/>
      <c r="AE142" s="2"/>
      <c r="AF142" s="2"/>
      <c r="AG142" s="2"/>
      <c r="AH142" s="2"/>
    </row>
    <row r="143" spans="1:34" x14ac:dyDescent="0.25">
      <c r="A143" s="1" t="str">
        <f t="shared" si="2"/>
        <v/>
      </c>
      <c r="B143" s="2"/>
      <c r="C143" s="2"/>
      <c r="D143" s="2"/>
      <c r="E143" s="2"/>
      <c r="F143" s="2"/>
      <c r="G143" s="6"/>
      <c r="H143" s="2"/>
      <c r="I143" s="7"/>
      <c r="J143" s="8"/>
      <c r="Q143" s="2"/>
      <c r="R143" s="2" t="str">
        <f>IFERROR(IF(ISBLANK(Q143),"",INDEX([1]Gen_Vessels!$A$3:$C$500,MATCH(InspectionSite!$Q143,[1]Gen_Vessels!$C$3:$C$500,0),1)),"")</f>
        <v/>
      </c>
      <c r="S143" s="2"/>
      <c r="T143" s="2" t="str">
        <f>IFERROR(IF(ISBLANK(S143),"",INDEX([1]Gen_Vessels!$A$3:$C$500,MATCH(InspectionSite!$S143,[1]Gen_Vessels!$C$3:$C$500,0),1)),"")</f>
        <v/>
      </c>
      <c r="U143" s="2"/>
      <c r="V143" s="2"/>
      <c r="W143" s="2"/>
      <c r="X143" s="2"/>
      <c r="Y143" s="2"/>
      <c r="AB143" s="2"/>
      <c r="AC143" s="2"/>
      <c r="AD143" s="2"/>
      <c r="AE143" s="2"/>
      <c r="AF143" s="2"/>
      <c r="AG143" s="2"/>
      <c r="AH143" s="2"/>
    </row>
    <row r="144" spans="1:34" x14ac:dyDescent="0.25">
      <c r="A144" s="1" t="str">
        <f t="shared" si="2"/>
        <v/>
      </c>
      <c r="B144" s="2"/>
      <c r="C144" s="2"/>
      <c r="D144" s="2"/>
      <c r="E144" s="2"/>
      <c r="F144" s="2"/>
      <c r="G144" s="6"/>
      <c r="H144" s="2"/>
      <c r="I144" s="7"/>
      <c r="J144" s="8"/>
      <c r="Q144" s="2"/>
      <c r="R144" s="2" t="str">
        <f>IFERROR(IF(ISBLANK(Q144),"",INDEX([1]Gen_Vessels!$A$3:$C$500,MATCH(InspectionSite!$Q144,[1]Gen_Vessels!$C$3:$C$500,0),1)),"")</f>
        <v/>
      </c>
      <c r="S144" s="2"/>
      <c r="T144" s="2" t="str">
        <f>IFERROR(IF(ISBLANK(S144),"",INDEX([1]Gen_Vessels!$A$3:$C$500,MATCH(InspectionSite!$S144,[1]Gen_Vessels!$C$3:$C$500,0),1)),"")</f>
        <v/>
      </c>
      <c r="U144" s="2"/>
      <c r="V144" s="2"/>
      <c r="W144" s="2"/>
      <c r="X144" s="2"/>
      <c r="Y144" s="2"/>
      <c r="AB144" s="2"/>
      <c r="AC144" s="2"/>
      <c r="AD144" s="2"/>
      <c r="AE144" s="2"/>
      <c r="AF144" s="2"/>
      <c r="AG144" s="2"/>
      <c r="AH144" s="2"/>
    </row>
    <row r="145" spans="1:34" x14ac:dyDescent="0.25">
      <c r="A145" s="1" t="str">
        <f t="shared" si="2"/>
        <v/>
      </c>
      <c r="B145" s="2"/>
      <c r="C145" s="2"/>
      <c r="D145" s="2"/>
      <c r="E145" s="2"/>
      <c r="F145" s="2"/>
      <c r="G145" s="6"/>
      <c r="H145" s="2"/>
      <c r="I145" s="7"/>
      <c r="J145" s="8"/>
      <c r="Q145" s="2"/>
      <c r="R145" s="2" t="str">
        <f>IFERROR(IF(ISBLANK(Q145),"",INDEX([1]Gen_Vessels!$A$3:$C$500,MATCH(InspectionSite!$Q145,[1]Gen_Vessels!$C$3:$C$500,0),1)),"")</f>
        <v/>
      </c>
      <c r="S145" s="2"/>
      <c r="T145" s="2" t="str">
        <f>IFERROR(IF(ISBLANK(S145),"",INDEX([1]Gen_Vessels!$A$3:$C$500,MATCH(InspectionSite!$S145,[1]Gen_Vessels!$C$3:$C$500,0),1)),"")</f>
        <v/>
      </c>
      <c r="U145" s="2"/>
      <c r="V145" s="2"/>
      <c r="W145" s="2"/>
      <c r="X145" s="2"/>
      <c r="Y145" s="2"/>
      <c r="AB145" s="2"/>
      <c r="AC145" s="2"/>
      <c r="AD145" s="2"/>
      <c r="AE145" s="2"/>
      <c r="AF145" s="2"/>
      <c r="AG145" s="2"/>
      <c r="AH145" s="2"/>
    </row>
    <row r="146" spans="1:34" x14ac:dyDescent="0.25">
      <c r="A146" s="1" t="str">
        <f t="shared" si="2"/>
        <v/>
      </c>
      <c r="B146" s="2"/>
      <c r="C146" s="2"/>
      <c r="D146" s="2"/>
      <c r="E146" s="2"/>
      <c r="F146" s="2"/>
      <c r="G146" s="6"/>
      <c r="H146" s="2"/>
      <c r="I146" s="7"/>
      <c r="J146" s="8"/>
      <c r="Q146" s="2"/>
      <c r="R146" s="2" t="str">
        <f>IFERROR(IF(ISBLANK(Q146),"",INDEX([1]Gen_Vessels!$A$3:$C$500,MATCH(InspectionSite!$Q146,[1]Gen_Vessels!$C$3:$C$500,0),1)),"")</f>
        <v/>
      </c>
      <c r="S146" s="2"/>
      <c r="T146" s="2" t="str">
        <f>IFERROR(IF(ISBLANK(S146),"",INDEX([1]Gen_Vessels!$A$3:$C$500,MATCH(InspectionSite!$S146,[1]Gen_Vessels!$C$3:$C$500,0),1)),"")</f>
        <v/>
      </c>
      <c r="U146" s="2"/>
      <c r="V146" s="2"/>
      <c r="W146" s="2"/>
      <c r="X146" s="2"/>
      <c r="Y146" s="2"/>
      <c r="AB146" s="2"/>
      <c r="AC146" s="2"/>
      <c r="AD146" s="2"/>
      <c r="AE146" s="2"/>
      <c r="AF146" s="2"/>
      <c r="AG146" s="2"/>
      <c r="AH146" s="2"/>
    </row>
    <row r="147" spans="1:34" x14ac:dyDescent="0.25">
      <c r="A147" s="1" t="str">
        <f t="shared" si="2"/>
        <v/>
      </c>
      <c r="B147" s="2"/>
      <c r="C147" s="2"/>
      <c r="D147" s="2"/>
      <c r="E147" s="2"/>
      <c r="F147" s="2"/>
      <c r="G147" s="6"/>
      <c r="H147" s="2"/>
      <c r="I147" s="7"/>
      <c r="J147" s="8"/>
      <c r="Q147" s="2"/>
      <c r="R147" s="2" t="str">
        <f>IFERROR(IF(ISBLANK(Q147),"",INDEX([1]Gen_Vessels!$A$3:$C$500,MATCH(InspectionSite!$Q147,[1]Gen_Vessels!$C$3:$C$500,0),1)),"")</f>
        <v/>
      </c>
      <c r="S147" s="2"/>
      <c r="T147" s="2" t="str">
        <f>IFERROR(IF(ISBLANK(S147),"",INDEX([1]Gen_Vessels!$A$3:$C$500,MATCH(InspectionSite!$S147,[1]Gen_Vessels!$C$3:$C$500,0),1)),"")</f>
        <v/>
      </c>
      <c r="U147" s="2"/>
      <c r="V147" s="2"/>
      <c r="W147" s="2"/>
      <c r="X147" s="2"/>
      <c r="Y147" s="2"/>
      <c r="AB147" s="2"/>
      <c r="AC147" s="2"/>
      <c r="AD147" s="2"/>
      <c r="AE147" s="2"/>
      <c r="AF147" s="2"/>
      <c r="AG147" s="2"/>
      <c r="AH147" s="2"/>
    </row>
    <row r="148" spans="1:34" x14ac:dyDescent="0.25">
      <c r="A148" s="1" t="str">
        <f t="shared" si="2"/>
        <v/>
      </c>
      <c r="B148" s="2"/>
      <c r="C148" s="2"/>
      <c r="D148" s="2"/>
      <c r="E148" s="2"/>
      <c r="F148" s="2"/>
      <c r="G148" s="6"/>
      <c r="H148" s="2"/>
      <c r="I148" s="7"/>
      <c r="J148" s="8"/>
      <c r="Q148" s="2"/>
      <c r="R148" s="2" t="str">
        <f>IFERROR(IF(ISBLANK(Q148),"",INDEX([1]Gen_Vessels!$A$3:$C$500,MATCH(InspectionSite!$Q148,[1]Gen_Vessels!$C$3:$C$500,0),1)),"")</f>
        <v/>
      </c>
      <c r="S148" s="2"/>
      <c r="T148" s="2" t="str">
        <f>IFERROR(IF(ISBLANK(S148),"",INDEX([1]Gen_Vessels!$A$3:$C$500,MATCH(InspectionSite!$S148,[1]Gen_Vessels!$C$3:$C$500,0),1)),"")</f>
        <v/>
      </c>
      <c r="U148" s="2"/>
      <c r="V148" s="2"/>
      <c r="W148" s="2"/>
      <c r="X148" s="2"/>
      <c r="Y148" s="2"/>
      <c r="AB148" s="2"/>
      <c r="AC148" s="2"/>
      <c r="AD148" s="2"/>
      <c r="AE148" s="2"/>
      <c r="AF148" s="2"/>
      <c r="AG148" s="2"/>
      <c r="AH148" s="2"/>
    </row>
    <row r="149" spans="1:34" x14ac:dyDescent="0.25">
      <c r="A149" s="1" t="str">
        <f t="shared" si="2"/>
        <v/>
      </c>
      <c r="B149" s="2"/>
      <c r="C149" s="2"/>
      <c r="D149" s="2"/>
      <c r="E149" s="2"/>
      <c r="F149" s="2"/>
      <c r="G149" s="6"/>
      <c r="H149" s="2"/>
      <c r="I149" s="7"/>
      <c r="J149" s="8"/>
      <c r="Q149" s="2"/>
      <c r="R149" s="2" t="str">
        <f>IFERROR(IF(ISBLANK(Q149),"",INDEX([1]Gen_Vessels!$A$3:$C$500,MATCH(InspectionSite!$Q149,[1]Gen_Vessels!$C$3:$C$500,0),1)),"")</f>
        <v/>
      </c>
      <c r="S149" s="2"/>
      <c r="T149" s="2" t="str">
        <f>IFERROR(IF(ISBLANK(S149),"",INDEX([1]Gen_Vessels!$A$3:$C$500,MATCH(InspectionSite!$S149,[1]Gen_Vessels!$C$3:$C$500,0),1)),"")</f>
        <v/>
      </c>
      <c r="U149" s="2"/>
      <c r="V149" s="2"/>
      <c r="W149" s="2"/>
      <c r="X149" s="2"/>
      <c r="Y149" s="2"/>
      <c r="AB149" s="2"/>
      <c r="AC149" s="2"/>
      <c r="AD149" s="2"/>
      <c r="AE149" s="2"/>
      <c r="AF149" s="2"/>
      <c r="AG149" s="2"/>
      <c r="AH149" s="2"/>
    </row>
    <row r="150" spans="1:34" x14ac:dyDescent="0.25">
      <c r="A150" s="1" t="str">
        <f t="shared" si="2"/>
        <v/>
      </c>
      <c r="B150" s="2"/>
      <c r="C150" s="2"/>
      <c r="D150" s="2"/>
      <c r="E150" s="2"/>
      <c r="F150" s="2"/>
      <c r="G150" s="6"/>
      <c r="H150" s="2"/>
      <c r="I150" s="7"/>
      <c r="J150" s="8"/>
      <c r="Q150" s="2"/>
      <c r="R150" s="2" t="str">
        <f>IFERROR(IF(ISBLANK(Q150),"",INDEX([1]Gen_Vessels!$A$3:$C$500,MATCH(InspectionSite!$Q150,[1]Gen_Vessels!$C$3:$C$500,0),1)),"")</f>
        <v/>
      </c>
      <c r="S150" s="2"/>
      <c r="T150" s="2" t="str">
        <f>IFERROR(IF(ISBLANK(S150),"",INDEX([1]Gen_Vessels!$A$3:$C$500,MATCH(InspectionSite!$S150,[1]Gen_Vessels!$C$3:$C$500,0),1)),"")</f>
        <v/>
      </c>
      <c r="U150" s="2"/>
      <c r="V150" s="2"/>
      <c r="W150" s="2"/>
      <c r="X150" s="2"/>
      <c r="Y150" s="2"/>
      <c r="AB150" s="2"/>
      <c r="AC150" s="2"/>
      <c r="AD150" s="2"/>
      <c r="AE150" s="2"/>
      <c r="AF150" s="2"/>
      <c r="AG150" s="2"/>
      <c r="AH150" s="2"/>
    </row>
    <row r="151" spans="1:34" x14ac:dyDescent="0.25">
      <c r="A151" s="1" t="str">
        <f t="shared" si="2"/>
        <v/>
      </c>
      <c r="B151" s="2"/>
      <c r="C151" s="2"/>
      <c r="D151" s="2"/>
      <c r="E151" s="2"/>
      <c r="F151" s="2"/>
      <c r="G151" s="6"/>
      <c r="H151" s="2"/>
      <c r="I151" s="7"/>
      <c r="J151" s="8"/>
      <c r="Q151" s="2"/>
      <c r="R151" s="2" t="str">
        <f>IFERROR(IF(ISBLANK(Q151),"",INDEX([1]Gen_Vessels!$A$3:$C$500,MATCH(InspectionSite!$Q151,[1]Gen_Vessels!$C$3:$C$500,0),1)),"")</f>
        <v/>
      </c>
      <c r="S151" s="2"/>
      <c r="T151" s="2" t="str">
        <f>IFERROR(IF(ISBLANK(S151),"",INDEX([1]Gen_Vessels!$A$3:$C$500,MATCH(InspectionSite!$S151,[1]Gen_Vessels!$C$3:$C$500,0),1)),"")</f>
        <v/>
      </c>
      <c r="U151" s="2"/>
      <c r="V151" s="2"/>
      <c r="W151" s="2"/>
      <c r="X151" s="2"/>
      <c r="Y151" s="2"/>
      <c r="AB151" s="2"/>
      <c r="AC151" s="2"/>
      <c r="AD151" s="2"/>
      <c r="AE151" s="2"/>
      <c r="AF151" s="2"/>
      <c r="AG151" s="2"/>
      <c r="AH151" s="2"/>
    </row>
    <row r="152" spans="1:34" x14ac:dyDescent="0.25">
      <c r="A152" s="1" t="str">
        <f t="shared" si="2"/>
        <v/>
      </c>
      <c r="B152" s="2"/>
      <c r="C152" s="2"/>
      <c r="D152" s="2"/>
      <c r="E152" s="2"/>
      <c r="F152" s="2"/>
      <c r="G152" s="6"/>
      <c r="H152" s="2"/>
      <c r="I152" s="7"/>
      <c r="J152" s="8"/>
      <c r="Q152" s="2"/>
      <c r="R152" s="2" t="str">
        <f>IFERROR(IF(ISBLANK(Q152),"",INDEX([1]Gen_Vessels!$A$3:$C$500,MATCH(InspectionSite!$Q152,[1]Gen_Vessels!$C$3:$C$500,0),1)),"")</f>
        <v/>
      </c>
      <c r="S152" s="2"/>
      <c r="T152" s="2" t="str">
        <f>IFERROR(IF(ISBLANK(S152),"",INDEX([1]Gen_Vessels!$A$3:$C$500,MATCH(InspectionSite!$S152,[1]Gen_Vessels!$C$3:$C$500,0),1)),"")</f>
        <v/>
      </c>
      <c r="U152" s="2"/>
      <c r="V152" s="2"/>
      <c r="W152" s="2"/>
      <c r="X152" s="2"/>
      <c r="Y152" s="2"/>
      <c r="AB152" s="2"/>
      <c r="AC152" s="2"/>
      <c r="AD152" s="2"/>
      <c r="AE152" s="2"/>
      <c r="AF152" s="2"/>
      <c r="AG152" s="2"/>
      <c r="AH152" s="2"/>
    </row>
    <row r="153" spans="1:34" x14ac:dyDescent="0.25">
      <c r="A153" s="1" t="str">
        <f t="shared" si="2"/>
        <v/>
      </c>
      <c r="B153" s="2"/>
      <c r="C153" s="2"/>
      <c r="D153" s="2"/>
      <c r="E153" s="2"/>
      <c r="F153" s="2"/>
      <c r="G153" s="6"/>
      <c r="H153" s="2"/>
      <c r="I153" s="7"/>
      <c r="J153" s="8"/>
      <c r="Q153" s="2"/>
      <c r="R153" s="2" t="str">
        <f>IFERROR(IF(ISBLANK(Q153),"",INDEX([1]Gen_Vessels!$A$3:$C$500,MATCH(InspectionSite!$Q153,[1]Gen_Vessels!$C$3:$C$500,0),1)),"")</f>
        <v/>
      </c>
      <c r="S153" s="2"/>
      <c r="T153" s="2" t="str">
        <f>IFERROR(IF(ISBLANK(S153),"",INDEX([1]Gen_Vessels!$A$3:$C$500,MATCH(InspectionSite!$S153,[1]Gen_Vessels!$C$3:$C$500,0),1)),"")</f>
        <v/>
      </c>
      <c r="U153" s="2"/>
      <c r="V153" s="2"/>
      <c r="W153" s="2"/>
      <c r="X153" s="2"/>
      <c r="Y153" s="2"/>
      <c r="AB153" s="2"/>
      <c r="AC153" s="2"/>
      <c r="AD153" s="2"/>
      <c r="AE153" s="2"/>
      <c r="AF153" s="2"/>
      <c r="AG153" s="2"/>
      <c r="AH153" s="2"/>
    </row>
    <row r="154" spans="1:34" x14ac:dyDescent="0.25">
      <c r="A154" s="1" t="str">
        <f t="shared" si="2"/>
        <v/>
      </c>
      <c r="B154" s="2"/>
      <c r="C154" s="2"/>
      <c r="D154" s="2"/>
      <c r="E154" s="2"/>
      <c r="F154" s="2"/>
      <c r="G154" s="6"/>
      <c r="H154" s="2"/>
      <c r="I154" s="7"/>
      <c r="J154" s="8"/>
      <c r="Q154" s="2"/>
      <c r="R154" s="2" t="str">
        <f>IFERROR(IF(ISBLANK(Q154),"",INDEX([1]Gen_Vessels!$A$3:$C$500,MATCH(InspectionSite!$Q154,[1]Gen_Vessels!$C$3:$C$500,0),1)),"")</f>
        <v/>
      </c>
      <c r="S154" s="2"/>
      <c r="T154" s="2" t="str">
        <f>IFERROR(IF(ISBLANK(S154),"",INDEX([1]Gen_Vessels!$A$3:$C$500,MATCH(InspectionSite!$S154,[1]Gen_Vessels!$C$3:$C$500,0),1)),"")</f>
        <v/>
      </c>
      <c r="U154" s="2"/>
      <c r="V154" s="2"/>
      <c r="W154" s="2"/>
      <c r="X154" s="2"/>
      <c r="Y154" s="2"/>
      <c r="AB154" s="2"/>
      <c r="AC154" s="2"/>
      <c r="AD154" s="2"/>
      <c r="AE154" s="2"/>
      <c r="AF154" s="2"/>
      <c r="AG154" s="2"/>
      <c r="AH154" s="2"/>
    </row>
    <row r="155" spans="1:34" x14ac:dyDescent="0.25">
      <c r="A155" s="1" t="str">
        <f t="shared" si="2"/>
        <v/>
      </c>
      <c r="B155" s="2"/>
      <c r="C155" s="2"/>
      <c r="D155" s="2"/>
      <c r="E155" s="2"/>
      <c r="F155" s="2"/>
      <c r="G155" s="6"/>
      <c r="H155" s="2"/>
      <c r="I155" s="7"/>
      <c r="J155" s="8"/>
      <c r="Q155" s="2"/>
      <c r="R155" s="2" t="str">
        <f>IFERROR(IF(ISBLANK(Q155),"",INDEX([1]Gen_Vessels!$A$3:$C$500,MATCH(InspectionSite!$Q155,[1]Gen_Vessels!$C$3:$C$500,0),1)),"")</f>
        <v/>
      </c>
      <c r="S155" s="2"/>
      <c r="T155" s="2" t="str">
        <f>IFERROR(IF(ISBLANK(S155),"",INDEX([1]Gen_Vessels!$A$3:$C$500,MATCH(InspectionSite!$S155,[1]Gen_Vessels!$C$3:$C$500,0),1)),"")</f>
        <v/>
      </c>
      <c r="U155" s="2"/>
      <c r="V155" s="2"/>
      <c r="W155" s="2"/>
      <c r="X155" s="2"/>
      <c r="Y155" s="2"/>
      <c r="AB155" s="2"/>
      <c r="AC155" s="2"/>
      <c r="AD155" s="2"/>
      <c r="AE155" s="2"/>
      <c r="AF155" s="2"/>
      <c r="AG155" s="2"/>
      <c r="AH155" s="2"/>
    </row>
    <row r="156" spans="1:34" x14ac:dyDescent="0.25">
      <c r="A156" s="1" t="str">
        <f t="shared" si="2"/>
        <v/>
      </c>
      <c r="B156" s="2"/>
      <c r="C156" s="2"/>
      <c r="D156" s="2"/>
      <c r="E156" s="2"/>
      <c r="F156" s="2"/>
      <c r="G156" s="6"/>
      <c r="H156" s="2"/>
      <c r="I156" s="7"/>
      <c r="J156" s="8"/>
      <c r="Q156" s="2"/>
      <c r="R156" s="2" t="str">
        <f>IFERROR(IF(ISBLANK(Q156),"",INDEX([1]Gen_Vessels!$A$3:$C$500,MATCH(InspectionSite!$Q156,[1]Gen_Vessels!$C$3:$C$500,0),1)),"")</f>
        <v/>
      </c>
      <c r="S156" s="2"/>
      <c r="T156" s="2" t="str">
        <f>IFERROR(IF(ISBLANK(S156),"",INDEX([1]Gen_Vessels!$A$3:$C$500,MATCH(InspectionSite!$S156,[1]Gen_Vessels!$C$3:$C$500,0),1)),"")</f>
        <v/>
      </c>
      <c r="U156" s="2"/>
      <c r="V156" s="2"/>
      <c r="W156" s="2"/>
      <c r="X156" s="2"/>
      <c r="Y156" s="2"/>
      <c r="AB156" s="2"/>
      <c r="AC156" s="2"/>
      <c r="AD156" s="2"/>
      <c r="AE156" s="2"/>
      <c r="AF156" s="2"/>
      <c r="AG156" s="2"/>
      <c r="AH156" s="2"/>
    </row>
    <row r="157" spans="1:34" x14ac:dyDescent="0.25">
      <c r="A157" s="1" t="str">
        <f t="shared" si="2"/>
        <v/>
      </c>
      <c r="B157" s="2"/>
      <c r="C157" s="2"/>
      <c r="D157" s="2"/>
      <c r="E157" s="2"/>
      <c r="F157" s="2"/>
      <c r="G157" s="6"/>
      <c r="H157" s="2"/>
      <c r="I157" s="7"/>
      <c r="J157" s="8"/>
      <c r="Q157" s="2"/>
      <c r="R157" s="2" t="str">
        <f>IFERROR(IF(ISBLANK(Q157),"",INDEX([1]Gen_Vessels!$A$3:$C$500,MATCH(InspectionSite!$Q157,[1]Gen_Vessels!$C$3:$C$500,0),1)),"")</f>
        <v/>
      </c>
      <c r="S157" s="2"/>
      <c r="T157" s="2" t="str">
        <f>IFERROR(IF(ISBLANK(S157),"",INDEX([1]Gen_Vessels!$A$3:$C$500,MATCH(InspectionSite!$S157,[1]Gen_Vessels!$C$3:$C$500,0),1)),"")</f>
        <v/>
      </c>
      <c r="U157" s="2"/>
      <c r="V157" s="2"/>
      <c r="W157" s="2"/>
      <c r="X157" s="2"/>
      <c r="Y157" s="2"/>
      <c r="AB157" s="2"/>
      <c r="AC157" s="2"/>
      <c r="AD157" s="2"/>
      <c r="AE157" s="2"/>
      <c r="AF157" s="2"/>
      <c r="AG157" s="2"/>
      <c r="AH157" s="2"/>
    </row>
    <row r="158" spans="1:34" x14ac:dyDescent="0.25">
      <c r="A158" s="1" t="str">
        <f t="shared" si="2"/>
        <v/>
      </c>
      <c r="B158" s="2"/>
      <c r="C158" s="2"/>
      <c r="D158" s="2"/>
      <c r="E158" s="2"/>
      <c r="F158" s="2"/>
      <c r="G158" s="6"/>
      <c r="H158" s="2"/>
      <c r="I158" s="7"/>
      <c r="J158" s="8"/>
      <c r="Q158" s="2"/>
      <c r="R158" s="2" t="str">
        <f>IFERROR(IF(ISBLANK(Q158),"",INDEX([1]Gen_Vessels!$A$3:$C$500,MATCH(InspectionSite!$Q158,[1]Gen_Vessels!$C$3:$C$500,0),1)),"")</f>
        <v/>
      </c>
      <c r="S158" s="2"/>
      <c r="T158" s="2" t="str">
        <f>IFERROR(IF(ISBLANK(S158),"",INDEX([1]Gen_Vessels!$A$3:$C$500,MATCH(InspectionSite!$S158,[1]Gen_Vessels!$C$3:$C$500,0),1)),"")</f>
        <v/>
      </c>
      <c r="U158" s="2"/>
      <c r="V158" s="2"/>
      <c r="W158" s="2"/>
      <c r="X158" s="2"/>
      <c r="Y158" s="2"/>
      <c r="AB158" s="2"/>
      <c r="AC158" s="2"/>
      <c r="AD158" s="2"/>
      <c r="AE158" s="2"/>
      <c r="AF158" s="2"/>
      <c r="AG158" s="2"/>
      <c r="AH158" s="2"/>
    </row>
    <row r="159" spans="1:34" x14ac:dyDescent="0.25">
      <c r="A159" s="1" t="str">
        <f t="shared" si="2"/>
        <v/>
      </c>
      <c r="B159" s="2"/>
      <c r="C159" s="2"/>
      <c r="D159" s="2"/>
      <c r="E159" s="2"/>
      <c r="F159" s="2"/>
      <c r="G159" s="6"/>
      <c r="H159" s="2"/>
      <c r="I159" s="7"/>
      <c r="J159" s="8"/>
      <c r="Q159" s="2"/>
      <c r="R159" s="2" t="str">
        <f>IFERROR(IF(ISBLANK(Q159),"",INDEX([1]Gen_Vessels!$A$3:$C$500,MATCH(InspectionSite!$Q159,[1]Gen_Vessels!$C$3:$C$500,0),1)),"")</f>
        <v/>
      </c>
      <c r="S159" s="2"/>
      <c r="T159" s="2" t="str">
        <f>IFERROR(IF(ISBLANK(S159),"",INDEX([1]Gen_Vessels!$A$3:$C$500,MATCH(InspectionSite!$S159,[1]Gen_Vessels!$C$3:$C$500,0),1)),"")</f>
        <v/>
      </c>
      <c r="U159" s="2"/>
      <c r="V159" s="2"/>
      <c r="W159" s="2"/>
      <c r="X159" s="2"/>
      <c r="Y159" s="2"/>
      <c r="AB159" s="2"/>
      <c r="AC159" s="2"/>
      <c r="AD159" s="2"/>
      <c r="AE159" s="2"/>
      <c r="AF159" s="2"/>
      <c r="AG159" s="2"/>
      <c r="AH159" s="2"/>
    </row>
    <row r="160" spans="1:34" x14ac:dyDescent="0.25">
      <c r="A160" s="1" t="str">
        <f t="shared" si="2"/>
        <v/>
      </c>
      <c r="B160" s="2"/>
      <c r="C160" s="2"/>
      <c r="D160" s="2"/>
      <c r="E160" s="2"/>
      <c r="F160" s="2"/>
      <c r="G160" s="6"/>
      <c r="H160" s="2"/>
      <c r="I160" s="7"/>
      <c r="J160" s="8"/>
      <c r="Q160" s="2"/>
      <c r="R160" s="2" t="str">
        <f>IFERROR(IF(ISBLANK(Q160),"",INDEX([1]Gen_Vessels!$A$3:$C$500,MATCH(InspectionSite!$Q160,[1]Gen_Vessels!$C$3:$C$500,0),1)),"")</f>
        <v/>
      </c>
      <c r="S160" s="2"/>
      <c r="T160" s="2" t="str">
        <f>IFERROR(IF(ISBLANK(S160),"",INDEX([1]Gen_Vessels!$A$3:$C$500,MATCH(InspectionSite!$S160,[1]Gen_Vessels!$C$3:$C$500,0),1)),"")</f>
        <v/>
      </c>
      <c r="U160" s="2"/>
      <c r="V160" s="2"/>
      <c r="W160" s="2"/>
      <c r="X160" s="2"/>
      <c r="Y160" s="2"/>
      <c r="AB160" s="2"/>
      <c r="AC160" s="2"/>
      <c r="AD160" s="2"/>
      <c r="AE160" s="2"/>
      <c r="AF160" s="2"/>
      <c r="AG160" s="2"/>
      <c r="AH160" s="2"/>
    </row>
    <row r="161" spans="1:34" x14ac:dyDescent="0.25">
      <c r="A161" s="1" t="str">
        <f t="shared" si="2"/>
        <v/>
      </c>
      <c r="B161" s="2"/>
      <c r="C161" s="2"/>
      <c r="D161" s="2"/>
      <c r="E161" s="2"/>
      <c r="F161" s="2"/>
      <c r="G161" s="6"/>
      <c r="H161" s="2"/>
      <c r="I161" s="7"/>
      <c r="J161" s="8"/>
      <c r="Q161" s="2"/>
      <c r="R161" s="2" t="str">
        <f>IFERROR(IF(ISBLANK(Q161),"",INDEX([1]Gen_Vessels!$A$3:$C$500,MATCH(InspectionSite!$Q161,[1]Gen_Vessels!$C$3:$C$500,0),1)),"")</f>
        <v/>
      </c>
      <c r="S161" s="2"/>
      <c r="T161" s="2" t="str">
        <f>IFERROR(IF(ISBLANK(S161),"",INDEX([1]Gen_Vessels!$A$3:$C$500,MATCH(InspectionSite!$S161,[1]Gen_Vessels!$C$3:$C$500,0),1)),"")</f>
        <v/>
      </c>
      <c r="U161" s="2"/>
      <c r="V161" s="2"/>
      <c r="W161" s="2"/>
      <c r="X161" s="2"/>
      <c r="Y161" s="2"/>
      <c r="AB161" s="2"/>
      <c r="AC161" s="2"/>
      <c r="AD161" s="2"/>
      <c r="AE161" s="2"/>
      <c r="AF161" s="2"/>
      <c r="AG161" s="2"/>
      <c r="AH161" s="2"/>
    </row>
    <row r="162" spans="1:34" x14ac:dyDescent="0.25">
      <c r="A162" s="1" t="str">
        <f t="shared" si="2"/>
        <v/>
      </c>
      <c r="B162" s="2"/>
      <c r="C162" s="2"/>
      <c r="D162" s="2"/>
      <c r="E162" s="2"/>
      <c r="F162" s="2"/>
      <c r="G162" s="6"/>
      <c r="H162" s="2"/>
      <c r="I162" s="7"/>
      <c r="J162" s="8"/>
      <c r="Q162" s="2"/>
      <c r="R162" s="2" t="str">
        <f>IFERROR(IF(ISBLANK(Q162),"",INDEX([1]Gen_Vessels!$A$3:$C$500,MATCH(InspectionSite!$Q162,[1]Gen_Vessels!$C$3:$C$500,0),1)),"")</f>
        <v/>
      </c>
      <c r="S162" s="2"/>
      <c r="T162" s="2" t="str">
        <f>IFERROR(IF(ISBLANK(S162),"",INDEX([1]Gen_Vessels!$A$3:$C$500,MATCH(InspectionSite!$S162,[1]Gen_Vessels!$C$3:$C$500,0),1)),"")</f>
        <v/>
      </c>
      <c r="U162" s="2"/>
      <c r="V162" s="2"/>
      <c r="W162" s="2"/>
      <c r="X162" s="2"/>
      <c r="Y162" s="2"/>
      <c r="AB162" s="2"/>
      <c r="AC162" s="2"/>
      <c r="AD162" s="2"/>
      <c r="AE162" s="2"/>
      <c r="AF162" s="2"/>
      <c r="AG162" s="2"/>
      <c r="AH162" s="2"/>
    </row>
    <row r="163" spans="1:34" x14ac:dyDescent="0.25">
      <c r="A163" s="1" t="str">
        <f t="shared" si="2"/>
        <v/>
      </c>
      <c r="B163" s="2"/>
      <c r="C163" s="2"/>
      <c r="D163" s="2"/>
      <c r="E163" s="2"/>
      <c r="F163" s="2"/>
      <c r="G163" s="6"/>
      <c r="H163" s="2"/>
      <c r="I163" s="7"/>
      <c r="J163" s="8"/>
      <c r="Q163" s="2"/>
      <c r="R163" s="2" t="str">
        <f>IFERROR(IF(ISBLANK(Q163),"",INDEX([1]Gen_Vessels!$A$3:$C$500,MATCH(InspectionSite!$Q163,[1]Gen_Vessels!$C$3:$C$500,0),1)),"")</f>
        <v/>
      </c>
      <c r="S163" s="2"/>
      <c r="T163" s="2" t="str">
        <f>IFERROR(IF(ISBLANK(S163),"",INDEX([1]Gen_Vessels!$A$3:$C$500,MATCH(InspectionSite!$S163,[1]Gen_Vessels!$C$3:$C$500,0),1)),"")</f>
        <v/>
      </c>
      <c r="U163" s="2"/>
      <c r="V163" s="2"/>
      <c r="W163" s="2"/>
      <c r="X163" s="2"/>
      <c r="Y163" s="2"/>
      <c r="AB163" s="2"/>
      <c r="AC163" s="2"/>
      <c r="AD163" s="2"/>
      <c r="AE163" s="2"/>
      <c r="AF163" s="2"/>
      <c r="AG163" s="2"/>
      <c r="AH163" s="2"/>
    </row>
    <row r="164" spans="1:34" x14ac:dyDescent="0.25">
      <c r="A164" s="1" t="str">
        <f t="shared" si="2"/>
        <v/>
      </c>
      <c r="B164" s="2"/>
      <c r="C164" s="2"/>
      <c r="D164" s="2"/>
      <c r="E164" s="2"/>
      <c r="F164" s="2"/>
      <c r="G164" s="6"/>
      <c r="H164" s="2"/>
      <c r="I164" s="7"/>
      <c r="J164" s="8"/>
      <c r="Q164" s="2"/>
      <c r="R164" s="2" t="str">
        <f>IFERROR(IF(ISBLANK(Q164),"",INDEX([1]Gen_Vessels!$A$3:$C$500,MATCH(InspectionSite!$Q164,[1]Gen_Vessels!$C$3:$C$500,0),1)),"")</f>
        <v/>
      </c>
      <c r="S164" s="2"/>
      <c r="T164" s="2" t="str">
        <f>IFERROR(IF(ISBLANK(S164),"",INDEX([1]Gen_Vessels!$A$3:$C$500,MATCH(InspectionSite!$S164,[1]Gen_Vessels!$C$3:$C$500,0),1)),"")</f>
        <v/>
      </c>
      <c r="U164" s="2"/>
      <c r="V164" s="2"/>
      <c r="W164" s="2"/>
      <c r="X164" s="2"/>
      <c r="Y164" s="2"/>
      <c r="AB164" s="2"/>
      <c r="AC164" s="2"/>
      <c r="AD164" s="2"/>
      <c r="AE164" s="2"/>
      <c r="AF164" s="2"/>
      <c r="AG164" s="2"/>
      <c r="AH164" s="2"/>
    </row>
    <row r="165" spans="1:34" x14ac:dyDescent="0.25">
      <c r="A165" s="1" t="str">
        <f t="shared" si="2"/>
        <v/>
      </c>
      <c r="B165" s="2"/>
      <c r="C165" s="2"/>
      <c r="D165" s="2"/>
      <c r="E165" s="2"/>
      <c r="F165" s="2"/>
      <c r="G165" s="6"/>
      <c r="H165" s="2"/>
      <c r="I165" s="7"/>
      <c r="J165" s="8"/>
      <c r="Q165" s="2"/>
      <c r="R165" s="2" t="str">
        <f>IFERROR(IF(ISBLANK(Q165),"",INDEX([1]Gen_Vessels!$A$3:$C$500,MATCH(InspectionSite!$Q165,[1]Gen_Vessels!$C$3:$C$500,0),1)),"")</f>
        <v/>
      </c>
      <c r="S165" s="2"/>
      <c r="T165" s="2" t="str">
        <f>IFERROR(IF(ISBLANK(S165),"",INDEX([1]Gen_Vessels!$A$3:$C$500,MATCH(InspectionSite!$S165,[1]Gen_Vessels!$C$3:$C$500,0),1)),"")</f>
        <v/>
      </c>
      <c r="U165" s="2"/>
      <c r="V165" s="2"/>
      <c r="W165" s="2"/>
      <c r="X165" s="2"/>
      <c r="Y165" s="2"/>
      <c r="AB165" s="2"/>
      <c r="AC165" s="2"/>
      <c r="AD165" s="2"/>
      <c r="AE165" s="2"/>
      <c r="AF165" s="2"/>
      <c r="AG165" s="2"/>
      <c r="AH165" s="2"/>
    </row>
    <row r="166" spans="1:34" x14ac:dyDescent="0.25">
      <c r="A166" s="1" t="str">
        <f t="shared" si="2"/>
        <v/>
      </c>
      <c r="B166" s="2"/>
      <c r="C166" s="2"/>
      <c r="D166" s="2"/>
      <c r="E166" s="2"/>
      <c r="F166" s="2"/>
      <c r="G166" s="6"/>
      <c r="H166" s="2"/>
      <c r="I166" s="7"/>
      <c r="J166" s="8"/>
      <c r="Q166" s="2"/>
      <c r="R166" s="2" t="str">
        <f>IFERROR(IF(ISBLANK(Q166),"",INDEX([1]Gen_Vessels!$A$3:$C$500,MATCH(InspectionSite!$Q166,[1]Gen_Vessels!$C$3:$C$500,0),1)),"")</f>
        <v/>
      </c>
      <c r="S166" s="2"/>
      <c r="T166" s="2" t="str">
        <f>IFERROR(IF(ISBLANK(S166),"",INDEX([1]Gen_Vessels!$A$3:$C$500,MATCH(InspectionSite!$S166,[1]Gen_Vessels!$C$3:$C$500,0),1)),"")</f>
        <v/>
      </c>
      <c r="U166" s="2"/>
      <c r="V166" s="2"/>
      <c r="W166" s="2"/>
      <c r="X166" s="2"/>
      <c r="Y166" s="2"/>
      <c r="AB166" s="2"/>
      <c r="AC166" s="2"/>
      <c r="AD166" s="2"/>
      <c r="AE166" s="2"/>
      <c r="AF166" s="2"/>
      <c r="AG166" s="2"/>
      <c r="AH166" s="2"/>
    </row>
    <row r="167" spans="1:34" x14ac:dyDescent="0.25">
      <c r="A167" s="1" t="str">
        <f t="shared" si="2"/>
        <v/>
      </c>
      <c r="B167" s="2"/>
      <c r="C167" s="2"/>
      <c r="D167" s="2"/>
      <c r="E167" s="2"/>
      <c r="F167" s="2"/>
      <c r="G167" s="6"/>
      <c r="H167" s="2"/>
      <c r="I167" s="7"/>
      <c r="J167" s="8"/>
      <c r="Q167" s="2"/>
      <c r="R167" s="2" t="str">
        <f>IFERROR(IF(ISBLANK(Q167),"",INDEX([1]Gen_Vessels!$A$3:$C$500,MATCH(InspectionSite!$Q167,[1]Gen_Vessels!$C$3:$C$500,0),1)),"")</f>
        <v/>
      </c>
      <c r="S167" s="2"/>
      <c r="T167" s="2" t="str">
        <f>IFERROR(IF(ISBLANK(S167),"",INDEX([1]Gen_Vessels!$A$3:$C$500,MATCH(InspectionSite!$S167,[1]Gen_Vessels!$C$3:$C$500,0),1)),"")</f>
        <v/>
      </c>
      <c r="U167" s="2"/>
      <c r="V167" s="2"/>
      <c r="W167" s="2"/>
      <c r="X167" s="2"/>
      <c r="Y167" s="2"/>
      <c r="AB167" s="2"/>
      <c r="AC167" s="2"/>
      <c r="AD167" s="2"/>
      <c r="AE167" s="2"/>
      <c r="AF167" s="2"/>
      <c r="AG167" s="2"/>
      <c r="AH167" s="2"/>
    </row>
    <row r="168" spans="1:34" x14ac:dyDescent="0.25">
      <c r="A168" s="1" t="str">
        <f t="shared" si="2"/>
        <v/>
      </c>
      <c r="B168" s="2"/>
      <c r="C168" s="2"/>
      <c r="D168" s="2"/>
      <c r="E168" s="2"/>
      <c r="F168" s="2"/>
      <c r="G168" s="6"/>
      <c r="H168" s="2"/>
      <c r="I168" s="7"/>
      <c r="J168" s="8"/>
      <c r="Q168" s="2"/>
      <c r="R168" s="2" t="str">
        <f>IFERROR(IF(ISBLANK(Q168),"",INDEX([1]Gen_Vessels!$A$3:$C$500,MATCH(InspectionSite!$Q168,[1]Gen_Vessels!$C$3:$C$500,0),1)),"")</f>
        <v/>
      </c>
      <c r="S168" s="2"/>
      <c r="T168" s="2" t="str">
        <f>IFERROR(IF(ISBLANK(S168),"",INDEX([1]Gen_Vessels!$A$3:$C$500,MATCH(InspectionSite!$S168,[1]Gen_Vessels!$C$3:$C$500,0),1)),"")</f>
        <v/>
      </c>
      <c r="U168" s="2"/>
      <c r="V168" s="2"/>
      <c r="W168" s="2"/>
      <c r="X168" s="2"/>
      <c r="Y168" s="2"/>
      <c r="AB168" s="2"/>
      <c r="AC168" s="2"/>
      <c r="AD168" s="2"/>
      <c r="AE168" s="2"/>
      <c r="AF168" s="2"/>
      <c r="AG168" s="2"/>
      <c r="AH168" s="2"/>
    </row>
    <row r="169" spans="1:34" x14ac:dyDescent="0.25">
      <c r="A169" s="1" t="str">
        <f t="shared" si="2"/>
        <v/>
      </c>
      <c r="B169" s="2"/>
      <c r="C169" s="2"/>
      <c r="D169" s="2"/>
      <c r="E169" s="2"/>
      <c r="F169" s="2"/>
      <c r="G169" s="6"/>
      <c r="H169" s="2"/>
      <c r="I169" s="7"/>
      <c r="J169" s="8"/>
      <c r="Q169" s="2"/>
      <c r="R169" s="2" t="str">
        <f>IFERROR(IF(ISBLANK(Q169),"",INDEX([1]Gen_Vessels!$A$3:$C$500,MATCH(InspectionSite!$Q169,[1]Gen_Vessels!$C$3:$C$500,0),1)),"")</f>
        <v/>
      </c>
      <c r="S169" s="2"/>
      <c r="T169" s="2" t="str">
        <f>IFERROR(IF(ISBLANK(S169),"",INDEX([1]Gen_Vessels!$A$3:$C$500,MATCH(InspectionSite!$S169,[1]Gen_Vessels!$C$3:$C$500,0),1)),"")</f>
        <v/>
      </c>
      <c r="U169" s="2"/>
      <c r="V169" s="2"/>
      <c r="W169" s="2"/>
      <c r="X169" s="2"/>
      <c r="Y169" s="2"/>
      <c r="AB169" s="2"/>
      <c r="AC169" s="2"/>
      <c r="AD169" s="2"/>
      <c r="AE169" s="2"/>
      <c r="AF169" s="2"/>
      <c r="AG169" s="2"/>
      <c r="AH169" s="2"/>
    </row>
    <row r="170" spans="1:34" x14ac:dyDescent="0.25">
      <c r="A170" s="1" t="str">
        <f t="shared" si="2"/>
        <v/>
      </c>
      <c r="B170" s="2"/>
      <c r="C170" s="2"/>
      <c r="D170" s="2"/>
      <c r="E170" s="2"/>
      <c r="F170" s="2"/>
      <c r="G170" s="6"/>
      <c r="H170" s="2"/>
      <c r="I170" s="7"/>
      <c r="J170" s="8"/>
      <c r="Q170" s="2"/>
      <c r="R170" s="2" t="str">
        <f>IFERROR(IF(ISBLANK(Q170),"",INDEX([1]Gen_Vessels!$A$3:$C$500,MATCH(InspectionSite!$Q170,[1]Gen_Vessels!$C$3:$C$500,0),1)),"")</f>
        <v/>
      </c>
      <c r="S170" s="2"/>
      <c r="T170" s="2" t="str">
        <f>IFERROR(IF(ISBLANK(S170),"",INDEX([1]Gen_Vessels!$A$3:$C$500,MATCH(InspectionSite!$S170,[1]Gen_Vessels!$C$3:$C$500,0),1)),"")</f>
        <v/>
      </c>
      <c r="U170" s="2"/>
      <c r="V170" s="2"/>
      <c r="W170" s="2"/>
      <c r="X170" s="2"/>
      <c r="Y170" s="2"/>
      <c r="AB170" s="2"/>
      <c r="AC170" s="2"/>
      <c r="AD170" s="2"/>
      <c r="AE170" s="2"/>
      <c r="AF170" s="2"/>
      <c r="AG170" s="2"/>
      <c r="AH170" s="2"/>
    </row>
    <row r="171" spans="1:34" x14ac:dyDescent="0.25">
      <c r="A171" s="1" t="str">
        <f t="shared" si="2"/>
        <v/>
      </c>
      <c r="B171" s="2"/>
      <c r="C171" s="2"/>
      <c r="D171" s="2"/>
      <c r="E171" s="2"/>
      <c r="F171" s="2"/>
      <c r="G171" s="6"/>
      <c r="H171" s="2"/>
      <c r="I171" s="7"/>
      <c r="J171" s="8"/>
      <c r="Q171" s="2"/>
      <c r="R171" s="2" t="str">
        <f>IFERROR(IF(ISBLANK(Q171),"",INDEX([1]Gen_Vessels!$A$3:$C$500,MATCH(InspectionSite!$Q171,[1]Gen_Vessels!$C$3:$C$500,0),1)),"")</f>
        <v/>
      </c>
      <c r="S171" s="2"/>
      <c r="T171" s="2" t="str">
        <f>IFERROR(IF(ISBLANK(S171),"",INDEX([1]Gen_Vessels!$A$3:$C$500,MATCH(InspectionSite!$S171,[1]Gen_Vessels!$C$3:$C$500,0),1)),"")</f>
        <v/>
      </c>
      <c r="U171" s="2"/>
      <c r="V171" s="2"/>
      <c r="W171" s="2"/>
      <c r="X171" s="2"/>
      <c r="Y171" s="2"/>
      <c r="AB171" s="2"/>
      <c r="AC171" s="2"/>
      <c r="AD171" s="2"/>
      <c r="AE171" s="2"/>
      <c r="AF171" s="2"/>
      <c r="AG171" s="2"/>
      <c r="AH171" s="2"/>
    </row>
    <row r="172" spans="1:34" x14ac:dyDescent="0.25">
      <c r="A172" s="1" t="str">
        <f t="shared" si="2"/>
        <v/>
      </c>
      <c r="B172" s="2"/>
      <c r="C172" s="2"/>
      <c r="D172" s="2"/>
      <c r="E172" s="2"/>
      <c r="F172" s="2"/>
      <c r="G172" s="6"/>
      <c r="H172" s="2"/>
      <c r="I172" s="7"/>
      <c r="J172" s="8"/>
      <c r="Q172" s="2"/>
      <c r="R172" s="2" t="str">
        <f>IFERROR(IF(ISBLANK(Q172),"",INDEX([1]Gen_Vessels!$A$3:$C$500,MATCH(InspectionSite!$Q172,[1]Gen_Vessels!$C$3:$C$500,0),1)),"")</f>
        <v/>
      </c>
      <c r="S172" s="2"/>
      <c r="T172" s="2" t="str">
        <f>IFERROR(IF(ISBLANK(S172),"",INDEX([1]Gen_Vessels!$A$3:$C$500,MATCH(InspectionSite!$S172,[1]Gen_Vessels!$C$3:$C$500,0),1)),"")</f>
        <v/>
      </c>
      <c r="U172" s="2"/>
      <c r="V172" s="2"/>
      <c r="W172" s="2"/>
      <c r="X172" s="2"/>
      <c r="Y172" s="2"/>
      <c r="AB172" s="2"/>
      <c r="AC172" s="2"/>
      <c r="AD172" s="2"/>
      <c r="AE172" s="2"/>
      <c r="AF172" s="2"/>
      <c r="AG172" s="2"/>
      <c r="AH172" s="2"/>
    </row>
    <row r="173" spans="1:34" x14ac:dyDescent="0.25">
      <c r="A173" s="1" t="str">
        <f t="shared" si="2"/>
        <v/>
      </c>
      <c r="B173" s="2"/>
      <c r="C173" s="2"/>
      <c r="D173" s="2"/>
      <c r="E173" s="2"/>
      <c r="F173" s="2"/>
      <c r="G173" s="6"/>
      <c r="H173" s="2"/>
      <c r="I173" s="7"/>
      <c r="J173" s="8"/>
      <c r="Q173" s="2"/>
      <c r="R173" s="2" t="str">
        <f>IFERROR(IF(ISBLANK(Q173),"",INDEX([1]Gen_Vessels!$A$3:$C$500,MATCH(InspectionSite!$Q173,[1]Gen_Vessels!$C$3:$C$500,0),1)),"")</f>
        <v/>
      </c>
      <c r="S173" s="2"/>
      <c r="T173" s="2" t="str">
        <f>IFERROR(IF(ISBLANK(S173),"",INDEX([1]Gen_Vessels!$A$3:$C$500,MATCH(InspectionSite!$S173,[1]Gen_Vessels!$C$3:$C$500,0),1)),"")</f>
        <v/>
      </c>
      <c r="U173" s="2"/>
      <c r="V173" s="2"/>
      <c r="W173" s="2"/>
      <c r="X173" s="2"/>
      <c r="Y173" s="2"/>
      <c r="AB173" s="2"/>
      <c r="AC173" s="2"/>
      <c r="AD173" s="2"/>
      <c r="AE173" s="2"/>
      <c r="AF173" s="2"/>
      <c r="AG173" s="2"/>
      <c r="AH173" s="2"/>
    </row>
    <row r="174" spans="1:34" x14ac:dyDescent="0.25">
      <c r="A174" s="1" t="str">
        <f t="shared" si="2"/>
        <v/>
      </c>
      <c r="B174" s="2"/>
      <c r="C174" s="2"/>
      <c r="D174" s="2"/>
      <c r="E174" s="2"/>
      <c r="F174" s="2"/>
      <c r="G174" s="6"/>
      <c r="H174" s="2"/>
      <c r="I174" s="7"/>
      <c r="J174" s="8"/>
      <c r="Q174" s="2"/>
      <c r="R174" s="2" t="str">
        <f>IFERROR(IF(ISBLANK(Q174),"",INDEX([1]Gen_Vessels!$A$3:$C$500,MATCH(InspectionSite!$Q174,[1]Gen_Vessels!$C$3:$C$500,0),1)),"")</f>
        <v/>
      </c>
      <c r="S174" s="2"/>
      <c r="T174" s="2" t="str">
        <f>IFERROR(IF(ISBLANK(S174),"",INDEX([1]Gen_Vessels!$A$3:$C$500,MATCH(InspectionSite!$S174,[1]Gen_Vessels!$C$3:$C$500,0),1)),"")</f>
        <v/>
      </c>
      <c r="U174" s="2"/>
      <c r="V174" s="2"/>
      <c r="W174" s="2"/>
      <c r="X174" s="2"/>
      <c r="Y174" s="2"/>
      <c r="AB174" s="2"/>
      <c r="AC174" s="2"/>
      <c r="AD174" s="2"/>
      <c r="AE174" s="2"/>
      <c r="AF174" s="2"/>
      <c r="AG174" s="2"/>
      <c r="AH174" s="2"/>
    </row>
    <row r="175" spans="1:34" x14ac:dyDescent="0.25">
      <c r="A175" s="1" t="str">
        <f t="shared" si="2"/>
        <v/>
      </c>
      <c r="B175" s="2"/>
      <c r="C175" s="2"/>
      <c r="D175" s="2"/>
      <c r="E175" s="2"/>
      <c r="F175" s="2"/>
      <c r="G175" s="6"/>
      <c r="H175" s="2"/>
      <c r="I175" s="7"/>
      <c r="J175" s="8"/>
      <c r="Q175" s="2"/>
      <c r="R175" s="2" t="str">
        <f>IFERROR(IF(ISBLANK(Q175),"",INDEX([1]Gen_Vessels!$A$3:$C$500,MATCH(InspectionSite!$Q175,[1]Gen_Vessels!$C$3:$C$500,0),1)),"")</f>
        <v/>
      </c>
      <c r="S175" s="2"/>
      <c r="T175" s="2" t="str">
        <f>IFERROR(IF(ISBLANK(S175),"",INDEX([1]Gen_Vessels!$A$3:$C$500,MATCH(InspectionSite!$S175,[1]Gen_Vessels!$C$3:$C$500,0),1)),"")</f>
        <v/>
      </c>
      <c r="U175" s="2"/>
      <c r="V175" s="2"/>
      <c r="W175" s="2"/>
      <c r="X175" s="2"/>
      <c r="Y175" s="2"/>
      <c r="AB175" s="2"/>
      <c r="AC175" s="2"/>
      <c r="AD175" s="2"/>
      <c r="AE175" s="2"/>
      <c r="AF175" s="2"/>
      <c r="AG175" s="2"/>
      <c r="AH175" s="2"/>
    </row>
    <row r="176" spans="1:34" x14ac:dyDescent="0.25">
      <c r="A176" s="1" t="str">
        <f t="shared" si="2"/>
        <v/>
      </c>
      <c r="B176" s="2"/>
      <c r="C176" s="2"/>
      <c r="D176" s="2"/>
      <c r="E176" s="2"/>
      <c r="F176" s="2"/>
      <c r="G176" s="6"/>
      <c r="H176" s="2"/>
      <c r="I176" s="7"/>
      <c r="J176" s="8"/>
      <c r="Q176" s="2"/>
      <c r="R176" s="2" t="str">
        <f>IFERROR(IF(ISBLANK(Q176),"",INDEX([1]Gen_Vessels!$A$3:$C$500,MATCH(InspectionSite!$Q176,[1]Gen_Vessels!$C$3:$C$500,0),1)),"")</f>
        <v/>
      </c>
      <c r="S176" s="2"/>
      <c r="T176" s="2" t="str">
        <f>IFERROR(IF(ISBLANK(S176),"",INDEX([1]Gen_Vessels!$A$3:$C$500,MATCH(InspectionSite!$S176,[1]Gen_Vessels!$C$3:$C$500,0),1)),"")</f>
        <v/>
      </c>
      <c r="U176" s="2"/>
      <c r="V176" s="2"/>
      <c r="W176" s="2"/>
      <c r="X176" s="2"/>
      <c r="Y176" s="2"/>
      <c r="AB176" s="2"/>
      <c r="AC176" s="2"/>
      <c r="AD176" s="2"/>
      <c r="AE176" s="2"/>
      <c r="AF176" s="2"/>
      <c r="AG176" s="2"/>
      <c r="AH176" s="2"/>
    </row>
    <row r="177" spans="1:34" x14ac:dyDescent="0.25">
      <c r="A177" s="1" t="str">
        <f t="shared" si="2"/>
        <v/>
      </c>
      <c r="B177" s="2"/>
      <c r="C177" s="2"/>
      <c r="D177" s="2"/>
      <c r="E177" s="2"/>
      <c r="F177" s="2"/>
      <c r="G177" s="6"/>
      <c r="H177" s="2"/>
      <c r="I177" s="7"/>
      <c r="J177" s="8"/>
      <c r="Q177" s="2"/>
      <c r="R177" s="2" t="str">
        <f>IFERROR(IF(ISBLANK(Q177),"",INDEX([1]Gen_Vessels!$A$3:$C$500,MATCH(InspectionSite!$Q177,[1]Gen_Vessels!$C$3:$C$500,0),1)),"")</f>
        <v/>
      </c>
      <c r="S177" s="2"/>
      <c r="T177" s="2" t="str">
        <f>IFERROR(IF(ISBLANK(S177),"",INDEX([1]Gen_Vessels!$A$3:$C$500,MATCH(InspectionSite!$S177,[1]Gen_Vessels!$C$3:$C$500,0),1)),"")</f>
        <v/>
      </c>
      <c r="U177" s="2"/>
      <c r="V177" s="2"/>
      <c r="W177" s="2"/>
      <c r="X177" s="2"/>
      <c r="Y177" s="2"/>
      <c r="AB177" s="2"/>
      <c r="AC177" s="2"/>
      <c r="AD177" s="2"/>
      <c r="AE177" s="2"/>
      <c r="AF177" s="2"/>
      <c r="AG177" s="2"/>
      <c r="AH177" s="2"/>
    </row>
    <row r="178" spans="1:34" x14ac:dyDescent="0.25">
      <c r="A178" s="1" t="str">
        <f t="shared" si="2"/>
        <v/>
      </c>
      <c r="B178" s="2"/>
      <c r="C178" s="2"/>
      <c r="D178" s="2"/>
      <c r="E178" s="2"/>
      <c r="F178" s="2"/>
      <c r="G178" s="6"/>
      <c r="H178" s="2"/>
      <c r="I178" s="7"/>
      <c r="J178" s="8"/>
      <c r="Q178" s="2"/>
      <c r="R178" s="2" t="str">
        <f>IFERROR(IF(ISBLANK(Q178),"",INDEX([1]Gen_Vessels!$A$3:$C$500,MATCH(InspectionSite!$Q178,[1]Gen_Vessels!$C$3:$C$500,0),1)),"")</f>
        <v/>
      </c>
      <c r="S178" s="2"/>
      <c r="T178" s="2" t="str">
        <f>IFERROR(IF(ISBLANK(S178),"",INDEX([1]Gen_Vessels!$A$3:$C$500,MATCH(InspectionSite!$S178,[1]Gen_Vessels!$C$3:$C$500,0),1)),"")</f>
        <v/>
      </c>
      <c r="U178" s="2"/>
      <c r="V178" s="2"/>
      <c r="W178" s="2"/>
      <c r="X178" s="2"/>
      <c r="Y178" s="2"/>
      <c r="AB178" s="2"/>
      <c r="AC178" s="2"/>
      <c r="AD178" s="2"/>
      <c r="AE178" s="2"/>
      <c r="AF178" s="2"/>
      <c r="AG178" s="2"/>
      <c r="AH178" s="2"/>
    </row>
    <row r="179" spans="1:34" x14ac:dyDescent="0.25">
      <c r="A179" s="1" t="str">
        <f t="shared" si="2"/>
        <v/>
      </c>
      <c r="B179" s="2"/>
      <c r="C179" s="2"/>
      <c r="D179" s="2"/>
      <c r="E179" s="2"/>
      <c r="F179" s="2"/>
      <c r="G179" s="6"/>
      <c r="H179" s="2"/>
      <c r="I179" s="7"/>
      <c r="J179" s="8"/>
      <c r="Q179" s="2"/>
      <c r="R179" s="2" t="str">
        <f>IFERROR(IF(ISBLANK(Q179),"",INDEX([1]Gen_Vessels!$A$3:$C$500,MATCH(InspectionSite!$Q179,[1]Gen_Vessels!$C$3:$C$500,0),1)),"")</f>
        <v/>
      </c>
      <c r="S179" s="2"/>
      <c r="T179" s="2" t="str">
        <f>IFERROR(IF(ISBLANK(S179),"",INDEX([1]Gen_Vessels!$A$3:$C$500,MATCH(InspectionSite!$S179,[1]Gen_Vessels!$C$3:$C$500,0),1)),"")</f>
        <v/>
      </c>
      <c r="U179" s="2"/>
      <c r="V179" s="2"/>
      <c r="W179" s="2"/>
      <c r="X179" s="2"/>
      <c r="Y179" s="2"/>
      <c r="AB179" s="2"/>
      <c r="AC179" s="2"/>
      <c r="AD179" s="2"/>
      <c r="AE179" s="2"/>
      <c r="AF179" s="2"/>
      <c r="AG179" s="2"/>
      <c r="AH179" s="2"/>
    </row>
    <row r="180" spans="1:34" x14ac:dyDescent="0.25">
      <c r="A180" s="1" t="str">
        <f t="shared" si="2"/>
        <v/>
      </c>
      <c r="B180" s="2"/>
      <c r="C180" s="2"/>
      <c r="D180" s="2"/>
      <c r="E180" s="2"/>
      <c r="F180" s="2"/>
      <c r="G180" s="6"/>
      <c r="H180" s="2"/>
      <c r="I180" s="7"/>
      <c r="J180" s="8"/>
      <c r="Q180" s="2"/>
      <c r="R180" s="2" t="str">
        <f>IFERROR(IF(ISBLANK(Q180),"",INDEX([1]Gen_Vessels!$A$3:$C$500,MATCH(InspectionSite!$Q180,[1]Gen_Vessels!$C$3:$C$500,0),1)),"")</f>
        <v/>
      </c>
      <c r="S180" s="2"/>
      <c r="T180" s="2" t="str">
        <f>IFERROR(IF(ISBLANK(S180),"",INDEX([1]Gen_Vessels!$A$3:$C$500,MATCH(InspectionSite!$S180,[1]Gen_Vessels!$C$3:$C$500,0),1)),"")</f>
        <v/>
      </c>
      <c r="U180" s="2"/>
      <c r="V180" s="2"/>
      <c r="W180" s="2"/>
      <c r="X180" s="2"/>
      <c r="Y180" s="2"/>
      <c r="AB180" s="2"/>
      <c r="AC180" s="2"/>
      <c r="AD180" s="2"/>
      <c r="AE180" s="2"/>
      <c r="AF180" s="2"/>
      <c r="AG180" s="2"/>
      <c r="AH180" s="2"/>
    </row>
    <row r="181" spans="1:34" x14ac:dyDescent="0.25">
      <c r="A181" s="1" t="str">
        <f t="shared" si="2"/>
        <v/>
      </c>
      <c r="B181" s="2"/>
      <c r="C181" s="2"/>
      <c r="D181" s="2"/>
      <c r="E181" s="2"/>
      <c r="F181" s="2"/>
      <c r="G181" s="6"/>
      <c r="H181" s="2"/>
      <c r="I181" s="7"/>
      <c r="J181" s="8"/>
      <c r="Q181" s="2"/>
      <c r="R181" s="2" t="str">
        <f>IFERROR(IF(ISBLANK(Q181),"",INDEX([1]Gen_Vessels!$A$3:$C$500,MATCH(InspectionSite!$Q181,[1]Gen_Vessels!$C$3:$C$500,0),1)),"")</f>
        <v/>
      </c>
      <c r="S181" s="2"/>
      <c r="T181" s="2" t="str">
        <f>IFERROR(IF(ISBLANK(S181),"",INDEX([1]Gen_Vessels!$A$3:$C$500,MATCH(InspectionSite!$S181,[1]Gen_Vessels!$C$3:$C$500,0),1)),"")</f>
        <v/>
      </c>
      <c r="U181" s="2"/>
      <c r="V181" s="2"/>
      <c r="W181" s="2"/>
      <c r="X181" s="2"/>
      <c r="Y181" s="2"/>
      <c r="AB181" s="2"/>
      <c r="AC181" s="2"/>
      <c r="AD181" s="2"/>
      <c r="AE181" s="2"/>
      <c r="AF181" s="2"/>
      <c r="AG181" s="2"/>
      <c r="AH181" s="2"/>
    </row>
    <row r="182" spans="1:34" x14ac:dyDescent="0.25">
      <c r="A182" s="1" t="str">
        <f t="shared" si="2"/>
        <v/>
      </c>
      <c r="B182" s="2"/>
      <c r="C182" s="2"/>
      <c r="D182" s="2"/>
      <c r="E182" s="2"/>
      <c r="F182" s="2"/>
      <c r="G182" s="6"/>
      <c r="H182" s="2"/>
      <c r="I182" s="7"/>
      <c r="J182" s="8"/>
      <c r="Q182" s="2"/>
      <c r="R182" s="2" t="str">
        <f>IFERROR(IF(ISBLANK(Q182),"",INDEX([1]Gen_Vessels!$A$3:$C$500,MATCH(InspectionSite!$Q182,[1]Gen_Vessels!$C$3:$C$500,0),1)),"")</f>
        <v/>
      </c>
      <c r="S182" s="2"/>
      <c r="T182" s="2" t="str">
        <f>IFERROR(IF(ISBLANK(S182),"",INDEX([1]Gen_Vessels!$A$3:$C$500,MATCH(InspectionSite!$S182,[1]Gen_Vessels!$C$3:$C$500,0),1)),"")</f>
        <v/>
      </c>
      <c r="U182" s="2"/>
      <c r="V182" s="2"/>
      <c r="W182" s="2"/>
      <c r="X182" s="2"/>
      <c r="Y182" s="2"/>
      <c r="AB182" s="2"/>
      <c r="AC182" s="2"/>
      <c r="AD182" s="2"/>
      <c r="AE182" s="2"/>
      <c r="AF182" s="2"/>
      <c r="AG182" s="2"/>
      <c r="AH182" s="2"/>
    </row>
    <row r="183" spans="1:34" x14ac:dyDescent="0.25">
      <c r="A183" s="1" t="str">
        <f t="shared" si="2"/>
        <v/>
      </c>
      <c r="B183" s="2"/>
      <c r="C183" s="2"/>
      <c r="D183" s="2"/>
      <c r="E183" s="2"/>
      <c r="F183" s="2"/>
      <c r="G183" s="6"/>
      <c r="H183" s="2"/>
      <c r="I183" s="7"/>
      <c r="J183" s="8"/>
      <c r="Q183" s="2"/>
      <c r="R183" s="2" t="str">
        <f>IFERROR(IF(ISBLANK(Q183),"",INDEX([1]Gen_Vessels!$A$3:$C$500,MATCH(InspectionSite!$Q183,[1]Gen_Vessels!$C$3:$C$500,0),1)),"")</f>
        <v/>
      </c>
      <c r="S183" s="2"/>
      <c r="T183" s="2" t="str">
        <f>IFERROR(IF(ISBLANK(S183),"",INDEX([1]Gen_Vessels!$A$3:$C$500,MATCH(InspectionSite!$S183,[1]Gen_Vessels!$C$3:$C$500,0),1)),"")</f>
        <v/>
      </c>
      <c r="U183" s="2"/>
      <c r="V183" s="2"/>
      <c r="W183" s="2"/>
      <c r="X183" s="2"/>
      <c r="Y183" s="2"/>
      <c r="AB183" s="2"/>
      <c r="AC183" s="2"/>
      <c r="AD183" s="2"/>
      <c r="AE183" s="2"/>
      <c r="AF183" s="2"/>
      <c r="AG183" s="2"/>
      <c r="AH183" s="2"/>
    </row>
    <row r="184" spans="1:34" x14ac:dyDescent="0.25">
      <c r="A184" s="1" t="str">
        <f t="shared" si="2"/>
        <v/>
      </c>
      <c r="B184" s="2"/>
      <c r="C184" s="2"/>
      <c r="D184" s="2"/>
      <c r="E184" s="2"/>
      <c r="F184" s="2"/>
      <c r="G184" s="6"/>
      <c r="H184" s="2"/>
      <c r="I184" s="7"/>
      <c r="J184" s="8"/>
      <c r="Q184" s="2"/>
      <c r="R184" s="2" t="str">
        <f>IFERROR(IF(ISBLANK(Q184),"",INDEX([1]Gen_Vessels!$A$3:$C$500,MATCH(InspectionSite!$Q184,[1]Gen_Vessels!$C$3:$C$500,0),1)),"")</f>
        <v/>
      </c>
      <c r="S184" s="2"/>
      <c r="T184" s="2" t="str">
        <f>IFERROR(IF(ISBLANK(S184),"",INDEX([1]Gen_Vessels!$A$3:$C$500,MATCH(InspectionSite!$S184,[1]Gen_Vessels!$C$3:$C$500,0),1)),"")</f>
        <v/>
      </c>
      <c r="U184" s="2"/>
      <c r="V184" s="2"/>
      <c r="W184" s="2"/>
      <c r="X184" s="2"/>
      <c r="Y184" s="2"/>
      <c r="AB184" s="2"/>
      <c r="AC184" s="2"/>
      <c r="AD184" s="2"/>
      <c r="AE184" s="2"/>
      <c r="AF184" s="2"/>
      <c r="AG184" s="2"/>
      <c r="AH184" s="2"/>
    </row>
    <row r="185" spans="1:34" x14ac:dyDescent="0.25">
      <c r="A185" s="1" t="str">
        <f t="shared" si="2"/>
        <v/>
      </c>
      <c r="B185" s="2"/>
      <c r="C185" s="2"/>
      <c r="D185" s="2"/>
      <c r="E185" s="2"/>
      <c r="F185" s="2"/>
      <c r="G185" s="6"/>
      <c r="H185" s="2"/>
      <c r="I185" s="7"/>
      <c r="J185" s="8"/>
      <c r="Q185" s="2"/>
      <c r="R185" s="2" t="str">
        <f>IFERROR(IF(ISBLANK(Q185),"",INDEX([1]Gen_Vessels!$A$3:$C$500,MATCH(InspectionSite!$Q185,[1]Gen_Vessels!$C$3:$C$500,0),1)),"")</f>
        <v/>
      </c>
      <c r="S185" s="2"/>
      <c r="T185" s="2" t="str">
        <f>IFERROR(IF(ISBLANK(S185),"",INDEX([1]Gen_Vessels!$A$3:$C$500,MATCH(InspectionSite!$S185,[1]Gen_Vessels!$C$3:$C$500,0),1)),"")</f>
        <v/>
      </c>
      <c r="U185" s="2"/>
      <c r="V185" s="2"/>
      <c r="W185" s="2"/>
      <c r="X185" s="2"/>
      <c r="Y185" s="2"/>
      <c r="AB185" s="2"/>
      <c r="AC185" s="2"/>
      <c r="AD185" s="2"/>
      <c r="AE185" s="2"/>
      <c r="AF185" s="2"/>
      <c r="AG185" s="2"/>
      <c r="AH185" s="2"/>
    </row>
    <row r="186" spans="1:34" x14ac:dyDescent="0.25">
      <c r="A186" s="1" t="str">
        <f t="shared" si="2"/>
        <v/>
      </c>
      <c r="B186" s="2"/>
      <c r="C186" s="2"/>
      <c r="D186" s="2"/>
      <c r="E186" s="2"/>
      <c r="F186" s="2"/>
      <c r="G186" s="6"/>
      <c r="H186" s="2"/>
      <c r="I186" s="7"/>
      <c r="J186" s="8"/>
      <c r="Q186" s="2"/>
      <c r="R186" s="2" t="str">
        <f>IFERROR(IF(ISBLANK(Q186),"",INDEX([1]Gen_Vessels!$A$3:$C$500,MATCH(InspectionSite!$Q186,[1]Gen_Vessels!$C$3:$C$500,0),1)),"")</f>
        <v/>
      </c>
      <c r="S186" s="2"/>
      <c r="T186" s="2" t="str">
        <f>IFERROR(IF(ISBLANK(S186),"",INDEX([1]Gen_Vessels!$A$3:$C$500,MATCH(InspectionSite!$S186,[1]Gen_Vessels!$C$3:$C$500,0),1)),"")</f>
        <v/>
      </c>
      <c r="U186" s="2"/>
      <c r="V186" s="2"/>
      <c r="W186" s="2"/>
      <c r="X186" s="2"/>
      <c r="Y186" s="2"/>
      <c r="AB186" s="2"/>
      <c r="AC186" s="2"/>
      <c r="AD186" s="2"/>
      <c r="AE186" s="2"/>
      <c r="AF186" s="2"/>
      <c r="AG186" s="2"/>
      <c r="AH186" s="2"/>
    </row>
    <row r="187" spans="1:34" x14ac:dyDescent="0.25">
      <c r="A187" s="1" t="str">
        <f t="shared" si="2"/>
        <v/>
      </c>
      <c r="B187" s="2"/>
      <c r="C187" s="2"/>
      <c r="D187" s="2"/>
      <c r="E187" s="2"/>
      <c r="F187" s="2"/>
      <c r="G187" s="6"/>
      <c r="H187" s="2"/>
      <c r="I187" s="7"/>
      <c r="J187" s="8"/>
      <c r="Q187" s="2"/>
      <c r="R187" s="2" t="str">
        <f>IFERROR(IF(ISBLANK(Q187),"",INDEX([1]Gen_Vessels!$A$3:$C$500,MATCH(InspectionSite!$Q187,[1]Gen_Vessels!$C$3:$C$500,0),1)),"")</f>
        <v/>
      </c>
      <c r="S187" s="2"/>
      <c r="T187" s="2" t="str">
        <f>IFERROR(IF(ISBLANK(S187),"",INDEX([1]Gen_Vessels!$A$3:$C$500,MATCH(InspectionSite!$S187,[1]Gen_Vessels!$C$3:$C$500,0),1)),"")</f>
        <v/>
      </c>
      <c r="U187" s="2"/>
      <c r="V187" s="2"/>
      <c r="W187" s="2"/>
      <c r="X187" s="2"/>
      <c r="Y187" s="2"/>
      <c r="AB187" s="2"/>
      <c r="AC187" s="2"/>
      <c r="AD187" s="2"/>
      <c r="AE187" s="2"/>
      <c r="AF187" s="2"/>
      <c r="AG187" s="2"/>
      <c r="AH187" s="2"/>
    </row>
    <row r="188" spans="1:34" x14ac:dyDescent="0.25">
      <c r="A188" s="1" t="str">
        <f t="shared" si="2"/>
        <v/>
      </c>
      <c r="B188" s="2"/>
      <c r="C188" s="2"/>
      <c r="D188" s="2"/>
      <c r="E188" s="2"/>
      <c r="F188" s="2"/>
      <c r="G188" s="6"/>
      <c r="H188" s="2"/>
      <c r="I188" s="7"/>
      <c r="J188" s="8"/>
      <c r="Q188" s="2"/>
      <c r="R188" s="2" t="str">
        <f>IFERROR(IF(ISBLANK(Q188),"",INDEX([1]Gen_Vessels!$A$3:$C$500,MATCH(InspectionSite!$Q188,[1]Gen_Vessels!$C$3:$C$500,0),1)),"")</f>
        <v/>
      </c>
      <c r="S188" s="2"/>
      <c r="T188" s="2" t="str">
        <f>IFERROR(IF(ISBLANK(S188),"",INDEX([1]Gen_Vessels!$A$3:$C$500,MATCH(InspectionSite!$S188,[1]Gen_Vessels!$C$3:$C$500,0),1)),"")</f>
        <v/>
      </c>
      <c r="U188" s="2"/>
      <c r="V188" s="2"/>
      <c r="W188" s="2"/>
      <c r="X188" s="2"/>
      <c r="Y188" s="2"/>
      <c r="AB188" s="2"/>
      <c r="AC188" s="2"/>
      <c r="AD188" s="2"/>
      <c r="AE188" s="2"/>
      <c r="AF188" s="2"/>
      <c r="AG188" s="2"/>
      <c r="AH188" s="2"/>
    </row>
    <row r="189" spans="1:34" x14ac:dyDescent="0.25">
      <c r="A189" s="1" t="str">
        <f t="shared" si="2"/>
        <v/>
      </c>
      <c r="B189" s="2"/>
      <c r="C189" s="2"/>
      <c r="D189" s="2"/>
      <c r="E189" s="2"/>
      <c r="F189" s="2"/>
      <c r="G189" s="6"/>
      <c r="H189" s="2"/>
      <c r="I189" s="7"/>
      <c r="J189" s="8"/>
      <c r="Q189" s="2"/>
      <c r="R189" s="2" t="str">
        <f>IFERROR(IF(ISBLANK(Q189),"",INDEX([1]Gen_Vessels!$A$3:$C$500,MATCH(InspectionSite!$Q189,[1]Gen_Vessels!$C$3:$C$500,0),1)),"")</f>
        <v/>
      </c>
      <c r="S189" s="2"/>
      <c r="T189" s="2" t="str">
        <f>IFERROR(IF(ISBLANK(S189),"",INDEX([1]Gen_Vessels!$A$3:$C$500,MATCH(InspectionSite!$S189,[1]Gen_Vessels!$C$3:$C$500,0),1)),"")</f>
        <v/>
      </c>
      <c r="U189" s="2"/>
      <c r="V189" s="2"/>
      <c r="W189" s="2"/>
      <c r="X189" s="2"/>
      <c r="Y189" s="2"/>
      <c r="AB189" s="2"/>
      <c r="AC189" s="2"/>
      <c r="AD189" s="2"/>
      <c r="AE189" s="2"/>
      <c r="AF189" s="2"/>
      <c r="AG189" s="2"/>
      <c r="AH189" s="2"/>
    </row>
    <row r="190" spans="1:34" x14ac:dyDescent="0.25">
      <c r="A190" s="1" t="str">
        <f t="shared" si="2"/>
        <v/>
      </c>
      <c r="B190" s="2"/>
      <c r="C190" s="2"/>
      <c r="D190" s="2"/>
      <c r="E190" s="2"/>
      <c r="F190" s="2"/>
      <c r="G190" s="6"/>
      <c r="H190" s="2"/>
      <c r="I190" s="7"/>
      <c r="J190" s="8"/>
      <c r="Q190" s="2"/>
      <c r="R190" s="2" t="str">
        <f>IFERROR(IF(ISBLANK(Q190),"",INDEX([1]Gen_Vessels!$A$3:$C$500,MATCH(InspectionSite!$Q190,[1]Gen_Vessels!$C$3:$C$500,0),1)),"")</f>
        <v/>
      </c>
      <c r="S190" s="2"/>
      <c r="T190" s="2" t="str">
        <f>IFERROR(IF(ISBLANK(S190),"",INDEX([1]Gen_Vessels!$A$3:$C$500,MATCH(InspectionSite!$S190,[1]Gen_Vessels!$C$3:$C$500,0),1)),"")</f>
        <v/>
      </c>
      <c r="U190" s="2"/>
      <c r="V190" s="2"/>
      <c r="W190" s="2"/>
      <c r="X190" s="2"/>
      <c r="Y190" s="2"/>
      <c r="AB190" s="2"/>
      <c r="AC190" s="2"/>
      <c r="AD190" s="2"/>
      <c r="AE190" s="2"/>
      <c r="AF190" s="2"/>
      <c r="AG190" s="2"/>
      <c r="AH190" s="2"/>
    </row>
    <row r="191" spans="1:34" x14ac:dyDescent="0.25">
      <c r="A191" s="1" t="str">
        <f t="shared" si="2"/>
        <v/>
      </c>
      <c r="B191" s="2"/>
      <c r="C191" s="2"/>
      <c r="D191" s="2"/>
      <c r="E191" s="2"/>
      <c r="F191" s="2"/>
      <c r="G191" s="6"/>
      <c r="H191" s="2"/>
      <c r="I191" s="7"/>
      <c r="J191" s="8"/>
      <c r="Q191" s="2"/>
      <c r="R191" s="2" t="str">
        <f>IFERROR(IF(ISBLANK(Q191),"",INDEX([1]Gen_Vessels!$A$3:$C$500,MATCH(InspectionSite!$Q191,[1]Gen_Vessels!$C$3:$C$500,0),1)),"")</f>
        <v/>
      </c>
      <c r="S191" s="2"/>
      <c r="T191" s="2" t="str">
        <f>IFERROR(IF(ISBLANK(S191),"",INDEX([1]Gen_Vessels!$A$3:$C$500,MATCH(InspectionSite!$S191,[1]Gen_Vessels!$C$3:$C$500,0),1)),"")</f>
        <v/>
      </c>
      <c r="U191" s="2"/>
      <c r="V191" s="2"/>
      <c r="W191" s="2"/>
      <c r="X191" s="2"/>
      <c r="Y191" s="2"/>
      <c r="AB191" s="2"/>
      <c r="AC191" s="2"/>
      <c r="AD191" s="2"/>
      <c r="AE191" s="2"/>
      <c r="AF191" s="2"/>
      <c r="AG191" s="2"/>
      <c r="AH191" s="2"/>
    </row>
    <row r="192" spans="1:34" x14ac:dyDescent="0.25">
      <c r="A192" s="1" t="str">
        <f t="shared" si="2"/>
        <v/>
      </c>
      <c r="B192" s="2"/>
      <c r="C192" s="2"/>
      <c r="D192" s="2"/>
      <c r="E192" s="2"/>
      <c r="F192" s="2"/>
      <c r="G192" s="6"/>
      <c r="H192" s="2"/>
      <c r="I192" s="7"/>
      <c r="J192" s="8"/>
      <c r="Q192" s="2"/>
      <c r="R192" s="2" t="str">
        <f>IFERROR(IF(ISBLANK(Q192),"",INDEX([1]Gen_Vessels!$A$3:$C$500,MATCH(InspectionSite!$Q192,[1]Gen_Vessels!$C$3:$C$500,0),1)),"")</f>
        <v/>
      </c>
      <c r="S192" s="2"/>
      <c r="T192" s="2" t="str">
        <f>IFERROR(IF(ISBLANK(S192),"",INDEX([1]Gen_Vessels!$A$3:$C$500,MATCH(InspectionSite!$S192,[1]Gen_Vessels!$C$3:$C$500,0),1)),"")</f>
        <v/>
      </c>
      <c r="U192" s="2"/>
      <c r="V192" s="2"/>
      <c r="W192" s="2"/>
      <c r="X192" s="2"/>
      <c r="Y192" s="2"/>
      <c r="AB192" s="2"/>
      <c r="AC192" s="2"/>
      <c r="AD192" s="2"/>
      <c r="AE192" s="2"/>
      <c r="AF192" s="2"/>
      <c r="AG192" s="2"/>
      <c r="AH192" s="2"/>
    </row>
    <row r="193" spans="1:34" x14ac:dyDescent="0.25">
      <c r="A193" s="1" t="str">
        <f t="shared" si="2"/>
        <v/>
      </c>
      <c r="B193" s="2"/>
      <c r="C193" s="2"/>
      <c r="D193" s="2"/>
      <c r="E193" s="2"/>
      <c r="F193" s="2"/>
      <c r="G193" s="6"/>
      <c r="H193" s="2"/>
      <c r="I193" s="7"/>
      <c r="J193" s="8"/>
      <c r="Q193" s="2"/>
      <c r="R193" s="2" t="str">
        <f>IFERROR(IF(ISBLANK(Q193),"",INDEX([1]Gen_Vessels!$A$3:$C$500,MATCH(InspectionSite!$Q193,[1]Gen_Vessels!$C$3:$C$500,0),1)),"")</f>
        <v/>
      </c>
      <c r="S193" s="2"/>
      <c r="T193" s="2" t="str">
        <f>IFERROR(IF(ISBLANK(S193),"",INDEX([1]Gen_Vessels!$A$3:$C$500,MATCH(InspectionSite!$S193,[1]Gen_Vessels!$C$3:$C$500,0),1)),"")</f>
        <v/>
      </c>
      <c r="U193" s="2"/>
      <c r="V193" s="2"/>
      <c r="W193" s="2"/>
      <c r="X193" s="2"/>
      <c r="Y193" s="2"/>
      <c r="AB193" s="2"/>
      <c r="AC193" s="2"/>
      <c r="AD193" s="2"/>
      <c r="AE193" s="2"/>
      <c r="AF193" s="2"/>
      <c r="AG193" s="2"/>
      <c r="AH193" s="2"/>
    </row>
    <row r="194" spans="1:34" x14ac:dyDescent="0.25">
      <c r="A194" s="1" t="str">
        <f t="shared" si="2"/>
        <v/>
      </c>
      <c r="B194" s="2"/>
      <c r="C194" s="2"/>
      <c r="D194" s="2"/>
      <c r="E194" s="2"/>
      <c r="F194" s="2"/>
      <c r="G194" s="6"/>
      <c r="H194" s="2"/>
      <c r="I194" s="7"/>
      <c r="J194" s="8"/>
      <c r="Q194" s="2"/>
      <c r="R194" s="2" t="str">
        <f>IFERROR(IF(ISBLANK(Q194),"",INDEX([1]Gen_Vessels!$A$3:$C$500,MATCH(InspectionSite!$Q194,[1]Gen_Vessels!$C$3:$C$500,0),1)),"")</f>
        <v/>
      </c>
      <c r="S194" s="2"/>
      <c r="T194" s="2" t="str">
        <f>IFERROR(IF(ISBLANK(S194),"",INDEX([1]Gen_Vessels!$A$3:$C$500,MATCH(InspectionSite!$S194,[1]Gen_Vessels!$C$3:$C$500,0),1)),"")</f>
        <v/>
      </c>
      <c r="U194" s="2"/>
      <c r="V194" s="2"/>
      <c r="W194" s="2"/>
      <c r="X194" s="2"/>
      <c r="Y194" s="2"/>
      <c r="AB194" s="2"/>
      <c r="AC194" s="2"/>
      <c r="AD194" s="2"/>
      <c r="AE194" s="2"/>
      <c r="AF194" s="2"/>
      <c r="AG194" s="2"/>
      <c r="AH194" s="2"/>
    </row>
    <row r="195" spans="1:34" x14ac:dyDescent="0.25">
      <c r="A195" s="1" t="str">
        <f t="shared" ref="A195:A258" si="3">IF(ISBLANK($B195)=FALSE,IF(AND($G195&gt;0,$H195&lt;=0,$I195&lt;=0),_xlfn.CONCAT("ofw_",$B195),IF(AND($G195&lt;=0,$H195&gt;0,$I195&lt;=0),_xlfn.CONCAT("owc_",$B195),IF(AND($G195&lt;=0,$H195&lt;=0,$I195&gt;0),_xlfn.CONCAT("opv_",$B195),_xlfn.CONCAT("oce_",$B195)))),"")</f>
        <v/>
      </c>
      <c r="B195" s="2"/>
      <c r="C195" s="2"/>
      <c r="D195" s="2"/>
      <c r="E195" s="2"/>
      <c r="F195" s="2"/>
      <c r="G195" s="6"/>
      <c r="H195" s="2"/>
      <c r="I195" s="7"/>
      <c r="J195" s="8"/>
      <c r="Q195" s="2"/>
      <c r="R195" s="2" t="str">
        <f>IFERROR(IF(ISBLANK(Q195),"",INDEX([1]Gen_Vessels!$A$3:$C$500,MATCH(InspectionSite!$Q195,[1]Gen_Vessels!$C$3:$C$500,0),1)),"")</f>
        <v/>
      </c>
      <c r="S195" s="2"/>
      <c r="T195" s="2" t="str">
        <f>IFERROR(IF(ISBLANK(S195),"",INDEX([1]Gen_Vessels!$A$3:$C$500,MATCH(InspectionSite!$S195,[1]Gen_Vessels!$C$3:$C$500,0),1)),"")</f>
        <v/>
      </c>
      <c r="U195" s="2"/>
      <c r="V195" s="2"/>
      <c r="W195" s="2"/>
      <c r="X195" s="2"/>
      <c r="Y195" s="2"/>
      <c r="AB195" s="2"/>
      <c r="AC195" s="2"/>
      <c r="AD195" s="2"/>
      <c r="AE195" s="2"/>
      <c r="AF195" s="2"/>
      <c r="AG195" s="2"/>
      <c r="AH195" s="2"/>
    </row>
    <row r="196" spans="1:34" x14ac:dyDescent="0.25">
      <c r="A196" s="1" t="str">
        <f t="shared" si="3"/>
        <v/>
      </c>
      <c r="B196" s="2"/>
      <c r="C196" s="2"/>
      <c r="D196" s="2"/>
      <c r="E196" s="2"/>
      <c r="F196" s="2"/>
      <c r="G196" s="6"/>
      <c r="H196" s="2"/>
      <c r="I196" s="7"/>
      <c r="J196" s="8"/>
      <c r="Q196" s="2"/>
      <c r="R196" s="2" t="str">
        <f>IFERROR(IF(ISBLANK(Q196),"",INDEX([1]Gen_Vessels!$A$3:$C$500,MATCH(InspectionSite!$Q196,[1]Gen_Vessels!$C$3:$C$500,0),1)),"")</f>
        <v/>
      </c>
      <c r="S196" s="2"/>
      <c r="T196" s="2" t="str">
        <f>IFERROR(IF(ISBLANK(S196),"",INDEX([1]Gen_Vessels!$A$3:$C$500,MATCH(InspectionSite!$S196,[1]Gen_Vessels!$C$3:$C$500,0),1)),"")</f>
        <v/>
      </c>
      <c r="U196" s="2"/>
      <c r="V196" s="2"/>
      <c r="W196" s="2"/>
      <c r="X196" s="2"/>
      <c r="Y196" s="2"/>
      <c r="AB196" s="2"/>
      <c r="AC196" s="2"/>
      <c r="AD196" s="2"/>
      <c r="AE196" s="2"/>
      <c r="AF196" s="2"/>
      <c r="AG196" s="2"/>
      <c r="AH196" s="2"/>
    </row>
    <row r="197" spans="1:34" x14ac:dyDescent="0.25">
      <c r="A197" s="1" t="str">
        <f t="shared" si="3"/>
        <v/>
      </c>
      <c r="B197" s="2"/>
      <c r="C197" s="2"/>
      <c r="D197" s="2"/>
      <c r="E197" s="2"/>
      <c r="F197" s="2"/>
      <c r="G197" s="6"/>
      <c r="H197" s="2"/>
      <c r="I197" s="7"/>
      <c r="J197" s="8"/>
      <c r="Q197" s="2"/>
      <c r="R197" s="2" t="str">
        <f>IFERROR(IF(ISBLANK(Q197),"",INDEX([1]Gen_Vessels!$A$3:$C$500,MATCH(InspectionSite!$Q197,[1]Gen_Vessels!$C$3:$C$500,0),1)),"")</f>
        <v/>
      </c>
      <c r="S197" s="2"/>
      <c r="T197" s="2" t="str">
        <f>IFERROR(IF(ISBLANK(S197),"",INDEX([1]Gen_Vessels!$A$3:$C$500,MATCH(InspectionSite!$S197,[1]Gen_Vessels!$C$3:$C$500,0),1)),"")</f>
        <v/>
      </c>
      <c r="U197" s="2"/>
      <c r="V197" s="2"/>
      <c r="W197" s="2"/>
      <c r="X197" s="2"/>
      <c r="Y197" s="2"/>
      <c r="AB197" s="2"/>
      <c r="AC197" s="2"/>
      <c r="AD197" s="2"/>
      <c r="AE197" s="2"/>
      <c r="AF197" s="2"/>
      <c r="AG197" s="2"/>
      <c r="AH197" s="2"/>
    </row>
    <row r="198" spans="1:34" x14ac:dyDescent="0.25">
      <c r="A198" s="1" t="str">
        <f t="shared" si="3"/>
        <v/>
      </c>
      <c r="B198" s="2"/>
      <c r="C198" s="2"/>
      <c r="D198" s="2"/>
      <c r="E198" s="2"/>
      <c r="F198" s="2"/>
      <c r="G198" s="6"/>
      <c r="H198" s="2"/>
      <c r="I198" s="7"/>
      <c r="J198" s="8"/>
      <c r="Q198" s="2"/>
      <c r="R198" s="2" t="str">
        <f>IFERROR(IF(ISBLANK(Q198),"",INDEX([1]Gen_Vessels!$A$3:$C$500,MATCH(InspectionSite!$Q198,[1]Gen_Vessels!$C$3:$C$500,0),1)),"")</f>
        <v/>
      </c>
      <c r="S198" s="2"/>
      <c r="T198" s="2" t="str">
        <f>IFERROR(IF(ISBLANK(S198),"",INDEX([1]Gen_Vessels!$A$3:$C$500,MATCH(InspectionSite!$S198,[1]Gen_Vessels!$C$3:$C$500,0),1)),"")</f>
        <v/>
      </c>
      <c r="U198" s="2"/>
      <c r="V198" s="2"/>
      <c r="W198" s="2"/>
      <c r="X198" s="2"/>
      <c r="Y198" s="2"/>
      <c r="AB198" s="2"/>
      <c r="AC198" s="2"/>
      <c r="AD198" s="2"/>
      <c r="AE198" s="2"/>
      <c r="AF198" s="2"/>
      <c r="AG198" s="2"/>
      <c r="AH198" s="2"/>
    </row>
    <row r="199" spans="1:34" x14ac:dyDescent="0.25">
      <c r="A199" s="1" t="str">
        <f t="shared" si="3"/>
        <v/>
      </c>
      <c r="B199" s="2"/>
      <c r="C199" s="2"/>
      <c r="D199" s="2"/>
      <c r="E199" s="2"/>
      <c r="F199" s="2"/>
      <c r="G199" s="6"/>
      <c r="H199" s="2"/>
      <c r="I199" s="7"/>
      <c r="J199" s="8"/>
      <c r="Q199" s="2"/>
      <c r="R199" s="2" t="str">
        <f>IFERROR(IF(ISBLANK(Q199),"",INDEX([1]Gen_Vessels!$A$3:$C$500,MATCH(InspectionSite!$Q199,[1]Gen_Vessels!$C$3:$C$500,0),1)),"")</f>
        <v/>
      </c>
      <c r="S199" s="2"/>
      <c r="T199" s="2" t="str">
        <f>IFERROR(IF(ISBLANK(S199),"",INDEX([1]Gen_Vessels!$A$3:$C$500,MATCH(InspectionSite!$S199,[1]Gen_Vessels!$C$3:$C$500,0),1)),"")</f>
        <v/>
      </c>
      <c r="U199" s="2"/>
      <c r="V199" s="2"/>
      <c r="W199" s="2"/>
      <c r="X199" s="2"/>
      <c r="Y199" s="2"/>
      <c r="AB199" s="2"/>
      <c r="AC199" s="2"/>
      <c r="AD199" s="2"/>
      <c r="AE199" s="2"/>
      <c r="AF199" s="2"/>
      <c r="AG199" s="2"/>
      <c r="AH199" s="2"/>
    </row>
    <row r="200" spans="1:34" x14ac:dyDescent="0.25">
      <c r="A200" s="1" t="str">
        <f t="shared" si="3"/>
        <v/>
      </c>
      <c r="B200" s="2"/>
      <c r="C200" s="2"/>
      <c r="D200" s="2"/>
      <c r="E200" s="2"/>
      <c r="F200" s="2"/>
      <c r="G200" s="6"/>
      <c r="H200" s="2"/>
      <c r="I200" s="7"/>
      <c r="J200" s="8"/>
      <c r="Q200" s="2"/>
      <c r="R200" s="2" t="str">
        <f>IFERROR(IF(ISBLANK(Q200),"",INDEX([1]Gen_Vessels!$A$3:$C$500,MATCH(InspectionSite!$Q200,[1]Gen_Vessels!$C$3:$C$500,0),1)),"")</f>
        <v/>
      </c>
      <c r="S200" s="2"/>
      <c r="T200" s="2" t="str">
        <f>IFERROR(IF(ISBLANK(S200),"",INDEX([1]Gen_Vessels!$A$3:$C$500,MATCH(InspectionSite!$S200,[1]Gen_Vessels!$C$3:$C$500,0),1)),"")</f>
        <v/>
      </c>
      <c r="U200" s="2"/>
      <c r="V200" s="2"/>
      <c r="W200" s="2"/>
      <c r="X200" s="2"/>
      <c r="Y200" s="2"/>
      <c r="AB200" s="2"/>
      <c r="AC200" s="2"/>
      <c r="AD200" s="2"/>
      <c r="AE200" s="2"/>
      <c r="AF200" s="2"/>
      <c r="AG200" s="2"/>
      <c r="AH200" s="2"/>
    </row>
    <row r="201" spans="1:34" x14ac:dyDescent="0.25">
      <c r="A201" s="1" t="str">
        <f t="shared" si="3"/>
        <v/>
      </c>
      <c r="B201" s="2"/>
      <c r="C201" s="2"/>
      <c r="D201" s="2"/>
      <c r="E201" s="2"/>
      <c r="F201" s="2"/>
      <c r="G201" s="6"/>
      <c r="H201" s="2"/>
      <c r="I201" s="7"/>
      <c r="J201" s="8"/>
      <c r="Q201" s="2"/>
      <c r="R201" s="2" t="str">
        <f>IFERROR(IF(ISBLANK(Q201),"",INDEX([1]Gen_Vessels!$A$3:$C$500,MATCH(InspectionSite!$Q201,[1]Gen_Vessels!$C$3:$C$500,0),1)),"")</f>
        <v/>
      </c>
      <c r="S201" s="2"/>
      <c r="T201" s="2" t="str">
        <f>IFERROR(IF(ISBLANK(S201),"",INDEX([1]Gen_Vessels!$A$3:$C$500,MATCH(InspectionSite!$S201,[1]Gen_Vessels!$C$3:$C$500,0),1)),"")</f>
        <v/>
      </c>
      <c r="U201" s="2"/>
      <c r="V201" s="2"/>
      <c r="W201" s="2"/>
      <c r="X201" s="2"/>
      <c r="Y201" s="2"/>
      <c r="AB201" s="2"/>
      <c r="AC201" s="2"/>
      <c r="AD201" s="2"/>
      <c r="AE201" s="2"/>
      <c r="AF201" s="2"/>
      <c r="AG201" s="2"/>
      <c r="AH201" s="2"/>
    </row>
    <row r="202" spans="1:34" x14ac:dyDescent="0.25">
      <c r="A202" s="1" t="str">
        <f t="shared" si="3"/>
        <v/>
      </c>
      <c r="B202" s="2"/>
      <c r="C202" s="2"/>
      <c r="D202" s="2"/>
      <c r="E202" s="2"/>
      <c r="F202" s="2"/>
      <c r="G202" s="6"/>
      <c r="H202" s="2"/>
      <c r="I202" s="7"/>
      <c r="J202" s="8"/>
      <c r="Q202" s="2"/>
      <c r="R202" s="2" t="str">
        <f>IFERROR(IF(ISBLANK(Q202),"",INDEX([1]Gen_Vessels!$A$3:$C$500,MATCH(InspectionSite!$Q202,[1]Gen_Vessels!$C$3:$C$500,0),1)),"")</f>
        <v/>
      </c>
      <c r="S202" s="2"/>
      <c r="T202" s="2" t="str">
        <f>IFERROR(IF(ISBLANK(S202),"",INDEX([1]Gen_Vessels!$A$3:$C$500,MATCH(InspectionSite!$S202,[1]Gen_Vessels!$C$3:$C$500,0),1)),"")</f>
        <v/>
      </c>
      <c r="U202" s="2"/>
      <c r="V202" s="2"/>
      <c r="W202" s="2"/>
      <c r="X202" s="2"/>
      <c r="Y202" s="2"/>
      <c r="AB202" s="2"/>
      <c r="AC202" s="2"/>
      <c r="AD202" s="2"/>
      <c r="AE202" s="2"/>
      <c r="AF202" s="2"/>
      <c r="AG202" s="2"/>
      <c r="AH202" s="2"/>
    </row>
    <row r="203" spans="1:34" x14ac:dyDescent="0.25">
      <c r="A203" s="1" t="str">
        <f t="shared" si="3"/>
        <v/>
      </c>
      <c r="B203" s="2"/>
      <c r="C203" s="2"/>
      <c r="D203" s="2"/>
      <c r="E203" s="2"/>
      <c r="F203" s="2"/>
      <c r="G203" s="6"/>
      <c r="H203" s="2"/>
      <c r="I203" s="7"/>
      <c r="J203" s="8"/>
      <c r="Q203" s="2"/>
      <c r="R203" s="2" t="str">
        <f>IFERROR(IF(ISBLANK(Q203),"",INDEX([1]Gen_Vessels!$A$3:$C$500,MATCH(InspectionSite!$Q203,[1]Gen_Vessels!$C$3:$C$500,0),1)),"")</f>
        <v/>
      </c>
      <c r="S203" s="2"/>
      <c r="T203" s="2" t="str">
        <f>IFERROR(IF(ISBLANK(S203),"",INDEX([1]Gen_Vessels!$A$3:$C$500,MATCH(InspectionSite!$S203,[1]Gen_Vessels!$C$3:$C$500,0),1)),"")</f>
        <v/>
      </c>
      <c r="U203" s="2"/>
      <c r="V203" s="2"/>
      <c r="W203" s="2"/>
      <c r="X203" s="2"/>
      <c r="Y203" s="2"/>
      <c r="AB203" s="2"/>
      <c r="AC203" s="2"/>
      <c r="AD203" s="2"/>
      <c r="AE203" s="2"/>
      <c r="AF203" s="2"/>
      <c r="AG203" s="2"/>
      <c r="AH203" s="2"/>
    </row>
    <row r="204" spans="1:34" x14ac:dyDescent="0.25">
      <c r="A204" s="1" t="str">
        <f t="shared" si="3"/>
        <v/>
      </c>
      <c r="B204" s="2"/>
      <c r="C204" s="2"/>
      <c r="D204" s="2"/>
      <c r="E204" s="2"/>
      <c r="F204" s="2"/>
      <c r="G204" s="6"/>
      <c r="H204" s="2"/>
      <c r="I204" s="7"/>
      <c r="J204" s="8"/>
      <c r="Q204" s="2"/>
      <c r="R204" s="2" t="str">
        <f>IFERROR(IF(ISBLANK(Q204),"",INDEX([1]Gen_Vessels!$A$3:$C$500,MATCH(InspectionSite!$Q204,[1]Gen_Vessels!$C$3:$C$500,0),1)),"")</f>
        <v/>
      </c>
      <c r="S204" s="2"/>
      <c r="T204" s="2" t="str">
        <f>IFERROR(IF(ISBLANK(S204),"",INDEX([1]Gen_Vessels!$A$3:$C$500,MATCH(InspectionSite!$S204,[1]Gen_Vessels!$C$3:$C$500,0),1)),"")</f>
        <v/>
      </c>
      <c r="U204" s="2"/>
      <c r="V204" s="2"/>
      <c r="W204" s="2"/>
      <c r="X204" s="2"/>
      <c r="Y204" s="2"/>
      <c r="AB204" s="2"/>
      <c r="AC204" s="2"/>
      <c r="AD204" s="2"/>
      <c r="AE204" s="2"/>
      <c r="AF204" s="2"/>
      <c r="AG204" s="2"/>
      <c r="AH204" s="2"/>
    </row>
    <row r="205" spans="1:34" x14ac:dyDescent="0.25">
      <c r="A205" s="1" t="str">
        <f t="shared" si="3"/>
        <v/>
      </c>
      <c r="B205" s="2"/>
      <c r="C205" s="2"/>
      <c r="D205" s="2"/>
      <c r="E205" s="2"/>
      <c r="F205" s="2"/>
      <c r="G205" s="6"/>
      <c r="H205" s="2"/>
      <c r="I205" s="7"/>
      <c r="J205" s="8"/>
      <c r="Q205" s="2"/>
      <c r="R205" s="2" t="str">
        <f>IFERROR(IF(ISBLANK(Q205),"",INDEX([1]Gen_Vessels!$A$3:$C$500,MATCH(InspectionSite!$Q205,[1]Gen_Vessels!$C$3:$C$500,0),1)),"")</f>
        <v/>
      </c>
      <c r="S205" s="2"/>
      <c r="T205" s="2" t="str">
        <f>IFERROR(IF(ISBLANK(S205),"",INDEX([1]Gen_Vessels!$A$3:$C$500,MATCH(InspectionSite!$S205,[1]Gen_Vessels!$C$3:$C$500,0),1)),"")</f>
        <v/>
      </c>
      <c r="U205" s="2"/>
      <c r="V205" s="2"/>
      <c r="W205" s="2"/>
      <c r="X205" s="2"/>
      <c r="Y205" s="2"/>
      <c r="AB205" s="2"/>
      <c r="AC205" s="2"/>
      <c r="AD205" s="2"/>
      <c r="AE205" s="2"/>
      <c r="AF205" s="2"/>
      <c r="AG205" s="2"/>
      <c r="AH205" s="2"/>
    </row>
    <row r="206" spans="1:34" x14ac:dyDescent="0.25">
      <c r="A206" s="1" t="str">
        <f t="shared" si="3"/>
        <v/>
      </c>
      <c r="B206" s="2"/>
      <c r="C206" s="2"/>
      <c r="D206" s="2"/>
      <c r="E206" s="2"/>
      <c r="F206" s="2"/>
      <c r="G206" s="6"/>
      <c r="H206" s="2"/>
      <c r="I206" s="7"/>
      <c r="J206" s="8"/>
      <c r="Q206" s="2"/>
      <c r="R206" s="2" t="str">
        <f>IFERROR(IF(ISBLANK(Q206),"",INDEX([1]Gen_Vessels!$A$3:$C$500,MATCH(InspectionSite!$Q206,[1]Gen_Vessels!$C$3:$C$500,0),1)),"")</f>
        <v/>
      </c>
      <c r="S206" s="2"/>
      <c r="T206" s="2" t="str">
        <f>IFERROR(IF(ISBLANK(S206),"",INDEX([1]Gen_Vessels!$A$3:$C$500,MATCH(InspectionSite!$S206,[1]Gen_Vessels!$C$3:$C$500,0),1)),"")</f>
        <v/>
      </c>
      <c r="U206" s="2"/>
      <c r="V206" s="2"/>
      <c r="W206" s="2"/>
      <c r="X206" s="2"/>
      <c r="Y206" s="2"/>
      <c r="AB206" s="2"/>
      <c r="AC206" s="2"/>
      <c r="AD206" s="2"/>
      <c r="AE206" s="2"/>
      <c r="AF206" s="2"/>
      <c r="AG206" s="2"/>
      <c r="AH206" s="2"/>
    </row>
    <row r="207" spans="1:34" x14ac:dyDescent="0.25">
      <c r="A207" s="1" t="str">
        <f t="shared" si="3"/>
        <v/>
      </c>
      <c r="B207" s="2"/>
      <c r="C207" s="2"/>
      <c r="D207" s="2"/>
      <c r="E207" s="2"/>
      <c r="F207" s="2"/>
      <c r="G207" s="6"/>
      <c r="H207" s="2"/>
      <c r="I207" s="7"/>
      <c r="J207" s="8"/>
      <c r="Q207" s="2"/>
      <c r="R207" s="2" t="str">
        <f>IFERROR(IF(ISBLANK(Q207),"",INDEX([1]Gen_Vessels!$A$3:$C$500,MATCH(InspectionSite!$Q207,[1]Gen_Vessels!$C$3:$C$500,0),1)),"")</f>
        <v/>
      </c>
      <c r="S207" s="2"/>
      <c r="T207" s="2" t="str">
        <f>IFERROR(IF(ISBLANK(S207),"",INDEX([1]Gen_Vessels!$A$3:$C$500,MATCH(InspectionSite!$S207,[1]Gen_Vessels!$C$3:$C$500,0),1)),"")</f>
        <v/>
      </c>
      <c r="U207" s="2"/>
      <c r="V207" s="2"/>
      <c r="W207" s="2"/>
      <c r="X207" s="2"/>
      <c r="Y207" s="2"/>
      <c r="AB207" s="2"/>
      <c r="AC207" s="2"/>
      <c r="AD207" s="2"/>
      <c r="AE207" s="2"/>
      <c r="AF207" s="2"/>
      <c r="AG207" s="2"/>
      <c r="AH207" s="2"/>
    </row>
    <row r="208" spans="1:34" x14ac:dyDescent="0.25">
      <c r="A208" s="1" t="str">
        <f t="shared" si="3"/>
        <v/>
      </c>
      <c r="B208" s="2"/>
      <c r="C208" s="2"/>
      <c r="D208" s="2"/>
      <c r="E208" s="2"/>
      <c r="F208" s="2"/>
      <c r="G208" s="6"/>
      <c r="H208" s="2"/>
      <c r="I208" s="7"/>
      <c r="J208" s="8"/>
      <c r="Q208" s="2"/>
      <c r="R208" s="2" t="str">
        <f>IFERROR(IF(ISBLANK(Q208),"",INDEX([1]Gen_Vessels!$A$3:$C$500,MATCH(InspectionSite!$Q208,[1]Gen_Vessels!$C$3:$C$500,0),1)),"")</f>
        <v/>
      </c>
      <c r="S208" s="2"/>
      <c r="T208" s="2" t="str">
        <f>IFERROR(IF(ISBLANK(S208),"",INDEX([1]Gen_Vessels!$A$3:$C$500,MATCH(InspectionSite!$S208,[1]Gen_Vessels!$C$3:$C$500,0),1)),"")</f>
        <v/>
      </c>
      <c r="U208" s="2"/>
      <c r="V208" s="2"/>
      <c r="W208" s="2"/>
      <c r="X208" s="2"/>
      <c r="Y208" s="2"/>
      <c r="AB208" s="2"/>
      <c r="AC208" s="2"/>
      <c r="AD208" s="2"/>
      <c r="AE208" s="2"/>
      <c r="AF208" s="2"/>
      <c r="AG208" s="2"/>
      <c r="AH208" s="2"/>
    </row>
    <row r="209" spans="1:34" x14ac:dyDescent="0.25">
      <c r="A209" s="1" t="str">
        <f t="shared" si="3"/>
        <v/>
      </c>
      <c r="B209" s="2"/>
      <c r="C209" s="2"/>
      <c r="D209" s="2"/>
      <c r="E209" s="2"/>
      <c r="F209" s="2"/>
      <c r="G209" s="6"/>
      <c r="H209" s="2"/>
      <c r="I209" s="7"/>
      <c r="J209" s="8"/>
      <c r="Q209" s="2"/>
      <c r="R209" s="2" t="str">
        <f>IFERROR(IF(ISBLANK(Q209),"",INDEX([1]Gen_Vessels!$A$3:$C$500,MATCH(InspectionSite!$Q209,[1]Gen_Vessels!$C$3:$C$500,0),1)),"")</f>
        <v/>
      </c>
      <c r="S209" s="2"/>
      <c r="T209" s="2" t="str">
        <f>IFERROR(IF(ISBLANK(S209),"",INDEX([1]Gen_Vessels!$A$3:$C$500,MATCH(InspectionSite!$S209,[1]Gen_Vessels!$C$3:$C$500,0),1)),"")</f>
        <v/>
      </c>
      <c r="U209" s="2"/>
      <c r="V209" s="2"/>
      <c r="W209" s="2"/>
      <c r="X209" s="2"/>
      <c r="Y209" s="2"/>
      <c r="AB209" s="2"/>
      <c r="AC209" s="2"/>
      <c r="AD209" s="2"/>
      <c r="AE209" s="2"/>
      <c r="AF209" s="2"/>
      <c r="AG209" s="2"/>
      <c r="AH209" s="2"/>
    </row>
    <row r="210" spans="1:34" x14ac:dyDescent="0.25">
      <c r="A210" s="1" t="str">
        <f t="shared" si="3"/>
        <v/>
      </c>
      <c r="B210" s="2"/>
      <c r="C210" s="2"/>
      <c r="D210" s="2"/>
      <c r="E210" s="2"/>
      <c r="F210" s="2"/>
      <c r="G210" s="6"/>
      <c r="H210" s="2"/>
      <c r="I210" s="7"/>
      <c r="J210" s="8"/>
      <c r="Q210" s="2"/>
      <c r="R210" s="2" t="str">
        <f>IFERROR(IF(ISBLANK(Q210),"",INDEX([1]Gen_Vessels!$A$3:$C$500,MATCH(InspectionSite!$Q210,[1]Gen_Vessels!$C$3:$C$500,0),1)),"")</f>
        <v/>
      </c>
      <c r="S210" s="2"/>
      <c r="T210" s="2" t="str">
        <f>IFERROR(IF(ISBLANK(S210),"",INDEX([1]Gen_Vessels!$A$3:$C$500,MATCH(InspectionSite!$S210,[1]Gen_Vessels!$C$3:$C$500,0),1)),"")</f>
        <v/>
      </c>
      <c r="U210" s="2"/>
      <c r="V210" s="2"/>
      <c r="W210" s="2"/>
      <c r="X210" s="2"/>
      <c r="Y210" s="2"/>
      <c r="AB210" s="2"/>
      <c r="AC210" s="2"/>
      <c r="AD210" s="2"/>
      <c r="AE210" s="2"/>
      <c r="AF210" s="2"/>
      <c r="AG210" s="2"/>
      <c r="AH210" s="2"/>
    </row>
    <row r="211" spans="1:34" x14ac:dyDescent="0.25">
      <c r="A211" s="1" t="str">
        <f t="shared" si="3"/>
        <v/>
      </c>
      <c r="B211" s="2"/>
      <c r="C211" s="2"/>
      <c r="D211" s="2"/>
      <c r="E211" s="2"/>
      <c r="F211" s="2"/>
      <c r="G211" s="6"/>
      <c r="H211" s="2"/>
      <c r="I211" s="7"/>
      <c r="J211" s="8"/>
      <c r="Q211" s="2"/>
      <c r="R211" s="2" t="str">
        <f>IFERROR(IF(ISBLANK(Q211),"",INDEX([1]Gen_Vessels!$A$3:$C$500,MATCH(InspectionSite!$Q211,[1]Gen_Vessels!$C$3:$C$500,0),1)),"")</f>
        <v/>
      </c>
      <c r="S211" s="2"/>
      <c r="T211" s="2" t="str">
        <f>IFERROR(IF(ISBLANK(S211),"",INDEX([1]Gen_Vessels!$A$3:$C$500,MATCH(InspectionSite!$S211,[1]Gen_Vessels!$C$3:$C$500,0),1)),"")</f>
        <v/>
      </c>
      <c r="U211" s="2"/>
      <c r="V211" s="2"/>
      <c r="W211" s="2"/>
      <c r="X211" s="2"/>
      <c r="Y211" s="2"/>
      <c r="AB211" s="2"/>
      <c r="AC211" s="2"/>
      <c r="AD211" s="2"/>
      <c r="AE211" s="2"/>
      <c r="AF211" s="2"/>
      <c r="AG211" s="2"/>
      <c r="AH211" s="2"/>
    </row>
    <row r="212" spans="1:34" x14ac:dyDescent="0.25">
      <c r="A212" s="1" t="str">
        <f t="shared" si="3"/>
        <v/>
      </c>
      <c r="B212" s="2"/>
      <c r="C212" s="2"/>
      <c r="D212" s="2"/>
      <c r="E212" s="2"/>
      <c r="F212" s="2"/>
      <c r="G212" s="6"/>
      <c r="H212" s="2"/>
      <c r="I212" s="7"/>
      <c r="J212" s="8"/>
      <c r="Q212" s="2"/>
      <c r="R212" s="2" t="str">
        <f>IFERROR(IF(ISBLANK(Q212),"",INDEX([1]Gen_Vessels!$A$3:$C$500,MATCH(InspectionSite!$Q212,[1]Gen_Vessels!$C$3:$C$500,0),1)),"")</f>
        <v/>
      </c>
      <c r="S212" s="2"/>
      <c r="T212" s="2" t="str">
        <f>IFERROR(IF(ISBLANK(S212),"",INDEX([1]Gen_Vessels!$A$3:$C$500,MATCH(InspectionSite!$S212,[1]Gen_Vessels!$C$3:$C$500,0),1)),"")</f>
        <v/>
      </c>
      <c r="U212" s="2"/>
      <c r="V212" s="2"/>
      <c r="W212" s="2"/>
      <c r="X212" s="2"/>
      <c r="Y212" s="2"/>
      <c r="AB212" s="2"/>
      <c r="AC212" s="2"/>
      <c r="AD212" s="2"/>
      <c r="AE212" s="2"/>
      <c r="AF212" s="2"/>
      <c r="AG212" s="2"/>
      <c r="AH212" s="2"/>
    </row>
    <row r="213" spans="1:34" x14ac:dyDescent="0.25">
      <c r="A213" s="1" t="str">
        <f t="shared" si="3"/>
        <v/>
      </c>
      <c r="B213" s="2"/>
      <c r="C213" s="2"/>
      <c r="D213" s="2"/>
      <c r="E213" s="2"/>
      <c r="F213" s="2"/>
      <c r="G213" s="6"/>
      <c r="H213" s="2"/>
      <c r="I213" s="7"/>
      <c r="J213" s="8"/>
      <c r="Q213" s="2"/>
      <c r="R213" s="2" t="str">
        <f>IFERROR(IF(ISBLANK(Q213),"",INDEX([1]Gen_Vessels!$A$3:$C$500,MATCH(InspectionSite!$Q213,[1]Gen_Vessels!$C$3:$C$500,0),1)),"")</f>
        <v/>
      </c>
      <c r="S213" s="2"/>
      <c r="T213" s="2" t="str">
        <f>IFERROR(IF(ISBLANK(S213),"",INDEX([1]Gen_Vessels!$A$3:$C$500,MATCH(InspectionSite!$S213,[1]Gen_Vessels!$C$3:$C$500,0),1)),"")</f>
        <v/>
      </c>
      <c r="U213" s="2"/>
      <c r="V213" s="2"/>
      <c r="W213" s="2"/>
      <c r="X213" s="2"/>
      <c r="Y213" s="2"/>
      <c r="AB213" s="2"/>
      <c r="AC213" s="2"/>
      <c r="AD213" s="2"/>
      <c r="AE213" s="2"/>
      <c r="AF213" s="2"/>
      <c r="AG213" s="2"/>
      <c r="AH213" s="2"/>
    </row>
    <row r="214" spans="1:34" x14ac:dyDescent="0.25">
      <c r="A214" s="1" t="str">
        <f t="shared" si="3"/>
        <v/>
      </c>
      <c r="B214" s="2"/>
      <c r="C214" s="2"/>
      <c r="D214" s="2"/>
      <c r="E214" s="2"/>
      <c r="F214" s="2"/>
      <c r="G214" s="6"/>
      <c r="H214" s="2"/>
      <c r="I214" s="7"/>
      <c r="J214" s="8"/>
      <c r="Q214" s="2"/>
      <c r="R214" s="2" t="str">
        <f>IFERROR(IF(ISBLANK(Q214),"",INDEX([1]Gen_Vessels!$A$3:$C$500,MATCH(InspectionSite!$Q214,[1]Gen_Vessels!$C$3:$C$500,0),1)),"")</f>
        <v/>
      </c>
      <c r="S214" s="2"/>
      <c r="T214" s="2" t="str">
        <f>IFERROR(IF(ISBLANK(S214),"",INDEX([1]Gen_Vessels!$A$3:$C$500,MATCH(InspectionSite!$S214,[1]Gen_Vessels!$C$3:$C$500,0),1)),"")</f>
        <v/>
      </c>
      <c r="U214" s="2"/>
      <c r="V214" s="2"/>
      <c r="W214" s="2"/>
      <c r="X214" s="2"/>
      <c r="Y214" s="2"/>
      <c r="AB214" s="2"/>
      <c r="AC214" s="2"/>
      <c r="AD214" s="2"/>
      <c r="AE214" s="2"/>
      <c r="AF214" s="2"/>
      <c r="AG214" s="2"/>
      <c r="AH214" s="2"/>
    </row>
    <row r="215" spans="1:34" x14ac:dyDescent="0.25">
      <c r="A215" s="1" t="str">
        <f t="shared" si="3"/>
        <v/>
      </c>
      <c r="B215" s="2"/>
      <c r="C215" s="2"/>
      <c r="D215" s="2"/>
      <c r="E215" s="2"/>
      <c r="F215" s="2"/>
      <c r="G215" s="6"/>
      <c r="H215" s="2"/>
      <c r="I215" s="7"/>
      <c r="J215" s="8"/>
      <c r="Q215" s="2"/>
      <c r="R215" s="2" t="str">
        <f>IFERROR(IF(ISBLANK(Q215),"",INDEX([1]Gen_Vessels!$A$3:$C$500,MATCH(InspectionSite!$Q215,[1]Gen_Vessels!$C$3:$C$500,0),1)),"")</f>
        <v/>
      </c>
      <c r="S215" s="2"/>
      <c r="T215" s="2" t="str">
        <f>IFERROR(IF(ISBLANK(S215),"",INDEX([1]Gen_Vessels!$A$3:$C$500,MATCH(InspectionSite!$S215,[1]Gen_Vessels!$C$3:$C$500,0),1)),"")</f>
        <v/>
      </c>
      <c r="U215" s="2"/>
      <c r="V215" s="2"/>
      <c r="W215" s="2"/>
      <c r="X215" s="2"/>
      <c r="Y215" s="2"/>
      <c r="AB215" s="2"/>
      <c r="AC215" s="2"/>
      <c r="AD215" s="2"/>
      <c r="AE215" s="2"/>
      <c r="AF215" s="2"/>
      <c r="AG215" s="2"/>
      <c r="AH215" s="2"/>
    </row>
    <row r="216" spans="1:34" x14ac:dyDescent="0.25">
      <c r="A216" s="1" t="str">
        <f t="shared" si="3"/>
        <v/>
      </c>
      <c r="B216" s="2"/>
      <c r="C216" s="2"/>
      <c r="D216" s="2"/>
      <c r="E216" s="2"/>
      <c r="F216" s="2"/>
      <c r="G216" s="6"/>
      <c r="H216" s="2"/>
      <c r="I216" s="7"/>
      <c r="J216" s="8"/>
      <c r="Q216" s="2"/>
      <c r="R216" s="2" t="str">
        <f>IFERROR(IF(ISBLANK(Q216),"",INDEX([1]Gen_Vessels!$A$3:$C$500,MATCH(InspectionSite!$Q216,[1]Gen_Vessels!$C$3:$C$500,0),1)),"")</f>
        <v/>
      </c>
      <c r="S216" s="2"/>
      <c r="T216" s="2" t="str">
        <f>IFERROR(IF(ISBLANK(S216),"",INDEX([1]Gen_Vessels!$A$3:$C$500,MATCH(InspectionSite!$S216,[1]Gen_Vessels!$C$3:$C$500,0),1)),"")</f>
        <v/>
      </c>
      <c r="U216" s="2"/>
      <c r="V216" s="2"/>
      <c r="W216" s="2"/>
      <c r="X216" s="2"/>
      <c r="Y216" s="2"/>
      <c r="AB216" s="2"/>
      <c r="AC216" s="2"/>
      <c r="AD216" s="2"/>
      <c r="AE216" s="2"/>
      <c r="AF216" s="2"/>
      <c r="AG216" s="2"/>
      <c r="AH216" s="2"/>
    </row>
    <row r="217" spans="1:34" x14ac:dyDescent="0.25">
      <c r="A217" s="1" t="str">
        <f t="shared" si="3"/>
        <v/>
      </c>
      <c r="B217" s="2"/>
      <c r="C217" s="2"/>
      <c r="D217" s="2"/>
      <c r="E217" s="2"/>
      <c r="F217" s="2"/>
      <c r="G217" s="6"/>
      <c r="H217" s="2"/>
      <c r="I217" s="7"/>
      <c r="J217" s="8"/>
      <c r="Q217" s="2"/>
      <c r="R217" s="2" t="str">
        <f>IFERROR(IF(ISBLANK(Q217),"",INDEX([1]Gen_Vessels!$A$3:$C$500,MATCH(InspectionSite!$Q217,[1]Gen_Vessels!$C$3:$C$500,0),1)),"")</f>
        <v/>
      </c>
      <c r="S217" s="2"/>
      <c r="T217" s="2" t="str">
        <f>IFERROR(IF(ISBLANK(S217),"",INDEX([1]Gen_Vessels!$A$3:$C$500,MATCH(InspectionSite!$S217,[1]Gen_Vessels!$C$3:$C$500,0),1)),"")</f>
        <v/>
      </c>
      <c r="U217" s="2"/>
      <c r="V217" s="2"/>
      <c r="W217" s="2"/>
      <c r="X217" s="2"/>
      <c r="Y217" s="2"/>
      <c r="AB217" s="2"/>
      <c r="AC217" s="2"/>
      <c r="AD217" s="2"/>
      <c r="AE217" s="2"/>
      <c r="AF217" s="2"/>
      <c r="AG217" s="2"/>
      <c r="AH217" s="2"/>
    </row>
    <row r="218" spans="1:34" x14ac:dyDescent="0.25">
      <c r="A218" s="1" t="str">
        <f t="shared" si="3"/>
        <v/>
      </c>
      <c r="B218" s="2"/>
      <c r="C218" s="2"/>
      <c r="D218" s="2"/>
      <c r="E218" s="2"/>
      <c r="F218" s="2"/>
      <c r="G218" s="6"/>
      <c r="H218" s="2"/>
      <c r="I218" s="7"/>
      <c r="J218" s="8"/>
      <c r="Q218" s="2"/>
      <c r="R218" s="2" t="str">
        <f>IFERROR(IF(ISBLANK(Q218),"",INDEX([1]Gen_Vessels!$A$3:$C$500,MATCH(InspectionSite!$Q218,[1]Gen_Vessels!$C$3:$C$500,0),1)),"")</f>
        <v/>
      </c>
      <c r="S218" s="2"/>
      <c r="T218" s="2" t="str">
        <f>IFERROR(IF(ISBLANK(S218),"",INDEX([1]Gen_Vessels!$A$3:$C$500,MATCH(InspectionSite!$S218,[1]Gen_Vessels!$C$3:$C$500,0),1)),"")</f>
        <v/>
      </c>
      <c r="U218" s="2"/>
      <c r="V218" s="2"/>
      <c r="W218" s="2"/>
      <c r="X218" s="2"/>
      <c r="Y218" s="2"/>
      <c r="AB218" s="2"/>
      <c r="AC218" s="2"/>
      <c r="AD218" s="2"/>
      <c r="AE218" s="2"/>
      <c r="AF218" s="2"/>
      <c r="AG218" s="2"/>
      <c r="AH218" s="2"/>
    </row>
    <row r="219" spans="1:34" x14ac:dyDescent="0.25">
      <c r="A219" s="1" t="str">
        <f t="shared" si="3"/>
        <v/>
      </c>
      <c r="B219" s="2"/>
      <c r="C219" s="2"/>
      <c r="D219" s="2"/>
      <c r="E219" s="2"/>
      <c r="F219" s="2"/>
      <c r="G219" s="6"/>
      <c r="H219" s="2"/>
      <c r="I219" s="7"/>
      <c r="J219" s="8"/>
      <c r="Q219" s="2"/>
      <c r="R219" s="2" t="str">
        <f>IFERROR(IF(ISBLANK(Q219),"",INDEX([1]Gen_Vessels!$A$3:$C$500,MATCH(InspectionSite!$Q219,[1]Gen_Vessels!$C$3:$C$500,0),1)),"")</f>
        <v/>
      </c>
      <c r="S219" s="2"/>
      <c r="T219" s="2" t="str">
        <f>IFERROR(IF(ISBLANK(S219),"",INDEX([1]Gen_Vessels!$A$3:$C$500,MATCH(InspectionSite!$S219,[1]Gen_Vessels!$C$3:$C$500,0),1)),"")</f>
        <v/>
      </c>
      <c r="U219" s="2"/>
      <c r="V219" s="2"/>
      <c r="W219" s="2"/>
      <c r="X219" s="2"/>
      <c r="Y219" s="2"/>
      <c r="AB219" s="2"/>
      <c r="AC219" s="2"/>
      <c r="AD219" s="2"/>
      <c r="AE219" s="2"/>
      <c r="AF219" s="2"/>
      <c r="AG219" s="2"/>
      <c r="AH219" s="2"/>
    </row>
    <row r="220" spans="1:34" x14ac:dyDescent="0.25">
      <c r="A220" s="1" t="str">
        <f t="shared" si="3"/>
        <v/>
      </c>
      <c r="B220" s="2"/>
      <c r="C220" s="2"/>
      <c r="D220" s="2"/>
      <c r="E220" s="2"/>
      <c r="F220" s="2"/>
      <c r="G220" s="6"/>
      <c r="H220" s="2"/>
      <c r="I220" s="7"/>
      <c r="J220" s="8"/>
      <c r="Q220" s="2"/>
      <c r="R220" s="2" t="str">
        <f>IFERROR(IF(ISBLANK(Q220),"",INDEX([1]Gen_Vessels!$A$3:$C$500,MATCH(InspectionSite!$Q220,[1]Gen_Vessels!$C$3:$C$500,0),1)),"")</f>
        <v/>
      </c>
      <c r="S220" s="2"/>
      <c r="T220" s="2" t="str">
        <f>IFERROR(IF(ISBLANK(S220),"",INDEX([1]Gen_Vessels!$A$3:$C$500,MATCH(InspectionSite!$S220,[1]Gen_Vessels!$C$3:$C$500,0),1)),"")</f>
        <v/>
      </c>
      <c r="U220" s="2"/>
      <c r="V220" s="2"/>
      <c r="W220" s="2"/>
      <c r="X220" s="2"/>
      <c r="Y220" s="2"/>
      <c r="AB220" s="2"/>
      <c r="AC220" s="2"/>
      <c r="AD220" s="2"/>
      <c r="AE220" s="2"/>
      <c r="AF220" s="2"/>
      <c r="AG220" s="2"/>
      <c r="AH220" s="2"/>
    </row>
    <row r="221" spans="1:34" x14ac:dyDescent="0.25">
      <c r="A221" s="1" t="str">
        <f t="shared" si="3"/>
        <v/>
      </c>
      <c r="B221" s="2"/>
      <c r="C221" s="2"/>
      <c r="D221" s="2"/>
      <c r="E221" s="2"/>
      <c r="F221" s="2"/>
      <c r="G221" s="6"/>
      <c r="H221" s="2"/>
      <c r="I221" s="7"/>
      <c r="J221" s="8"/>
      <c r="Q221" s="2"/>
      <c r="R221" s="2" t="str">
        <f>IFERROR(IF(ISBLANK(Q221),"",INDEX([1]Gen_Vessels!$A$3:$C$500,MATCH(InspectionSite!$Q221,[1]Gen_Vessels!$C$3:$C$500,0),1)),"")</f>
        <v/>
      </c>
      <c r="S221" s="2"/>
      <c r="T221" s="2" t="str">
        <f>IFERROR(IF(ISBLANK(S221),"",INDEX([1]Gen_Vessels!$A$3:$C$500,MATCH(InspectionSite!$S221,[1]Gen_Vessels!$C$3:$C$500,0),1)),"")</f>
        <v/>
      </c>
      <c r="U221" s="2"/>
      <c r="V221" s="2"/>
      <c r="W221" s="2"/>
      <c r="X221" s="2"/>
      <c r="Y221" s="2"/>
      <c r="AB221" s="2"/>
      <c r="AC221" s="2"/>
      <c r="AD221" s="2"/>
      <c r="AE221" s="2"/>
      <c r="AF221" s="2"/>
      <c r="AG221" s="2"/>
      <c r="AH221" s="2"/>
    </row>
    <row r="222" spans="1:34" x14ac:dyDescent="0.25">
      <c r="A222" s="1" t="str">
        <f t="shared" si="3"/>
        <v/>
      </c>
      <c r="B222" s="2"/>
      <c r="C222" s="2"/>
      <c r="D222" s="2"/>
      <c r="E222" s="2"/>
      <c r="F222" s="2"/>
      <c r="G222" s="6"/>
      <c r="H222" s="2"/>
      <c r="I222" s="7"/>
      <c r="J222" s="8"/>
      <c r="Q222" s="2"/>
      <c r="R222" s="2" t="str">
        <f>IFERROR(IF(ISBLANK(Q222),"",INDEX([1]Gen_Vessels!$A$3:$C$500,MATCH(InspectionSite!$Q222,[1]Gen_Vessels!$C$3:$C$500,0),1)),"")</f>
        <v/>
      </c>
      <c r="S222" s="2"/>
      <c r="T222" s="2" t="str">
        <f>IFERROR(IF(ISBLANK(S222),"",INDEX([1]Gen_Vessels!$A$3:$C$500,MATCH(InspectionSite!$S222,[1]Gen_Vessels!$C$3:$C$500,0),1)),"")</f>
        <v/>
      </c>
      <c r="U222" s="2"/>
      <c r="V222" s="2"/>
      <c r="W222" s="2"/>
      <c r="X222" s="2"/>
      <c r="Y222" s="2"/>
      <c r="AB222" s="2"/>
      <c r="AC222" s="2"/>
      <c r="AD222" s="2"/>
      <c r="AE222" s="2"/>
      <c r="AF222" s="2"/>
      <c r="AG222" s="2"/>
      <c r="AH222" s="2"/>
    </row>
    <row r="223" spans="1:34" x14ac:dyDescent="0.25">
      <c r="A223" s="1" t="str">
        <f t="shared" si="3"/>
        <v/>
      </c>
      <c r="B223" s="2"/>
      <c r="C223" s="2"/>
      <c r="D223" s="2"/>
      <c r="E223" s="2"/>
      <c r="F223" s="2"/>
      <c r="G223" s="6"/>
      <c r="H223" s="2"/>
      <c r="I223" s="7"/>
      <c r="J223" s="8"/>
      <c r="Q223" s="2"/>
      <c r="R223" s="2" t="str">
        <f>IFERROR(IF(ISBLANK(Q223),"",INDEX([1]Gen_Vessels!$A$3:$C$500,MATCH(InspectionSite!$Q223,[1]Gen_Vessels!$C$3:$C$500,0),1)),"")</f>
        <v/>
      </c>
      <c r="S223" s="2"/>
      <c r="T223" s="2" t="str">
        <f>IFERROR(IF(ISBLANK(S223),"",INDEX([1]Gen_Vessels!$A$3:$C$500,MATCH(InspectionSite!$S223,[1]Gen_Vessels!$C$3:$C$500,0),1)),"")</f>
        <v/>
      </c>
      <c r="U223" s="2"/>
      <c r="V223" s="2"/>
      <c r="W223" s="2"/>
      <c r="X223" s="2"/>
      <c r="Y223" s="2"/>
      <c r="AB223" s="2"/>
      <c r="AC223" s="2"/>
      <c r="AD223" s="2"/>
      <c r="AE223" s="2"/>
      <c r="AF223" s="2"/>
      <c r="AG223" s="2"/>
      <c r="AH223" s="2"/>
    </row>
    <row r="224" spans="1:34" x14ac:dyDescent="0.25">
      <c r="A224" s="1" t="str">
        <f t="shared" si="3"/>
        <v/>
      </c>
      <c r="B224" s="2"/>
      <c r="C224" s="2"/>
      <c r="D224" s="2"/>
      <c r="E224" s="2"/>
      <c r="F224" s="2"/>
      <c r="G224" s="6"/>
      <c r="H224" s="2"/>
      <c r="I224" s="7"/>
      <c r="J224" s="8"/>
      <c r="Q224" s="2"/>
      <c r="R224" s="2" t="str">
        <f>IFERROR(IF(ISBLANK(Q224),"",INDEX([1]Gen_Vessels!$A$3:$C$500,MATCH(InspectionSite!$Q224,[1]Gen_Vessels!$C$3:$C$500,0),1)),"")</f>
        <v/>
      </c>
      <c r="S224" s="2"/>
      <c r="T224" s="2" t="str">
        <f>IFERROR(IF(ISBLANK(S224),"",INDEX([1]Gen_Vessels!$A$3:$C$500,MATCH(InspectionSite!$S224,[1]Gen_Vessels!$C$3:$C$500,0),1)),"")</f>
        <v/>
      </c>
      <c r="U224" s="2"/>
      <c r="V224" s="2"/>
      <c r="W224" s="2"/>
      <c r="X224" s="2"/>
      <c r="Y224" s="2"/>
      <c r="AB224" s="2"/>
      <c r="AC224" s="2"/>
      <c r="AD224" s="2"/>
      <c r="AE224" s="2"/>
      <c r="AF224" s="2"/>
      <c r="AG224" s="2"/>
      <c r="AH224" s="2"/>
    </row>
    <row r="225" spans="1:34" x14ac:dyDescent="0.25">
      <c r="A225" s="1" t="str">
        <f t="shared" si="3"/>
        <v/>
      </c>
      <c r="B225" s="2"/>
      <c r="C225" s="2"/>
      <c r="D225" s="2"/>
      <c r="E225" s="2"/>
      <c r="F225" s="2"/>
      <c r="G225" s="6"/>
      <c r="H225" s="2"/>
      <c r="I225" s="7"/>
      <c r="J225" s="8"/>
      <c r="Q225" s="2"/>
      <c r="R225" s="2" t="str">
        <f>IFERROR(IF(ISBLANK(Q225),"",INDEX([1]Gen_Vessels!$A$3:$C$500,MATCH(InspectionSite!$Q225,[1]Gen_Vessels!$C$3:$C$500,0),1)),"")</f>
        <v/>
      </c>
      <c r="S225" s="2"/>
      <c r="T225" s="2" t="str">
        <f>IFERROR(IF(ISBLANK(S225),"",INDEX([1]Gen_Vessels!$A$3:$C$500,MATCH(InspectionSite!$S225,[1]Gen_Vessels!$C$3:$C$500,0),1)),"")</f>
        <v/>
      </c>
      <c r="U225" s="2"/>
      <c r="V225" s="2"/>
      <c r="W225" s="2"/>
      <c r="X225" s="2"/>
      <c r="Y225" s="2"/>
      <c r="AB225" s="2"/>
      <c r="AC225" s="2"/>
      <c r="AD225" s="2"/>
      <c r="AE225" s="2"/>
      <c r="AF225" s="2"/>
      <c r="AG225" s="2"/>
      <c r="AH225" s="2"/>
    </row>
    <row r="226" spans="1:34" x14ac:dyDescent="0.25">
      <c r="A226" s="1" t="str">
        <f t="shared" si="3"/>
        <v/>
      </c>
      <c r="B226" s="2"/>
      <c r="C226" s="2"/>
      <c r="D226" s="2"/>
      <c r="E226" s="2"/>
      <c r="F226" s="2"/>
      <c r="G226" s="6"/>
      <c r="H226" s="2"/>
      <c r="I226" s="7"/>
      <c r="J226" s="8"/>
      <c r="Q226" s="2"/>
      <c r="R226" s="2" t="str">
        <f>IFERROR(IF(ISBLANK(Q226),"",INDEX([1]Gen_Vessels!$A$3:$C$500,MATCH(InspectionSite!$Q226,[1]Gen_Vessels!$C$3:$C$500,0),1)),"")</f>
        <v/>
      </c>
      <c r="S226" s="2"/>
      <c r="T226" s="2" t="str">
        <f>IFERROR(IF(ISBLANK(S226),"",INDEX([1]Gen_Vessels!$A$3:$C$500,MATCH(InspectionSite!$S226,[1]Gen_Vessels!$C$3:$C$500,0),1)),"")</f>
        <v/>
      </c>
      <c r="U226" s="2"/>
      <c r="V226" s="2"/>
      <c r="W226" s="2"/>
      <c r="X226" s="2"/>
      <c r="Y226" s="2"/>
      <c r="AB226" s="2"/>
      <c r="AC226" s="2"/>
      <c r="AD226" s="2"/>
      <c r="AE226" s="2"/>
      <c r="AF226" s="2"/>
      <c r="AG226" s="2"/>
      <c r="AH226" s="2"/>
    </row>
    <row r="227" spans="1:34" x14ac:dyDescent="0.25">
      <c r="A227" s="1" t="str">
        <f t="shared" si="3"/>
        <v/>
      </c>
      <c r="B227" s="2"/>
      <c r="C227" s="2"/>
      <c r="D227" s="2"/>
      <c r="E227" s="2"/>
      <c r="F227" s="2"/>
      <c r="G227" s="6"/>
      <c r="H227" s="2"/>
      <c r="I227" s="7"/>
      <c r="J227" s="8"/>
      <c r="Q227" s="2"/>
      <c r="R227" s="2" t="str">
        <f>IFERROR(IF(ISBLANK(Q227),"",INDEX([1]Gen_Vessels!$A$3:$C$500,MATCH(InspectionSite!$Q227,[1]Gen_Vessels!$C$3:$C$500,0),1)),"")</f>
        <v/>
      </c>
      <c r="S227" s="2"/>
      <c r="T227" s="2" t="str">
        <f>IFERROR(IF(ISBLANK(S227),"",INDEX([1]Gen_Vessels!$A$3:$C$500,MATCH(InspectionSite!$S227,[1]Gen_Vessels!$C$3:$C$500,0),1)),"")</f>
        <v/>
      </c>
      <c r="U227" s="2"/>
      <c r="V227" s="2"/>
      <c r="W227" s="2"/>
      <c r="X227" s="2"/>
      <c r="Y227" s="2"/>
      <c r="AB227" s="2"/>
      <c r="AC227" s="2"/>
      <c r="AD227" s="2"/>
      <c r="AE227" s="2"/>
      <c r="AF227" s="2"/>
      <c r="AG227" s="2"/>
      <c r="AH227" s="2"/>
    </row>
    <row r="228" spans="1:34" x14ac:dyDescent="0.25">
      <c r="A228" s="1" t="str">
        <f t="shared" si="3"/>
        <v/>
      </c>
      <c r="B228" s="2"/>
      <c r="C228" s="2"/>
      <c r="D228" s="2"/>
      <c r="E228" s="2"/>
      <c r="F228" s="2"/>
      <c r="G228" s="6"/>
      <c r="H228" s="2"/>
      <c r="I228" s="7"/>
      <c r="J228" s="8"/>
      <c r="Q228" s="2"/>
      <c r="R228" s="2" t="str">
        <f>IFERROR(IF(ISBLANK(Q228),"",INDEX([1]Gen_Vessels!$A$3:$C$500,MATCH(InspectionSite!$Q228,[1]Gen_Vessels!$C$3:$C$500,0),1)),"")</f>
        <v/>
      </c>
      <c r="S228" s="2"/>
      <c r="T228" s="2" t="str">
        <f>IFERROR(IF(ISBLANK(S228),"",INDEX([1]Gen_Vessels!$A$3:$C$500,MATCH(InspectionSite!$S228,[1]Gen_Vessels!$C$3:$C$500,0),1)),"")</f>
        <v/>
      </c>
      <c r="U228" s="2"/>
      <c r="V228" s="2"/>
      <c r="W228" s="2"/>
      <c r="X228" s="2"/>
      <c r="Y228" s="2"/>
      <c r="AB228" s="2"/>
      <c r="AC228" s="2"/>
      <c r="AD228" s="2"/>
      <c r="AE228" s="2"/>
      <c r="AF228" s="2"/>
      <c r="AG228" s="2"/>
      <c r="AH228" s="2"/>
    </row>
    <row r="229" spans="1:34" x14ac:dyDescent="0.25">
      <c r="A229" s="1" t="str">
        <f t="shared" si="3"/>
        <v/>
      </c>
      <c r="B229" s="2"/>
      <c r="C229" s="2"/>
      <c r="D229" s="2"/>
      <c r="E229" s="2"/>
      <c r="F229" s="2"/>
      <c r="G229" s="6"/>
      <c r="H229" s="2"/>
      <c r="I229" s="7"/>
      <c r="J229" s="8"/>
      <c r="Q229" s="2"/>
      <c r="R229" s="2" t="str">
        <f>IFERROR(IF(ISBLANK(Q229),"",INDEX([1]Gen_Vessels!$A$3:$C$500,MATCH(InspectionSite!$Q229,[1]Gen_Vessels!$C$3:$C$500,0),1)),"")</f>
        <v/>
      </c>
      <c r="S229" s="2"/>
      <c r="T229" s="2" t="str">
        <f>IFERROR(IF(ISBLANK(S229),"",INDEX([1]Gen_Vessels!$A$3:$C$500,MATCH(InspectionSite!$S229,[1]Gen_Vessels!$C$3:$C$500,0),1)),"")</f>
        <v/>
      </c>
      <c r="U229" s="2"/>
      <c r="V229" s="2"/>
      <c r="W229" s="2"/>
      <c r="X229" s="2"/>
      <c r="Y229" s="2"/>
      <c r="AB229" s="2"/>
      <c r="AC229" s="2"/>
      <c r="AD229" s="2"/>
      <c r="AE229" s="2"/>
      <c r="AF229" s="2"/>
      <c r="AG229" s="2"/>
      <c r="AH229" s="2"/>
    </row>
    <row r="230" spans="1:34" x14ac:dyDescent="0.25">
      <c r="A230" s="1" t="str">
        <f t="shared" si="3"/>
        <v/>
      </c>
      <c r="B230" s="2"/>
      <c r="C230" s="2"/>
      <c r="D230" s="2"/>
      <c r="E230" s="2"/>
      <c r="F230" s="2"/>
      <c r="G230" s="6"/>
      <c r="H230" s="2"/>
      <c r="I230" s="7"/>
      <c r="J230" s="8"/>
      <c r="Q230" s="2"/>
      <c r="R230" s="2" t="str">
        <f>IFERROR(IF(ISBLANK(Q230),"",INDEX([1]Gen_Vessels!$A$3:$C$500,MATCH(InspectionSite!$Q230,[1]Gen_Vessels!$C$3:$C$500,0),1)),"")</f>
        <v/>
      </c>
      <c r="S230" s="2"/>
      <c r="T230" s="2" t="str">
        <f>IFERROR(IF(ISBLANK(S230),"",INDEX([1]Gen_Vessels!$A$3:$C$500,MATCH(InspectionSite!$S230,[1]Gen_Vessels!$C$3:$C$500,0),1)),"")</f>
        <v/>
      </c>
      <c r="U230" s="2"/>
      <c r="V230" s="2"/>
      <c r="W230" s="2"/>
      <c r="X230" s="2"/>
      <c r="Y230" s="2"/>
      <c r="AB230" s="2"/>
      <c r="AC230" s="2"/>
      <c r="AD230" s="2"/>
      <c r="AE230" s="2"/>
      <c r="AF230" s="2"/>
      <c r="AG230" s="2"/>
      <c r="AH230" s="2"/>
    </row>
    <row r="231" spans="1:34" x14ac:dyDescent="0.25">
      <c r="A231" s="1" t="str">
        <f t="shared" si="3"/>
        <v/>
      </c>
      <c r="B231" s="2"/>
      <c r="C231" s="2"/>
      <c r="D231" s="2"/>
      <c r="E231" s="2"/>
      <c r="F231" s="2"/>
      <c r="G231" s="6"/>
      <c r="H231" s="2"/>
      <c r="I231" s="7"/>
      <c r="J231" s="8"/>
      <c r="Q231" s="2"/>
      <c r="R231" s="2" t="str">
        <f>IFERROR(IF(ISBLANK(Q231),"",INDEX([1]Gen_Vessels!$A$3:$C$500,MATCH(InspectionSite!$Q231,[1]Gen_Vessels!$C$3:$C$500,0),1)),"")</f>
        <v/>
      </c>
      <c r="S231" s="2"/>
      <c r="T231" s="2" t="str">
        <f>IFERROR(IF(ISBLANK(S231),"",INDEX([1]Gen_Vessels!$A$3:$C$500,MATCH(InspectionSite!$S231,[1]Gen_Vessels!$C$3:$C$500,0),1)),"")</f>
        <v/>
      </c>
      <c r="U231" s="2"/>
      <c r="V231" s="2"/>
      <c r="W231" s="2"/>
      <c r="X231" s="2"/>
      <c r="Y231" s="2"/>
      <c r="AB231" s="2"/>
      <c r="AC231" s="2"/>
      <c r="AD231" s="2"/>
      <c r="AE231" s="2"/>
      <c r="AF231" s="2"/>
      <c r="AG231" s="2"/>
      <c r="AH231" s="2"/>
    </row>
    <row r="232" spans="1:34" x14ac:dyDescent="0.25">
      <c r="A232" s="1" t="str">
        <f t="shared" si="3"/>
        <v/>
      </c>
      <c r="B232" s="2"/>
      <c r="C232" s="2"/>
      <c r="D232" s="2"/>
      <c r="E232" s="2"/>
      <c r="F232" s="2"/>
      <c r="G232" s="6"/>
      <c r="H232" s="2"/>
      <c r="I232" s="7"/>
      <c r="J232" s="8"/>
      <c r="Q232" s="2"/>
      <c r="R232" s="2" t="str">
        <f>IFERROR(IF(ISBLANK(Q232),"",INDEX([1]Gen_Vessels!$A$3:$C$500,MATCH(InspectionSite!$Q232,[1]Gen_Vessels!$C$3:$C$500,0),1)),"")</f>
        <v/>
      </c>
      <c r="S232" s="2"/>
      <c r="T232" s="2" t="str">
        <f>IFERROR(IF(ISBLANK(S232),"",INDEX([1]Gen_Vessels!$A$3:$C$500,MATCH(InspectionSite!$S232,[1]Gen_Vessels!$C$3:$C$500,0),1)),"")</f>
        <v/>
      </c>
      <c r="U232" s="2"/>
      <c r="V232" s="2"/>
      <c r="W232" s="2"/>
      <c r="X232" s="2"/>
      <c r="Y232" s="2"/>
      <c r="AB232" s="2"/>
      <c r="AC232" s="2"/>
      <c r="AD232" s="2"/>
      <c r="AE232" s="2"/>
      <c r="AF232" s="2"/>
      <c r="AG232" s="2"/>
      <c r="AH232" s="2"/>
    </row>
    <row r="233" spans="1:34" x14ac:dyDescent="0.25">
      <c r="A233" s="1" t="str">
        <f t="shared" si="3"/>
        <v/>
      </c>
      <c r="B233" s="2"/>
      <c r="C233" s="2"/>
      <c r="D233" s="2"/>
      <c r="E233" s="2"/>
      <c r="F233" s="2"/>
      <c r="G233" s="6"/>
      <c r="H233" s="2"/>
      <c r="I233" s="7"/>
      <c r="J233" s="8"/>
      <c r="Q233" s="2"/>
      <c r="R233" s="2" t="str">
        <f>IFERROR(IF(ISBLANK(Q233),"",INDEX([1]Gen_Vessels!$A$3:$C$500,MATCH(InspectionSite!$Q233,[1]Gen_Vessels!$C$3:$C$500,0),1)),"")</f>
        <v/>
      </c>
      <c r="S233" s="2"/>
      <c r="T233" s="2" t="str">
        <f>IFERROR(IF(ISBLANK(S233),"",INDEX([1]Gen_Vessels!$A$3:$C$500,MATCH(InspectionSite!$S233,[1]Gen_Vessels!$C$3:$C$500,0),1)),"")</f>
        <v/>
      </c>
      <c r="U233" s="2"/>
      <c r="V233" s="2"/>
      <c r="W233" s="2"/>
      <c r="X233" s="2"/>
      <c r="Y233" s="2"/>
      <c r="AB233" s="2"/>
      <c r="AC233" s="2"/>
      <c r="AD233" s="2"/>
      <c r="AE233" s="2"/>
      <c r="AF233" s="2"/>
      <c r="AG233" s="2"/>
      <c r="AH233" s="2"/>
    </row>
    <row r="234" spans="1:34" x14ac:dyDescent="0.25">
      <c r="A234" s="1" t="str">
        <f t="shared" si="3"/>
        <v/>
      </c>
      <c r="B234" s="2"/>
      <c r="C234" s="2"/>
      <c r="D234" s="2"/>
      <c r="E234" s="2"/>
      <c r="F234" s="2"/>
      <c r="G234" s="6"/>
      <c r="H234" s="2"/>
      <c r="I234" s="7"/>
      <c r="J234" s="8"/>
      <c r="Q234" s="2"/>
      <c r="R234" s="2" t="str">
        <f>IFERROR(IF(ISBLANK(Q234),"",INDEX([1]Gen_Vessels!$A$3:$C$500,MATCH(InspectionSite!$Q234,[1]Gen_Vessels!$C$3:$C$500,0),1)),"")</f>
        <v/>
      </c>
      <c r="S234" s="2"/>
      <c r="T234" s="2" t="str">
        <f>IFERROR(IF(ISBLANK(S234),"",INDEX([1]Gen_Vessels!$A$3:$C$500,MATCH(InspectionSite!$S234,[1]Gen_Vessels!$C$3:$C$500,0),1)),"")</f>
        <v/>
      </c>
      <c r="U234" s="2"/>
      <c r="V234" s="2"/>
      <c r="W234" s="2"/>
      <c r="X234" s="2"/>
      <c r="Y234" s="2"/>
      <c r="AB234" s="2"/>
      <c r="AC234" s="2"/>
      <c r="AD234" s="2"/>
      <c r="AE234" s="2"/>
      <c r="AF234" s="2"/>
      <c r="AG234" s="2"/>
      <c r="AH234" s="2"/>
    </row>
    <row r="235" spans="1:34" x14ac:dyDescent="0.25">
      <c r="A235" s="1" t="str">
        <f t="shared" si="3"/>
        <v/>
      </c>
      <c r="B235" s="2"/>
      <c r="C235" s="2"/>
      <c r="D235" s="2"/>
      <c r="E235" s="2"/>
      <c r="F235" s="2"/>
      <c r="G235" s="6"/>
      <c r="H235" s="2"/>
      <c r="I235" s="7"/>
      <c r="J235" s="8"/>
      <c r="Q235" s="2"/>
      <c r="R235" s="2" t="str">
        <f>IFERROR(IF(ISBLANK(Q235),"",INDEX([1]Gen_Vessels!$A$3:$C$500,MATCH(InspectionSite!$Q235,[1]Gen_Vessels!$C$3:$C$500,0),1)),"")</f>
        <v/>
      </c>
      <c r="S235" s="2"/>
      <c r="T235" s="2" t="str">
        <f>IFERROR(IF(ISBLANK(S235),"",INDEX([1]Gen_Vessels!$A$3:$C$500,MATCH(InspectionSite!$S235,[1]Gen_Vessels!$C$3:$C$500,0),1)),"")</f>
        <v/>
      </c>
      <c r="U235" s="2"/>
      <c r="V235" s="2"/>
      <c r="W235" s="2"/>
      <c r="X235" s="2"/>
      <c r="Y235" s="2"/>
      <c r="AB235" s="2"/>
      <c r="AC235" s="2"/>
      <c r="AD235" s="2"/>
      <c r="AE235" s="2"/>
      <c r="AF235" s="2"/>
      <c r="AG235" s="2"/>
      <c r="AH235" s="2"/>
    </row>
    <row r="236" spans="1:34" x14ac:dyDescent="0.25">
      <c r="A236" s="1" t="str">
        <f t="shared" si="3"/>
        <v/>
      </c>
      <c r="B236" s="2"/>
      <c r="C236" s="2"/>
      <c r="D236" s="2"/>
      <c r="E236" s="2"/>
      <c r="F236" s="2"/>
      <c r="G236" s="6"/>
      <c r="H236" s="2"/>
      <c r="I236" s="7"/>
      <c r="J236" s="8"/>
      <c r="Q236" s="2"/>
      <c r="R236" s="2" t="str">
        <f>IFERROR(IF(ISBLANK(Q236),"",INDEX([1]Gen_Vessels!$A$3:$C$500,MATCH(InspectionSite!$Q236,[1]Gen_Vessels!$C$3:$C$500,0),1)),"")</f>
        <v/>
      </c>
      <c r="S236" s="2"/>
      <c r="T236" s="2" t="str">
        <f>IFERROR(IF(ISBLANK(S236),"",INDEX([1]Gen_Vessels!$A$3:$C$500,MATCH(InspectionSite!$S236,[1]Gen_Vessels!$C$3:$C$500,0),1)),"")</f>
        <v/>
      </c>
      <c r="U236" s="2"/>
      <c r="V236" s="2"/>
      <c r="W236" s="2"/>
      <c r="X236" s="2"/>
      <c r="Y236" s="2"/>
      <c r="AB236" s="2"/>
      <c r="AC236" s="2"/>
      <c r="AD236" s="2"/>
      <c r="AE236" s="2"/>
      <c r="AF236" s="2"/>
      <c r="AG236" s="2"/>
      <c r="AH236" s="2"/>
    </row>
    <row r="237" spans="1:34" x14ac:dyDescent="0.25">
      <c r="A237" s="1" t="str">
        <f t="shared" si="3"/>
        <v/>
      </c>
      <c r="B237" s="2"/>
      <c r="C237" s="2"/>
      <c r="D237" s="2"/>
      <c r="E237" s="2"/>
      <c r="F237" s="2"/>
      <c r="G237" s="6"/>
      <c r="H237" s="2"/>
      <c r="I237" s="7"/>
      <c r="J237" s="8"/>
      <c r="Q237" s="2"/>
      <c r="R237" s="2" t="str">
        <f>IFERROR(IF(ISBLANK(Q237),"",INDEX([1]Gen_Vessels!$A$3:$C$500,MATCH(InspectionSite!$Q237,[1]Gen_Vessels!$C$3:$C$500,0),1)),"")</f>
        <v/>
      </c>
      <c r="S237" s="2"/>
      <c r="T237" s="2" t="str">
        <f>IFERROR(IF(ISBLANK(S237),"",INDEX([1]Gen_Vessels!$A$3:$C$500,MATCH(InspectionSite!$S237,[1]Gen_Vessels!$C$3:$C$500,0),1)),"")</f>
        <v/>
      </c>
      <c r="U237" s="2"/>
      <c r="V237" s="2"/>
      <c r="W237" s="2"/>
      <c r="X237" s="2"/>
      <c r="Y237" s="2"/>
      <c r="AB237" s="2"/>
      <c r="AC237" s="2"/>
      <c r="AD237" s="2"/>
      <c r="AE237" s="2"/>
      <c r="AF237" s="2"/>
      <c r="AG237" s="2"/>
      <c r="AH237" s="2"/>
    </row>
    <row r="238" spans="1:34" x14ac:dyDescent="0.25">
      <c r="A238" s="1" t="str">
        <f t="shared" si="3"/>
        <v/>
      </c>
      <c r="B238" s="2"/>
      <c r="C238" s="2"/>
      <c r="D238" s="2"/>
      <c r="E238" s="2"/>
      <c r="F238" s="2"/>
      <c r="G238" s="6"/>
      <c r="H238" s="2"/>
      <c r="I238" s="7"/>
      <c r="J238" s="8"/>
      <c r="Q238" s="2"/>
      <c r="R238" s="2" t="str">
        <f>IFERROR(IF(ISBLANK(Q238),"",INDEX([1]Gen_Vessels!$A$3:$C$500,MATCH(InspectionSite!$Q238,[1]Gen_Vessels!$C$3:$C$500,0),1)),"")</f>
        <v/>
      </c>
      <c r="S238" s="2"/>
      <c r="T238" s="2" t="str">
        <f>IFERROR(IF(ISBLANK(S238),"",INDEX([1]Gen_Vessels!$A$3:$C$500,MATCH(InspectionSite!$S238,[1]Gen_Vessels!$C$3:$C$500,0),1)),"")</f>
        <v/>
      </c>
      <c r="U238" s="2"/>
      <c r="V238" s="2"/>
      <c r="W238" s="2"/>
      <c r="X238" s="2"/>
      <c r="Y238" s="2"/>
      <c r="AB238" s="2"/>
      <c r="AC238" s="2"/>
      <c r="AD238" s="2"/>
      <c r="AE238" s="2"/>
      <c r="AF238" s="2"/>
      <c r="AG238" s="2"/>
      <c r="AH238" s="2"/>
    </row>
    <row r="239" spans="1:34" x14ac:dyDescent="0.25">
      <c r="A239" s="1" t="str">
        <f t="shared" si="3"/>
        <v/>
      </c>
      <c r="B239" s="2"/>
      <c r="C239" s="2"/>
      <c r="D239" s="2"/>
      <c r="E239" s="2"/>
      <c r="F239" s="2"/>
      <c r="G239" s="6"/>
      <c r="H239" s="2"/>
      <c r="I239" s="7"/>
      <c r="J239" s="8"/>
      <c r="Q239" s="2"/>
      <c r="R239" s="2" t="str">
        <f>IFERROR(IF(ISBLANK(Q239),"",INDEX([1]Gen_Vessels!$A$3:$C$500,MATCH(InspectionSite!$Q239,[1]Gen_Vessels!$C$3:$C$500,0),1)),"")</f>
        <v/>
      </c>
      <c r="S239" s="2"/>
      <c r="T239" s="2" t="str">
        <f>IFERROR(IF(ISBLANK(S239),"",INDEX([1]Gen_Vessels!$A$3:$C$500,MATCH(InspectionSite!$S239,[1]Gen_Vessels!$C$3:$C$500,0),1)),"")</f>
        <v/>
      </c>
      <c r="U239" s="2"/>
      <c r="V239" s="2"/>
      <c r="W239" s="2"/>
      <c r="X239" s="2"/>
      <c r="Y239" s="2"/>
      <c r="AB239" s="2"/>
      <c r="AC239" s="2"/>
      <c r="AD239" s="2"/>
      <c r="AE239" s="2"/>
      <c r="AF239" s="2"/>
      <c r="AG239" s="2"/>
      <c r="AH239" s="2"/>
    </row>
    <row r="240" spans="1:34" x14ac:dyDescent="0.25">
      <c r="A240" s="1" t="str">
        <f t="shared" si="3"/>
        <v/>
      </c>
      <c r="B240" s="2"/>
      <c r="C240" s="2"/>
      <c r="D240" s="2"/>
      <c r="E240" s="2"/>
      <c r="F240" s="2"/>
      <c r="G240" s="6"/>
      <c r="H240" s="2"/>
      <c r="I240" s="7"/>
      <c r="J240" s="8"/>
      <c r="Q240" s="2"/>
      <c r="R240" s="2" t="str">
        <f>IFERROR(IF(ISBLANK(Q240),"",INDEX([1]Gen_Vessels!$A$3:$C$500,MATCH(InspectionSite!$Q240,[1]Gen_Vessels!$C$3:$C$500,0),1)),"")</f>
        <v/>
      </c>
      <c r="S240" s="2"/>
      <c r="T240" s="2" t="str">
        <f>IFERROR(IF(ISBLANK(S240),"",INDEX([1]Gen_Vessels!$A$3:$C$500,MATCH(InspectionSite!$S240,[1]Gen_Vessels!$C$3:$C$500,0),1)),"")</f>
        <v/>
      </c>
      <c r="U240" s="2"/>
      <c r="V240" s="2"/>
      <c r="W240" s="2"/>
      <c r="X240" s="2"/>
      <c r="Y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1" t="str">
        <f t="shared" si="3"/>
        <v/>
      </c>
      <c r="B241" s="2"/>
      <c r="C241" s="2"/>
      <c r="D241" s="2"/>
      <c r="E241" s="2"/>
      <c r="F241" s="2"/>
      <c r="G241" s="6"/>
      <c r="H241" s="2"/>
      <c r="I241" s="7"/>
      <c r="J241" s="8"/>
      <c r="Q241" s="2"/>
      <c r="R241" s="2" t="str">
        <f>IFERROR(IF(ISBLANK(Q241),"",INDEX([1]Gen_Vessels!$A$3:$C$500,MATCH(InspectionSite!$Q241,[1]Gen_Vessels!$C$3:$C$500,0),1)),"")</f>
        <v/>
      </c>
      <c r="S241" s="2"/>
      <c r="T241" s="2" t="str">
        <f>IFERROR(IF(ISBLANK(S241),"",INDEX([1]Gen_Vessels!$A$3:$C$500,MATCH(InspectionSite!$S241,[1]Gen_Vessels!$C$3:$C$500,0),1)),"")</f>
        <v/>
      </c>
      <c r="U241" s="2"/>
      <c r="V241" s="2"/>
      <c r="W241" s="2"/>
      <c r="X241" s="2"/>
      <c r="Y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1" t="str">
        <f t="shared" si="3"/>
        <v/>
      </c>
      <c r="B242" s="2"/>
      <c r="C242" s="2"/>
      <c r="D242" s="2"/>
      <c r="E242" s="2"/>
      <c r="F242" s="2"/>
      <c r="G242" s="6"/>
      <c r="H242" s="2"/>
      <c r="I242" s="7"/>
      <c r="J242" s="8"/>
      <c r="Q242" s="2"/>
      <c r="R242" s="2" t="str">
        <f>IFERROR(IF(ISBLANK(Q242),"",INDEX([1]Gen_Vessels!$A$3:$C$500,MATCH(InspectionSite!$Q242,[1]Gen_Vessels!$C$3:$C$500,0),1)),"")</f>
        <v/>
      </c>
      <c r="S242" s="2"/>
      <c r="T242" s="2" t="str">
        <f>IFERROR(IF(ISBLANK(S242),"",INDEX([1]Gen_Vessels!$A$3:$C$500,MATCH(InspectionSite!$S242,[1]Gen_Vessels!$C$3:$C$500,0),1)),"")</f>
        <v/>
      </c>
      <c r="U242" s="2"/>
      <c r="V242" s="2"/>
      <c r="W242" s="2"/>
      <c r="X242" s="2"/>
      <c r="Y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1" t="str">
        <f t="shared" si="3"/>
        <v/>
      </c>
      <c r="B243" s="2"/>
      <c r="C243" s="2"/>
      <c r="D243" s="2"/>
      <c r="E243" s="2"/>
      <c r="F243" s="2"/>
      <c r="G243" s="6"/>
      <c r="H243" s="2"/>
      <c r="I243" s="7"/>
      <c r="J243" s="8"/>
      <c r="Q243" s="2"/>
      <c r="R243" s="2" t="str">
        <f>IFERROR(IF(ISBLANK(Q243),"",INDEX([1]Gen_Vessels!$A$3:$C$500,MATCH(InspectionSite!$Q243,[1]Gen_Vessels!$C$3:$C$500,0),1)),"")</f>
        <v/>
      </c>
      <c r="S243" s="2"/>
      <c r="T243" s="2" t="str">
        <f>IFERROR(IF(ISBLANK(S243),"",INDEX([1]Gen_Vessels!$A$3:$C$500,MATCH(InspectionSite!$S243,[1]Gen_Vessels!$C$3:$C$500,0),1)),"")</f>
        <v/>
      </c>
      <c r="U243" s="2"/>
      <c r="V243" s="2"/>
      <c r="W243" s="2"/>
      <c r="X243" s="2"/>
      <c r="Y243" s="2"/>
      <c r="AB243" s="2"/>
      <c r="AC243" s="2"/>
      <c r="AD243" s="2"/>
      <c r="AE243" s="2"/>
      <c r="AF243" s="2"/>
      <c r="AG243" s="2"/>
      <c r="AH243" s="2"/>
    </row>
    <row r="244" spans="1:34" x14ac:dyDescent="0.25">
      <c r="A244" s="1" t="str">
        <f t="shared" si="3"/>
        <v/>
      </c>
      <c r="B244" s="2"/>
      <c r="C244" s="2"/>
      <c r="D244" s="2"/>
      <c r="E244" s="2"/>
      <c r="F244" s="2"/>
      <c r="G244" s="6"/>
      <c r="H244" s="2"/>
      <c r="I244" s="7"/>
      <c r="J244" s="8"/>
      <c r="Q244" s="2"/>
      <c r="R244" s="2" t="str">
        <f>IFERROR(IF(ISBLANK(Q244),"",INDEX([1]Gen_Vessels!$A$3:$C$500,MATCH(InspectionSite!$Q244,[1]Gen_Vessels!$C$3:$C$500,0),1)),"")</f>
        <v/>
      </c>
      <c r="S244" s="2"/>
      <c r="T244" s="2" t="str">
        <f>IFERROR(IF(ISBLANK(S244),"",INDEX([1]Gen_Vessels!$A$3:$C$500,MATCH(InspectionSite!$S244,[1]Gen_Vessels!$C$3:$C$500,0),1)),"")</f>
        <v/>
      </c>
      <c r="U244" s="2"/>
      <c r="V244" s="2"/>
      <c r="W244" s="2"/>
      <c r="X244" s="2"/>
      <c r="Y244" s="2"/>
      <c r="AB244" s="2"/>
      <c r="AC244" s="2"/>
      <c r="AD244" s="2"/>
      <c r="AE244" s="2"/>
      <c r="AF244" s="2"/>
      <c r="AG244" s="2"/>
      <c r="AH244" s="2"/>
    </row>
    <row r="245" spans="1:34" x14ac:dyDescent="0.25">
      <c r="A245" s="1" t="str">
        <f t="shared" si="3"/>
        <v/>
      </c>
      <c r="B245" s="2"/>
      <c r="C245" s="2"/>
      <c r="D245" s="2"/>
      <c r="E245" s="2"/>
      <c r="F245" s="2"/>
      <c r="G245" s="6"/>
      <c r="H245" s="2"/>
      <c r="I245" s="7"/>
      <c r="J245" s="8"/>
      <c r="Q245" s="2"/>
      <c r="R245" s="2" t="str">
        <f>IFERROR(IF(ISBLANK(Q245),"",INDEX([1]Gen_Vessels!$A$3:$C$500,MATCH(InspectionSite!$Q245,[1]Gen_Vessels!$C$3:$C$500,0),1)),"")</f>
        <v/>
      </c>
      <c r="S245" s="2"/>
      <c r="T245" s="2" t="str">
        <f>IFERROR(IF(ISBLANK(S245),"",INDEX([1]Gen_Vessels!$A$3:$C$500,MATCH(InspectionSite!$S245,[1]Gen_Vessels!$C$3:$C$500,0),1)),"")</f>
        <v/>
      </c>
      <c r="U245" s="2"/>
      <c r="V245" s="2"/>
      <c r="W245" s="2"/>
      <c r="X245" s="2"/>
      <c r="Y245" s="2"/>
      <c r="AB245" s="2"/>
      <c r="AC245" s="2"/>
      <c r="AD245" s="2"/>
      <c r="AE245" s="2"/>
      <c r="AF245" s="2"/>
      <c r="AG245" s="2"/>
      <c r="AH245" s="2"/>
    </row>
    <row r="246" spans="1:34" x14ac:dyDescent="0.25">
      <c r="A246" s="1" t="str">
        <f t="shared" si="3"/>
        <v/>
      </c>
      <c r="B246" s="2"/>
      <c r="C246" s="2"/>
      <c r="D246" s="2"/>
      <c r="E246" s="2"/>
      <c r="F246" s="2"/>
      <c r="G246" s="6"/>
      <c r="H246" s="2"/>
      <c r="I246" s="7"/>
      <c r="J246" s="8"/>
      <c r="Q246" s="2"/>
      <c r="R246" s="2" t="str">
        <f>IFERROR(IF(ISBLANK(Q246),"",INDEX([1]Gen_Vessels!$A$3:$C$500,MATCH(InspectionSite!$Q246,[1]Gen_Vessels!$C$3:$C$500,0),1)),"")</f>
        <v/>
      </c>
      <c r="S246" s="2"/>
      <c r="T246" s="2" t="str">
        <f>IFERROR(IF(ISBLANK(S246),"",INDEX([1]Gen_Vessels!$A$3:$C$500,MATCH(InspectionSite!$S246,[1]Gen_Vessels!$C$3:$C$500,0),1)),"")</f>
        <v/>
      </c>
      <c r="U246" s="2"/>
      <c r="V246" s="2"/>
      <c r="W246" s="2"/>
      <c r="X246" s="2"/>
      <c r="Y246" s="2"/>
      <c r="AB246" s="2"/>
      <c r="AC246" s="2"/>
      <c r="AD246" s="2"/>
      <c r="AE246" s="2"/>
      <c r="AF246" s="2"/>
      <c r="AG246" s="2"/>
      <c r="AH246" s="2"/>
    </row>
    <row r="247" spans="1:34" x14ac:dyDescent="0.25">
      <c r="A247" s="1" t="str">
        <f t="shared" si="3"/>
        <v/>
      </c>
      <c r="B247" s="2"/>
      <c r="C247" s="2"/>
      <c r="D247" s="2"/>
      <c r="E247" s="2"/>
      <c r="F247" s="2"/>
      <c r="G247" s="6"/>
      <c r="H247" s="2"/>
      <c r="I247" s="7"/>
      <c r="J247" s="8"/>
      <c r="Q247" s="2"/>
      <c r="R247" s="2" t="str">
        <f>IFERROR(IF(ISBLANK(Q247),"",INDEX([1]Gen_Vessels!$A$3:$C$500,MATCH(InspectionSite!$Q247,[1]Gen_Vessels!$C$3:$C$500,0),1)),"")</f>
        <v/>
      </c>
      <c r="S247" s="2"/>
      <c r="T247" s="2" t="str">
        <f>IFERROR(IF(ISBLANK(S247),"",INDEX([1]Gen_Vessels!$A$3:$C$500,MATCH(InspectionSite!$S247,[1]Gen_Vessels!$C$3:$C$500,0),1)),"")</f>
        <v/>
      </c>
      <c r="U247" s="2"/>
      <c r="V247" s="2"/>
      <c r="W247" s="2"/>
      <c r="X247" s="2"/>
      <c r="Y247" s="2"/>
      <c r="AB247" s="2"/>
      <c r="AC247" s="2"/>
      <c r="AD247" s="2"/>
      <c r="AE247" s="2"/>
      <c r="AF247" s="2"/>
      <c r="AG247" s="2"/>
      <c r="AH247" s="2"/>
    </row>
    <row r="248" spans="1:34" x14ac:dyDescent="0.25">
      <c r="A248" s="1" t="str">
        <f t="shared" si="3"/>
        <v/>
      </c>
      <c r="B248" s="2"/>
      <c r="C248" s="2"/>
      <c r="D248" s="2"/>
      <c r="E248" s="2"/>
      <c r="F248" s="2"/>
      <c r="G248" s="6"/>
      <c r="H248" s="2"/>
      <c r="I248" s="7"/>
      <c r="J248" s="8"/>
      <c r="Q248" s="2"/>
      <c r="R248" s="2" t="str">
        <f>IFERROR(IF(ISBLANK(Q248),"",INDEX([1]Gen_Vessels!$A$3:$C$500,MATCH(InspectionSite!$Q248,[1]Gen_Vessels!$C$3:$C$500,0),1)),"")</f>
        <v/>
      </c>
      <c r="S248" s="2"/>
      <c r="T248" s="2" t="str">
        <f>IFERROR(IF(ISBLANK(S248),"",INDEX([1]Gen_Vessels!$A$3:$C$500,MATCH(InspectionSite!$S248,[1]Gen_Vessels!$C$3:$C$500,0),1)),"")</f>
        <v/>
      </c>
      <c r="U248" s="2"/>
      <c r="V248" s="2"/>
      <c r="W248" s="2"/>
      <c r="X248" s="2"/>
      <c r="Y248" s="2"/>
      <c r="AB248" s="2"/>
      <c r="AC248" s="2"/>
      <c r="AD248" s="2"/>
      <c r="AE248" s="2"/>
      <c r="AF248" s="2"/>
      <c r="AG248" s="2"/>
      <c r="AH248" s="2"/>
    </row>
    <row r="249" spans="1:34" x14ac:dyDescent="0.25">
      <c r="A249" s="1" t="str">
        <f t="shared" si="3"/>
        <v/>
      </c>
      <c r="B249" s="2"/>
      <c r="C249" s="2"/>
      <c r="D249" s="2"/>
      <c r="E249" s="2"/>
      <c r="F249" s="2"/>
      <c r="G249" s="6"/>
      <c r="H249" s="2"/>
      <c r="I249" s="7"/>
      <c r="J249" s="8"/>
      <c r="Q249" s="2"/>
      <c r="R249" s="2" t="str">
        <f>IFERROR(IF(ISBLANK(Q249),"",INDEX([1]Gen_Vessels!$A$3:$C$500,MATCH(InspectionSite!$Q249,[1]Gen_Vessels!$C$3:$C$500,0),1)),"")</f>
        <v/>
      </c>
      <c r="S249" s="2"/>
      <c r="T249" s="2" t="str">
        <f>IFERROR(IF(ISBLANK(S249),"",INDEX([1]Gen_Vessels!$A$3:$C$500,MATCH(InspectionSite!$S249,[1]Gen_Vessels!$C$3:$C$500,0),1)),"")</f>
        <v/>
      </c>
      <c r="U249" s="2"/>
      <c r="V249" s="2"/>
      <c r="W249" s="2"/>
      <c r="X249" s="2"/>
      <c r="Y249" s="2"/>
      <c r="AB249" s="2"/>
      <c r="AC249" s="2"/>
      <c r="AD249" s="2"/>
      <c r="AE249" s="2"/>
      <c r="AF249" s="2"/>
      <c r="AG249" s="2"/>
      <c r="AH249" s="2"/>
    </row>
    <row r="250" spans="1:34" x14ac:dyDescent="0.25">
      <c r="A250" s="1" t="str">
        <f t="shared" si="3"/>
        <v/>
      </c>
      <c r="B250" s="2"/>
      <c r="C250" s="2"/>
      <c r="D250" s="2"/>
      <c r="E250" s="2"/>
      <c r="F250" s="2"/>
      <c r="G250" s="6"/>
      <c r="H250" s="2"/>
      <c r="I250" s="7"/>
      <c r="J250" s="8"/>
      <c r="Q250" s="2"/>
      <c r="R250" s="2" t="str">
        <f>IFERROR(IF(ISBLANK(Q250),"",INDEX([1]Gen_Vessels!$A$3:$C$500,MATCH(InspectionSite!$Q250,[1]Gen_Vessels!$C$3:$C$500,0),1)),"")</f>
        <v/>
      </c>
      <c r="S250" s="2"/>
      <c r="T250" s="2" t="str">
        <f>IFERROR(IF(ISBLANK(S250),"",INDEX([1]Gen_Vessels!$A$3:$C$500,MATCH(InspectionSite!$S250,[1]Gen_Vessels!$C$3:$C$500,0),1)),"")</f>
        <v/>
      </c>
      <c r="U250" s="2"/>
      <c r="V250" s="2"/>
      <c r="W250" s="2"/>
      <c r="X250" s="2"/>
      <c r="Y250" s="2"/>
      <c r="AB250" s="2"/>
      <c r="AC250" s="2"/>
      <c r="AD250" s="2"/>
      <c r="AE250" s="2"/>
      <c r="AF250" s="2"/>
      <c r="AG250" s="2"/>
      <c r="AH250" s="2"/>
    </row>
    <row r="251" spans="1:34" x14ac:dyDescent="0.25">
      <c r="A251" s="1" t="str">
        <f t="shared" si="3"/>
        <v/>
      </c>
      <c r="B251" s="2"/>
      <c r="C251" s="2"/>
      <c r="D251" s="2"/>
      <c r="E251" s="2"/>
      <c r="F251" s="2"/>
      <c r="G251" s="6"/>
      <c r="H251" s="2"/>
      <c r="I251" s="7"/>
      <c r="J251" s="8"/>
      <c r="Q251" s="2"/>
      <c r="R251" s="2" t="str">
        <f>IFERROR(IF(ISBLANK(Q251),"",INDEX([1]Gen_Vessels!$A$3:$C$500,MATCH(InspectionSite!$Q251,[1]Gen_Vessels!$C$3:$C$500,0),1)),"")</f>
        <v/>
      </c>
      <c r="S251" s="2"/>
      <c r="T251" s="2" t="str">
        <f>IFERROR(IF(ISBLANK(S251),"",INDEX([1]Gen_Vessels!$A$3:$C$500,MATCH(InspectionSite!$S251,[1]Gen_Vessels!$C$3:$C$500,0),1)),"")</f>
        <v/>
      </c>
      <c r="U251" s="2"/>
      <c r="V251" s="2"/>
      <c r="W251" s="2"/>
      <c r="X251" s="2"/>
      <c r="Y251" s="2"/>
      <c r="AB251" s="2"/>
      <c r="AC251" s="2"/>
      <c r="AD251" s="2"/>
      <c r="AE251" s="2"/>
      <c r="AF251" s="2"/>
      <c r="AG251" s="2"/>
      <c r="AH251" s="2"/>
    </row>
    <row r="252" spans="1:34" x14ac:dyDescent="0.25">
      <c r="A252" s="1" t="str">
        <f t="shared" si="3"/>
        <v/>
      </c>
      <c r="B252" s="2"/>
      <c r="C252" s="2"/>
      <c r="D252" s="2"/>
      <c r="E252" s="2"/>
      <c r="F252" s="2"/>
      <c r="G252" s="6"/>
      <c r="H252" s="2"/>
      <c r="I252" s="7"/>
      <c r="J252" s="8"/>
      <c r="Q252" s="2"/>
      <c r="R252" s="2" t="str">
        <f>IFERROR(IF(ISBLANK(Q252),"",INDEX([1]Gen_Vessels!$A$3:$C$500,MATCH(InspectionSite!$Q252,[1]Gen_Vessels!$C$3:$C$500,0),1)),"")</f>
        <v/>
      </c>
      <c r="S252" s="2"/>
      <c r="T252" s="2" t="str">
        <f>IFERROR(IF(ISBLANK(S252),"",INDEX([1]Gen_Vessels!$A$3:$C$500,MATCH(InspectionSite!$S252,[1]Gen_Vessels!$C$3:$C$500,0),1)),"")</f>
        <v/>
      </c>
      <c r="U252" s="2"/>
      <c r="V252" s="2"/>
      <c r="W252" s="2"/>
      <c r="X252" s="2"/>
      <c r="Y252" s="2"/>
      <c r="AB252" s="2"/>
      <c r="AC252" s="2"/>
      <c r="AD252" s="2"/>
      <c r="AE252" s="2"/>
      <c r="AF252" s="2"/>
      <c r="AG252" s="2"/>
      <c r="AH252" s="2"/>
    </row>
    <row r="253" spans="1:34" x14ac:dyDescent="0.25">
      <c r="A253" s="1" t="str">
        <f t="shared" si="3"/>
        <v/>
      </c>
      <c r="B253" s="2"/>
      <c r="C253" s="2"/>
      <c r="D253" s="2"/>
      <c r="E253" s="2"/>
      <c r="F253" s="2"/>
      <c r="G253" s="6"/>
      <c r="H253" s="2"/>
      <c r="I253" s="7"/>
      <c r="J253" s="8"/>
      <c r="Q253" s="2"/>
      <c r="R253" s="2" t="str">
        <f>IFERROR(IF(ISBLANK(Q253),"",INDEX([1]Gen_Vessels!$A$3:$C$500,MATCH(InspectionSite!$Q253,[1]Gen_Vessels!$C$3:$C$500,0),1)),"")</f>
        <v/>
      </c>
      <c r="S253" s="2"/>
      <c r="T253" s="2" t="str">
        <f>IFERROR(IF(ISBLANK(S253),"",INDEX([1]Gen_Vessels!$A$3:$C$500,MATCH(InspectionSite!$S253,[1]Gen_Vessels!$C$3:$C$500,0),1)),"")</f>
        <v/>
      </c>
      <c r="U253" s="2"/>
      <c r="V253" s="2"/>
      <c r="W253" s="2"/>
      <c r="X253" s="2"/>
      <c r="Y253" s="2"/>
      <c r="AB253" s="2"/>
      <c r="AC253" s="2"/>
      <c r="AD253" s="2"/>
      <c r="AE253" s="2"/>
      <c r="AF253" s="2"/>
      <c r="AG253" s="2"/>
      <c r="AH253" s="2"/>
    </row>
    <row r="254" spans="1:34" x14ac:dyDescent="0.25">
      <c r="A254" s="1" t="str">
        <f t="shared" si="3"/>
        <v/>
      </c>
      <c r="B254" s="2"/>
      <c r="C254" s="2"/>
      <c r="D254" s="2"/>
      <c r="E254" s="2"/>
      <c r="F254" s="2"/>
      <c r="G254" s="6"/>
      <c r="H254" s="2"/>
      <c r="I254" s="7"/>
      <c r="J254" s="8"/>
      <c r="Q254" s="2"/>
      <c r="R254" s="2" t="str">
        <f>IFERROR(IF(ISBLANK(Q254),"",INDEX([1]Gen_Vessels!$A$3:$C$500,MATCH(InspectionSite!$Q254,[1]Gen_Vessels!$C$3:$C$500,0),1)),"")</f>
        <v/>
      </c>
      <c r="S254" s="2"/>
      <c r="T254" s="2" t="str">
        <f>IFERROR(IF(ISBLANK(S254),"",INDEX([1]Gen_Vessels!$A$3:$C$500,MATCH(InspectionSite!$S254,[1]Gen_Vessels!$C$3:$C$500,0),1)),"")</f>
        <v/>
      </c>
      <c r="U254" s="2"/>
      <c r="V254" s="2"/>
      <c r="W254" s="2"/>
      <c r="X254" s="2"/>
      <c r="Y254" s="2"/>
      <c r="AB254" s="2"/>
      <c r="AC254" s="2"/>
      <c r="AD254" s="2"/>
      <c r="AE254" s="2"/>
      <c r="AF254" s="2"/>
      <c r="AG254" s="2"/>
      <c r="AH254" s="2"/>
    </row>
    <row r="255" spans="1:34" x14ac:dyDescent="0.25">
      <c r="A255" s="1" t="str">
        <f t="shared" si="3"/>
        <v/>
      </c>
      <c r="B255" s="2"/>
      <c r="C255" s="2"/>
      <c r="D255" s="2"/>
      <c r="E255" s="2"/>
      <c r="F255" s="2"/>
      <c r="G255" s="6"/>
      <c r="H255" s="2"/>
      <c r="I255" s="7"/>
      <c r="J255" s="8"/>
      <c r="Q255" s="2"/>
      <c r="R255" s="2" t="str">
        <f>IFERROR(IF(ISBLANK(Q255),"",INDEX([1]Gen_Vessels!$A$3:$C$500,MATCH(InspectionSite!$Q255,[1]Gen_Vessels!$C$3:$C$500,0),1)),"")</f>
        <v/>
      </c>
      <c r="S255" s="2"/>
      <c r="T255" s="2" t="str">
        <f>IFERROR(IF(ISBLANK(S255),"",INDEX([1]Gen_Vessels!$A$3:$C$500,MATCH(InspectionSite!$S255,[1]Gen_Vessels!$C$3:$C$500,0),1)),"")</f>
        <v/>
      </c>
      <c r="U255" s="2"/>
      <c r="V255" s="2"/>
      <c r="W255" s="2"/>
      <c r="X255" s="2"/>
      <c r="Y255" s="2"/>
      <c r="AB255" s="2"/>
      <c r="AC255" s="2"/>
      <c r="AD255" s="2"/>
      <c r="AE255" s="2"/>
      <c r="AF255" s="2"/>
      <c r="AG255" s="2"/>
      <c r="AH255" s="2"/>
    </row>
    <row r="256" spans="1:34" x14ac:dyDescent="0.25">
      <c r="A256" s="1" t="str">
        <f t="shared" si="3"/>
        <v/>
      </c>
      <c r="B256" s="2"/>
      <c r="C256" s="2"/>
      <c r="D256" s="2"/>
      <c r="E256" s="2"/>
      <c r="F256" s="2"/>
      <c r="G256" s="6"/>
      <c r="H256" s="2"/>
      <c r="I256" s="7"/>
      <c r="J256" s="8"/>
      <c r="Q256" s="2"/>
      <c r="R256" s="2" t="str">
        <f>IFERROR(IF(ISBLANK(Q256),"",INDEX([1]Gen_Vessels!$A$3:$C$500,MATCH(InspectionSite!$Q256,[1]Gen_Vessels!$C$3:$C$500,0),1)),"")</f>
        <v/>
      </c>
      <c r="S256" s="2"/>
      <c r="T256" s="2" t="str">
        <f>IFERROR(IF(ISBLANK(S256),"",INDEX([1]Gen_Vessels!$A$3:$C$500,MATCH(InspectionSite!$S256,[1]Gen_Vessels!$C$3:$C$500,0),1)),"")</f>
        <v/>
      </c>
      <c r="U256" s="2"/>
      <c r="V256" s="2"/>
      <c r="W256" s="2"/>
      <c r="X256" s="2"/>
      <c r="Y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1" t="str">
        <f t="shared" si="3"/>
        <v/>
      </c>
      <c r="B257" s="2"/>
      <c r="C257" s="2"/>
      <c r="D257" s="2"/>
      <c r="E257" s="2"/>
      <c r="F257" s="2"/>
      <c r="G257" s="6"/>
      <c r="H257" s="2"/>
      <c r="I257" s="7"/>
      <c r="J257" s="8"/>
      <c r="Q257" s="2"/>
      <c r="R257" s="2" t="str">
        <f>IFERROR(IF(ISBLANK(Q257),"",INDEX([1]Gen_Vessels!$A$3:$C$500,MATCH(InspectionSite!$Q257,[1]Gen_Vessels!$C$3:$C$500,0),1)),"")</f>
        <v/>
      </c>
      <c r="S257" s="2"/>
      <c r="T257" s="2" t="str">
        <f>IFERROR(IF(ISBLANK(S257),"",INDEX([1]Gen_Vessels!$A$3:$C$500,MATCH(InspectionSite!$S257,[1]Gen_Vessels!$C$3:$C$500,0),1)),"")</f>
        <v/>
      </c>
      <c r="U257" s="2"/>
      <c r="V257" s="2"/>
      <c r="W257" s="2"/>
      <c r="X257" s="2"/>
      <c r="Y257" s="2"/>
      <c r="AB257" s="2"/>
      <c r="AC257" s="2"/>
      <c r="AD257" s="2"/>
      <c r="AE257" s="2"/>
      <c r="AF257" s="2"/>
      <c r="AG257" s="2"/>
      <c r="AH257" s="2"/>
    </row>
    <row r="258" spans="1:34" x14ac:dyDescent="0.25">
      <c r="A258" s="1" t="str">
        <f t="shared" si="3"/>
        <v/>
      </c>
      <c r="B258" s="2"/>
      <c r="C258" s="2"/>
      <c r="D258" s="2"/>
      <c r="E258" s="2"/>
      <c r="F258" s="2"/>
      <c r="G258" s="6"/>
      <c r="H258" s="2"/>
      <c r="I258" s="7"/>
      <c r="J258" s="8"/>
      <c r="Q258" s="2"/>
      <c r="R258" s="2" t="str">
        <f>IFERROR(IF(ISBLANK(Q258),"",INDEX([1]Gen_Vessels!$A$3:$C$500,MATCH(InspectionSite!$Q258,[1]Gen_Vessels!$C$3:$C$500,0),1)),"")</f>
        <v/>
      </c>
      <c r="S258" s="2"/>
      <c r="T258" s="2" t="str">
        <f>IFERROR(IF(ISBLANK(S258),"",INDEX([1]Gen_Vessels!$A$3:$C$500,MATCH(InspectionSite!$S258,[1]Gen_Vessels!$C$3:$C$500,0),1)),"")</f>
        <v/>
      </c>
      <c r="U258" s="2"/>
      <c r="V258" s="2"/>
      <c r="W258" s="2"/>
      <c r="X258" s="2"/>
      <c r="Y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1" t="str">
        <f t="shared" ref="A259:A322" si="4">IF(ISBLANK($B259)=FALSE,IF(AND($G259&gt;0,$H259&lt;=0,$I259&lt;=0),_xlfn.CONCAT("ofw_",$B259),IF(AND($G259&lt;=0,$H259&gt;0,$I259&lt;=0),_xlfn.CONCAT("owc_",$B259),IF(AND($G259&lt;=0,$H259&lt;=0,$I259&gt;0),_xlfn.CONCAT("opv_",$B259),_xlfn.CONCAT("oce_",$B259)))),"")</f>
        <v/>
      </c>
      <c r="B259" s="2"/>
      <c r="C259" s="2"/>
      <c r="D259" s="2"/>
      <c r="E259" s="2"/>
      <c r="F259" s="2"/>
      <c r="G259" s="6"/>
      <c r="H259" s="2"/>
      <c r="I259" s="7"/>
      <c r="J259" s="8"/>
      <c r="Q259" s="2"/>
      <c r="R259" s="2" t="str">
        <f>IFERROR(IF(ISBLANK(Q259),"",INDEX([1]Gen_Vessels!$A$3:$C$500,MATCH(InspectionSite!$Q259,[1]Gen_Vessels!$C$3:$C$500,0),1)),"")</f>
        <v/>
      </c>
      <c r="S259" s="2"/>
      <c r="T259" s="2" t="str">
        <f>IFERROR(IF(ISBLANK(S259),"",INDEX([1]Gen_Vessels!$A$3:$C$500,MATCH(InspectionSite!$S259,[1]Gen_Vessels!$C$3:$C$500,0),1)),"")</f>
        <v/>
      </c>
      <c r="U259" s="2"/>
      <c r="V259" s="2"/>
      <c r="W259" s="2"/>
      <c r="X259" s="2"/>
      <c r="Y259" s="2"/>
      <c r="AB259" s="2"/>
      <c r="AC259" s="2"/>
      <c r="AD259" s="2"/>
      <c r="AE259" s="2"/>
      <c r="AF259" s="2"/>
      <c r="AG259" s="2"/>
      <c r="AH259" s="2"/>
    </row>
    <row r="260" spans="1:34" x14ac:dyDescent="0.25">
      <c r="A260" s="1" t="str">
        <f t="shared" si="4"/>
        <v/>
      </c>
      <c r="B260" s="2"/>
      <c r="C260" s="2"/>
      <c r="D260" s="2"/>
      <c r="E260" s="2"/>
      <c r="F260" s="2"/>
      <c r="G260" s="6"/>
      <c r="H260" s="2"/>
      <c r="I260" s="7"/>
      <c r="J260" s="8"/>
      <c r="Q260" s="2"/>
      <c r="R260" s="2" t="str">
        <f>IFERROR(IF(ISBLANK(Q260),"",INDEX([1]Gen_Vessels!$A$3:$C$500,MATCH(InspectionSite!$Q260,[1]Gen_Vessels!$C$3:$C$500,0),1)),"")</f>
        <v/>
      </c>
      <c r="S260" s="2"/>
      <c r="T260" s="2" t="str">
        <f>IFERROR(IF(ISBLANK(S260),"",INDEX([1]Gen_Vessels!$A$3:$C$500,MATCH(InspectionSite!$S260,[1]Gen_Vessels!$C$3:$C$500,0),1)),"")</f>
        <v/>
      </c>
      <c r="U260" s="2"/>
      <c r="V260" s="2"/>
      <c r="W260" s="2"/>
      <c r="X260" s="2"/>
      <c r="Y260" s="2"/>
      <c r="AB260" s="2"/>
      <c r="AC260" s="2"/>
      <c r="AD260" s="2"/>
      <c r="AE260" s="2"/>
      <c r="AF260" s="2"/>
      <c r="AG260" s="2"/>
      <c r="AH260" s="2"/>
    </row>
    <row r="261" spans="1:34" x14ac:dyDescent="0.25">
      <c r="A261" s="1" t="str">
        <f t="shared" si="4"/>
        <v/>
      </c>
      <c r="B261" s="2"/>
      <c r="C261" s="2"/>
      <c r="D261" s="2"/>
      <c r="E261" s="2"/>
      <c r="F261" s="2"/>
      <c r="G261" s="6"/>
      <c r="H261" s="2"/>
      <c r="I261" s="7"/>
      <c r="J261" s="8"/>
      <c r="Q261" s="2"/>
      <c r="R261" s="2" t="str">
        <f>IFERROR(IF(ISBLANK(Q261),"",INDEX([1]Gen_Vessels!$A$3:$C$500,MATCH(InspectionSite!$Q261,[1]Gen_Vessels!$C$3:$C$500,0),1)),"")</f>
        <v/>
      </c>
      <c r="S261" s="2"/>
      <c r="T261" s="2" t="str">
        <f>IFERROR(IF(ISBLANK(S261),"",INDEX([1]Gen_Vessels!$A$3:$C$500,MATCH(InspectionSite!$S261,[1]Gen_Vessels!$C$3:$C$500,0),1)),"")</f>
        <v/>
      </c>
      <c r="U261" s="2"/>
      <c r="V261" s="2"/>
      <c r="W261" s="2"/>
      <c r="X261" s="2"/>
      <c r="Y261" s="2"/>
      <c r="AB261" s="2"/>
      <c r="AC261" s="2"/>
      <c r="AD261" s="2"/>
      <c r="AE261" s="2"/>
      <c r="AF261" s="2"/>
      <c r="AG261" s="2"/>
      <c r="AH261" s="2"/>
    </row>
    <row r="262" spans="1:34" x14ac:dyDescent="0.25">
      <c r="A262" s="1" t="str">
        <f t="shared" si="4"/>
        <v/>
      </c>
      <c r="B262" s="2"/>
      <c r="C262" s="2"/>
      <c r="D262" s="2"/>
      <c r="E262" s="2"/>
      <c r="F262" s="2"/>
      <c r="G262" s="6"/>
      <c r="H262" s="2"/>
      <c r="I262" s="7"/>
      <c r="J262" s="8"/>
      <c r="Q262" s="2"/>
      <c r="R262" s="2" t="str">
        <f>IFERROR(IF(ISBLANK(Q262),"",INDEX([1]Gen_Vessels!$A$3:$C$500,MATCH(InspectionSite!$Q262,[1]Gen_Vessels!$C$3:$C$500,0),1)),"")</f>
        <v/>
      </c>
      <c r="S262" s="2"/>
      <c r="T262" s="2" t="str">
        <f>IFERROR(IF(ISBLANK(S262),"",INDEX([1]Gen_Vessels!$A$3:$C$500,MATCH(InspectionSite!$S262,[1]Gen_Vessels!$C$3:$C$500,0),1)),"")</f>
        <v/>
      </c>
      <c r="U262" s="2"/>
      <c r="V262" s="2"/>
      <c r="W262" s="2"/>
      <c r="X262" s="2"/>
      <c r="Y262" s="2"/>
      <c r="AB262" s="2"/>
      <c r="AC262" s="2"/>
      <c r="AD262" s="2"/>
      <c r="AE262" s="2"/>
      <c r="AF262" s="2"/>
      <c r="AG262" s="2"/>
      <c r="AH262" s="2"/>
    </row>
    <row r="263" spans="1:34" x14ac:dyDescent="0.25">
      <c r="A263" s="1" t="str">
        <f t="shared" si="4"/>
        <v/>
      </c>
      <c r="B263" s="2"/>
      <c r="C263" s="2"/>
      <c r="D263" s="2"/>
      <c r="E263" s="2"/>
      <c r="F263" s="2"/>
      <c r="G263" s="6"/>
      <c r="H263" s="2"/>
      <c r="I263" s="7"/>
      <c r="J263" s="8"/>
      <c r="Q263" s="2"/>
      <c r="R263" s="2" t="str">
        <f>IFERROR(IF(ISBLANK(Q263),"",INDEX([1]Gen_Vessels!$A$3:$C$500,MATCH(InspectionSite!$Q263,[1]Gen_Vessels!$C$3:$C$500,0),1)),"")</f>
        <v/>
      </c>
      <c r="S263" s="2"/>
      <c r="T263" s="2" t="str">
        <f>IFERROR(IF(ISBLANK(S263),"",INDEX([1]Gen_Vessels!$A$3:$C$500,MATCH(InspectionSite!$S263,[1]Gen_Vessels!$C$3:$C$500,0),1)),"")</f>
        <v/>
      </c>
      <c r="U263" s="2"/>
      <c r="V263" s="2"/>
      <c r="W263" s="2"/>
      <c r="X263" s="2"/>
      <c r="Y263" s="2"/>
      <c r="AB263" s="2"/>
      <c r="AC263" s="2"/>
      <c r="AD263" s="2"/>
      <c r="AE263" s="2"/>
      <c r="AF263" s="2"/>
      <c r="AG263" s="2"/>
      <c r="AH263" s="2"/>
    </row>
    <row r="264" spans="1:34" x14ac:dyDescent="0.25">
      <c r="A264" s="1" t="str">
        <f t="shared" si="4"/>
        <v/>
      </c>
      <c r="B264" s="2"/>
      <c r="C264" s="2"/>
      <c r="D264" s="2"/>
      <c r="E264" s="2"/>
      <c r="F264" s="2"/>
      <c r="G264" s="6"/>
      <c r="H264" s="2"/>
      <c r="I264" s="7"/>
      <c r="J264" s="8"/>
      <c r="Q264" s="2"/>
      <c r="R264" s="2" t="str">
        <f>IFERROR(IF(ISBLANK(Q264),"",INDEX([1]Gen_Vessels!$A$3:$C$500,MATCH(InspectionSite!$Q264,[1]Gen_Vessels!$C$3:$C$500,0),1)),"")</f>
        <v/>
      </c>
      <c r="S264" s="2"/>
      <c r="T264" s="2" t="str">
        <f>IFERROR(IF(ISBLANK(S264),"",INDEX([1]Gen_Vessels!$A$3:$C$500,MATCH(InspectionSite!$S264,[1]Gen_Vessels!$C$3:$C$500,0),1)),"")</f>
        <v/>
      </c>
      <c r="U264" s="2"/>
      <c r="V264" s="2"/>
      <c r="W264" s="2"/>
      <c r="X264" s="2"/>
      <c r="Y264" s="2"/>
      <c r="AB264" s="2"/>
      <c r="AC264" s="2"/>
      <c r="AD264" s="2"/>
      <c r="AE264" s="2"/>
      <c r="AF264" s="2"/>
      <c r="AG264" s="2"/>
      <c r="AH264" s="2"/>
    </row>
    <row r="265" spans="1:34" x14ac:dyDescent="0.25">
      <c r="A265" s="1" t="str">
        <f t="shared" si="4"/>
        <v/>
      </c>
      <c r="B265" s="2"/>
      <c r="C265" s="2"/>
      <c r="D265" s="2"/>
      <c r="E265" s="2"/>
      <c r="F265" s="2"/>
      <c r="G265" s="6"/>
      <c r="H265" s="2"/>
      <c r="I265" s="7"/>
      <c r="J265" s="8"/>
      <c r="Q265" s="2"/>
      <c r="R265" s="2" t="str">
        <f>IFERROR(IF(ISBLANK(Q265),"",INDEX([1]Gen_Vessels!$A$3:$C$500,MATCH(InspectionSite!$Q265,[1]Gen_Vessels!$C$3:$C$500,0),1)),"")</f>
        <v/>
      </c>
      <c r="S265" s="2"/>
      <c r="T265" s="2" t="str">
        <f>IFERROR(IF(ISBLANK(S265),"",INDEX([1]Gen_Vessels!$A$3:$C$500,MATCH(InspectionSite!$S265,[1]Gen_Vessels!$C$3:$C$500,0),1)),"")</f>
        <v/>
      </c>
      <c r="U265" s="2"/>
      <c r="V265" s="2"/>
      <c r="W265" s="2"/>
      <c r="X265" s="2"/>
      <c r="Y265" s="2"/>
      <c r="AB265" s="2"/>
      <c r="AC265" s="2"/>
      <c r="AD265" s="2"/>
      <c r="AE265" s="2"/>
      <c r="AF265" s="2"/>
      <c r="AG265" s="2"/>
      <c r="AH265" s="2"/>
    </row>
    <row r="266" spans="1:34" x14ac:dyDescent="0.25">
      <c r="A266" s="1" t="str">
        <f t="shared" si="4"/>
        <v/>
      </c>
      <c r="B266" s="2"/>
      <c r="C266" s="2"/>
      <c r="D266" s="2"/>
      <c r="E266" s="2"/>
      <c r="F266" s="2"/>
      <c r="G266" s="6"/>
      <c r="H266" s="2"/>
      <c r="I266" s="7"/>
      <c r="J266" s="8"/>
      <c r="Q266" s="2"/>
      <c r="R266" s="2" t="str">
        <f>IFERROR(IF(ISBLANK(Q266),"",INDEX([1]Gen_Vessels!$A$3:$C$500,MATCH(InspectionSite!$Q266,[1]Gen_Vessels!$C$3:$C$500,0),1)),"")</f>
        <v/>
      </c>
      <c r="S266" s="2"/>
      <c r="T266" s="2" t="str">
        <f>IFERROR(IF(ISBLANK(S266),"",INDEX([1]Gen_Vessels!$A$3:$C$500,MATCH(InspectionSite!$S266,[1]Gen_Vessels!$C$3:$C$500,0),1)),"")</f>
        <v/>
      </c>
      <c r="U266" s="2"/>
      <c r="V266" s="2"/>
      <c r="W266" s="2"/>
      <c r="X266" s="2"/>
      <c r="Y266" s="2"/>
      <c r="AB266" s="2"/>
      <c r="AC266" s="2"/>
      <c r="AD266" s="2"/>
      <c r="AE266" s="2"/>
      <c r="AF266" s="2"/>
      <c r="AG266" s="2"/>
      <c r="AH266" s="2"/>
    </row>
    <row r="267" spans="1:34" x14ac:dyDescent="0.25">
      <c r="A267" s="1" t="str">
        <f t="shared" si="4"/>
        <v/>
      </c>
      <c r="B267" s="2"/>
      <c r="C267" s="2"/>
      <c r="D267" s="2"/>
      <c r="E267" s="2"/>
      <c r="F267" s="2"/>
      <c r="G267" s="6"/>
      <c r="H267" s="2"/>
      <c r="I267" s="7"/>
      <c r="J267" s="8"/>
      <c r="Q267" s="2"/>
      <c r="R267" s="2" t="str">
        <f>IFERROR(IF(ISBLANK(Q267),"",INDEX([1]Gen_Vessels!$A$3:$C$500,MATCH(InspectionSite!$Q267,[1]Gen_Vessels!$C$3:$C$500,0),1)),"")</f>
        <v/>
      </c>
      <c r="S267" s="2"/>
      <c r="T267" s="2" t="str">
        <f>IFERROR(IF(ISBLANK(S267),"",INDEX([1]Gen_Vessels!$A$3:$C$500,MATCH(InspectionSite!$S267,[1]Gen_Vessels!$C$3:$C$500,0),1)),"")</f>
        <v/>
      </c>
      <c r="U267" s="2"/>
      <c r="V267" s="2"/>
      <c r="W267" s="2"/>
      <c r="X267" s="2"/>
      <c r="Y267" s="2"/>
      <c r="AB267" s="2"/>
      <c r="AC267" s="2"/>
      <c r="AD267" s="2"/>
      <c r="AE267" s="2"/>
      <c r="AF267" s="2"/>
      <c r="AG267" s="2"/>
      <c r="AH267" s="2"/>
    </row>
    <row r="268" spans="1:34" x14ac:dyDescent="0.25">
      <c r="A268" s="1" t="str">
        <f t="shared" si="4"/>
        <v/>
      </c>
      <c r="B268" s="2"/>
      <c r="C268" s="2"/>
      <c r="D268" s="2"/>
      <c r="E268" s="2"/>
      <c r="F268" s="2"/>
      <c r="G268" s="6"/>
      <c r="H268" s="2"/>
      <c r="I268" s="7"/>
      <c r="J268" s="8"/>
      <c r="Q268" s="2"/>
      <c r="R268" s="2" t="str">
        <f>IFERROR(IF(ISBLANK(Q268),"",INDEX([1]Gen_Vessels!$A$3:$C$500,MATCH(InspectionSite!$Q268,[1]Gen_Vessels!$C$3:$C$500,0),1)),"")</f>
        <v/>
      </c>
      <c r="S268" s="2"/>
      <c r="T268" s="2" t="str">
        <f>IFERROR(IF(ISBLANK(S268),"",INDEX([1]Gen_Vessels!$A$3:$C$500,MATCH(InspectionSite!$S268,[1]Gen_Vessels!$C$3:$C$500,0),1)),"")</f>
        <v/>
      </c>
      <c r="U268" s="2"/>
      <c r="V268" s="2"/>
      <c r="W268" s="2"/>
      <c r="X268" s="2"/>
      <c r="Y268" s="2"/>
      <c r="AB268" s="2"/>
      <c r="AC268" s="2"/>
      <c r="AD268" s="2"/>
      <c r="AE268" s="2"/>
      <c r="AF268" s="2"/>
      <c r="AG268" s="2"/>
      <c r="AH268" s="2"/>
    </row>
    <row r="269" spans="1:34" x14ac:dyDescent="0.25">
      <c r="A269" s="1" t="str">
        <f t="shared" si="4"/>
        <v/>
      </c>
      <c r="B269" s="2"/>
      <c r="C269" s="2"/>
      <c r="D269" s="2"/>
      <c r="E269" s="2"/>
      <c r="F269" s="2"/>
      <c r="G269" s="6"/>
      <c r="H269" s="2"/>
      <c r="I269" s="7"/>
      <c r="J269" s="8"/>
      <c r="Q269" s="2"/>
      <c r="R269" s="2" t="str">
        <f>IFERROR(IF(ISBLANK(Q269),"",INDEX([1]Gen_Vessels!$A$3:$C$500,MATCH(InspectionSite!$Q269,[1]Gen_Vessels!$C$3:$C$500,0),1)),"")</f>
        <v/>
      </c>
      <c r="S269" s="2"/>
      <c r="T269" s="2" t="str">
        <f>IFERROR(IF(ISBLANK(S269),"",INDEX([1]Gen_Vessels!$A$3:$C$500,MATCH(InspectionSite!$S269,[1]Gen_Vessels!$C$3:$C$500,0),1)),"")</f>
        <v/>
      </c>
      <c r="U269" s="2"/>
      <c r="V269" s="2"/>
      <c r="W269" s="2"/>
      <c r="X269" s="2"/>
      <c r="Y269" s="2"/>
      <c r="AB269" s="2"/>
      <c r="AC269" s="2"/>
      <c r="AD269" s="2"/>
      <c r="AE269" s="2"/>
      <c r="AF269" s="2"/>
      <c r="AG269" s="2"/>
      <c r="AH269" s="2"/>
    </row>
    <row r="270" spans="1:34" x14ac:dyDescent="0.25">
      <c r="A270" s="1" t="str">
        <f t="shared" si="4"/>
        <v/>
      </c>
      <c r="B270" s="2"/>
      <c r="C270" s="2"/>
      <c r="D270" s="2"/>
      <c r="E270" s="2"/>
      <c r="F270" s="2"/>
      <c r="G270" s="6"/>
      <c r="H270" s="2"/>
      <c r="I270" s="7"/>
      <c r="J270" s="8"/>
      <c r="Q270" s="2"/>
      <c r="R270" s="2" t="str">
        <f>IFERROR(IF(ISBLANK(Q270),"",INDEX([1]Gen_Vessels!$A$3:$C$500,MATCH(InspectionSite!$Q270,[1]Gen_Vessels!$C$3:$C$500,0),1)),"")</f>
        <v/>
      </c>
      <c r="S270" s="2"/>
      <c r="T270" s="2" t="str">
        <f>IFERROR(IF(ISBLANK(S270),"",INDEX([1]Gen_Vessels!$A$3:$C$500,MATCH(InspectionSite!$S270,[1]Gen_Vessels!$C$3:$C$500,0),1)),"")</f>
        <v/>
      </c>
      <c r="U270" s="2"/>
      <c r="V270" s="2"/>
      <c r="W270" s="2"/>
      <c r="X270" s="2"/>
      <c r="Y270" s="2"/>
      <c r="AB270" s="2"/>
      <c r="AC270" s="2"/>
      <c r="AD270" s="2"/>
      <c r="AE270" s="2"/>
      <c r="AF270" s="2"/>
      <c r="AG270" s="2"/>
      <c r="AH270" s="2"/>
    </row>
    <row r="271" spans="1:34" x14ac:dyDescent="0.25">
      <c r="A271" s="1" t="str">
        <f t="shared" si="4"/>
        <v/>
      </c>
      <c r="B271" s="2"/>
      <c r="C271" s="2"/>
      <c r="D271" s="2"/>
      <c r="E271" s="2"/>
      <c r="F271" s="2"/>
      <c r="G271" s="6"/>
      <c r="H271" s="2"/>
      <c r="I271" s="7"/>
      <c r="J271" s="8"/>
      <c r="Q271" s="2"/>
      <c r="R271" s="2" t="str">
        <f>IFERROR(IF(ISBLANK(Q271),"",INDEX([1]Gen_Vessels!$A$3:$C$500,MATCH(InspectionSite!$Q271,[1]Gen_Vessels!$C$3:$C$500,0),1)),"")</f>
        <v/>
      </c>
      <c r="S271" s="2"/>
      <c r="T271" s="2" t="str">
        <f>IFERROR(IF(ISBLANK(S271),"",INDEX([1]Gen_Vessels!$A$3:$C$500,MATCH(InspectionSite!$S271,[1]Gen_Vessels!$C$3:$C$500,0),1)),"")</f>
        <v/>
      </c>
      <c r="U271" s="2"/>
      <c r="V271" s="2"/>
      <c r="W271" s="2"/>
      <c r="X271" s="2"/>
      <c r="Y271" s="2"/>
      <c r="AB271" s="2"/>
      <c r="AC271" s="2"/>
      <c r="AD271" s="2"/>
      <c r="AE271" s="2"/>
      <c r="AF271" s="2"/>
      <c r="AG271" s="2"/>
      <c r="AH271" s="2"/>
    </row>
    <row r="272" spans="1:34" x14ac:dyDescent="0.25">
      <c r="A272" s="1" t="str">
        <f t="shared" si="4"/>
        <v/>
      </c>
      <c r="B272" s="2"/>
      <c r="C272" s="2"/>
      <c r="D272" s="2"/>
      <c r="E272" s="2"/>
      <c r="F272" s="2"/>
      <c r="G272" s="6"/>
      <c r="H272" s="2"/>
      <c r="I272" s="7"/>
      <c r="J272" s="8"/>
      <c r="Q272" s="2"/>
      <c r="R272" s="2" t="str">
        <f>IFERROR(IF(ISBLANK(Q272),"",INDEX([1]Gen_Vessels!$A$3:$C$500,MATCH(InspectionSite!$Q272,[1]Gen_Vessels!$C$3:$C$500,0),1)),"")</f>
        <v/>
      </c>
      <c r="S272" s="2"/>
      <c r="T272" s="2" t="str">
        <f>IFERROR(IF(ISBLANK(S272),"",INDEX([1]Gen_Vessels!$A$3:$C$500,MATCH(InspectionSite!$S272,[1]Gen_Vessels!$C$3:$C$500,0),1)),"")</f>
        <v/>
      </c>
      <c r="U272" s="2"/>
      <c r="V272" s="2"/>
      <c r="W272" s="2"/>
      <c r="X272" s="2"/>
      <c r="Y272" s="2"/>
      <c r="AB272" s="2"/>
      <c r="AC272" s="2"/>
      <c r="AD272" s="2"/>
      <c r="AE272" s="2"/>
      <c r="AF272" s="2"/>
      <c r="AG272" s="2"/>
      <c r="AH272" s="2"/>
    </row>
    <row r="273" spans="1:34" x14ac:dyDescent="0.25">
      <c r="A273" s="1" t="str">
        <f t="shared" si="4"/>
        <v/>
      </c>
      <c r="B273" s="2"/>
      <c r="C273" s="2"/>
      <c r="D273" s="2"/>
      <c r="E273" s="2"/>
      <c r="F273" s="2"/>
      <c r="G273" s="6"/>
      <c r="H273" s="2"/>
      <c r="I273" s="7"/>
      <c r="J273" s="8"/>
      <c r="Q273" s="2"/>
      <c r="R273" s="2" t="str">
        <f>IFERROR(IF(ISBLANK(Q273),"",INDEX([1]Gen_Vessels!$A$3:$C$500,MATCH(InspectionSite!$Q273,[1]Gen_Vessels!$C$3:$C$500,0),1)),"")</f>
        <v/>
      </c>
      <c r="S273" s="2"/>
      <c r="T273" s="2" t="str">
        <f>IFERROR(IF(ISBLANK(S273),"",INDEX([1]Gen_Vessels!$A$3:$C$500,MATCH(InspectionSite!$S273,[1]Gen_Vessels!$C$3:$C$500,0),1)),"")</f>
        <v/>
      </c>
      <c r="U273" s="2"/>
      <c r="V273" s="2"/>
      <c r="W273" s="2"/>
      <c r="X273" s="2"/>
      <c r="Y273" s="2"/>
      <c r="AB273" s="2"/>
      <c r="AC273" s="2"/>
      <c r="AD273" s="2"/>
      <c r="AE273" s="2"/>
      <c r="AF273" s="2"/>
      <c r="AG273" s="2"/>
      <c r="AH273" s="2"/>
    </row>
    <row r="274" spans="1:34" x14ac:dyDescent="0.25">
      <c r="A274" s="1" t="str">
        <f t="shared" si="4"/>
        <v/>
      </c>
      <c r="B274" s="2"/>
      <c r="C274" s="2"/>
      <c r="D274" s="2"/>
      <c r="E274" s="2"/>
      <c r="F274" s="2"/>
      <c r="G274" s="6"/>
      <c r="H274" s="2"/>
      <c r="I274" s="7"/>
      <c r="J274" s="8"/>
      <c r="Q274" s="2"/>
      <c r="R274" s="2" t="str">
        <f>IFERROR(IF(ISBLANK(Q274),"",INDEX([1]Gen_Vessels!$A$3:$C$500,MATCH(InspectionSite!$Q274,[1]Gen_Vessels!$C$3:$C$500,0),1)),"")</f>
        <v/>
      </c>
      <c r="S274" s="2"/>
      <c r="T274" s="2" t="str">
        <f>IFERROR(IF(ISBLANK(S274),"",INDEX([1]Gen_Vessels!$A$3:$C$500,MATCH(InspectionSite!$S274,[1]Gen_Vessels!$C$3:$C$500,0),1)),"")</f>
        <v/>
      </c>
      <c r="U274" s="2"/>
      <c r="V274" s="2"/>
      <c r="W274" s="2"/>
      <c r="X274" s="2"/>
      <c r="Y274" s="2"/>
      <c r="AB274" s="2"/>
      <c r="AC274" s="2"/>
      <c r="AD274" s="2"/>
      <c r="AE274" s="2"/>
      <c r="AF274" s="2"/>
      <c r="AG274" s="2"/>
      <c r="AH274" s="2"/>
    </row>
    <row r="275" spans="1:34" x14ac:dyDescent="0.25">
      <c r="A275" s="1" t="str">
        <f t="shared" si="4"/>
        <v/>
      </c>
      <c r="B275" s="2"/>
      <c r="C275" s="2"/>
      <c r="D275" s="2"/>
      <c r="E275" s="2"/>
      <c r="F275" s="2"/>
      <c r="G275" s="6"/>
      <c r="H275" s="2"/>
      <c r="I275" s="7"/>
      <c r="J275" s="8"/>
      <c r="Q275" s="2"/>
      <c r="R275" s="2" t="str">
        <f>IFERROR(IF(ISBLANK(Q275),"",INDEX([1]Gen_Vessels!$A$3:$C$500,MATCH(InspectionSite!$Q275,[1]Gen_Vessels!$C$3:$C$500,0),1)),"")</f>
        <v/>
      </c>
      <c r="S275" s="2"/>
      <c r="T275" s="2" t="str">
        <f>IFERROR(IF(ISBLANK(S275),"",INDEX([1]Gen_Vessels!$A$3:$C$500,MATCH(InspectionSite!$S275,[1]Gen_Vessels!$C$3:$C$500,0),1)),"")</f>
        <v/>
      </c>
      <c r="U275" s="2"/>
      <c r="V275" s="2"/>
      <c r="W275" s="2"/>
      <c r="X275" s="2"/>
      <c r="Y275" s="2"/>
      <c r="AB275" s="2"/>
      <c r="AC275" s="2"/>
      <c r="AD275" s="2"/>
      <c r="AE275" s="2"/>
      <c r="AF275" s="2"/>
      <c r="AG275" s="2"/>
      <c r="AH275" s="2"/>
    </row>
    <row r="276" spans="1:34" x14ac:dyDescent="0.25">
      <c r="A276" s="1" t="str">
        <f t="shared" si="4"/>
        <v/>
      </c>
      <c r="B276" s="2"/>
      <c r="C276" s="2"/>
      <c r="D276" s="2"/>
      <c r="E276" s="2"/>
      <c r="F276" s="2"/>
      <c r="G276" s="6"/>
      <c r="H276" s="2"/>
      <c r="I276" s="7"/>
      <c r="J276" s="8"/>
      <c r="Q276" s="2"/>
      <c r="R276" s="2" t="str">
        <f>IFERROR(IF(ISBLANK(Q276),"",INDEX([1]Gen_Vessels!$A$3:$C$500,MATCH(InspectionSite!$Q276,[1]Gen_Vessels!$C$3:$C$500,0),1)),"")</f>
        <v/>
      </c>
      <c r="S276" s="2"/>
      <c r="T276" s="2" t="str">
        <f>IFERROR(IF(ISBLANK(S276),"",INDEX([1]Gen_Vessels!$A$3:$C$500,MATCH(InspectionSite!$S276,[1]Gen_Vessels!$C$3:$C$500,0),1)),"")</f>
        <v/>
      </c>
      <c r="U276" s="2"/>
      <c r="V276" s="2"/>
      <c r="W276" s="2"/>
      <c r="X276" s="2"/>
      <c r="Y276" s="2"/>
      <c r="AB276" s="2"/>
      <c r="AC276" s="2"/>
      <c r="AD276" s="2"/>
      <c r="AE276" s="2"/>
      <c r="AF276" s="2"/>
      <c r="AG276" s="2"/>
      <c r="AH276" s="2"/>
    </row>
    <row r="277" spans="1:34" x14ac:dyDescent="0.25">
      <c r="A277" s="1" t="str">
        <f t="shared" si="4"/>
        <v/>
      </c>
      <c r="B277" s="2"/>
      <c r="C277" s="2"/>
      <c r="D277" s="2"/>
      <c r="E277" s="2"/>
      <c r="F277" s="2"/>
      <c r="G277" s="6"/>
      <c r="H277" s="2"/>
      <c r="I277" s="7"/>
      <c r="J277" s="8"/>
      <c r="Q277" s="2"/>
      <c r="R277" s="2" t="str">
        <f>IFERROR(IF(ISBLANK(Q277),"",INDEX([1]Gen_Vessels!$A$3:$C$500,MATCH(InspectionSite!$Q277,[1]Gen_Vessels!$C$3:$C$500,0),1)),"")</f>
        <v/>
      </c>
      <c r="S277" s="2"/>
      <c r="T277" s="2" t="str">
        <f>IFERROR(IF(ISBLANK(S277),"",INDEX([1]Gen_Vessels!$A$3:$C$500,MATCH(InspectionSite!$S277,[1]Gen_Vessels!$C$3:$C$500,0),1)),"")</f>
        <v/>
      </c>
      <c r="U277" s="2"/>
      <c r="V277" s="2"/>
      <c r="W277" s="2"/>
      <c r="X277" s="2"/>
      <c r="Y277" s="2"/>
      <c r="AB277" s="2"/>
      <c r="AC277" s="2"/>
      <c r="AD277" s="2"/>
      <c r="AE277" s="2"/>
      <c r="AF277" s="2"/>
      <c r="AG277" s="2"/>
      <c r="AH277" s="2"/>
    </row>
    <row r="278" spans="1:34" x14ac:dyDescent="0.25">
      <c r="A278" s="1" t="str">
        <f t="shared" si="4"/>
        <v/>
      </c>
      <c r="B278" s="2"/>
      <c r="C278" s="2"/>
      <c r="D278" s="2"/>
      <c r="E278" s="2"/>
      <c r="F278" s="2"/>
      <c r="G278" s="6"/>
      <c r="H278" s="2"/>
      <c r="I278" s="7"/>
      <c r="J278" s="8"/>
      <c r="Q278" s="2"/>
      <c r="R278" s="2" t="str">
        <f>IFERROR(IF(ISBLANK(Q278),"",INDEX([1]Gen_Vessels!$A$3:$C$500,MATCH(InspectionSite!$Q278,[1]Gen_Vessels!$C$3:$C$500,0),1)),"")</f>
        <v/>
      </c>
      <c r="S278" s="2"/>
      <c r="T278" s="2" t="str">
        <f>IFERROR(IF(ISBLANK(S278),"",INDEX([1]Gen_Vessels!$A$3:$C$500,MATCH(InspectionSite!$S278,[1]Gen_Vessels!$C$3:$C$500,0),1)),"")</f>
        <v/>
      </c>
      <c r="U278" s="2"/>
      <c r="V278" s="2"/>
      <c r="W278" s="2"/>
      <c r="X278" s="2"/>
      <c r="Y278" s="2"/>
      <c r="AB278" s="2"/>
      <c r="AC278" s="2"/>
      <c r="AD278" s="2"/>
      <c r="AE278" s="2"/>
      <c r="AF278" s="2"/>
      <c r="AG278" s="2"/>
      <c r="AH278" s="2"/>
    </row>
    <row r="279" spans="1:34" x14ac:dyDescent="0.25">
      <c r="A279" s="1" t="str">
        <f t="shared" si="4"/>
        <v/>
      </c>
      <c r="B279" s="2"/>
      <c r="C279" s="2"/>
      <c r="D279" s="2"/>
      <c r="E279" s="2"/>
      <c r="F279" s="2"/>
      <c r="G279" s="6"/>
      <c r="H279" s="2"/>
      <c r="I279" s="7"/>
      <c r="J279" s="8"/>
      <c r="Q279" s="2"/>
      <c r="R279" s="2" t="str">
        <f>IFERROR(IF(ISBLANK(Q279),"",INDEX([1]Gen_Vessels!$A$3:$C$500,MATCH(InspectionSite!$Q279,[1]Gen_Vessels!$C$3:$C$500,0),1)),"")</f>
        <v/>
      </c>
      <c r="S279" s="2"/>
      <c r="T279" s="2" t="str">
        <f>IFERROR(IF(ISBLANK(S279),"",INDEX([1]Gen_Vessels!$A$3:$C$500,MATCH(InspectionSite!$S279,[1]Gen_Vessels!$C$3:$C$500,0),1)),"")</f>
        <v/>
      </c>
      <c r="U279" s="2"/>
      <c r="V279" s="2"/>
      <c r="W279" s="2"/>
      <c r="X279" s="2"/>
      <c r="Y279" s="2"/>
      <c r="AB279" s="2"/>
      <c r="AC279" s="2"/>
      <c r="AD279" s="2"/>
      <c r="AE279" s="2"/>
      <c r="AF279" s="2"/>
      <c r="AG279" s="2"/>
      <c r="AH279" s="2"/>
    </row>
    <row r="280" spans="1:34" x14ac:dyDescent="0.25">
      <c r="A280" s="1" t="str">
        <f t="shared" si="4"/>
        <v/>
      </c>
      <c r="B280" s="2"/>
      <c r="C280" s="2"/>
      <c r="D280" s="2"/>
      <c r="E280" s="2"/>
      <c r="F280" s="2"/>
      <c r="G280" s="6"/>
      <c r="H280" s="2"/>
      <c r="I280" s="7"/>
      <c r="J280" s="8"/>
      <c r="Q280" s="2"/>
      <c r="R280" s="2" t="str">
        <f>IFERROR(IF(ISBLANK(Q280),"",INDEX([1]Gen_Vessels!$A$3:$C$500,MATCH(InspectionSite!$Q280,[1]Gen_Vessels!$C$3:$C$500,0),1)),"")</f>
        <v/>
      </c>
      <c r="S280" s="2"/>
      <c r="T280" s="2" t="str">
        <f>IFERROR(IF(ISBLANK(S280),"",INDEX([1]Gen_Vessels!$A$3:$C$500,MATCH(InspectionSite!$S280,[1]Gen_Vessels!$C$3:$C$500,0),1)),"")</f>
        <v/>
      </c>
      <c r="U280" s="2"/>
      <c r="V280" s="2"/>
      <c r="W280" s="2"/>
      <c r="X280" s="2"/>
      <c r="Y280" s="2"/>
      <c r="AB280" s="2"/>
      <c r="AC280" s="2"/>
      <c r="AD280" s="2"/>
      <c r="AE280" s="2"/>
      <c r="AF280" s="2"/>
      <c r="AG280" s="2"/>
      <c r="AH280" s="2"/>
    </row>
    <row r="281" spans="1:34" x14ac:dyDescent="0.25">
      <c r="A281" s="1" t="str">
        <f t="shared" si="4"/>
        <v/>
      </c>
      <c r="B281" s="2"/>
      <c r="C281" s="2"/>
      <c r="D281" s="2"/>
      <c r="E281" s="2"/>
      <c r="F281" s="2"/>
      <c r="G281" s="6"/>
      <c r="H281" s="2"/>
      <c r="I281" s="7"/>
      <c r="J281" s="8"/>
      <c r="Q281" s="2"/>
      <c r="R281" s="2" t="str">
        <f>IFERROR(IF(ISBLANK(Q281),"",INDEX([1]Gen_Vessels!$A$3:$C$500,MATCH(InspectionSite!$Q281,[1]Gen_Vessels!$C$3:$C$500,0),1)),"")</f>
        <v/>
      </c>
      <c r="S281" s="2"/>
      <c r="T281" s="2" t="str">
        <f>IFERROR(IF(ISBLANK(S281),"",INDEX([1]Gen_Vessels!$A$3:$C$500,MATCH(InspectionSite!$S281,[1]Gen_Vessels!$C$3:$C$500,0),1)),"")</f>
        <v/>
      </c>
      <c r="U281" s="2"/>
      <c r="V281" s="2"/>
      <c r="W281" s="2"/>
      <c r="X281" s="2"/>
      <c r="Y281" s="2"/>
      <c r="AB281" s="2"/>
      <c r="AC281" s="2"/>
      <c r="AD281" s="2"/>
      <c r="AE281" s="2"/>
      <c r="AF281" s="2"/>
      <c r="AG281" s="2"/>
      <c r="AH281" s="2"/>
    </row>
    <row r="282" spans="1:34" x14ac:dyDescent="0.25">
      <c r="A282" s="1" t="str">
        <f t="shared" si="4"/>
        <v/>
      </c>
      <c r="B282" s="2"/>
      <c r="C282" s="2"/>
      <c r="D282" s="2"/>
      <c r="E282" s="2"/>
      <c r="F282" s="2"/>
      <c r="G282" s="6"/>
      <c r="H282" s="2"/>
      <c r="I282" s="7"/>
      <c r="J282" s="8"/>
      <c r="Q282" s="2"/>
      <c r="R282" s="2" t="str">
        <f>IFERROR(IF(ISBLANK(Q282),"",INDEX([1]Gen_Vessels!$A$3:$C$500,MATCH(InspectionSite!$Q282,[1]Gen_Vessels!$C$3:$C$500,0),1)),"")</f>
        <v/>
      </c>
      <c r="S282" s="2"/>
      <c r="T282" s="2" t="str">
        <f>IFERROR(IF(ISBLANK(S282),"",INDEX([1]Gen_Vessels!$A$3:$C$500,MATCH(InspectionSite!$S282,[1]Gen_Vessels!$C$3:$C$500,0),1)),"")</f>
        <v/>
      </c>
      <c r="U282" s="2"/>
      <c r="V282" s="2"/>
      <c r="W282" s="2"/>
      <c r="X282" s="2"/>
      <c r="Y282" s="2"/>
      <c r="AB282" s="2"/>
      <c r="AC282" s="2"/>
      <c r="AD282" s="2"/>
      <c r="AE282" s="2"/>
      <c r="AF282" s="2"/>
      <c r="AG282" s="2"/>
      <c r="AH282" s="2"/>
    </row>
    <row r="283" spans="1:34" x14ac:dyDescent="0.25">
      <c r="A283" s="1" t="str">
        <f t="shared" si="4"/>
        <v/>
      </c>
      <c r="B283" s="2"/>
      <c r="C283" s="2"/>
      <c r="D283" s="2"/>
      <c r="E283" s="2"/>
      <c r="F283" s="2"/>
      <c r="G283" s="6"/>
      <c r="H283" s="2"/>
      <c r="I283" s="7"/>
      <c r="J283" s="8"/>
      <c r="Q283" s="2"/>
      <c r="R283" s="2" t="str">
        <f>IFERROR(IF(ISBLANK(Q283),"",INDEX([1]Gen_Vessels!$A$3:$C$500,MATCH(InspectionSite!$Q283,[1]Gen_Vessels!$C$3:$C$500,0),1)),"")</f>
        <v/>
      </c>
      <c r="S283" s="2"/>
      <c r="T283" s="2" t="str">
        <f>IFERROR(IF(ISBLANK(S283),"",INDEX([1]Gen_Vessels!$A$3:$C$500,MATCH(InspectionSite!$S283,[1]Gen_Vessels!$C$3:$C$500,0),1)),"")</f>
        <v/>
      </c>
      <c r="U283" s="2"/>
      <c r="V283" s="2"/>
      <c r="W283" s="2"/>
      <c r="X283" s="2"/>
      <c r="Y283" s="2"/>
      <c r="AB283" s="2"/>
      <c r="AC283" s="2"/>
      <c r="AD283" s="2"/>
      <c r="AE283" s="2"/>
      <c r="AF283" s="2"/>
      <c r="AG283" s="2"/>
      <c r="AH283" s="2"/>
    </row>
    <row r="284" spans="1:34" x14ac:dyDescent="0.25">
      <c r="A284" s="1" t="str">
        <f t="shared" si="4"/>
        <v/>
      </c>
      <c r="B284" s="2"/>
      <c r="C284" s="2"/>
      <c r="D284" s="2"/>
      <c r="E284" s="2"/>
      <c r="F284" s="2"/>
      <c r="G284" s="6"/>
      <c r="H284" s="2"/>
      <c r="I284" s="7"/>
      <c r="J284" s="8"/>
      <c r="Q284" s="2"/>
      <c r="R284" s="2" t="str">
        <f>IFERROR(IF(ISBLANK(Q284),"",INDEX([1]Gen_Vessels!$A$3:$C$500,MATCH(InspectionSite!$Q284,[1]Gen_Vessels!$C$3:$C$500,0),1)),"")</f>
        <v/>
      </c>
      <c r="S284" s="2"/>
      <c r="T284" s="2" t="str">
        <f>IFERROR(IF(ISBLANK(S284),"",INDEX([1]Gen_Vessels!$A$3:$C$500,MATCH(InspectionSite!$S284,[1]Gen_Vessels!$C$3:$C$500,0),1)),"")</f>
        <v/>
      </c>
      <c r="U284" s="2"/>
      <c r="V284" s="2"/>
      <c r="W284" s="2"/>
      <c r="X284" s="2"/>
      <c r="Y284" s="2"/>
      <c r="AB284" s="2"/>
      <c r="AC284" s="2"/>
      <c r="AD284" s="2"/>
      <c r="AE284" s="2"/>
      <c r="AF284" s="2"/>
      <c r="AG284" s="2"/>
      <c r="AH284" s="2"/>
    </row>
    <row r="285" spans="1:34" x14ac:dyDescent="0.25">
      <c r="A285" s="1" t="str">
        <f t="shared" si="4"/>
        <v/>
      </c>
      <c r="B285" s="2"/>
      <c r="C285" s="2"/>
      <c r="D285" s="2"/>
      <c r="E285" s="2"/>
      <c r="F285" s="2"/>
      <c r="G285" s="6"/>
      <c r="H285" s="2"/>
      <c r="I285" s="7"/>
      <c r="J285" s="8"/>
      <c r="Q285" s="2"/>
      <c r="R285" s="2" t="str">
        <f>IFERROR(IF(ISBLANK(Q285),"",INDEX([1]Gen_Vessels!$A$3:$C$500,MATCH(InspectionSite!$Q285,[1]Gen_Vessels!$C$3:$C$500,0),1)),"")</f>
        <v/>
      </c>
      <c r="S285" s="2"/>
      <c r="T285" s="2" t="str">
        <f>IFERROR(IF(ISBLANK(S285),"",INDEX([1]Gen_Vessels!$A$3:$C$500,MATCH(InspectionSite!$S285,[1]Gen_Vessels!$C$3:$C$500,0),1)),"")</f>
        <v/>
      </c>
      <c r="U285" s="2"/>
      <c r="V285" s="2"/>
      <c r="W285" s="2"/>
      <c r="X285" s="2"/>
      <c r="Y285" s="2"/>
      <c r="AB285" s="2"/>
      <c r="AC285" s="2"/>
      <c r="AD285" s="2"/>
      <c r="AE285" s="2"/>
      <c r="AF285" s="2"/>
      <c r="AG285" s="2"/>
      <c r="AH285" s="2"/>
    </row>
    <row r="286" spans="1:34" x14ac:dyDescent="0.25">
      <c r="A286" s="1" t="str">
        <f t="shared" si="4"/>
        <v/>
      </c>
      <c r="B286" s="2"/>
      <c r="C286" s="2"/>
      <c r="D286" s="2"/>
      <c r="E286" s="2"/>
      <c r="F286" s="2"/>
      <c r="G286" s="6"/>
      <c r="H286" s="2"/>
      <c r="I286" s="7"/>
      <c r="J286" s="8"/>
      <c r="Q286" s="2"/>
      <c r="R286" s="2" t="str">
        <f>IFERROR(IF(ISBLANK(Q286),"",INDEX([1]Gen_Vessels!$A$3:$C$500,MATCH(InspectionSite!$Q286,[1]Gen_Vessels!$C$3:$C$500,0),1)),"")</f>
        <v/>
      </c>
      <c r="S286" s="2"/>
      <c r="T286" s="2" t="str">
        <f>IFERROR(IF(ISBLANK(S286),"",INDEX([1]Gen_Vessels!$A$3:$C$500,MATCH(InspectionSite!$S286,[1]Gen_Vessels!$C$3:$C$500,0),1)),"")</f>
        <v/>
      </c>
      <c r="U286" s="2"/>
      <c r="V286" s="2"/>
      <c r="W286" s="2"/>
      <c r="X286" s="2"/>
      <c r="Y286" s="2"/>
      <c r="AB286" s="2"/>
      <c r="AC286" s="2"/>
      <c r="AD286" s="2"/>
      <c r="AE286" s="2"/>
      <c r="AF286" s="2"/>
      <c r="AG286" s="2"/>
      <c r="AH286" s="2"/>
    </row>
    <row r="287" spans="1:34" x14ac:dyDescent="0.25">
      <c r="A287" s="1" t="str">
        <f t="shared" si="4"/>
        <v/>
      </c>
      <c r="B287" s="2"/>
      <c r="C287" s="2"/>
      <c r="D287" s="2"/>
      <c r="E287" s="2"/>
      <c r="F287" s="2"/>
      <c r="G287" s="6"/>
      <c r="H287" s="2"/>
      <c r="I287" s="7"/>
      <c r="J287" s="8"/>
      <c r="Q287" s="2"/>
      <c r="R287" s="2" t="str">
        <f>IFERROR(IF(ISBLANK(Q287),"",INDEX([1]Gen_Vessels!$A$3:$C$500,MATCH(InspectionSite!$Q287,[1]Gen_Vessels!$C$3:$C$500,0),1)),"")</f>
        <v/>
      </c>
      <c r="S287" s="2"/>
      <c r="T287" s="2" t="str">
        <f>IFERROR(IF(ISBLANK(S287),"",INDEX([1]Gen_Vessels!$A$3:$C$500,MATCH(InspectionSite!$S287,[1]Gen_Vessels!$C$3:$C$500,0),1)),"")</f>
        <v/>
      </c>
      <c r="U287" s="2"/>
      <c r="V287" s="2"/>
      <c r="W287" s="2"/>
      <c r="X287" s="2"/>
      <c r="Y287" s="2"/>
      <c r="AB287" s="2"/>
      <c r="AC287" s="2"/>
      <c r="AD287" s="2"/>
      <c r="AE287" s="2"/>
      <c r="AF287" s="2"/>
      <c r="AG287" s="2"/>
      <c r="AH287" s="2"/>
    </row>
    <row r="288" spans="1:34" x14ac:dyDescent="0.25">
      <c r="A288" s="1" t="str">
        <f t="shared" si="4"/>
        <v/>
      </c>
      <c r="B288" s="2"/>
      <c r="C288" s="2"/>
      <c r="D288" s="2"/>
      <c r="E288" s="2"/>
      <c r="F288" s="2"/>
      <c r="G288" s="6"/>
      <c r="H288" s="2"/>
      <c r="I288" s="7"/>
      <c r="J288" s="8"/>
      <c r="Q288" s="2"/>
      <c r="R288" s="2" t="str">
        <f>IFERROR(IF(ISBLANK(Q288),"",INDEX([1]Gen_Vessels!$A$3:$C$500,MATCH(InspectionSite!$Q288,[1]Gen_Vessels!$C$3:$C$500,0),1)),"")</f>
        <v/>
      </c>
      <c r="S288" s="2"/>
      <c r="T288" s="2" t="str">
        <f>IFERROR(IF(ISBLANK(S288),"",INDEX([1]Gen_Vessels!$A$3:$C$500,MATCH(InspectionSite!$S288,[1]Gen_Vessels!$C$3:$C$500,0),1)),"")</f>
        <v/>
      </c>
      <c r="U288" s="2"/>
      <c r="V288" s="2"/>
      <c r="W288" s="2"/>
      <c r="X288" s="2"/>
      <c r="Y288" s="2"/>
      <c r="AB288" s="2"/>
      <c r="AC288" s="2"/>
      <c r="AD288" s="2"/>
      <c r="AE288" s="2"/>
      <c r="AF288" s="2"/>
      <c r="AG288" s="2"/>
      <c r="AH288" s="2"/>
    </row>
    <row r="289" spans="1:34" x14ac:dyDescent="0.25">
      <c r="A289" s="1" t="str">
        <f t="shared" si="4"/>
        <v/>
      </c>
      <c r="B289" s="2"/>
      <c r="C289" s="2"/>
      <c r="D289" s="2"/>
      <c r="E289" s="2"/>
      <c r="F289" s="2"/>
      <c r="G289" s="6"/>
      <c r="H289" s="2"/>
      <c r="I289" s="7"/>
      <c r="J289" s="8"/>
      <c r="Q289" s="2"/>
      <c r="R289" s="2" t="str">
        <f>IFERROR(IF(ISBLANK(Q289),"",INDEX([1]Gen_Vessels!$A$3:$C$500,MATCH(InspectionSite!$Q289,[1]Gen_Vessels!$C$3:$C$500,0),1)),"")</f>
        <v/>
      </c>
      <c r="S289" s="2"/>
      <c r="T289" s="2" t="str">
        <f>IFERROR(IF(ISBLANK(S289),"",INDEX([1]Gen_Vessels!$A$3:$C$500,MATCH(InspectionSite!$S289,[1]Gen_Vessels!$C$3:$C$500,0),1)),"")</f>
        <v/>
      </c>
      <c r="U289" s="2"/>
      <c r="V289" s="2"/>
      <c r="W289" s="2"/>
      <c r="X289" s="2"/>
      <c r="Y289" s="2"/>
      <c r="AB289" s="2"/>
      <c r="AC289" s="2"/>
      <c r="AD289" s="2"/>
      <c r="AE289" s="2"/>
      <c r="AF289" s="2"/>
      <c r="AG289" s="2"/>
      <c r="AH289" s="2"/>
    </row>
    <row r="290" spans="1:34" x14ac:dyDescent="0.25">
      <c r="A290" s="1" t="str">
        <f t="shared" si="4"/>
        <v/>
      </c>
      <c r="B290" s="2"/>
      <c r="C290" s="2"/>
      <c r="D290" s="2"/>
      <c r="E290" s="2"/>
      <c r="F290" s="2"/>
      <c r="G290" s="6"/>
      <c r="H290" s="2"/>
      <c r="I290" s="7"/>
      <c r="J290" s="8"/>
      <c r="Q290" s="2"/>
      <c r="R290" s="2" t="str">
        <f>IFERROR(IF(ISBLANK(Q290),"",INDEX([1]Gen_Vessels!$A$3:$C$500,MATCH(InspectionSite!$Q290,[1]Gen_Vessels!$C$3:$C$500,0),1)),"")</f>
        <v/>
      </c>
      <c r="S290" s="2"/>
      <c r="T290" s="2" t="str">
        <f>IFERROR(IF(ISBLANK(S290),"",INDEX([1]Gen_Vessels!$A$3:$C$500,MATCH(InspectionSite!$S290,[1]Gen_Vessels!$C$3:$C$500,0),1)),"")</f>
        <v/>
      </c>
      <c r="U290" s="2"/>
      <c r="V290" s="2"/>
      <c r="W290" s="2"/>
      <c r="X290" s="2"/>
      <c r="Y290" s="2"/>
      <c r="AB290" s="2"/>
      <c r="AC290" s="2"/>
      <c r="AD290" s="2"/>
      <c r="AE290" s="2"/>
      <c r="AF290" s="2"/>
      <c r="AG290" s="2"/>
      <c r="AH290" s="2"/>
    </row>
    <row r="291" spans="1:34" x14ac:dyDescent="0.25">
      <c r="A291" s="1" t="str">
        <f t="shared" si="4"/>
        <v/>
      </c>
      <c r="B291" s="2"/>
      <c r="C291" s="2"/>
      <c r="D291" s="2"/>
      <c r="E291" s="2"/>
      <c r="F291" s="2"/>
      <c r="G291" s="6"/>
      <c r="H291" s="2"/>
      <c r="I291" s="7"/>
      <c r="J291" s="8"/>
      <c r="Q291" s="2"/>
      <c r="R291" s="2" t="str">
        <f>IFERROR(IF(ISBLANK(Q291),"",INDEX([1]Gen_Vessels!$A$3:$C$500,MATCH(InspectionSite!$Q291,[1]Gen_Vessels!$C$3:$C$500,0),1)),"")</f>
        <v/>
      </c>
      <c r="S291" s="2"/>
      <c r="T291" s="2" t="str">
        <f>IFERROR(IF(ISBLANK(S291),"",INDEX([1]Gen_Vessels!$A$3:$C$500,MATCH(InspectionSite!$S291,[1]Gen_Vessels!$C$3:$C$500,0),1)),"")</f>
        <v/>
      </c>
      <c r="U291" s="2"/>
      <c r="V291" s="2"/>
      <c r="W291" s="2"/>
      <c r="X291" s="2"/>
      <c r="Y291" s="2"/>
      <c r="AB291" s="2"/>
      <c r="AC291" s="2"/>
      <c r="AD291" s="2"/>
      <c r="AE291" s="2"/>
      <c r="AF291" s="2"/>
      <c r="AG291" s="2"/>
      <c r="AH291" s="2"/>
    </row>
    <row r="292" spans="1:34" x14ac:dyDescent="0.25">
      <c r="A292" s="1" t="str">
        <f t="shared" si="4"/>
        <v/>
      </c>
      <c r="B292" s="2"/>
      <c r="C292" s="2"/>
      <c r="D292" s="2"/>
      <c r="E292" s="2"/>
      <c r="F292" s="2"/>
      <c r="G292" s="6"/>
      <c r="H292" s="2"/>
      <c r="I292" s="7"/>
      <c r="J292" s="8"/>
      <c r="Q292" s="2"/>
      <c r="R292" s="2" t="str">
        <f>IFERROR(IF(ISBLANK(Q292),"",INDEX([1]Gen_Vessels!$A$3:$C$500,MATCH(InspectionSite!$Q292,[1]Gen_Vessels!$C$3:$C$500,0),1)),"")</f>
        <v/>
      </c>
      <c r="S292" s="2"/>
      <c r="T292" s="2" t="str">
        <f>IFERROR(IF(ISBLANK(S292),"",INDEX([1]Gen_Vessels!$A$3:$C$500,MATCH(InspectionSite!$S292,[1]Gen_Vessels!$C$3:$C$500,0),1)),"")</f>
        <v/>
      </c>
      <c r="U292" s="2"/>
      <c r="V292" s="2"/>
      <c r="W292" s="2"/>
      <c r="X292" s="2"/>
      <c r="Y292" s="2"/>
      <c r="AB292" s="2"/>
      <c r="AC292" s="2"/>
      <c r="AD292" s="2"/>
      <c r="AE292" s="2"/>
      <c r="AF292" s="2"/>
      <c r="AG292" s="2"/>
      <c r="AH292" s="2"/>
    </row>
    <row r="293" spans="1:34" x14ac:dyDescent="0.25">
      <c r="A293" s="1" t="str">
        <f t="shared" si="4"/>
        <v/>
      </c>
      <c r="B293" s="2"/>
      <c r="C293" s="2"/>
      <c r="D293" s="2"/>
      <c r="E293" s="2"/>
      <c r="F293" s="2"/>
      <c r="G293" s="6"/>
      <c r="H293" s="2"/>
      <c r="I293" s="7"/>
      <c r="J293" s="8"/>
      <c r="Q293" s="2"/>
      <c r="R293" s="2" t="str">
        <f>IFERROR(IF(ISBLANK(Q293),"",INDEX([1]Gen_Vessels!$A$3:$C$500,MATCH(InspectionSite!$Q293,[1]Gen_Vessels!$C$3:$C$500,0),1)),"")</f>
        <v/>
      </c>
      <c r="S293" s="2"/>
      <c r="T293" s="2" t="str">
        <f>IFERROR(IF(ISBLANK(S293),"",INDEX([1]Gen_Vessels!$A$3:$C$500,MATCH(InspectionSite!$S293,[1]Gen_Vessels!$C$3:$C$500,0),1)),"")</f>
        <v/>
      </c>
      <c r="U293" s="2"/>
      <c r="V293" s="2"/>
      <c r="W293" s="2"/>
      <c r="X293" s="2"/>
      <c r="Y293" s="2"/>
      <c r="AB293" s="2"/>
      <c r="AC293" s="2"/>
      <c r="AD293" s="2"/>
      <c r="AE293" s="2"/>
      <c r="AF293" s="2"/>
      <c r="AG293" s="2"/>
      <c r="AH293" s="2"/>
    </row>
    <row r="294" spans="1:34" x14ac:dyDescent="0.25">
      <c r="A294" s="1" t="str">
        <f t="shared" si="4"/>
        <v/>
      </c>
      <c r="B294" s="2"/>
      <c r="C294" s="2"/>
      <c r="D294" s="2"/>
      <c r="E294" s="2"/>
      <c r="F294" s="2"/>
      <c r="G294" s="6"/>
      <c r="H294" s="2"/>
      <c r="I294" s="7"/>
      <c r="J294" s="8"/>
      <c r="Q294" s="2"/>
      <c r="R294" s="2" t="str">
        <f>IFERROR(IF(ISBLANK(Q294),"",INDEX([1]Gen_Vessels!$A$3:$C$500,MATCH(InspectionSite!$Q294,[1]Gen_Vessels!$C$3:$C$500,0),1)),"")</f>
        <v/>
      </c>
      <c r="S294" s="2"/>
      <c r="T294" s="2" t="str">
        <f>IFERROR(IF(ISBLANK(S294),"",INDEX([1]Gen_Vessels!$A$3:$C$500,MATCH(InspectionSite!$S294,[1]Gen_Vessels!$C$3:$C$500,0),1)),"")</f>
        <v/>
      </c>
      <c r="U294" s="2"/>
      <c r="V294" s="2"/>
      <c r="W294" s="2"/>
      <c r="X294" s="2"/>
      <c r="Y294" s="2"/>
      <c r="AB294" s="2"/>
      <c r="AC294" s="2"/>
      <c r="AD294" s="2"/>
      <c r="AE294" s="2"/>
      <c r="AF294" s="2"/>
      <c r="AG294" s="2"/>
      <c r="AH294" s="2"/>
    </row>
    <row r="295" spans="1:34" x14ac:dyDescent="0.25">
      <c r="A295" s="1" t="str">
        <f t="shared" si="4"/>
        <v/>
      </c>
      <c r="B295" s="2"/>
      <c r="C295" s="2"/>
      <c r="D295" s="2"/>
      <c r="E295" s="2"/>
      <c r="F295" s="2"/>
      <c r="G295" s="6"/>
      <c r="H295" s="2"/>
      <c r="I295" s="7"/>
      <c r="J295" s="8"/>
      <c r="Q295" s="2"/>
      <c r="R295" s="2" t="str">
        <f>IFERROR(IF(ISBLANK(Q295),"",INDEX([1]Gen_Vessels!$A$3:$C$500,MATCH(InspectionSite!$Q295,[1]Gen_Vessels!$C$3:$C$500,0),1)),"")</f>
        <v/>
      </c>
      <c r="S295" s="2"/>
      <c r="T295" s="2" t="str">
        <f>IFERROR(IF(ISBLANK(S295),"",INDEX([1]Gen_Vessels!$A$3:$C$500,MATCH(InspectionSite!$S295,[1]Gen_Vessels!$C$3:$C$500,0),1)),"")</f>
        <v/>
      </c>
      <c r="U295" s="2"/>
      <c r="V295" s="2"/>
      <c r="W295" s="2"/>
      <c r="X295" s="2"/>
      <c r="Y295" s="2"/>
      <c r="AB295" s="2"/>
      <c r="AC295" s="2"/>
      <c r="AD295" s="2"/>
      <c r="AE295" s="2"/>
      <c r="AF295" s="2"/>
      <c r="AG295" s="2"/>
      <c r="AH295" s="2"/>
    </row>
    <row r="296" spans="1:34" x14ac:dyDescent="0.25">
      <c r="A296" s="1" t="str">
        <f t="shared" si="4"/>
        <v/>
      </c>
      <c r="B296" s="2"/>
      <c r="C296" s="2"/>
      <c r="D296" s="2"/>
      <c r="E296" s="2"/>
      <c r="F296" s="2"/>
      <c r="G296" s="6"/>
      <c r="H296" s="2"/>
      <c r="I296" s="7"/>
      <c r="J296" s="8"/>
      <c r="Q296" s="2"/>
      <c r="R296" s="2" t="str">
        <f>IFERROR(IF(ISBLANK(Q296),"",INDEX([1]Gen_Vessels!$A$3:$C$500,MATCH(InspectionSite!$Q296,[1]Gen_Vessels!$C$3:$C$500,0),1)),"")</f>
        <v/>
      </c>
      <c r="S296" s="2"/>
      <c r="T296" s="2" t="str">
        <f>IFERROR(IF(ISBLANK(S296),"",INDEX([1]Gen_Vessels!$A$3:$C$500,MATCH(InspectionSite!$S296,[1]Gen_Vessels!$C$3:$C$500,0),1)),"")</f>
        <v/>
      </c>
      <c r="U296" s="2"/>
      <c r="V296" s="2"/>
      <c r="W296" s="2"/>
      <c r="X296" s="2"/>
      <c r="Y296" s="2"/>
      <c r="AB296" s="2"/>
      <c r="AC296" s="2"/>
      <c r="AD296" s="2"/>
      <c r="AE296" s="2"/>
      <c r="AF296" s="2"/>
      <c r="AG296" s="2"/>
      <c r="AH296" s="2"/>
    </row>
    <row r="297" spans="1:34" x14ac:dyDescent="0.25">
      <c r="A297" s="1" t="str">
        <f t="shared" si="4"/>
        <v/>
      </c>
      <c r="B297" s="2"/>
      <c r="C297" s="2"/>
      <c r="D297" s="2"/>
      <c r="E297" s="2"/>
      <c r="F297" s="2"/>
      <c r="G297" s="6"/>
      <c r="H297" s="2"/>
      <c r="I297" s="7"/>
      <c r="J297" s="8"/>
      <c r="Q297" s="2"/>
      <c r="R297" s="2" t="str">
        <f>IFERROR(IF(ISBLANK(Q297),"",INDEX([1]Gen_Vessels!$A$3:$C$500,MATCH(InspectionSite!$Q297,[1]Gen_Vessels!$C$3:$C$500,0),1)),"")</f>
        <v/>
      </c>
      <c r="S297" s="2"/>
      <c r="T297" s="2" t="str">
        <f>IFERROR(IF(ISBLANK(S297),"",INDEX([1]Gen_Vessels!$A$3:$C$500,MATCH(InspectionSite!$S297,[1]Gen_Vessels!$C$3:$C$500,0),1)),"")</f>
        <v/>
      </c>
      <c r="U297" s="2"/>
      <c r="V297" s="2"/>
      <c r="W297" s="2"/>
      <c r="X297" s="2"/>
      <c r="Y297" s="2"/>
      <c r="AB297" s="2"/>
      <c r="AC297" s="2"/>
      <c r="AD297" s="2"/>
      <c r="AE297" s="2"/>
      <c r="AF297" s="2"/>
      <c r="AG297" s="2"/>
      <c r="AH297" s="2"/>
    </row>
    <row r="298" spans="1:34" x14ac:dyDescent="0.25">
      <c r="A298" s="1" t="str">
        <f t="shared" si="4"/>
        <v/>
      </c>
      <c r="B298" s="2"/>
      <c r="C298" s="2"/>
      <c r="D298" s="2"/>
      <c r="E298" s="2"/>
      <c r="F298" s="2"/>
      <c r="G298" s="6"/>
      <c r="H298" s="2"/>
      <c r="I298" s="7"/>
      <c r="J298" s="8"/>
      <c r="Q298" s="2"/>
      <c r="R298" s="2" t="str">
        <f>IFERROR(IF(ISBLANK(Q298),"",INDEX([1]Gen_Vessels!$A$3:$C$500,MATCH(InspectionSite!$Q298,[1]Gen_Vessels!$C$3:$C$500,0),1)),"")</f>
        <v/>
      </c>
      <c r="S298" s="2"/>
      <c r="T298" s="2" t="str">
        <f>IFERROR(IF(ISBLANK(S298),"",INDEX([1]Gen_Vessels!$A$3:$C$500,MATCH(InspectionSite!$S298,[1]Gen_Vessels!$C$3:$C$500,0),1)),"")</f>
        <v/>
      </c>
      <c r="U298" s="2"/>
      <c r="V298" s="2"/>
      <c r="W298" s="2"/>
      <c r="X298" s="2"/>
      <c r="Y298" s="2"/>
      <c r="AB298" s="2"/>
      <c r="AC298" s="2"/>
      <c r="AD298" s="2"/>
      <c r="AE298" s="2"/>
      <c r="AF298" s="2"/>
      <c r="AG298" s="2"/>
      <c r="AH298" s="2"/>
    </row>
    <row r="299" spans="1:34" x14ac:dyDescent="0.25">
      <c r="A299" s="1" t="str">
        <f t="shared" si="4"/>
        <v/>
      </c>
      <c r="B299" s="2"/>
      <c r="C299" s="2"/>
      <c r="D299" s="2"/>
      <c r="E299" s="2"/>
      <c r="F299" s="2"/>
      <c r="G299" s="6"/>
      <c r="H299" s="2"/>
      <c r="I299" s="7"/>
      <c r="J299" s="8"/>
      <c r="Q299" s="2"/>
      <c r="R299" s="2" t="str">
        <f>IFERROR(IF(ISBLANK(Q299),"",INDEX([1]Gen_Vessels!$A$3:$C$500,MATCH(InspectionSite!$Q299,[1]Gen_Vessels!$C$3:$C$500,0),1)),"")</f>
        <v/>
      </c>
      <c r="S299" s="2"/>
      <c r="T299" s="2" t="str">
        <f>IFERROR(IF(ISBLANK(S299),"",INDEX([1]Gen_Vessels!$A$3:$C$500,MATCH(InspectionSite!$S299,[1]Gen_Vessels!$C$3:$C$500,0),1)),"")</f>
        <v/>
      </c>
      <c r="U299" s="2"/>
      <c r="V299" s="2"/>
      <c r="W299" s="2"/>
      <c r="X299" s="2"/>
      <c r="Y299" s="2"/>
      <c r="AB299" s="2"/>
      <c r="AC299" s="2"/>
      <c r="AD299" s="2"/>
      <c r="AE299" s="2"/>
      <c r="AF299" s="2"/>
      <c r="AG299" s="2"/>
      <c r="AH299" s="2"/>
    </row>
    <row r="300" spans="1:34" x14ac:dyDescent="0.25">
      <c r="A300" s="1" t="str">
        <f t="shared" si="4"/>
        <v/>
      </c>
      <c r="B300" s="2"/>
      <c r="C300" s="2"/>
      <c r="D300" s="2"/>
      <c r="E300" s="2"/>
      <c r="F300" s="2"/>
      <c r="G300" s="6"/>
      <c r="H300" s="2"/>
      <c r="I300" s="7"/>
      <c r="J300" s="8"/>
      <c r="Q300" s="2"/>
      <c r="R300" s="2" t="str">
        <f>IFERROR(IF(ISBLANK(Q300),"",INDEX([1]Gen_Vessels!$A$3:$C$500,MATCH(InspectionSite!$Q300,[1]Gen_Vessels!$C$3:$C$500,0),1)),"")</f>
        <v/>
      </c>
      <c r="S300" s="2"/>
      <c r="T300" s="2" t="str">
        <f>IFERROR(IF(ISBLANK(S300),"",INDEX([1]Gen_Vessels!$A$3:$C$500,MATCH(InspectionSite!$S300,[1]Gen_Vessels!$C$3:$C$500,0),1)),"")</f>
        <v/>
      </c>
      <c r="U300" s="2"/>
      <c r="V300" s="2"/>
      <c r="W300" s="2"/>
      <c r="X300" s="2"/>
      <c r="Y300" s="2"/>
      <c r="AB300" s="2"/>
      <c r="AC300" s="2"/>
      <c r="AD300" s="2"/>
      <c r="AE300" s="2"/>
      <c r="AF300" s="2"/>
      <c r="AG300" s="2"/>
      <c r="AH300" s="2"/>
    </row>
    <row r="301" spans="1:34" x14ac:dyDescent="0.25">
      <c r="A301" s="1" t="str">
        <f t="shared" si="4"/>
        <v/>
      </c>
      <c r="B301" s="2"/>
      <c r="C301" s="2"/>
      <c r="D301" s="2"/>
      <c r="E301" s="2"/>
      <c r="F301" s="2"/>
      <c r="G301" s="6"/>
      <c r="H301" s="2"/>
      <c r="I301" s="7"/>
      <c r="J301" s="8"/>
      <c r="Q301" s="2"/>
      <c r="R301" s="2" t="str">
        <f>IFERROR(IF(ISBLANK(Q301),"",INDEX([1]Gen_Vessels!$A$3:$C$500,MATCH(InspectionSite!$Q301,[1]Gen_Vessels!$C$3:$C$500,0),1)),"")</f>
        <v/>
      </c>
      <c r="S301" s="2"/>
      <c r="T301" s="2" t="str">
        <f>IFERROR(IF(ISBLANK(S301),"",INDEX([1]Gen_Vessels!$A$3:$C$500,MATCH(InspectionSite!$S301,[1]Gen_Vessels!$C$3:$C$500,0),1)),"")</f>
        <v/>
      </c>
      <c r="U301" s="2"/>
      <c r="V301" s="2"/>
      <c r="W301" s="2"/>
      <c r="X301" s="2"/>
      <c r="Y301" s="2"/>
      <c r="AB301" s="2"/>
      <c r="AC301" s="2"/>
      <c r="AD301" s="2"/>
      <c r="AE301" s="2"/>
      <c r="AF301" s="2"/>
      <c r="AG301" s="2"/>
      <c r="AH301" s="2"/>
    </row>
    <row r="302" spans="1:34" x14ac:dyDescent="0.25">
      <c r="A302" s="1" t="str">
        <f t="shared" si="4"/>
        <v/>
      </c>
      <c r="B302" s="2"/>
      <c r="C302" s="2"/>
      <c r="D302" s="2"/>
      <c r="E302" s="2"/>
      <c r="F302" s="2"/>
      <c r="G302" s="6"/>
      <c r="H302" s="2"/>
      <c r="I302" s="7"/>
      <c r="J302" s="8"/>
      <c r="Q302" s="2"/>
      <c r="R302" s="2" t="str">
        <f>IFERROR(IF(ISBLANK(Q302),"",INDEX([1]Gen_Vessels!$A$3:$C$500,MATCH(InspectionSite!$Q302,[1]Gen_Vessels!$C$3:$C$500,0),1)),"")</f>
        <v/>
      </c>
      <c r="S302" s="2"/>
      <c r="T302" s="2" t="str">
        <f>IFERROR(IF(ISBLANK(S302),"",INDEX([1]Gen_Vessels!$A$3:$C$500,MATCH(InspectionSite!$S302,[1]Gen_Vessels!$C$3:$C$500,0),1)),"")</f>
        <v/>
      </c>
      <c r="U302" s="2"/>
      <c r="V302" s="2"/>
      <c r="W302" s="2"/>
      <c r="X302" s="2"/>
      <c r="Y302" s="2"/>
      <c r="AB302" s="2"/>
      <c r="AC302" s="2"/>
      <c r="AD302" s="2"/>
      <c r="AE302" s="2"/>
      <c r="AF302" s="2"/>
      <c r="AG302" s="2"/>
      <c r="AH302" s="2"/>
    </row>
    <row r="303" spans="1:34" x14ac:dyDescent="0.25">
      <c r="A303" s="1" t="str">
        <f t="shared" si="4"/>
        <v/>
      </c>
      <c r="B303" s="2"/>
      <c r="C303" s="2"/>
      <c r="D303" s="2"/>
      <c r="E303" s="2"/>
      <c r="F303" s="2"/>
      <c r="G303" s="6"/>
      <c r="H303" s="2"/>
      <c r="I303" s="7"/>
      <c r="J303" s="8"/>
      <c r="Q303" s="2"/>
      <c r="R303" s="2" t="str">
        <f>IFERROR(IF(ISBLANK(Q303),"",INDEX([1]Gen_Vessels!$A$3:$C$500,MATCH(InspectionSite!$Q303,[1]Gen_Vessels!$C$3:$C$500,0),1)),"")</f>
        <v/>
      </c>
      <c r="S303" s="2"/>
      <c r="T303" s="2" t="str">
        <f>IFERROR(IF(ISBLANK(S303),"",INDEX([1]Gen_Vessels!$A$3:$C$500,MATCH(InspectionSite!$S303,[1]Gen_Vessels!$C$3:$C$500,0),1)),"")</f>
        <v/>
      </c>
      <c r="U303" s="2"/>
      <c r="V303" s="2"/>
      <c r="W303" s="2"/>
      <c r="X303" s="2"/>
      <c r="Y303" s="2"/>
      <c r="AB303" s="2"/>
      <c r="AC303" s="2"/>
      <c r="AD303" s="2"/>
      <c r="AE303" s="2"/>
      <c r="AF303" s="2"/>
      <c r="AG303" s="2"/>
      <c r="AH303" s="2"/>
    </row>
    <row r="304" spans="1:34" x14ac:dyDescent="0.25">
      <c r="A304" s="1" t="str">
        <f t="shared" si="4"/>
        <v/>
      </c>
      <c r="B304" s="2"/>
      <c r="C304" s="2"/>
      <c r="D304" s="2"/>
      <c r="E304" s="2"/>
      <c r="F304" s="2"/>
      <c r="G304" s="6"/>
      <c r="H304" s="2"/>
      <c r="I304" s="7"/>
      <c r="J304" s="8"/>
      <c r="Q304" s="2"/>
      <c r="R304" s="2" t="str">
        <f>IFERROR(IF(ISBLANK(Q304),"",INDEX([1]Gen_Vessels!$A$3:$C$500,MATCH(InspectionSite!$Q304,[1]Gen_Vessels!$C$3:$C$500,0),1)),"")</f>
        <v/>
      </c>
      <c r="S304" s="2"/>
      <c r="T304" s="2" t="str">
        <f>IFERROR(IF(ISBLANK(S304),"",INDEX([1]Gen_Vessels!$A$3:$C$500,MATCH(InspectionSite!$S304,[1]Gen_Vessels!$C$3:$C$500,0),1)),"")</f>
        <v/>
      </c>
      <c r="U304" s="2"/>
      <c r="V304" s="2"/>
      <c r="W304" s="2"/>
      <c r="X304" s="2"/>
      <c r="Y304" s="2"/>
      <c r="AB304" s="2"/>
      <c r="AC304" s="2"/>
      <c r="AD304" s="2"/>
      <c r="AE304" s="2"/>
      <c r="AF304" s="2"/>
      <c r="AG304" s="2"/>
      <c r="AH304" s="2"/>
    </row>
    <row r="305" spans="1:34" x14ac:dyDescent="0.25">
      <c r="A305" s="1" t="str">
        <f t="shared" si="4"/>
        <v/>
      </c>
      <c r="B305" s="2"/>
      <c r="C305" s="2"/>
      <c r="D305" s="2"/>
      <c r="E305" s="2"/>
      <c r="F305" s="2"/>
      <c r="G305" s="6"/>
      <c r="H305" s="2"/>
      <c r="I305" s="7"/>
      <c r="J305" s="8"/>
      <c r="Q305" s="2"/>
      <c r="R305" s="2" t="str">
        <f>IFERROR(IF(ISBLANK(Q305),"",INDEX([1]Gen_Vessels!$A$3:$C$500,MATCH(InspectionSite!$Q305,[1]Gen_Vessels!$C$3:$C$500,0),1)),"")</f>
        <v/>
      </c>
      <c r="S305" s="2"/>
      <c r="T305" s="2" t="str">
        <f>IFERROR(IF(ISBLANK(S305),"",INDEX([1]Gen_Vessels!$A$3:$C$500,MATCH(InspectionSite!$S305,[1]Gen_Vessels!$C$3:$C$500,0),1)),"")</f>
        <v/>
      </c>
      <c r="U305" s="2"/>
      <c r="V305" s="2"/>
      <c r="W305" s="2"/>
      <c r="X305" s="2"/>
      <c r="Y305" s="2"/>
      <c r="AB305" s="2"/>
      <c r="AC305" s="2"/>
      <c r="AD305" s="2"/>
      <c r="AE305" s="2"/>
      <c r="AF305" s="2"/>
      <c r="AG305" s="2"/>
      <c r="AH305" s="2"/>
    </row>
    <row r="306" spans="1:34" x14ac:dyDescent="0.25">
      <c r="A306" s="1" t="str">
        <f t="shared" si="4"/>
        <v/>
      </c>
      <c r="B306" s="2"/>
      <c r="C306" s="2"/>
      <c r="D306" s="2"/>
      <c r="E306" s="2"/>
      <c r="F306" s="2"/>
      <c r="G306" s="6"/>
      <c r="H306" s="2"/>
      <c r="I306" s="7"/>
      <c r="J306" s="8"/>
      <c r="Q306" s="2"/>
      <c r="R306" s="2" t="str">
        <f>IFERROR(IF(ISBLANK(Q306),"",INDEX([1]Gen_Vessels!$A$3:$C$500,MATCH(InspectionSite!$Q306,[1]Gen_Vessels!$C$3:$C$500,0),1)),"")</f>
        <v/>
      </c>
      <c r="S306" s="2"/>
      <c r="T306" s="2" t="str">
        <f>IFERROR(IF(ISBLANK(S306),"",INDEX([1]Gen_Vessels!$A$3:$C$500,MATCH(InspectionSite!$S306,[1]Gen_Vessels!$C$3:$C$500,0),1)),"")</f>
        <v/>
      </c>
      <c r="U306" s="2"/>
      <c r="V306" s="2"/>
      <c r="W306" s="2"/>
      <c r="X306" s="2"/>
      <c r="Y306" s="2"/>
      <c r="AB306" s="2"/>
      <c r="AC306" s="2"/>
      <c r="AD306" s="2"/>
      <c r="AE306" s="2"/>
      <c r="AF306" s="2"/>
      <c r="AG306" s="2"/>
      <c r="AH306" s="2"/>
    </row>
    <row r="307" spans="1:34" x14ac:dyDescent="0.25">
      <c r="A307" s="1" t="str">
        <f t="shared" si="4"/>
        <v/>
      </c>
      <c r="B307" s="2"/>
      <c r="C307" s="2"/>
      <c r="D307" s="2"/>
      <c r="E307" s="2"/>
      <c r="F307" s="2"/>
      <c r="G307" s="6"/>
      <c r="H307" s="2"/>
      <c r="I307" s="7"/>
      <c r="J307" s="8"/>
      <c r="Q307" s="2"/>
      <c r="R307" s="2" t="str">
        <f>IFERROR(IF(ISBLANK(Q307),"",INDEX([1]Gen_Vessels!$A$3:$C$500,MATCH(InspectionSite!$Q307,[1]Gen_Vessels!$C$3:$C$500,0),1)),"")</f>
        <v/>
      </c>
      <c r="S307" s="2"/>
      <c r="T307" s="2" t="str">
        <f>IFERROR(IF(ISBLANK(S307),"",INDEX([1]Gen_Vessels!$A$3:$C$500,MATCH(InspectionSite!$S307,[1]Gen_Vessels!$C$3:$C$500,0),1)),"")</f>
        <v/>
      </c>
      <c r="U307" s="2"/>
      <c r="V307" s="2"/>
      <c r="W307" s="2"/>
      <c r="X307" s="2"/>
      <c r="Y307" s="2"/>
      <c r="AB307" s="2"/>
      <c r="AC307" s="2"/>
      <c r="AD307" s="2"/>
      <c r="AE307" s="2"/>
      <c r="AF307" s="2"/>
      <c r="AG307" s="2"/>
      <c r="AH307" s="2"/>
    </row>
    <row r="308" spans="1:34" x14ac:dyDescent="0.25">
      <c r="A308" s="1" t="str">
        <f t="shared" si="4"/>
        <v/>
      </c>
      <c r="B308" s="2"/>
      <c r="C308" s="2"/>
      <c r="D308" s="2"/>
      <c r="E308" s="2"/>
      <c r="F308" s="2"/>
      <c r="G308" s="6"/>
      <c r="H308" s="2"/>
      <c r="I308" s="7"/>
      <c r="J308" s="8"/>
      <c r="Q308" s="2"/>
      <c r="R308" s="2" t="str">
        <f>IFERROR(IF(ISBLANK(Q308),"",INDEX([1]Gen_Vessels!$A$3:$C$500,MATCH(InspectionSite!$Q308,[1]Gen_Vessels!$C$3:$C$500,0),1)),"")</f>
        <v/>
      </c>
      <c r="S308" s="2"/>
      <c r="T308" s="2" t="str">
        <f>IFERROR(IF(ISBLANK(S308),"",INDEX([1]Gen_Vessels!$A$3:$C$500,MATCH(InspectionSite!$S308,[1]Gen_Vessels!$C$3:$C$500,0),1)),"")</f>
        <v/>
      </c>
      <c r="U308" s="2"/>
      <c r="V308" s="2"/>
      <c r="W308" s="2"/>
      <c r="X308" s="2"/>
      <c r="Y308" s="2"/>
      <c r="AB308" s="2"/>
      <c r="AC308" s="2"/>
      <c r="AD308" s="2"/>
      <c r="AE308" s="2"/>
      <c r="AF308" s="2"/>
      <c r="AG308" s="2"/>
      <c r="AH308" s="2"/>
    </row>
    <row r="309" spans="1:34" x14ac:dyDescent="0.25">
      <c r="A309" s="1" t="str">
        <f t="shared" si="4"/>
        <v/>
      </c>
      <c r="B309" s="2"/>
      <c r="C309" s="2"/>
      <c r="D309" s="2"/>
      <c r="E309" s="2"/>
      <c r="F309" s="2"/>
      <c r="G309" s="6"/>
      <c r="H309" s="2"/>
      <c r="I309" s="7"/>
      <c r="J309" s="8"/>
      <c r="Q309" s="2"/>
      <c r="R309" s="2" t="str">
        <f>IFERROR(IF(ISBLANK(Q309),"",INDEX([1]Gen_Vessels!$A$3:$C$500,MATCH(InspectionSite!$Q309,[1]Gen_Vessels!$C$3:$C$500,0),1)),"")</f>
        <v/>
      </c>
      <c r="S309" s="2"/>
      <c r="T309" s="2" t="str">
        <f>IFERROR(IF(ISBLANK(S309),"",INDEX([1]Gen_Vessels!$A$3:$C$500,MATCH(InspectionSite!$S309,[1]Gen_Vessels!$C$3:$C$500,0),1)),"")</f>
        <v/>
      </c>
      <c r="U309" s="2"/>
      <c r="V309" s="2"/>
      <c r="W309" s="2"/>
      <c r="X309" s="2"/>
      <c r="Y309" s="2"/>
      <c r="AB309" s="2"/>
      <c r="AC309" s="2"/>
      <c r="AD309" s="2"/>
      <c r="AE309" s="2"/>
      <c r="AF309" s="2"/>
      <c r="AG309" s="2"/>
      <c r="AH309" s="2"/>
    </row>
    <row r="310" spans="1:34" x14ac:dyDescent="0.25">
      <c r="A310" s="1" t="str">
        <f t="shared" si="4"/>
        <v/>
      </c>
      <c r="B310" s="2"/>
      <c r="C310" s="2"/>
      <c r="D310" s="2"/>
      <c r="E310" s="2"/>
      <c r="F310" s="2"/>
      <c r="G310" s="6"/>
      <c r="H310" s="2"/>
      <c r="I310" s="7"/>
      <c r="J310" s="8"/>
      <c r="Q310" s="2"/>
      <c r="R310" s="2" t="str">
        <f>IFERROR(IF(ISBLANK(Q310),"",INDEX([1]Gen_Vessels!$A$3:$C$500,MATCH(InspectionSite!$Q310,[1]Gen_Vessels!$C$3:$C$500,0),1)),"")</f>
        <v/>
      </c>
      <c r="S310" s="2"/>
      <c r="T310" s="2" t="str">
        <f>IFERROR(IF(ISBLANK(S310),"",INDEX([1]Gen_Vessels!$A$3:$C$500,MATCH(InspectionSite!$S310,[1]Gen_Vessels!$C$3:$C$500,0),1)),"")</f>
        <v/>
      </c>
      <c r="U310" s="2"/>
      <c r="V310" s="2"/>
      <c r="W310" s="2"/>
      <c r="X310" s="2"/>
      <c r="Y310" s="2"/>
      <c r="AB310" s="2"/>
      <c r="AC310" s="2"/>
      <c r="AD310" s="2"/>
      <c r="AE310" s="2"/>
      <c r="AF310" s="2"/>
      <c r="AG310" s="2"/>
      <c r="AH310" s="2"/>
    </row>
    <row r="311" spans="1:34" x14ac:dyDescent="0.25">
      <c r="A311" s="1" t="str">
        <f t="shared" si="4"/>
        <v/>
      </c>
      <c r="B311" s="2"/>
      <c r="C311" s="2"/>
      <c r="D311" s="2"/>
      <c r="E311" s="2"/>
      <c r="F311" s="2"/>
      <c r="G311" s="6"/>
      <c r="H311" s="2"/>
      <c r="I311" s="7"/>
      <c r="J311" s="8"/>
      <c r="Q311" s="2"/>
      <c r="R311" s="2" t="str">
        <f>IFERROR(IF(ISBLANK(Q311),"",INDEX([1]Gen_Vessels!$A$3:$C$500,MATCH(InspectionSite!$Q311,[1]Gen_Vessels!$C$3:$C$500,0),1)),"")</f>
        <v/>
      </c>
      <c r="S311" s="2"/>
      <c r="T311" s="2" t="str">
        <f>IFERROR(IF(ISBLANK(S311),"",INDEX([1]Gen_Vessels!$A$3:$C$500,MATCH(InspectionSite!$S311,[1]Gen_Vessels!$C$3:$C$500,0),1)),"")</f>
        <v/>
      </c>
      <c r="U311" s="2"/>
      <c r="V311" s="2"/>
      <c r="W311" s="2"/>
      <c r="X311" s="2"/>
      <c r="Y311" s="2"/>
      <c r="AB311" s="2"/>
      <c r="AC311" s="2"/>
      <c r="AD311" s="2"/>
      <c r="AE311" s="2"/>
      <c r="AF311" s="2"/>
      <c r="AG311" s="2"/>
      <c r="AH311" s="2"/>
    </row>
    <row r="312" spans="1:34" x14ac:dyDescent="0.25">
      <c r="A312" s="1" t="str">
        <f t="shared" si="4"/>
        <v/>
      </c>
      <c r="B312" s="2"/>
      <c r="C312" s="2"/>
      <c r="D312" s="2"/>
      <c r="E312" s="2"/>
      <c r="F312" s="2"/>
      <c r="G312" s="6"/>
      <c r="H312" s="2"/>
      <c r="I312" s="7"/>
      <c r="J312" s="8"/>
      <c r="Q312" s="2"/>
      <c r="R312" s="2" t="str">
        <f>IFERROR(IF(ISBLANK(Q312),"",INDEX([1]Gen_Vessels!$A$3:$C$500,MATCH(InspectionSite!$Q312,[1]Gen_Vessels!$C$3:$C$500,0),1)),"")</f>
        <v/>
      </c>
      <c r="S312" s="2"/>
      <c r="T312" s="2" t="str">
        <f>IFERROR(IF(ISBLANK(S312),"",INDEX([1]Gen_Vessels!$A$3:$C$500,MATCH(InspectionSite!$S312,[1]Gen_Vessels!$C$3:$C$500,0),1)),"")</f>
        <v/>
      </c>
      <c r="U312" s="2"/>
      <c r="V312" s="2"/>
      <c r="W312" s="2"/>
      <c r="X312" s="2"/>
      <c r="Y312" s="2"/>
      <c r="AB312" s="2"/>
      <c r="AC312" s="2"/>
      <c r="AD312" s="2"/>
      <c r="AE312" s="2"/>
      <c r="AF312" s="2"/>
      <c r="AG312" s="2"/>
      <c r="AH312" s="2"/>
    </row>
    <row r="313" spans="1:34" x14ac:dyDescent="0.25">
      <c r="A313" s="1" t="str">
        <f t="shared" si="4"/>
        <v/>
      </c>
      <c r="B313" s="2"/>
      <c r="C313" s="2"/>
      <c r="D313" s="2"/>
      <c r="E313" s="2"/>
      <c r="F313" s="2"/>
      <c r="G313" s="6"/>
      <c r="H313" s="2"/>
      <c r="I313" s="7"/>
      <c r="J313" s="8"/>
      <c r="Q313" s="2"/>
      <c r="R313" s="2" t="str">
        <f>IFERROR(IF(ISBLANK(Q313),"",INDEX([1]Gen_Vessels!$A$3:$C$500,MATCH(InspectionSite!$Q313,[1]Gen_Vessels!$C$3:$C$500,0),1)),"")</f>
        <v/>
      </c>
      <c r="S313" s="2"/>
      <c r="T313" s="2" t="str">
        <f>IFERROR(IF(ISBLANK(S313),"",INDEX([1]Gen_Vessels!$A$3:$C$500,MATCH(InspectionSite!$S313,[1]Gen_Vessels!$C$3:$C$500,0),1)),"")</f>
        <v/>
      </c>
      <c r="U313" s="2"/>
      <c r="V313" s="2"/>
      <c r="W313" s="2"/>
      <c r="X313" s="2"/>
      <c r="Y313" s="2"/>
      <c r="AB313" s="2"/>
      <c r="AC313" s="2"/>
      <c r="AD313" s="2"/>
      <c r="AE313" s="2"/>
      <c r="AF313" s="2"/>
      <c r="AG313" s="2"/>
      <c r="AH313" s="2"/>
    </row>
    <row r="314" spans="1:34" x14ac:dyDescent="0.25">
      <c r="A314" s="1" t="str">
        <f t="shared" si="4"/>
        <v/>
      </c>
      <c r="B314" s="2"/>
      <c r="C314" s="2"/>
      <c r="D314" s="2"/>
      <c r="E314" s="2"/>
      <c r="F314" s="2"/>
      <c r="G314" s="6"/>
      <c r="H314" s="2"/>
      <c r="I314" s="7"/>
      <c r="J314" s="8"/>
      <c r="Q314" s="2"/>
      <c r="R314" s="2" t="str">
        <f>IFERROR(IF(ISBLANK(Q314),"",INDEX([1]Gen_Vessels!$A$3:$C$500,MATCH(InspectionSite!$Q314,[1]Gen_Vessels!$C$3:$C$500,0),1)),"")</f>
        <v/>
      </c>
      <c r="S314" s="2"/>
      <c r="T314" s="2" t="str">
        <f>IFERROR(IF(ISBLANK(S314),"",INDEX([1]Gen_Vessels!$A$3:$C$500,MATCH(InspectionSite!$S314,[1]Gen_Vessels!$C$3:$C$500,0),1)),"")</f>
        <v/>
      </c>
      <c r="U314" s="2"/>
      <c r="V314" s="2"/>
      <c r="W314" s="2"/>
      <c r="X314" s="2"/>
      <c r="Y314" s="2"/>
      <c r="AB314" s="2"/>
      <c r="AC314" s="2"/>
      <c r="AD314" s="2"/>
      <c r="AE314" s="2"/>
      <c r="AF314" s="2"/>
      <c r="AG314" s="2"/>
      <c r="AH314" s="2"/>
    </row>
    <row r="315" spans="1:34" x14ac:dyDescent="0.25">
      <c r="A315" s="1" t="str">
        <f t="shared" si="4"/>
        <v/>
      </c>
      <c r="B315" s="2"/>
      <c r="C315" s="2"/>
      <c r="D315" s="2"/>
      <c r="E315" s="2"/>
      <c r="F315" s="2"/>
      <c r="G315" s="6"/>
      <c r="H315" s="2"/>
      <c r="I315" s="7"/>
      <c r="J315" s="8"/>
      <c r="Q315" s="2"/>
      <c r="R315" s="2" t="str">
        <f>IFERROR(IF(ISBLANK(Q315),"",INDEX([1]Gen_Vessels!$A$3:$C$500,MATCH(InspectionSite!$Q315,[1]Gen_Vessels!$C$3:$C$500,0),1)),"")</f>
        <v/>
      </c>
      <c r="S315" s="2"/>
      <c r="T315" s="2" t="str">
        <f>IFERROR(IF(ISBLANK(S315),"",INDEX([1]Gen_Vessels!$A$3:$C$500,MATCH(InspectionSite!$S315,[1]Gen_Vessels!$C$3:$C$500,0),1)),"")</f>
        <v/>
      </c>
      <c r="U315" s="2"/>
      <c r="V315" s="2"/>
      <c r="W315" s="2"/>
      <c r="X315" s="2"/>
      <c r="Y315" s="2"/>
      <c r="AB315" s="2"/>
      <c r="AC315" s="2"/>
      <c r="AD315" s="2"/>
      <c r="AE315" s="2"/>
      <c r="AF315" s="2"/>
      <c r="AG315" s="2"/>
      <c r="AH315" s="2"/>
    </row>
    <row r="316" spans="1:34" x14ac:dyDescent="0.25">
      <c r="A316" s="1" t="str">
        <f t="shared" si="4"/>
        <v/>
      </c>
      <c r="B316" s="2"/>
      <c r="C316" s="2"/>
      <c r="D316" s="2"/>
      <c r="E316" s="2"/>
      <c r="F316" s="2"/>
      <c r="G316" s="6"/>
      <c r="H316" s="2"/>
      <c r="I316" s="7"/>
      <c r="J316" s="8"/>
      <c r="Q316" s="2"/>
      <c r="R316" s="2" t="str">
        <f>IFERROR(IF(ISBLANK(Q316),"",INDEX([1]Gen_Vessels!$A$3:$C$500,MATCH(InspectionSite!$Q316,[1]Gen_Vessels!$C$3:$C$500,0),1)),"")</f>
        <v/>
      </c>
      <c r="S316" s="2"/>
      <c r="T316" s="2" t="str">
        <f>IFERROR(IF(ISBLANK(S316),"",INDEX([1]Gen_Vessels!$A$3:$C$500,MATCH(InspectionSite!$S316,[1]Gen_Vessels!$C$3:$C$500,0),1)),"")</f>
        <v/>
      </c>
      <c r="U316" s="2"/>
      <c r="V316" s="2"/>
      <c r="W316" s="2"/>
      <c r="X316" s="2"/>
      <c r="Y316" s="2"/>
      <c r="AB316" s="2"/>
      <c r="AC316" s="2"/>
      <c r="AD316" s="2"/>
      <c r="AE316" s="2"/>
      <c r="AF316" s="2"/>
      <c r="AG316" s="2"/>
      <c r="AH316" s="2"/>
    </row>
    <row r="317" spans="1:34" x14ac:dyDescent="0.25">
      <c r="A317" s="1" t="str">
        <f t="shared" si="4"/>
        <v/>
      </c>
      <c r="B317" s="2"/>
      <c r="C317" s="2"/>
      <c r="D317" s="2"/>
      <c r="E317" s="2"/>
      <c r="F317" s="2"/>
      <c r="G317" s="6"/>
      <c r="H317" s="2"/>
      <c r="I317" s="7"/>
      <c r="J317" s="8"/>
      <c r="Q317" s="2"/>
      <c r="R317" s="2" t="str">
        <f>IFERROR(IF(ISBLANK(Q317),"",INDEX([1]Gen_Vessels!$A$3:$C$500,MATCH(InspectionSite!$Q317,[1]Gen_Vessels!$C$3:$C$500,0),1)),"")</f>
        <v/>
      </c>
      <c r="S317" s="2"/>
      <c r="T317" s="2" t="str">
        <f>IFERROR(IF(ISBLANK(S317),"",INDEX([1]Gen_Vessels!$A$3:$C$500,MATCH(InspectionSite!$S317,[1]Gen_Vessels!$C$3:$C$500,0),1)),"")</f>
        <v/>
      </c>
      <c r="U317" s="2"/>
      <c r="V317" s="2"/>
      <c r="W317" s="2"/>
      <c r="X317" s="2"/>
      <c r="Y317" s="2"/>
      <c r="AB317" s="2"/>
      <c r="AC317" s="2"/>
      <c r="AD317" s="2"/>
      <c r="AE317" s="2"/>
      <c r="AF317" s="2"/>
      <c r="AG317" s="2"/>
      <c r="AH317" s="2"/>
    </row>
    <row r="318" spans="1:34" x14ac:dyDescent="0.25">
      <c r="A318" s="1" t="str">
        <f t="shared" si="4"/>
        <v/>
      </c>
      <c r="B318" s="2"/>
      <c r="C318" s="2"/>
      <c r="D318" s="2"/>
      <c r="E318" s="2"/>
      <c r="F318" s="2"/>
      <c r="G318" s="6"/>
      <c r="H318" s="2"/>
      <c r="I318" s="7"/>
      <c r="J318" s="8"/>
      <c r="Q318" s="2"/>
      <c r="R318" s="2" t="str">
        <f>IFERROR(IF(ISBLANK(Q318),"",INDEX([1]Gen_Vessels!$A$3:$C$500,MATCH(InspectionSite!$Q318,[1]Gen_Vessels!$C$3:$C$500,0),1)),"")</f>
        <v/>
      </c>
      <c r="S318" s="2"/>
      <c r="T318" s="2" t="str">
        <f>IFERROR(IF(ISBLANK(S318),"",INDEX([1]Gen_Vessels!$A$3:$C$500,MATCH(InspectionSite!$S318,[1]Gen_Vessels!$C$3:$C$500,0),1)),"")</f>
        <v/>
      </c>
      <c r="U318" s="2"/>
      <c r="V318" s="2"/>
      <c r="W318" s="2"/>
      <c r="X318" s="2"/>
      <c r="Y318" s="2"/>
      <c r="AB318" s="2"/>
      <c r="AC318" s="2"/>
      <c r="AD318" s="2"/>
      <c r="AE318" s="2"/>
      <c r="AF318" s="2"/>
      <c r="AG318" s="2"/>
      <c r="AH318" s="2"/>
    </row>
    <row r="319" spans="1:34" x14ac:dyDescent="0.25">
      <c r="A319" s="1" t="str">
        <f t="shared" si="4"/>
        <v/>
      </c>
      <c r="B319" s="2"/>
      <c r="C319" s="2"/>
      <c r="D319" s="2"/>
      <c r="E319" s="2"/>
      <c r="F319" s="2"/>
      <c r="G319" s="6"/>
      <c r="H319" s="2"/>
      <c r="I319" s="7"/>
      <c r="J319" s="8"/>
      <c r="Q319" s="2"/>
      <c r="R319" s="2" t="str">
        <f>IFERROR(IF(ISBLANK(Q319),"",INDEX([1]Gen_Vessels!$A$3:$C$500,MATCH(InspectionSite!$Q319,[1]Gen_Vessels!$C$3:$C$500,0),1)),"")</f>
        <v/>
      </c>
      <c r="S319" s="2"/>
      <c r="T319" s="2" t="str">
        <f>IFERROR(IF(ISBLANK(S319),"",INDEX([1]Gen_Vessels!$A$3:$C$500,MATCH(InspectionSite!$S319,[1]Gen_Vessels!$C$3:$C$500,0),1)),"")</f>
        <v/>
      </c>
      <c r="U319" s="2"/>
      <c r="V319" s="2"/>
      <c r="W319" s="2"/>
      <c r="X319" s="2"/>
      <c r="Y319" s="2"/>
      <c r="AB319" s="2"/>
      <c r="AC319" s="2"/>
      <c r="AD319" s="2"/>
      <c r="AE319" s="2"/>
      <c r="AF319" s="2"/>
      <c r="AG319" s="2"/>
      <c r="AH319" s="2"/>
    </row>
    <row r="320" spans="1:34" x14ac:dyDescent="0.25">
      <c r="A320" s="1" t="str">
        <f t="shared" si="4"/>
        <v/>
      </c>
      <c r="B320" s="2"/>
      <c r="C320" s="2"/>
      <c r="D320" s="2"/>
      <c r="E320" s="2"/>
      <c r="F320" s="2"/>
      <c r="G320" s="6"/>
      <c r="H320" s="2"/>
      <c r="I320" s="7"/>
      <c r="J320" s="8"/>
      <c r="Q320" s="2"/>
      <c r="R320" s="2" t="str">
        <f>IFERROR(IF(ISBLANK(Q320),"",INDEX([1]Gen_Vessels!$A$3:$C$500,MATCH(InspectionSite!$Q320,[1]Gen_Vessels!$C$3:$C$500,0),1)),"")</f>
        <v/>
      </c>
      <c r="S320" s="2"/>
      <c r="T320" s="2" t="str">
        <f>IFERROR(IF(ISBLANK(S320),"",INDEX([1]Gen_Vessels!$A$3:$C$500,MATCH(InspectionSite!$S320,[1]Gen_Vessels!$C$3:$C$500,0),1)),"")</f>
        <v/>
      </c>
      <c r="U320" s="2"/>
      <c r="V320" s="2"/>
      <c r="W320" s="2"/>
      <c r="X320" s="2"/>
      <c r="Y320" s="2"/>
      <c r="AB320" s="2"/>
      <c r="AC320" s="2"/>
      <c r="AD320" s="2"/>
      <c r="AE320" s="2"/>
      <c r="AF320" s="2"/>
      <c r="AG320" s="2"/>
      <c r="AH320" s="2"/>
    </row>
    <row r="321" spans="1:34" x14ac:dyDescent="0.25">
      <c r="A321" s="1" t="str">
        <f t="shared" si="4"/>
        <v/>
      </c>
      <c r="B321" s="2"/>
      <c r="C321" s="2"/>
      <c r="D321" s="2"/>
      <c r="E321" s="2"/>
      <c r="F321" s="2"/>
      <c r="G321" s="6"/>
      <c r="H321" s="2"/>
      <c r="I321" s="7"/>
      <c r="J321" s="8"/>
      <c r="Q321" s="2"/>
      <c r="R321" s="2" t="str">
        <f>IFERROR(IF(ISBLANK(Q321),"",INDEX([1]Gen_Vessels!$A$3:$C$500,MATCH(InspectionSite!$Q321,[1]Gen_Vessels!$C$3:$C$500,0),1)),"")</f>
        <v/>
      </c>
      <c r="S321" s="2"/>
      <c r="T321" s="2" t="str">
        <f>IFERROR(IF(ISBLANK(S321),"",INDEX([1]Gen_Vessels!$A$3:$C$500,MATCH(InspectionSite!$S321,[1]Gen_Vessels!$C$3:$C$500,0),1)),"")</f>
        <v/>
      </c>
      <c r="U321" s="2"/>
      <c r="V321" s="2"/>
      <c r="W321" s="2"/>
      <c r="X321" s="2"/>
      <c r="Y321" s="2"/>
      <c r="AB321" s="2"/>
      <c r="AC321" s="2"/>
      <c r="AD321" s="2"/>
      <c r="AE321" s="2"/>
      <c r="AF321" s="2"/>
      <c r="AG321" s="2"/>
      <c r="AH321" s="2"/>
    </row>
    <row r="322" spans="1:34" x14ac:dyDescent="0.25">
      <c r="A322" s="1" t="str">
        <f t="shared" si="4"/>
        <v/>
      </c>
      <c r="B322" s="2"/>
      <c r="C322" s="2"/>
      <c r="D322" s="2"/>
      <c r="E322" s="2"/>
      <c r="F322" s="2"/>
      <c r="G322" s="6"/>
      <c r="H322" s="2"/>
      <c r="I322" s="7"/>
      <c r="J322" s="8"/>
      <c r="Q322" s="2"/>
      <c r="R322" s="2" t="str">
        <f>IFERROR(IF(ISBLANK(Q322),"",INDEX([1]Gen_Vessels!$A$3:$C$500,MATCH(InspectionSite!$Q322,[1]Gen_Vessels!$C$3:$C$500,0),1)),"")</f>
        <v/>
      </c>
      <c r="S322" s="2"/>
      <c r="T322" s="2" t="str">
        <f>IFERROR(IF(ISBLANK(S322),"",INDEX([1]Gen_Vessels!$A$3:$C$500,MATCH(InspectionSite!$S322,[1]Gen_Vessels!$C$3:$C$500,0),1)),"")</f>
        <v/>
      </c>
      <c r="U322" s="2"/>
      <c r="V322" s="2"/>
      <c r="W322" s="2"/>
      <c r="X322" s="2"/>
      <c r="Y322" s="2"/>
      <c r="AB322" s="2"/>
      <c r="AC322" s="2"/>
      <c r="AD322" s="2"/>
      <c r="AE322" s="2"/>
      <c r="AF322" s="2"/>
      <c r="AG322" s="2"/>
      <c r="AH322" s="2"/>
    </row>
    <row r="323" spans="1:34" x14ac:dyDescent="0.25">
      <c r="A323" s="1" t="str">
        <f t="shared" ref="A323:A386" si="5">IF(ISBLANK($B323)=FALSE,IF(AND($G323&gt;0,$H323&lt;=0,$I323&lt;=0),_xlfn.CONCAT("ofw_",$B323),IF(AND($G323&lt;=0,$H323&gt;0,$I323&lt;=0),_xlfn.CONCAT("owc_",$B323),IF(AND($G323&lt;=0,$H323&lt;=0,$I323&gt;0),_xlfn.CONCAT("opv_",$B323),_xlfn.CONCAT("oce_",$B323)))),"")</f>
        <v/>
      </c>
      <c r="B323" s="2"/>
      <c r="C323" s="2"/>
      <c r="D323" s="2"/>
      <c r="E323" s="2"/>
      <c r="F323" s="2"/>
      <c r="G323" s="6"/>
      <c r="H323" s="2"/>
      <c r="I323" s="7"/>
      <c r="J323" s="8"/>
      <c r="Q323" s="2"/>
      <c r="R323" s="2" t="str">
        <f>IFERROR(IF(ISBLANK(Q323),"",INDEX([1]Gen_Vessels!$A$3:$C$500,MATCH(InspectionSite!$Q323,[1]Gen_Vessels!$C$3:$C$500,0),1)),"")</f>
        <v/>
      </c>
      <c r="S323" s="2"/>
      <c r="T323" s="2" t="str">
        <f>IFERROR(IF(ISBLANK(S323),"",INDEX([1]Gen_Vessels!$A$3:$C$500,MATCH(InspectionSite!$S323,[1]Gen_Vessels!$C$3:$C$500,0),1)),"")</f>
        <v/>
      </c>
      <c r="U323" s="2"/>
      <c r="V323" s="2"/>
      <c r="W323" s="2"/>
      <c r="X323" s="2"/>
      <c r="Y323" s="2"/>
      <c r="AB323" s="2"/>
      <c r="AC323" s="2"/>
      <c r="AD323" s="2"/>
      <c r="AE323" s="2"/>
      <c r="AF323" s="2"/>
      <c r="AG323" s="2"/>
      <c r="AH323" s="2"/>
    </row>
    <row r="324" spans="1:34" x14ac:dyDescent="0.25">
      <c r="A324" s="1" t="str">
        <f t="shared" si="5"/>
        <v/>
      </c>
      <c r="B324" s="2"/>
      <c r="C324" s="2"/>
      <c r="D324" s="2"/>
      <c r="E324" s="2"/>
      <c r="F324" s="2"/>
      <c r="G324" s="6"/>
      <c r="H324" s="2"/>
      <c r="I324" s="7"/>
      <c r="J324" s="8"/>
      <c r="Q324" s="2"/>
      <c r="R324" s="2" t="str">
        <f>IFERROR(IF(ISBLANK(Q324),"",INDEX([1]Gen_Vessels!$A$3:$C$500,MATCH(InspectionSite!$Q324,[1]Gen_Vessels!$C$3:$C$500,0),1)),"")</f>
        <v/>
      </c>
      <c r="S324" s="2"/>
      <c r="T324" s="2" t="str">
        <f>IFERROR(IF(ISBLANK(S324),"",INDEX([1]Gen_Vessels!$A$3:$C$500,MATCH(InspectionSite!$S324,[1]Gen_Vessels!$C$3:$C$500,0),1)),"")</f>
        <v/>
      </c>
      <c r="U324" s="2"/>
      <c r="V324" s="2"/>
      <c r="W324" s="2"/>
      <c r="X324" s="2"/>
      <c r="Y324" s="2"/>
      <c r="AB324" s="2"/>
      <c r="AC324" s="2"/>
      <c r="AD324" s="2"/>
      <c r="AE324" s="2"/>
      <c r="AF324" s="2"/>
      <c r="AG324" s="2"/>
      <c r="AH324" s="2"/>
    </row>
    <row r="325" spans="1:34" x14ac:dyDescent="0.25">
      <c r="A325" s="1" t="str">
        <f t="shared" si="5"/>
        <v/>
      </c>
      <c r="B325" s="2"/>
      <c r="C325" s="2"/>
      <c r="D325" s="2"/>
      <c r="E325" s="2"/>
      <c r="F325" s="2"/>
      <c r="G325" s="6"/>
      <c r="H325" s="2"/>
      <c r="I325" s="7"/>
      <c r="J325" s="8"/>
      <c r="Q325" s="2"/>
      <c r="R325" s="2" t="str">
        <f>IFERROR(IF(ISBLANK(Q325),"",INDEX([1]Gen_Vessels!$A$3:$C$500,MATCH(InspectionSite!$Q325,[1]Gen_Vessels!$C$3:$C$500,0),1)),"")</f>
        <v/>
      </c>
      <c r="S325" s="2"/>
      <c r="T325" s="2" t="str">
        <f>IFERROR(IF(ISBLANK(S325),"",INDEX([1]Gen_Vessels!$A$3:$C$500,MATCH(InspectionSite!$S325,[1]Gen_Vessels!$C$3:$C$500,0),1)),"")</f>
        <v/>
      </c>
      <c r="U325" s="2"/>
      <c r="V325" s="2"/>
      <c r="W325" s="2"/>
      <c r="X325" s="2"/>
      <c r="Y325" s="2"/>
      <c r="AB325" s="2"/>
      <c r="AC325" s="2"/>
      <c r="AD325" s="2"/>
      <c r="AE325" s="2"/>
      <c r="AF325" s="2"/>
      <c r="AG325" s="2"/>
      <c r="AH325" s="2"/>
    </row>
    <row r="326" spans="1:34" x14ac:dyDescent="0.25">
      <c r="A326" s="1" t="str">
        <f t="shared" si="5"/>
        <v/>
      </c>
      <c r="B326" s="2"/>
      <c r="C326" s="2"/>
      <c r="D326" s="2"/>
      <c r="E326" s="2"/>
      <c r="F326" s="2"/>
      <c r="G326" s="6"/>
      <c r="H326" s="2"/>
      <c r="I326" s="7"/>
      <c r="J326" s="8"/>
      <c r="Q326" s="2"/>
      <c r="R326" s="2" t="str">
        <f>IFERROR(IF(ISBLANK(Q326),"",INDEX([1]Gen_Vessels!$A$3:$C$500,MATCH(InspectionSite!$Q326,[1]Gen_Vessels!$C$3:$C$500,0),1)),"")</f>
        <v/>
      </c>
      <c r="S326" s="2"/>
      <c r="T326" s="2" t="str">
        <f>IFERROR(IF(ISBLANK(S326),"",INDEX([1]Gen_Vessels!$A$3:$C$500,MATCH(InspectionSite!$S326,[1]Gen_Vessels!$C$3:$C$500,0),1)),"")</f>
        <v/>
      </c>
      <c r="U326" s="2"/>
      <c r="V326" s="2"/>
      <c r="W326" s="2"/>
      <c r="X326" s="2"/>
      <c r="Y326" s="2"/>
      <c r="AB326" s="2"/>
      <c r="AC326" s="2"/>
      <c r="AD326" s="2"/>
      <c r="AE326" s="2"/>
      <c r="AF326" s="2"/>
      <c r="AG326" s="2"/>
      <c r="AH326" s="2"/>
    </row>
    <row r="327" spans="1:34" x14ac:dyDescent="0.25">
      <c r="A327" s="1" t="str">
        <f t="shared" si="5"/>
        <v/>
      </c>
      <c r="B327" s="2"/>
      <c r="C327" s="2"/>
      <c r="D327" s="2"/>
      <c r="E327" s="2"/>
      <c r="F327" s="2"/>
      <c r="G327" s="6"/>
      <c r="H327" s="2"/>
      <c r="I327" s="7"/>
      <c r="J327" s="8"/>
      <c r="Q327" s="2"/>
      <c r="R327" s="2" t="str">
        <f>IFERROR(IF(ISBLANK(Q327),"",INDEX([1]Gen_Vessels!$A$3:$C$500,MATCH(InspectionSite!$Q327,[1]Gen_Vessels!$C$3:$C$500,0),1)),"")</f>
        <v/>
      </c>
      <c r="S327" s="2"/>
      <c r="T327" s="2" t="str">
        <f>IFERROR(IF(ISBLANK(S327),"",INDEX([1]Gen_Vessels!$A$3:$C$500,MATCH(InspectionSite!$S327,[1]Gen_Vessels!$C$3:$C$500,0),1)),"")</f>
        <v/>
      </c>
      <c r="U327" s="2"/>
      <c r="V327" s="2"/>
      <c r="W327" s="2"/>
      <c r="X327" s="2"/>
      <c r="Y327" s="2"/>
      <c r="AB327" s="2"/>
      <c r="AC327" s="2"/>
      <c r="AD327" s="2"/>
      <c r="AE327" s="2"/>
      <c r="AF327" s="2"/>
      <c r="AG327" s="2"/>
      <c r="AH327" s="2"/>
    </row>
    <row r="328" spans="1:34" x14ac:dyDescent="0.25">
      <c r="A328" s="1" t="str">
        <f t="shared" si="5"/>
        <v/>
      </c>
      <c r="B328" s="2"/>
      <c r="C328" s="2"/>
      <c r="D328" s="2"/>
      <c r="E328" s="2"/>
      <c r="F328" s="2"/>
      <c r="G328" s="6"/>
      <c r="H328" s="2"/>
      <c r="I328" s="7"/>
      <c r="J328" s="8"/>
      <c r="Q328" s="2"/>
      <c r="R328" s="2" t="str">
        <f>IFERROR(IF(ISBLANK(Q328),"",INDEX([1]Gen_Vessels!$A$3:$C$500,MATCH(InspectionSite!$Q328,[1]Gen_Vessels!$C$3:$C$500,0),1)),"")</f>
        <v/>
      </c>
      <c r="S328" s="2"/>
      <c r="T328" s="2" t="str">
        <f>IFERROR(IF(ISBLANK(S328),"",INDEX([1]Gen_Vessels!$A$3:$C$500,MATCH(InspectionSite!$S328,[1]Gen_Vessels!$C$3:$C$500,0),1)),"")</f>
        <v/>
      </c>
      <c r="U328" s="2"/>
      <c r="V328" s="2"/>
      <c r="W328" s="2"/>
      <c r="X328" s="2"/>
      <c r="Y328" s="2"/>
      <c r="AB328" s="2"/>
      <c r="AC328" s="2"/>
      <c r="AD328" s="2"/>
      <c r="AE328" s="2"/>
      <c r="AF328" s="2"/>
      <c r="AG328" s="2"/>
      <c r="AH328" s="2"/>
    </row>
    <row r="329" spans="1:34" x14ac:dyDescent="0.25">
      <c r="A329" s="1" t="str">
        <f t="shared" si="5"/>
        <v/>
      </c>
      <c r="B329" s="2"/>
      <c r="C329" s="2"/>
      <c r="D329" s="2"/>
      <c r="E329" s="2"/>
      <c r="F329" s="2"/>
      <c r="G329" s="6"/>
      <c r="H329" s="2"/>
      <c r="I329" s="7"/>
      <c r="J329" s="8"/>
      <c r="Q329" s="2"/>
      <c r="R329" s="2" t="str">
        <f>IFERROR(IF(ISBLANK(Q329),"",INDEX([1]Gen_Vessels!$A$3:$C$500,MATCH(InspectionSite!$Q329,[1]Gen_Vessels!$C$3:$C$500,0),1)),"")</f>
        <v/>
      </c>
      <c r="S329" s="2"/>
      <c r="T329" s="2" t="str">
        <f>IFERROR(IF(ISBLANK(S329),"",INDEX([1]Gen_Vessels!$A$3:$C$500,MATCH(InspectionSite!$S329,[1]Gen_Vessels!$C$3:$C$500,0),1)),"")</f>
        <v/>
      </c>
      <c r="U329" s="2"/>
      <c r="V329" s="2"/>
      <c r="W329" s="2"/>
      <c r="X329" s="2"/>
      <c r="Y329" s="2"/>
      <c r="AB329" s="2"/>
      <c r="AC329" s="2"/>
      <c r="AD329" s="2"/>
      <c r="AE329" s="2"/>
      <c r="AF329" s="2"/>
      <c r="AG329" s="2"/>
      <c r="AH329" s="2"/>
    </row>
    <row r="330" spans="1:34" x14ac:dyDescent="0.25">
      <c r="A330" s="1" t="str">
        <f t="shared" si="5"/>
        <v/>
      </c>
      <c r="B330" s="2"/>
      <c r="C330" s="2"/>
      <c r="D330" s="2"/>
      <c r="E330" s="2"/>
      <c r="F330" s="2"/>
      <c r="G330" s="6"/>
      <c r="H330" s="2"/>
      <c r="I330" s="7"/>
      <c r="J330" s="8"/>
      <c r="Q330" s="2"/>
      <c r="R330" s="2" t="str">
        <f>IFERROR(IF(ISBLANK(Q330),"",INDEX([1]Gen_Vessels!$A$3:$C$500,MATCH(InspectionSite!$Q330,[1]Gen_Vessels!$C$3:$C$500,0),1)),"")</f>
        <v/>
      </c>
      <c r="S330" s="2"/>
      <c r="T330" s="2" t="str">
        <f>IFERROR(IF(ISBLANK(S330),"",INDEX([1]Gen_Vessels!$A$3:$C$500,MATCH(InspectionSite!$S330,[1]Gen_Vessels!$C$3:$C$500,0),1)),"")</f>
        <v/>
      </c>
      <c r="U330" s="2"/>
      <c r="V330" s="2"/>
      <c r="W330" s="2"/>
      <c r="X330" s="2"/>
      <c r="Y330" s="2"/>
      <c r="AB330" s="2"/>
      <c r="AC330" s="2"/>
      <c r="AD330" s="2"/>
      <c r="AE330" s="2"/>
      <c r="AF330" s="2"/>
      <c r="AG330" s="2"/>
      <c r="AH330" s="2"/>
    </row>
    <row r="331" spans="1:34" x14ac:dyDescent="0.25">
      <c r="A331" s="1" t="str">
        <f t="shared" si="5"/>
        <v/>
      </c>
      <c r="B331" s="2"/>
      <c r="C331" s="2"/>
      <c r="D331" s="2"/>
      <c r="E331" s="2"/>
      <c r="F331" s="2"/>
      <c r="G331" s="6"/>
      <c r="H331" s="2"/>
      <c r="I331" s="7"/>
      <c r="J331" s="8"/>
      <c r="Q331" s="2"/>
      <c r="R331" s="2" t="str">
        <f>IFERROR(IF(ISBLANK(Q331),"",INDEX([1]Gen_Vessels!$A$3:$C$500,MATCH(InspectionSite!$Q331,[1]Gen_Vessels!$C$3:$C$500,0),1)),"")</f>
        <v/>
      </c>
      <c r="S331" s="2"/>
      <c r="T331" s="2" t="str">
        <f>IFERROR(IF(ISBLANK(S331),"",INDEX([1]Gen_Vessels!$A$3:$C$500,MATCH(InspectionSite!$S331,[1]Gen_Vessels!$C$3:$C$500,0),1)),"")</f>
        <v/>
      </c>
      <c r="U331" s="2"/>
      <c r="V331" s="2"/>
      <c r="W331" s="2"/>
      <c r="X331" s="2"/>
      <c r="Y331" s="2"/>
      <c r="AB331" s="2"/>
      <c r="AC331" s="2"/>
      <c r="AD331" s="2"/>
      <c r="AE331" s="2"/>
      <c r="AF331" s="2"/>
      <c r="AG331" s="2"/>
      <c r="AH331" s="2"/>
    </row>
    <row r="332" spans="1:34" x14ac:dyDescent="0.25">
      <c r="A332" s="1" t="str">
        <f t="shared" si="5"/>
        <v/>
      </c>
      <c r="B332" s="2"/>
      <c r="C332" s="2"/>
      <c r="D332" s="2"/>
      <c r="E332" s="2"/>
      <c r="F332" s="2"/>
      <c r="G332" s="6"/>
      <c r="H332" s="2"/>
      <c r="I332" s="7"/>
      <c r="J332" s="8"/>
      <c r="Q332" s="2"/>
      <c r="R332" s="2" t="str">
        <f>IFERROR(IF(ISBLANK(Q332),"",INDEX([1]Gen_Vessels!$A$3:$C$500,MATCH(InspectionSite!$Q332,[1]Gen_Vessels!$C$3:$C$500,0),1)),"")</f>
        <v/>
      </c>
      <c r="S332" s="2"/>
      <c r="T332" s="2" t="str">
        <f>IFERROR(IF(ISBLANK(S332),"",INDEX([1]Gen_Vessels!$A$3:$C$500,MATCH(InspectionSite!$S332,[1]Gen_Vessels!$C$3:$C$500,0),1)),"")</f>
        <v/>
      </c>
      <c r="U332" s="2"/>
      <c r="V332" s="2"/>
      <c r="W332" s="2"/>
      <c r="X332" s="2"/>
      <c r="Y332" s="2"/>
      <c r="AB332" s="2"/>
      <c r="AC332" s="2"/>
      <c r="AD332" s="2"/>
      <c r="AE332" s="2"/>
      <c r="AF332" s="2"/>
      <c r="AG332" s="2"/>
      <c r="AH332" s="2"/>
    </row>
    <row r="333" spans="1:34" x14ac:dyDescent="0.25">
      <c r="A333" s="1" t="str">
        <f t="shared" si="5"/>
        <v/>
      </c>
      <c r="B333" s="2"/>
      <c r="C333" s="2"/>
      <c r="D333" s="2"/>
      <c r="E333" s="2"/>
      <c r="F333" s="2"/>
      <c r="G333" s="6"/>
      <c r="H333" s="2"/>
      <c r="I333" s="7"/>
      <c r="J333" s="8"/>
      <c r="Q333" s="2"/>
      <c r="R333" s="2" t="str">
        <f>IFERROR(IF(ISBLANK(Q333),"",INDEX([1]Gen_Vessels!$A$3:$C$500,MATCH(InspectionSite!$Q333,[1]Gen_Vessels!$C$3:$C$500,0),1)),"")</f>
        <v/>
      </c>
      <c r="S333" s="2"/>
      <c r="T333" s="2" t="str">
        <f>IFERROR(IF(ISBLANK(S333),"",INDEX([1]Gen_Vessels!$A$3:$C$500,MATCH(InspectionSite!$S333,[1]Gen_Vessels!$C$3:$C$500,0),1)),"")</f>
        <v/>
      </c>
      <c r="U333" s="2"/>
      <c r="V333" s="2"/>
      <c r="W333" s="2"/>
      <c r="X333" s="2"/>
      <c r="Y333" s="2"/>
      <c r="AB333" s="2"/>
      <c r="AC333" s="2"/>
      <c r="AD333" s="2"/>
      <c r="AE333" s="2"/>
      <c r="AF333" s="2"/>
      <c r="AG333" s="2"/>
      <c r="AH333" s="2"/>
    </row>
    <row r="334" spans="1:34" x14ac:dyDescent="0.25">
      <c r="A334" s="1" t="str">
        <f t="shared" si="5"/>
        <v/>
      </c>
      <c r="B334" s="2"/>
      <c r="C334" s="2"/>
      <c r="D334" s="2"/>
      <c r="E334" s="2"/>
      <c r="F334" s="2"/>
      <c r="G334" s="6"/>
      <c r="H334" s="2"/>
      <c r="I334" s="7"/>
      <c r="J334" s="8"/>
      <c r="Q334" s="2"/>
      <c r="R334" s="2" t="str">
        <f>IFERROR(IF(ISBLANK(Q334),"",INDEX([1]Gen_Vessels!$A$3:$C$500,MATCH(InspectionSite!$Q334,[1]Gen_Vessels!$C$3:$C$500,0),1)),"")</f>
        <v/>
      </c>
      <c r="S334" s="2"/>
      <c r="T334" s="2" t="str">
        <f>IFERROR(IF(ISBLANK(S334),"",INDEX([1]Gen_Vessels!$A$3:$C$500,MATCH(InspectionSite!$S334,[1]Gen_Vessels!$C$3:$C$500,0),1)),"")</f>
        <v/>
      </c>
      <c r="U334" s="2"/>
      <c r="V334" s="2"/>
      <c r="W334" s="2"/>
      <c r="X334" s="2"/>
      <c r="Y334" s="2"/>
      <c r="AB334" s="2"/>
      <c r="AC334" s="2"/>
      <c r="AD334" s="2"/>
      <c r="AE334" s="2"/>
      <c r="AF334" s="2"/>
      <c r="AG334" s="2"/>
      <c r="AH334" s="2"/>
    </row>
    <row r="335" spans="1:34" x14ac:dyDescent="0.25">
      <c r="A335" s="1" t="str">
        <f t="shared" si="5"/>
        <v/>
      </c>
      <c r="B335" s="2"/>
      <c r="C335" s="2"/>
      <c r="D335" s="2"/>
      <c r="E335" s="2"/>
      <c r="F335" s="2"/>
      <c r="G335" s="6"/>
      <c r="H335" s="2"/>
      <c r="I335" s="7"/>
      <c r="J335" s="8"/>
      <c r="Q335" s="2"/>
      <c r="R335" s="2" t="str">
        <f>IFERROR(IF(ISBLANK(Q335),"",INDEX([1]Gen_Vessels!$A$3:$C$500,MATCH(InspectionSite!$Q335,[1]Gen_Vessels!$C$3:$C$500,0),1)),"")</f>
        <v/>
      </c>
      <c r="S335" s="2"/>
      <c r="T335" s="2" t="str">
        <f>IFERROR(IF(ISBLANK(S335),"",INDEX([1]Gen_Vessels!$A$3:$C$500,MATCH(InspectionSite!$S335,[1]Gen_Vessels!$C$3:$C$500,0),1)),"")</f>
        <v/>
      </c>
      <c r="U335" s="2"/>
      <c r="V335" s="2"/>
      <c r="W335" s="2"/>
      <c r="X335" s="2"/>
      <c r="Y335" s="2"/>
      <c r="AB335" s="2"/>
      <c r="AC335" s="2"/>
      <c r="AD335" s="2"/>
      <c r="AE335" s="2"/>
      <c r="AF335" s="2"/>
      <c r="AG335" s="2"/>
      <c r="AH335" s="2"/>
    </row>
    <row r="336" spans="1:34" x14ac:dyDescent="0.25">
      <c r="A336" s="1" t="str">
        <f t="shared" si="5"/>
        <v/>
      </c>
      <c r="B336" s="2"/>
      <c r="C336" s="2"/>
      <c r="D336" s="2"/>
      <c r="E336" s="2"/>
      <c r="F336" s="2"/>
      <c r="G336" s="6"/>
      <c r="H336" s="2"/>
      <c r="I336" s="7"/>
      <c r="J336" s="8"/>
      <c r="Q336" s="2"/>
      <c r="R336" s="2" t="str">
        <f>IFERROR(IF(ISBLANK(Q336),"",INDEX([1]Gen_Vessels!$A$3:$C$500,MATCH(InspectionSite!$Q336,[1]Gen_Vessels!$C$3:$C$500,0),1)),"")</f>
        <v/>
      </c>
      <c r="S336" s="2"/>
      <c r="T336" s="2" t="str">
        <f>IFERROR(IF(ISBLANK(S336),"",INDEX([1]Gen_Vessels!$A$3:$C$500,MATCH(InspectionSite!$S336,[1]Gen_Vessels!$C$3:$C$500,0),1)),"")</f>
        <v/>
      </c>
      <c r="U336" s="2"/>
      <c r="V336" s="2"/>
      <c r="W336" s="2"/>
      <c r="X336" s="2"/>
      <c r="Y336" s="2"/>
      <c r="AB336" s="2"/>
      <c r="AC336" s="2"/>
      <c r="AD336" s="2"/>
      <c r="AE336" s="2"/>
      <c r="AF336" s="2"/>
      <c r="AG336" s="2"/>
      <c r="AH336" s="2"/>
    </row>
    <row r="337" spans="1:34" x14ac:dyDescent="0.25">
      <c r="A337" s="1" t="str">
        <f t="shared" si="5"/>
        <v/>
      </c>
      <c r="B337" s="2"/>
      <c r="C337" s="2"/>
      <c r="D337" s="2"/>
      <c r="E337" s="2"/>
      <c r="F337" s="2"/>
      <c r="G337" s="6"/>
      <c r="H337" s="2"/>
      <c r="I337" s="7"/>
      <c r="J337" s="8"/>
      <c r="Q337" s="2"/>
      <c r="R337" s="2" t="str">
        <f>IFERROR(IF(ISBLANK(Q337),"",INDEX([1]Gen_Vessels!$A$3:$C$500,MATCH(InspectionSite!$Q337,[1]Gen_Vessels!$C$3:$C$500,0),1)),"")</f>
        <v/>
      </c>
      <c r="S337" s="2"/>
      <c r="T337" s="2" t="str">
        <f>IFERROR(IF(ISBLANK(S337),"",INDEX([1]Gen_Vessels!$A$3:$C$500,MATCH(InspectionSite!$S337,[1]Gen_Vessels!$C$3:$C$500,0),1)),"")</f>
        <v/>
      </c>
      <c r="U337" s="2"/>
      <c r="V337" s="2"/>
      <c r="W337" s="2"/>
      <c r="X337" s="2"/>
      <c r="Y337" s="2"/>
      <c r="AB337" s="2"/>
      <c r="AC337" s="2"/>
      <c r="AD337" s="2"/>
      <c r="AE337" s="2"/>
      <c r="AF337" s="2"/>
      <c r="AG337" s="2"/>
      <c r="AH337" s="2"/>
    </row>
    <row r="338" spans="1:34" x14ac:dyDescent="0.25">
      <c r="A338" s="1" t="str">
        <f t="shared" si="5"/>
        <v/>
      </c>
      <c r="B338" s="2"/>
      <c r="C338" s="2"/>
      <c r="D338" s="2"/>
      <c r="E338" s="2"/>
      <c r="F338" s="2"/>
      <c r="G338" s="6"/>
      <c r="H338" s="2"/>
      <c r="I338" s="7"/>
      <c r="J338" s="8"/>
      <c r="Q338" s="2"/>
      <c r="R338" s="2" t="str">
        <f>IFERROR(IF(ISBLANK(Q338),"",INDEX([1]Gen_Vessels!$A$3:$C$500,MATCH(InspectionSite!$Q338,[1]Gen_Vessels!$C$3:$C$500,0),1)),"")</f>
        <v/>
      </c>
      <c r="S338" s="2"/>
      <c r="T338" s="2" t="str">
        <f>IFERROR(IF(ISBLANK(S338),"",INDEX([1]Gen_Vessels!$A$3:$C$500,MATCH(InspectionSite!$S338,[1]Gen_Vessels!$C$3:$C$500,0),1)),"")</f>
        <v/>
      </c>
      <c r="U338" s="2"/>
      <c r="V338" s="2"/>
      <c r="W338" s="2"/>
      <c r="X338" s="2"/>
      <c r="Y338" s="2"/>
      <c r="AB338" s="2"/>
      <c r="AC338" s="2"/>
      <c r="AD338" s="2"/>
      <c r="AE338" s="2"/>
      <c r="AF338" s="2"/>
      <c r="AG338" s="2"/>
      <c r="AH338" s="2"/>
    </row>
    <row r="339" spans="1:34" x14ac:dyDescent="0.25">
      <c r="A339" s="1" t="str">
        <f t="shared" si="5"/>
        <v/>
      </c>
      <c r="B339" s="2"/>
      <c r="C339" s="2"/>
      <c r="D339" s="2"/>
      <c r="E339" s="2"/>
      <c r="F339" s="2"/>
      <c r="G339" s="6"/>
      <c r="H339" s="2"/>
      <c r="I339" s="7"/>
      <c r="J339" s="8"/>
      <c r="Q339" s="2"/>
      <c r="R339" s="2" t="str">
        <f>IFERROR(IF(ISBLANK(Q339),"",INDEX([1]Gen_Vessels!$A$3:$C$500,MATCH(InspectionSite!$Q339,[1]Gen_Vessels!$C$3:$C$500,0),1)),"")</f>
        <v/>
      </c>
      <c r="S339" s="2"/>
      <c r="T339" s="2" t="str">
        <f>IFERROR(IF(ISBLANK(S339),"",INDEX([1]Gen_Vessels!$A$3:$C$500,MATCH(InspectionSite!$S339,[1]Gen_Vessels!$C$3:$C$500,0),1)),"")</f>
        <v/>
      </c>
      <c r="U339" s="2"/>
      <c r="V339" s="2"/>
      <c r="W339" s="2"/>
      <c r="X339" s="2"/>
      <c r="Y339" s="2"/>
      <c r="AB339" s="2"/>
      <c r="AC339" s="2"/>
      <c r="AD339" s="2"/>
      <c r="AE339" s="2"/>
      <c r="AF339" s="2"/>
      <c r="AG339" s="2"/>
      <c r="AH339" s="2"/>
    </row>
    <row r="340" spans="1:34" x14ac:dyDescent="0.25">
      <c r="A340" s="1" t="str">
        <f t="shared" si="5"/>
        <v/>
      </c>
      <c r="B340" s="2"/>
      <c r="C340" s="2"/>
      <c r="D340" s="2"/>
      <c r="E340" s="2"/>
      <c r="F340" s="2"/>
      <c r="G340" s="6"/>
      <c r="H340" s="2"/>
      <c r="I340" s="7"/>
      <c r="J340" s="8"/>
      <c r="Q340" s="2"/>
      <c r="R340" s="2" t="str">
        <f>IFERROR(IF(ISBLANK(Q340),"",INDEX([1]Gen_Vessels!$A$3:$C$500,MATCH(InspectionSite!$Q340,[1]Gen_Vessels!$C$3:$C$500,0),1)),"")</f>
        <v/>
      </c>
      <c r="S340" s="2"/>
      <c r="T340" s="2" t="str">
        <f>IFERROR(IF(ISBLANK(S340),"",INDEX([1]Gen_Vessels!$A$3:$C$500,MATCH(InspectionSite!$S340,[1]Gen_Vessels!$C$3:$C$500,0),1)),"")</f>
        <v/>
      </c>
      <c r="U340" s="2"/>
      <c r="V340" s="2"/>
      <c r="W340" s="2"/>
      <c r="X340" s="2"/>
      <c r="Y340" s="2"/>
      <c r="AB340" s="2"/>
      <c r="AC340" s="2"/>
      <c r="AD340" s="2"/>
      <c r="AE340" s="2"/>
      <c r="AF340" s="2"/>
      <c r="AG340" s="2"/>
      <c r="AH340" s="2"/>
    </row>
    <row r="341" spans="1:34" x14ac:dyDescent="0.25">
      <c r="A341" s="1" t="str">
        <f t="shared" si="5"/>
        <v/>
      </c>
      <c r="B341" s="2"/>
      <c r="C341" s="2"/>
      <c r="D341" s="2"/>
      <c r="E341" s="2"/>
      <c r="F341" s="2"/>
      <c r="G341" s="6"/>
      <c r="H341" s="2"/>
      <c r="I341" s="7"/>
      <c r="J341" s="8"/>
      <c r="Q341" s="2"/>
      <c r="R341" s="2" t="str">
        <f>IFERROR(IF(ISBLANK(Q341),"",INDEX([1]Gen_Vessels!$A$3:$C$500,MATCH(InspectionSite!$Q341,[1]Gen_Vessels!$C$3:$C$500,0),1)),"")</f>
        <v/>
      </c>
      <c r="S341" s="2"/>
      <c r="T341" s="2" t="str">
        <f>IFERROR(IF(ISBLANK(S341),"",INDEX([1]Gen_Vessels!$A$3:$C$500,MATCH(InspectionSite!$S341,[1]Gen_Vessels!$C$3:$C$500,0),1)),"")</f>
        <v/>
      </c>
      <c r="U341" s="2"/>
      <c r="V341" s="2"/>
      <c r="W341" s="2"/>
      <c r="X341" s="2"/>
      <c r="Y341" s="2"/>
      <c r="AB341" s="2"/>
      <c r="AC341" s="2"/>
      <c r="AD341" s="2"/>
      <c r="AE341" s="2"/>
      <c r="AF341" s="2"/>
      <c r="AG341" s="2"/>
      <c r="AH341" s="2"/>
    </row>
    <row r="342" spans="1:34" x14ac:dyDescent="0.25">
      <c r="A342" s="1" t="str">
        <f t="shared" si="5"/>
        <v/>
      </c>
      <c r="B342" s="2"/>
      <c r="C342" s="2"/>
      <c r="D342" s="2"/>
      <c r="E342" s="2"/>
      <c r="F342" s="2"/>
      <c r="G342" s="6"/>
      <c r="H342" s="2"/>
      <c r="I342" s="7"/>
      <c r="J342" s="8"/>
      <c r="Q342" s="2"/>
      <c r="R342" s="2" t="str">
        <f>IFERROR(IF(ISBLANK(Q342),"",INDEX([1]Gen_Vessels!$A$3:$C$500,MATCH(InspectionSite!$Q342,[1]Gen_Vessels!$C$3:$C$500,0),1)),"")</f>
        <v/>
      </c>
      <c r="S342" s="2"/>
      <c r="T342" s="2" t="str">
        <f>IFERROR(IF(ISBLANK(S342),"",INDEX([1]Gen_Vessels!$A$3:$C$500,MATCH(InspectionSite!$S342,[1]Gen_Vessels!$C$3:$C$500,0),1)),"")</f>
        <v/>
      </c>
      <c r="U342" s="2"/>
      <c r="V342" s="2"/>
      <c r="W342" s="2"/>
      <c r="X342" s="2"/>
      <c r="Y342" s="2"/>
      <c r="AB342" s="2"/>
      <c r="AC342" s="2"/>
      <c r="AD342" s="2"/>
      <c r="AE342" s="2"/>
      <c r="AF342" s="2"/>
      <c r="AG342" s="2"/>
      <c r="AH342" s="2"/>
    </row>
    <row r="343" spans="1:34" x14ac:dyDescent="0.25">
      <c r="A343" s="1" t="str">
        <f t="shared" si="5"/>
        <v/>
      </c>
      <c r="B343" s="2"/>
      <c r="C343" s="2"/>
      <c r="D343" s="2"/>
      <c r="E343" s="2"/>
      <c r="F343" s="2"/>
      <c r="G343" s="6"/>
      <c r="H343" s="2"/>
      <c r="I343" s="7"/>
      <c r="J343" s="8"/>
      <c r="Q343" s="2"/>
      <c r="R343" s="2" t="str">
        <f>IFERROR(IF(ISBLANK(Q343),"",INDEX([1]Gen_Vessels!$A$3:$C$500,MATCH(InspectionSite!$Q343,[1]Gen_Vessels!$C$3:$C$500,0),1)),"")</f>
        <v/>
      </c>
      <c r="S343" s="2"/>
      <c r="T343" s="2" t="str">
        <f>IFERROR(IF(ISBLANK(S343),"",INDEX([1]Gen_Vessels!$A$3:$C$500,MATCH(InspectionSite!$S343,[1]Gen_Vessels!$C$3:$C$500,0),1)),"")</f>
        <v/>
      </c>
      <c r="U343" s="2"/>
      <c r="V343" s="2"/>
      <c r="W343" s="2"/>
      <c r="X343" s="2"/>
      <c r="Y343" s="2"/>
      <c r="AB343" s="2"/>
      <c r="AC343" s="2"/>
      <c r="AD343" s="2"/>
      <c r="AE343" s="2"/>
      <c r="AF343" s="2"/>
      <c r="AG343" s="2"/>
      <c r="AH343" s="2"/>
    </row>
    <row r="344" spans="1:34" x14ac:dyDescent="0.25">
      <c r="A344" s="1" t="str">
        <f t="shared" si="5"/>
        <v/>
      </c>
      <c r="B344" s="2"/>
      <c r="C344" s="2"/>
      <c r="D344" s="2"/>
      <c r="E344" s="2"/>
      <c r="F344" s="2"/>
      <c r="G344" s="6"/>
      <c r="H344" s="2"/>
      <c r="I344" s="7"/>
      <c r="J344" s="8"/>
      <c r="Q344" s="2"/>
      <c r="R344" s="2" t="str">
        <f>IFERROR(IF(ISBLANK(Q344),"",INDEX([1]Gen_Vessels!$A$3:$C$500,MATCH(InspectionSite!$Q344,[1]Gen_Vessels!$C$3:$C$500,0),1)),"")</f>
        <v/>
      </c>
      <c r="S344" s="2"/>
      <c r="T344" s="2" t="str">
        <f>IFERROR(IF(ISBLANK(S344),"",INDEX([1]Gen_Vessels!$A$3:$C$500,MATCH(InspectionSite!$S344,[1]Gen_Vessels!$C$3:$C$500,0),1)),"")</f>
        <v/>
      </c>
      <c r="U344" s="2"/>
      <c r="V344" s="2"/>
      <c r="W344" s="2"/>
      <c r="X344" s="2"/>
      <c r="Y344" s="2"/>
      <c r="AB344" s="2"/>
      <c r="AC344" s="2"/>
      <c r="AD344" s="2"/>
      <c r="AE344" s="2"/>
      <c r="AF344" s="2"/>
      <c r="AG344" s="2"/>
      <c r="AH344" s="2"/>
    </row>
    <row r="345" spans="1:34" x14ac:dyDescent="0.25">
      <c r="A345" s="1" t="str">
        <f t="shared" si="5"/>
        <v/>
      </c>
      <c r="B345" s="2"/>
      <c r="C345" s="2"/>
      <c r="D345" s="2"/>
      <c r="E345" s="2"/>
      <c r="F345" s="2"/>
      <c r="G345" s="6"/>
      <c r="H345" s="2"/>
      <c r="I345" s="7"/>
      <c r="J345" s="8"/>
      <c r="Q345" s="2"/>
      <c r="R345" s="2" t="str">
        <f>IFERROR(IF(ISBLANK(Q345),"",INDEX([1]Gen_Vessels!$A$3:$C$500,MATCH(InspectionSite!$Q345,[1]Gen_Vessels!$C$3:$C$500,0),1)),"")</f>
        <v/>
      </c>
      <c r="S345" s="2"/>
      <c r="T345" s="2" t="str">
        <f>IFERROR(IF(ISBLANK(S345),"",INDEX([1]Gen_Vessels!$A$3:$C$500,MATCH(InspectionSite!$S345,[1]Gen_Vessels!$C$3:$C$500,0),1)),"")</f>
        <v/>
      </c>
      <c r="U345" s="2"/>
      <c r="V345" s="2"/>
      <c r="W345" s="2"/>
      <c r="X345" s="2"/>
      <c r="Y345" s="2"/>
      <c r="AB345" s="2"/>
      <c r="AC345" s="2"/>
      <c r="AD345" s="2"/>
      <c r="AE345" s="2"/>
      <c r="AF345" s="2"/>
      <c r="AG345" s="2"/>
      <c r="AH345" s="2"/>
    </row>
    <row r="346" spans="1:34" x14ac:dyDescent="0.25">
      <c r="A346" s="1" t="str">
        <f t="shared" si="5"/>
        <v/>
      </c>
      <c r="B346" s="2"/>
      <c r="C346" s="2"/>
      <c r="D346" s="2"/>
      <c r="E346" s="2"/>
      <c r="F346" s="2"/>
      <c r="G346" s="6"/>
      <c r="H346" s="2"/>
      <c r="I346" s="7"/>
      <c r="J346" s="8"/>
      <c r="Q346" s="2"/>
      <c r="R346" s="2" t="str">
        <f>IFERROR(IF(ISBLANK(Q346),"",INDEX([1]Gen_Vessels!$A$3:$C$500,MATCH(InspectionSite!$Q346,[1]Gen_Vessels!$C$3:$C$500,0),1)),"")</f>
        <v/>
      </c>
      <c r="S346" s="2"/>
      <c r="T346" s="2" t="str">
        <f>IFERROR(IF(ISBLANK(S346),"",INDEX([1]Gen_Vessels!$A$3:$C$500,MATCH(InspectionSite!$S346,[1]Gen_Vessels!$C$3:$C$500,0),1)),"")</f>
        <v/>
      </c>
      <c r="U346" s="2"/>
      <c r="V346" s="2"/>
      <c r="W346" s="2"/>
      <c r="X346" s="2"/>
      <c r="Y346" s="2"/>
      <c r="AB346" s="2"/>
      <c r="AC346" s="2"/>
      <c r="AD346" s="2"/>
      <c r="AE346" s="2"/>
      <c r="AF346" s="2"/>
      <c r="AG346" s="2"/>
      <c r="AH346" s="2"/>
    </row>
    <row r="347" spans="1:34" x14ac:dyDescent="0.25">
      <c r="A347" s="1" t="str">
        <f t="shared" si="5"/>
        <v/>
      </c>
      <c r="B347" s="2"/>
      <c r="C347" s="2"/>
      <c r="D347" s="2"/>
      <c r="E347" s="2"/>
      <c r="F347" s="2"/>
      <c r="G347" s="6"/>
      <c r="H347" s="2"/>
      <c r="I347" s="7"/>
      <c r="J347" s="8"/>
      <c r="Q347" s="2"/>
      <c r="R347" s="2" t="str">
        <f>IFERROR(IF(ISBLANK(Q347),"",INDEX([1]Gen_Vessels!$A$3:$C$500,MATCH(InspectionSite!$Q347,[1]Gen_Vessels!$C$3:$C$500,0),1)),"")</f>
        <v/>
      </c>
      <c r="S347" s="2"/>
      <c r="T347" s="2" t="str">
        <f>IFERROR(IF(ISBLANK(S347),"",INDEX([1]Gen_Vessels!$A$3:$C$500,MATCH(InspectionSite!$S347,[1]Gen_Vessels!$C$3:$C$500,0),1)),"")</f>
        <v/>
      </c>
      <c r="U347" s="2"/>
      <c r="V347" s="2"/>
      <c r="W347" s="2"/>
      <c r="X347" s="2"/>
      <c r="Y347" s="2"/>
      <c r="AB347" s="2"/>
      <c r="AC347" s="2"/>
      <c r="AD347" s="2"/>
      <c r="AE347" s="2"/>
      <c r="AF347" s="2"/>
      <c r="AG347" s="2"/>
      <c r="AH347" s="2"/>
    </row>
    <row r="348" spans="1:34" x14ac:dyDescent="0.25">
      <c r="A348" s="1" t="str">
        <f t="shared" si="5"/>
        <v/>
      </c>
      <c r="B348" s="2"/>
      <c r="C348" s="2"/>
      <c r="D348" s="2"/>
      <c r="E348" s="2"/>
      <c r="F348" s="2"/>
      <c r="G348" s="6"/>
      <c r="H348" s="2"/>
      <c r="I348" s="7"/>
      <c r="J348" s="8"/>
      <c r="Q348" s="2"/>
      <c r="R348" s="2" t="str">
        <f>IFERROR(IF(ISBLANK(Q348),"",INDEX([1]Gen_Vessels!$A$3:$C$500,MATCH(InspectionSite!$Q348,[1]Gen_Vessels!$C$3:$C$500,0),1)),"")</f>
        <v/>
      </c>
      <c r="S348" s="2"/>
      <c r="T348" s="2" t="str">
        <f>IFERROR(IF(ISBLANK(S348),"",INDEX([1]Gen_Vessels!$A$3:$C$500,MATCH(InspectionSite!$S348,[1]Gen_Vessels!$C$3:$C$500,0),1)),"")</f>
        <v/>
      </c>
      <c r="U348" s="2"/>
      <c r="V348" s="2"/>
      <c r="W348" s="2"/>
      <c r="X348" s="2"/>
      <c r="Y348" s="2"/>
      <c r="AB348" s="2"/>
      <c r="AC348" s="2"/>
      <c r="AD348" s="2"/>
      <c r="AE348" s="2"/>
      <c r="AF348" s="2"/>
      <c r="AG348" s="2"/>
      <c r="AH348" s="2"/>
    </row>
    <row r="349" spans="1:34" x14ac:dyDescent="0.25">
      <c r="A349" s="1" t="str">
        <f t="shared" si="5"/>
        <v/>
      </c>
      <c r="B349" s="2"/>
      <c r="C349" s="2"/>
      <c r="D349" s="2"/>
      <c r="E349" s="2"/>
      <c r="F349" s="2"/>
      <c r="G349" s="6"/>
      <c r="H349" s="2"/>
      <c r="I349" s="7"/>
      <c r="J349" s="8"/>
      <c r="Q349" s="2"/>
      <c r="R349" s="2" t="str">
        <f>IFERROR(IF(ISBLANK(Q349),"",INDEX([1]Gen_Vessels!$A$3:$C$500,MATCH(InspectionSite!$Q349,[1]Gen_Vessels!$C$3:$C$500,0),1)),"")</f>
        <v/>
      </c>
      <c r="S349" s="2"/>
      <c r="T349" s="2" t="str">
        <f>IFERROR(IF(ISBLANK(S349),"",INDEX([1]Gen_Vessels!$A$3:$C$500,MATCH(InspectionSite!$S349,[1]Gen_Vessels!$C$3:$C$500,0),1)),"")</f>
        <v/>
      </c>
      <c r="U349" s="2"/>
      <c r="V349" s="2"/>
      <c r="W349" s="2"/>
      <c r="X349" s="2"/>
      <c r="Y349" s="2"/>
      <c r="AB349" s="2"/>
      <c r="AC349" s="2"/>
      <c r="AD349" s="2"/>
      <c r="AE349" s="2"/>
      <c r="AF349" s="2"/>
      <c r="AG349" s="2"/>
      <c r="AH349" s="2"/>
    </row>
    <row r="350" spans="1:34" x14ac:dyDescent="0.25">
      <c r="A350" s="1" t="str">
        <f t="shared" si="5"/>
        <v/>
      </c>
      <c r="B350" s="2"/>
      <c r="C350" s="2"/>
      <c r="D350" s="2"/>
      <c r="E350" s="2"/>
      <c r="F350" s="2"/>
      <c r="G350" s="6"/>
      <c r="H350" s="2"/>
      <c r="I350" s="7"/>
      <c r="J350" s="8"/>
      <c r="Q350" s="2"/>
      <c r="R350" s="2" t="str">
        <f>IFERROR(IF(ISBLANK(Q350),"",INDEX([1]Gen_Vessels!$A$3:$C$500,MATCH(InspectionSite!$Q350,[1]Gen_Vessels!$C$3:$C$500,0),1)),"")</f>
        <v/>
      </c>
      <c r="S350" s="2"/>
      <c r="T350" s="2" t="str">
        <f>IFERROR(IF(ISBLANK(S350),"",INDEX([1]Gen_Vessels!$A$3:$C$500,MATCH(InspectionSite!$S350,[1]Gen_Vessels!$C$3:$C$500,0),1)),"")</f>
        <v/>
      </c>
      <c r="U350" s="2"/>
      <c r="V350" s="2"/>
      <c r="W350" s="2"/>
      <c r="X350" s="2"/>
      <c r="Y350" s="2"/>
      <c r="AB350" s="2"/>
      <c r="AC350" s="2"/>
      <c r="AD350" s="2"/>
      <c r="AE350" s="2"/>
      <c r="AF350" s="2"/>
      <c r="AG350" s="2"/>
      <c r="AH350" s="2"/>
    </row>
    <row r="351" spans="1:34" x14ac:dyDescent="0.25">
      <c r="A351" s="1" t="str">
        <f t="shared" si="5"/>
        <v/>
      </c>
      <c r="B351" s="2"/>
      <c r="C351" s="2"/>
      <c r="D351" s="2"/>
      <c r="E351" s="2"/>
      <c r="F351" s="2"/>
      <c r="G351" s="6"/>
      <c r="H351" s="2"/>
      <c r="I351" s="7"/>
      <c r="J351" s="8"/>
      <c r="Q351" s="2"/>
      <c r="R351" s="2" t="str">
        <f>IFERROR(IF(ISBLANK(Q351),"",INDEX([1]Gen_Vessels!$A$3:$C$500,MATCH(InspectionSite!$Q351,[1]Gen_Vessels!$C$3:$C$500,0),1)),"")</f>
        <v/>
      </c>
      <c r="S351" s="2"/>
      <c r="T351" s="2" t="str">
        <f>IFERROR(IF(ISBLANK(S351),"",INDEX([1]Gen_Vessels!$A$3:$C$500,MATCH(InspectionSite!$S351,[1]Gen_Vessels!$C$3:$C$500,0),1)),"")</f>
        <v/>
      </c>
      <c r="U351" s="2"/>
      <c r="V351" s="2"/>
      <c r="W351" s="2"/>
      <c r="X351" s="2"/>
      <c r="Y351" s="2"/>
      <c r="AB351" s="2"/>
      <c r="AC351" s="2"/>
      <c r="AD351" s="2"/>
      <c r="AE351" s="2"/>
      <c r="AF351" s="2"/>
      <c r="AG351" s="2"/>
      <c r="AH351" s="2"/>
    </row>
    <row r="352" spans="1:34" x14ac:dyDescent="0.25">
      <c r="A352" s="1" t="str">
        <f t="shared" si="5"/>
        <v/>
      </c>
      <c r="B352" s="2"/>
      <c r="C352" s="2"/>
      <c r="D352" s="2"/>
      <c r="E352" s="2"/>
      <c r="F352" s="2"/>
      <c r="G352" s="6"/>
      <c r="H352" s="2"/>
      <c r="I352" s="7"/>
      <c r="J352" s="8"/>
      <c r="Q352" s="2"/>
      <c r="R352" s="2" t="str">
        <f>IFERROR(IF(ISBLANK(Q352),"",INDEX([1]Gen_Vessels!$A$3:$C$500,MATCH(InspectionSite!$Q352,[1]Gen_Vessels!$C$3:$C$500,0),1)),"")</f>
        <v/>
      </c>
      <c r="S352" s="2"/>
      <c r="T352" s="2" t="str">
        <f>IFERROR(IF(ISBLANK(S352),"",INDEX([1]Gen_Vessels!$A$3:$C$500,MATCH(InspectionSite!$S352,[1]Gen_Vessels!$C$3:$C$500,0),1)),"")</f>
        <v/>
      </c>
      <c r="U352" s="2"/>
      <c r="V352" s="2"/>
      <c r="W352" s="2"/>
      <c r="X352" s="2"/>
      <c r="Y352" s="2"/>
      <c r="AB352" s="2"/>
      <c r="AC352" s="2"/>
      <c r="AD352" s="2"/>
      <c r="AE352" s="2"/>
      <c r="AF352" s="2"/>
      <c r="AG352" s="2"/>
      <c r="AH352" s="2"/>
    </row>
    <row r="353" spans="1:34" x14ac:dyDescent="0.25">
      <c r="A353" s="1" t="str">
        <f t="shared" si="5"/>
        <v/>
      </c>
      <c r="B353" s="2"/>
      <c r="C353" s="2"/>
      <c r="D353" s="2"/>
      <c r="E353" s="2"/>
      <c r="F353" s="2"/>
      <c r="G353" s="6"/>
      <c r="H353" s="2"/>
      <c r="I353" s="7"/>
      <c r="J353" s="8"/>
      <c r="Q353" s="2"/>
      <c r="R353" s="2" t="str">
        <f>IFERROR(IF(ISBLANK(Q353),"",INDEX([1]Gen_Vessels!$A$3:$C$500,MATCH(InspectionSite!$Q353,[1]Gen_Vessels!$C$3:$C$500,0),1)),"")</f>
        <v/>
      </c>
      <c r="S353" s="2"/>
      <c r="T353" s="2" t="str">
        <f>IFERROR(IF(ISBLANK(S353),"",INDEX([1]Gen_Vessels!$A$3:$C$500,MATCH(InspectionSite!$S353,[1]Gen_Vessels!$C$3:$C$500,0),1)),"")</f>
        <v/>
      </c>
      <c r="U353" s="2"/>
      <c r="V353" s="2"/>
      <c r="W353" s="2"/>
      <c r="X353" s="2"/>
      <c r="Y353" s="2"/>
      <c r="AB353" s="2"/>
      <c r="AC353" s="2"/>
      <c r="AD353" s="2"/>
      <c r="AE353" s="2"/>
      <c r="AF353" s="2"/>
      <c r="AG353" s="2"/>
      <c r="AH353" s="2"/>
    </row>
    <row r="354" spans="1:34" x14ac:dyDescent="0.25">
      <c r="A354" s="1" t="str">
        <f t="shared" si="5"/>
        <v/>
      </c>
      <c r="B354" s="2"/>
      <c r="C354" s="2"/>
      <c r="D354" s="2"/>
      <c r="E354" s="2"/>
      <c r="F354" s="2"/>
      <c r="G354" s="6"/>
      <c r="H354" s="2"/>
      <c r="I354" s="7"/>
      <c r="J354" s="8"/>
      <c r="Q354" s="2"/>
      <c r="R354" s="2" t="str">
        <f>IFERROR(IF(ISBLANK(Q354),"",INDEX([1]Gen_Vessels!$A$3:$C$500,MATCH(InspectionSite!$Q354,[1]Gen_Vessels!$C$3:$C$500,0),1)),"")</f>
        <v/>
      </c>
      <c r="S354" s="2"/>
      <c r="T354" s="2" t="str">
        <f>IFERROR(IF(ISBLANK(S354),"",INDEX([1]Gen_Vessels!$A$3:$C$500,MATCH(InspectionSite!$S354,[1]Gen_Vessels!$C$3:$C$500,0),1)),"")</f>
        <v/>
      </c>
      <c r="U354" s="2"/>
      <c r="V354" s="2"/>
      <c r="W354" s="2"/>
      <c r="X354" s="2"/>
      <c r="Y354" s="2"/>
      <c r="AB354" s="2"/>
      <c r="AC354" s="2"/>
      <c r="AD354" s="2"/>
      <c r="AE354" s="2"/>
      <c r="AF354" s="2"/>
      <c r="AG354" s="2"/>
      <c r="AH354" s="2"/>
    </row>
    <row r="355" spans="1:34" x14ac:dyDescent="0.25">
      <c r="A355" s="1" t="str">
        <f t="shared" si="5"/>
        <v/>
      </c>
      <c r="B355" s="2"/>
      <c r="C355" s="2"/>
      <c r="D355" s="2"/>
      <c r="E355" s="2"/>
      <c r="F355" s="2"/>
      <c r="G355" s="6"/>
      <c r="H355" s="2"/>
      <c r="I355" s="7"/>
      <c r="J355" s="8"/>
      <c r="Q355" s="2"/>
      <c r="R355" s="2" t="str">
        <f>IFERROR(IF(ISBLANK(Q355),"",INDEX([1]Gen_Vessels!$A$3:$C$500,MATCH(InspectionSite!$Q355,[1]Gen_Vessels!$C$3:$C$500,0),1)),"")</f>
        <v/>
      </c>
      <c r="S355" s="2"/>
      <c r="T355" s="2" t="str">
        <f>IFERROR(IF(ISBLANK(S355),"",INDEX([1]Gen_Vessels!$A$3:$C$500,MATCH(InspectionSite!$S355,[1]Gen_Vessels!$C$3:$C$500,0),1)),"")</f>
        <v/>
      </c>
      <c r="U355" s="2"/>
      <c r="V355" s="2"/>
      <c r="W355" s="2"/>
      <c r="X355" s="2"/>
      <c r="Y355" s="2"/>
      <c r="AB355" s="2"/>
      <c r="AC355" s="2"/>
      <c r="AD355" s="2"/>
      <c r="AE355" s="2"/>
      <c r="AF355" s="2"/>
      <c r="AG355" s="2"/>
      <c r="AH355" s="2"/>
    </row>
    <row r="356" spans="1:34" x14ac:dyDescent="0.25">
      <c r="A356" s="1" t="str">
        <f t="shared" si="5"/>
        <v/>
      </c>
      <c r="B356" s="2"/>
      <c r="C356" s="2"/>
      <c r="D356" s="2"/>
      <c r="E356" s="2"/>
      <c r="F356" s="2"/>
      <c r="G356" s="6"/>
      <c r="H356" s="2"/>
      <c r="I356" s="7"/>
      <c r="J356" s="8"/>
      <c r="Q356" s="2"/>
      <c r="R356" s="2" t="str">
        <f>IFERROR(IF(ISBLANK(Q356),"",INDEX([1]Gen_Vessels!$A$3:$C$500,MATCH(InspectionSite!$Q356,[1]Gen_Vessels!$C$3:$C$500,0),1)),"")</f>
        <v/>
      </c>
      <c r="S356" s="2"/>
      <c r="T356" s="2" t="str">
        <f>IFERROR(IF(ISBLANK(S356),"",INDEX([1]Gen_Vessels!$A$3:$C$500,MATCH(InspectionSite!$S356,[1]Gen_Vessels!$C$3:$C$500,0),1)),"")</f>
        <v/>
      </c>
      <c r="U356" s="2"/>
      <c r="V356" s="2"/>
      <c r="W356" s="2"/>
      <c r="X356" s="2"/>
      <c r="Y356" s="2"/>
      <c r="AB356" s="2"/>
      <c r="AC356" s="2"/>
      <c r="AD356" s="2"/>
      <c r="AE356" s="2"/>
      <c r="AF356" s="2"/>
      <c r="AG356" s="2"/>
      <c r="AH356" s="2"/>
    </row>
    <row r="357" spans="1:34" x14ac:dyDescent="0.25">
      <c r="A357" s="1" t="str">
        <f t="shared" si="5"/>
        <v/>
      </c>
      <c r="B357" s="2"/>
      <c r="C357" s="2"/>
      <c r="D357" s="2"/>
      <c r="E357" s="2"/>
      <c r="F357" s="2"/>
      <c r="G357" s="6"/>
      <c r="H357" s="2"/>
      <c r="I357" s="7"/>
      <c r="J357" s="8"/>
      <c r="Q357" s="2"/>
      <c r="R357" s="2" t="str">
        <f>IFERROR(IF(ISBLANK(Q357),"",INDEX([1]Gen_Vessels!$A$3:$C$500,MATCH(InspectionSite!$Q357,[1]Gen_Vessels!$C$3:$C$500,0),1)),"")</f>
        <v/>
      </c>
      <c r="S357" s="2"/>
      <c r="T357" s="2" t="str">
        <f>IFERROR(IF(ISBLANK(S357),"",INDEX([1]Gen_Vessels!$A$3:$C$500,MATCH(InspectionSite!$S357,[1]Gen_Vessels!$C$3:$C$500,0),1)),"")</f>
        <v/>
      </c>
      <c r="U357" s="2"/>
      <c r="V357" s="2"/>
      <c r="W357" s="2"/>
      <c r="X357" s="2"/>
      <c r="Y357" s="2"/>
      <c r="AB357" s="2"/>
      <c r="AC357" s="2"/>
      <c r="AD357" s="2"/>
      <c r="AE357" s="2"/>
      <c r="AF357" s="2"/>
      <c r="AG357" s="2"/>
      <c r="AH357" s="2"/>
    </row>
    <row r="358" spans="1:34" x14ac:dyDescent="0.25">
      <c r="A358" s="1" t="str">
        <f t="shared" si="5"/>
        <v/>
      </c>
      <c r="B358" s="2"/>
      <c r="C358" s="2"/>
      <c r="D358" s="2"/>
      <c r="E358" s="2"/>
      <c r="F358" s="2"/>
      <c r="G358" s="6"/>
      <c r="H358" s="2"/>
      <c r="I358" s="7"/>
      <c r="J358" s="8"/>
      <c r="Q358" s="2"/>
      <c r="R358" s="2" t="str">
        <f>IFERROR(IF(ISBLANK(Q358),"",INDEX([1]Gen_Vessels!$A$3:$C$500,MATCH(InspectionSite!$Q358,[1]Gen_Vessels!$C$3:$C$500,0),1)),"")</f>
        <v/>
      </c>
      <c r="S358" s="2"/>
      <c r="T358" s="2" t="str">
        <f>IFERROR(IF(ISBLANK(S358),"",INDEX([1]Gen_Vessels!$A$3:$C$500,MATCH(InspectionSite!$S358,[1]Gen_Vessels!$C$3:$C$500,0),1)),"")</f>
        <v/>
      </c>
      <c r="U358" s="2"/>
      <c r="V358" s="2"/>
      <c r="W358" s="2"/>
      <c r="X358" s="2"/>
      <c r="Y358" s="2"/>
      <c r="AB358" s="2"/>
      <c r="AC358" s="2"/>
      <c r="AD358" s="2"/>
      <c r="AE358" s="2"/>
      <c r="AF358" s="2"/>
      <c r="AG358" s="2"/>
      <c r="AH358" s="2"/>
    </row>
    <row r="359" spans="1:34" x14ac:dyDescent="0.25">
      <c r="A359" s="1" t="str">
        <f t="shared" si="5"/>
        <v/>
      </c>
      <c r="B359" s="2"/>
      <c r="C359" s="2"/>
      <c r="D359" s="2"/>
      <c r="E359" s="2"/>
      <c r="F359" s="2"/>
      <c r="G359" s="6"/>
      <c r="H359" s="2"/>
      <c r="I359" s="7"/>
      <c r="J359" s="8"/>
      <c r="Q359" s="2"/>
      <c r="R359" s="2" t="str">
        <f>IFERROR(IF(ISBLANK(Q359),"",INDEX([1]Gen_Vessels!$A$3:$C$500,MATCH(InspectionSite!$Q359,[1]Gen_Vessels!$C$3:$C$500,0),1)),"")</f>
        <v/>
      </c>
      <c r="S359" s="2"/>
      <c r="T359" s="2" t="str">
        <f>IFERROR(IF(ISBLANK(S359),"",INDEX([1]Gen_Vessels!$A$3:$C$500,MATCH(InspectionSite!$S359,[1]Gen_Vessels!$C$3:$C$500,0),1)),"")</f>
        <v/>
      </c>
      <c r="U359" s="2"/>
      <c r="V359" s="2"/>
      <c r="W359" s="2"/>
      <c r="X359" s="2"/>
      <c r="Y359" s="2"/>
      <c r="AB359" s="2"/>
      <c r="AC359" s="2"/>
      <c r="AD359" s="2"/>
      <c r="AE359" s="2"/>
      <c r="AF359" s="2"/>
      <c r="AG359" s="2"/>
      <c r="AH359" s="2"/>
    </row>
    <row r="360" spans="1:34" x14ac:dyDescent="0.25">
      <c r="A360" s="1" t="str">
        <f t="shared" si="5"/>
        <v/>
      </c>
      <c r="B360" s="2"/>
      <c r="C360" s="2"/>
      <c r="D360" s="2"/>
      <c r="E360" s="2"/>
      <c r="F360" s="2"/>
      <c r="G360" s="6"/>
      <c r="H360" s="2"/>
      <c r="I360" s="7"/>
      <c r="J360" s="8"/>
      <c r="Q360" s="2"/>
      <c r="R360" s="2" t="str">
        <f>IFERROR(IF(ISBLANK(Q360),"",INDEX([1]Gen_Vessels!$A$3:$C$500,MATCH(InspectionSite!$Q360,[1]Gen_Vessels!$C$3:$C$500,0),1)),"")</f>
        <v/>
      </c>
      <c r="S360" s="2"/>
      <c r="T360" s="2" t="str">
        <f>IFERROR(IF(ISBLANK(S360),"",INDEX([1]Gen_Vessels!$A$3:$C$500,MATCH(InspectionSite!$S360,[1]Gen_Vessels!$C$3:$C$500,0),1)),"")</f>
        <v/>
      </c>
      <c r="U360" s="2"/>
      <c r="V360" s="2"/>
      <c r="W360" s="2"/>
      <c r="X360" s="2"/>
      <c r="Y360" s="2"/>
      <c r="AB360" s="2"/>
      <c r="AC360" s="2"/>
      <c r="AD360" s="2"/>
      <c r="AE360" s="2"/>
      <c r="AF360" s="2"/>
      <c r="AG360" s="2"/>
      <c r="AH360" s="2"/>
    </row>
    <row r="361" spans="1:34" x14ac:dyDescent="0.25">
      <c r="A361" s="1" t="str">
        <f t="shared" si="5"/>
        <v/>
      </c>
      <c r="B361" s="2"/>
      <c r="C361" s="2"/>
      <c r="D361" s="2"/>
      <c r="E361" s="2"/>
      <c r="F361" s="2"/>
      <c r="G361" s="6"/>
      <c r="H361" s="2"/>
      <c r="I361" s="7"/>
      <c r="J361" s="8"/>
      <c r="Q361" s="2"/>
      <c r="R361" s="2" t="str">
        <f>IFERROR(IF(ISBLANK(Q361),"",INDEX([1]Gen_Vessels!$A$3:$C$500,MATCH(InspectionSite!$Q361,[1]Gen_Vessels!$C$3:$C$500,0),1)),"")</f>
        <v/>
      </c>
      <c r="S361" s="2"/>
      <c r="T361" s="2" t="str">
        <f>IFERROR(IF(ISBLANK(S361),"",INDEX([1]Gen_Vessels!$A$3:$C$500,MATCH(InspectionSite!$S361,[1]Gen_Vessels!$C$3:$C$500,0),1)),"")</f>
        <v/>
      </c>
      <c r="U361" s="2"/>
      <c r="V361" s="2"/>
      <c r="W361" s="2"/>
      <c r="X361" s="2"/>
      <c r="Y361" s="2"/>
      <c r="AB361" s="2"/>
      <c r="AC361" s="2"/>
      <c r="AD361" s="2"/>
      <c r="AE361" s="2"/>
      <c r="AF361" s="2"/>
      <c r="AG361" s="2"/>
      <c r="AH361" s="2"/>
    </row>
    <row r="362" spans="1:34" x14ac:dyDescent="0.25">
      <c r="A362" s="1" t="str">
        <f t="shared" si="5"/>
        <v/>
      </c>
      <c r="B362" s="2"/>
      <c r="C362" s="2"/>
      <c r="D362" s="2"/>
      <c r="E362" s="2"/>
      <c r="F362" s="2"/>
      <c r="G362" s="6"/>
      <c r="H362" s="2"/>
      <c r="I362" s="7"/>
      <c r="J362" s="8"/>
      <c r="Q362" s="2"/>
      <c r="R362" s="2" t="str">
        <f>IFERROR(IF(ISBLANK(Q362),"",INDEX([1]Gen_Vessels!$A$3:$C$500,MATCH(InspectionSite!$Q362,[1]Gen_Vessels!$C$3:$C$500,0),1)),"")</f>
        <v/>
      </c>
      <c r="S362" s="2"/>
      <c r="T362" s="2" t="str">
        <f>IFERROR(IF(ISBLANK(S362),"",INDEX([1]Gen_Vessels!$A$3:$C$500,MATCH(InspectionSite!$S362,[1]Gen_Vessels!$C$3:$C$500,0),1)),"")</f>
        <v/>
      </c>
      <c r="U362" s="2"/>
      <c r="V362" s="2"/>
      <c r="W362" s="2"/>
      <c r="X362" s="2"/>
      <c r="Y362" s="2"/>
      <c r="AB362" s="2"/>
      <c r="AC362" s="2"/>
      <c r="AD362" s="2"/>
      <c r="AE362" s="2"/>
      <c r="AF362" s="2"/>
      <c r="AG362" s="2"/>
      <c r="AH362" s="2"/>
    </row>
    <row r="363" spans="1:34" x14ac:dyDescent="0.25">
      <c r="A363" s="1" t="str">
        <f t="shared" si="5"/>
        <v/>
      </c>
      <c r="B363" s="2"/>
      <c r="C363" s="2"/>
      <c r="D363" s="2"/>
      <c r="E363" s="2"/>
      <c r="F363" s="2"/>
      <c r="G363" s="6"/>
      <c r="H363" s="2"/>
      <c r="I363" s="7"/>
      <c r="J363" s="8"/>
      <c r="Q363" s="2"/>
      <c r="R363" s="2" t="str">
        <f>IFERROR(IF(ISBLANK(Q363),"",INDEX([1]Gen_Vessels!$A$3:$C$500,MATCH(InspectionSite!$Q363,[1]Gen_Vessels!$C$3:$C$500,0),1)),"")</f>
        <v/>
      </c>
      <c r="S363" s="2"/>
      <c r="T363" s="2" t="str">
        <f>IFERROR(IF(ISBLANK(S363),"",INDEX([1]Gen_Vessels!$A$3:$C$500,MATCH(InspectionSite!$S363,[1]Gen_Vessels!$C$3:$C$500,0),1)),"")</f>
        <v/>
      </c>
      <c r="U363" s="2"/>
      <c r="V363" s="2"/>
      <c r="W363" s="2"/>
      <c r="X363" s="2"/>
      <c r="Y363" s="2"/>
      <c r="AB363" s="2"/>
      <c r="AC363" s="2"/>
      <c r="AD363" s="2"/>
      <c r="AE363" s="2"/>
      <c r="AF363" s="2"/>
      <c r="AG363" s="2"/>
      <c r="AH363" s="2"/>
    </row>
    <row r="364" spans="1:34" x14ac:dyDescent="0.25">
      <c r="A364" s="1" t="str">
        <f t="shared" si="5"/>
        <v/>
      </c>
      <c r="B364" s="2"/>
      <c r="C364" s="2"/>
      <c r="D364" s="2"/>
      <c r="E364" s="2"/>
      <c r="F364" s="2"/>
      <c r="G364" s="6"/>
      <c r="H364" s="2"/>
      <c r="I364" s="7"/>
      <c r="J364" s="8"/>
      <c r="Q364" s="2"/>
      <c r="R364" s="2" t="str">
        <f>IFERROR(IF(ISBLANK(Q364),"",INDEX([1]Gen_Vessels!$A$3:$C$500,MATCH(InspectionSite!$Q364,[1]Gen_Vessels!$C$3:$C$500,0),1)),"")</f>
        <v/>
      </c>
      <c r="S364" s="2"/>
      <c r="T364" s="2" t="str">
        <f>IFERROR(IF(ISBLANK(S364),"",INDEX([1]Gen_Vessels!$A$3:$C$500,MATCH(InspectionSite!$S364,[1]Gen_Vessels!$C$3:$C$500,0),1)),"")</f>
        <v/>
      </c>
      <c r="U364" s="2"/>
      <c r="V364" s="2"/>
      <c r="W364" s="2"/>
      <c r="X364" s="2"/>
      <c r="Y364" s="2"/>
      <c r="AB364" s="2"/>
      <c r="AC364" s="2"/>
      <c r="AD364" s="2"/>
      <c r="AE364" s="2"/>
      <c r="AF364" s="2"/>
      <c r="AG364" s="2"/>
      <c r="AH364" s="2"/>
    </row>
    <row r="365" spans="1:34" x14ac:dyDescent="0.25">
      <c r="A365" s="1" t="str">
        <f t="shared" si="5"/>
        <v/>
      </c>
      <c r="B365" s="2"/>
      <c r="C365" s="2"/>
      <c r="D365" s="2"/>
      <c r="E365" s="2"/>
      <c r="F365" s="2"/>
      <c r="G365" s="6"/>
      <c r="H365" s="2"/>
      <c r="I365" s="7"/>
      <c r="J365" s="8"/>
      <c r="Q365" s="2"/>
      <c r="R365" s="2" t="str">
        <f>IFERROR(IF(ISBLANK(Q365),"",INDEX([1]Gen_Vessels!$A$3:$C$500,MATCH(InspectionSite!$Q365,[1]Gen_Vessels!$C$3:$C$500,0),1)),"")</f>
        <v/>
      </c>
      <c r="S365" s="2"/>
      <c r="T365" s="2" t="str">
        <f>IFERROR(IF(ISBLANK(S365),"",INDEX([1]Gen_Vessels!$A$3:$C$500,MATCH(InspectionSite!$S365,[1]Gen_Vessels!$C$3:$C$500,0),1)),"")</f>
        <v/>
      </c>
      <c r="U365" s="2"/>
      <c r="V365" s="2"/>
      <c r="W365" s="2"/>
      <c r="X365" s="2"/>
      <c r="Y365" s="2"/>
      <c r="AB365" s="2"/>
      <c r="AC365" s="2"/>
      <c r="AD365" s="2"/>
      <c r="AE365" s="2"/>
      <c r="AF365" s="2"/>
      <c r="AG365" s="2"/>
      <c r="AH365" s="2"/>
    </row>
    <row r="366" spans="1:34" x14ac:dyDescent="0.25">
      <c r="A366" s="1" t="str">
        <f t="shared" si="5"/>
        <v/>
      </c>
      <c r="B366" s="2"/>
      <c r="C366" s="2"/>
      <c r="D366" s="2"/>
      <c r="E366" s="2"/>
      <c r="F366" s="2"/>
      <c r="G366" s="6"/>
      <c r="H366" s="2"/>
      <c r="I366" s="7"/>
      <c r="J366" s="8"/>
      <c r="Q366" s="2"/>
      <c r="R366" s="2" t="str">
        <f>IFERROR(IF(ISBLANK(Q366),"",INDEX([1]Gen_Vessels!$A$3:$C$500,MATCH(InspectionSite!$Q366,[1]Gen_Vessels!$C$3:$C$500,0),1)),"")</f>
        <v/>
      </c>
      <c r="S366" s="2"/>
      <c r="T366" s="2" t="str">
        <f>IFERROR(IF(ISBLANK(S366),"",INDEX([1]Gen_Vessels!$A$3:$C$500,MATCH(InspectionSite!$S366,[1]Gen_Vessels!$C$3:$C$500,0),1)),"")</f>
        <v/>
      </c>
      <c r="U366" s="2"/>
      <c r="V366" s="2"/>
      <c r="W366" s="2"/>
      <c r="X366" s="2"/>
      <c r="Y366" s="2"/>
      <c r="AB366" s="2"/>
      <c r="AC366" s="2"/>
      <c r="AD366" s="2"/>
      <c r="AE366" s="2"/>
      <c r="AF366" s="2"/>
      <c r="AG366" s="2"/>
      <c r="AH366" s="2"/>
    </row>
    <row r="367" spans="1:34" x14ac:dyDescent="0.25">
      <c r="A367" s="1" t="str">
        <f t="shared" si="5"/>
        <v/>
      </c>
      <c r="B367" s="2"/>
      <c r="C367" s="2"/>
      <c r="D367" s="2"/>
      <c r="E367" s="2"/>
      <c r="F367" s="2"/>
      <c r="G367" s="6"/>
      <c r="H367" s="2"/>
      <c r="I367" s="7"/>
      <c r="J367" s="8"/>
      <c r="Q367" s="2"/>
      <c r="R367" s="2" t="str">
        <f>IFERROR(IF(ISBLANK(Q367),"",INDEX([1]Gen_Vessels!$A$3:$C$500,MATCH(InspectionSite!$Q367,[1]Gen_Vessels!$C$3:$C$500,0),1)),"")</f>
        <v/>
      </c>
      <c r="S367" s="2"/>
      <c r="T367" s="2" t="str">
        <f>IFERROR(IF(ISBLANK(S367),"",INDEX([1]Gen_Vessels!$A$3:$C$500,MATCH(InspectionSite!$S367,[1]Gen_Vessels!$C$3:$C$500,0),1)),"")</f>
        <v/>
      </c>
      <c r="U367" s="2"/>
      <c r="V367" s="2"/>
      <c r="W367" s="2"/>
      <c r="X367" s="2"/>
      <c r="Y367" s="2"/>
      <c r="AB367" s="2"/>
      <c r="AC367" s="2"/>
      <c r="AD367" s="2"/>
      <c r="AE367" s="2"/>
      <c r="AF367" s="2"/>
      <c r="AG367" s="2"/>
      <c r="AH367" s="2"/>
    </row>
    <row r="368" spans="1:34" x14ac:dyDescent="0.25">
      <c r="A368" s="1" t="str">
        <f t="shared" si="5"/>
        <v/>
      </c>
      <c r="B368" s="2"/>
      <c r="C368" s="2"/>
      <c r="D368" s="2"/>
      <c r="E368" s="2"/>
      <c r="F368" s="2"/>
      <c r="G368" s="6"/>
      <c r="H368" s="2"/>
      <c r="I368" s="7"/>
      <c r="J368" s="8"/>
      <c r="Q368" s="2"/>
      <c r="R368" s="2" t="str">
        <f>IFERROR(IF(ISBLANK(Q368),"",INDEX([1]Gen_Vessels!$A$3:$C$500,MATCH(InspectionSite!$Q368,[1]Gen_Vessels!$C$3:$C$500,0),1)),"")</f>
        <v/>
      </c>
      <c r="S368" s="2"/>
      <c r="T368" s="2" t="str">
        <f>IFERROR(IF(ISBLANK(S368),"",INDEX([1]Gen_Vessels!$A$3:$C$500,MATCH(InspectionSite!$S368,[1]Gen_Vessels!$C$3:$C$500,0),1)),"")</f>
        <v/>
      </c>
      <c r="U368" s="2"/>
      <c r="V368" s="2"/>
      <c r="W368" s="2"/>
      <c r="X368" s="2"/>
      <c r="Y368" s="2"/>
      <c r="AB368" s="2"/>
      <c r="AC368" s="2"/>
      <c r="AD368" s="2"/>
      <c r="AE368" s="2"/>
      <c r="AF368" s="2"/>
      <c r="AG368" s="2"/>
      <c r="AH368" s="2"/>
    </row>
    <row r="369" spans="1:34" x14ac:dyDescent="0.25">
      <c r="A369" s="1" t="str">
        <f t="shared" si="5"/>
        <v/>
      </c>
      <c r="B369" s="2"/>
      <c r="C369" s="2"/>
      <c r="D369" s="2"/>
      <c r="E369" s="2"/>
      <c r="F369" s="2"/>
      <c r="G369" s="6"/>
      <c r="H369" s="2"/>
      <c r="I369" s="7"/>
      <c r="J369" s="8"/>
      <c r="Q369" s="2"/>
      <c r="R369" s="2" t="str">
        <f>IFERROR(IF(ISBLANK(Q369),"",INDEX([1]Gen_Vessels!$A$3:$C$500,MATCH(InspectionSite!$Q369,[1]Gen_Vessels!$C$3:$C$500,0),1)),"")</f>
        <v/>
      </c>
      <c r="S369" s="2"/>
      <c r="T369" s="2" t="str">
        <f>IFERROR(IF(ISBLANK(S369),"",INDEX([1]Gen_Vessels!$A$3:$C$500,MATCH(InspectionSite!$S369,[1]Gen_Vessels!$C$3:$C$500,0),1)),"")</f>
        <v/>
      </c>
      <c r="U369" s="2"/>
      <c r="V369" s="2"/>
      <c r="W369" s="2"/>
      <c r="X369" s="2"/>
      <c r="Y369" s="2"/>
      <c r="AB369" s="2"/>
      <c r="AC369" s="2"/>
      <c r="AD369" s="2"/>
      <c r="AE369" s="2"/>
      <c r="AF369" s="2"/>
      <c r="AG369" s="2"/>
      <c r="AH369" s="2"/>
    </row>
    <row r="370" spans="1:34" x14ac:dyDescent="0.25">
      <c r="A370" s="1" t="str">
        <f t="shared" si="5"/>
        <v/>
      </c>
      <c r="B370" s="2"/>
      <c r="C370" s="2"/>
      <c r="D370" s="2"/>
      <c r="E370" s="2"/>
      <c r="F370" s="2"/>
      <c r="G370" s="6"/>
      <c r="H370" s="2"/>
      <c r="I370" s="7"/>
      <c r="J370" s="8"/>
      <c r="Q370" s="2"/>
      <c r="R370" s="2" t="str">
        <f>IFERROR(IF(ISBLANK(Q370),"",INDEX([1]Gen_Vessels!$A$3:$C$500,MATCH(InspectionSite!$Q370,[1]Gen_Vessels!$C$3:$C$500,0),1)),"")</f>
        <v/>
      </c>
      <c r="S370" s="2"/>
      <c r="T370" s="2" t="str">
        <f>IFERROR(IF(ISBLANK(S370),"",INDEX([1]Gen_Vessels!$A$3:$C$500,MATCH(InspectionSite!$S370,[1]Gen_Vessels!$C$3:$C$500,0),1)),"")</f>
        <v/>
      </c>
      <c r="U370" s="2"/>
      <c r="V370" s="2"/>
      <c r="W370" s="2"/>
      <c r="X370" s="2"/>
      <c r="Y370" s="2"/>
      <c r="AB370" s="2"/>
      <c r="AC370" s="2"/>
      <c r="AD370" s="2"/>
      <c r="AE370" s="2"/>
      <c r="AF370" s="2"/>
      <c r="AG370" s="2"/>
      <c r="AH370" s="2"/>
    </row>
    <row r="371" spans="1:34" x14ac:dyDescent="0.25">
      <c r="A371" s="1" t="str">
        <f t="shared" si="5"/>
        <v/>
      </c>
      <c r="B371" s="2"/>
      <c r="C371" s="2"/>
      <c r="D371" s="2"/>
      <c r="E371" s="2"/>
      <c r="F371" s="2"/>
      <c r="G371" s="6"/>
      <c r="H371" s="2"/>
      <c r="I371" s="7"/>
      <c r="J371" s="8"/>
      <c r="Q371" s="2"/>
      <c r="R371" s="2" t="str">
        <f>IFERROR(IF(ISBLANK(Q371),"",INDEX([1]Gen_Vessels!$A$3:$C$500,MATCH(InspectionSite!$Q371,[1]Gen_Vessels!$C$3:$C$500,0),1)),"")</f>
        <v/>
      </c>
      <c r="S371" s="2"/>
      <c r="T371" s="2" t="str">
        <f>IFERROR(IF(ISBLANK(S371),"",INDEX([1]Gen_Vessels!$A$3:$C$500,MATCH(InspectionSite!$S371,[1]Gen_Vessels!$C$3:$C$500,0),1)),"")</f>
        <v/>
      </c>
      <c r="U371" s="2"/>
      <c r="V371" s="2"/>
      <c r="W371" s="2"/>
      <c r="X371" s="2"/>
      <c r="Y371" s="2"/>
      <c r="AB371" s="2"/>
      <c r="AC371" s="2"/>
      <c r="AD371" s="2"/>
      <c r="AE371" s="2"/>
      <c r="AF371" s="2"/>
      <c r="AG371" s="2"/>
      <c r="AH371" s="2"/>
    </row>
    <row r="372" spans="1:34" x14ac:dyDescent="0.25">
      <c r="A372" s="1" t="str">
        <f t="shared" si="5"/>
        <v/>
      </c>
      <c r="B372" s="2"/>
      <c r="C372" s="2"/>
      <c r="D372" s="2"/>
      <c r="E372" s="2"/>
      <c r="F372" s="2"/>
      <c r="G372" s="6"/>
      <c r="H372" s="2"/>
      <c r="I372" s="7"/>
      <c r="J372" s="8"/>
      <c r="Q372" s="2"/>
      <c r="R372" s="2" t="str">
        <f>IFERROR(IF(ISBLANK(Q372),"",INDEX([1]Gen_Vessels!$A$3:$C$500,MATCH(InspectionSite!$Q372,[1]Gen_Vessels!$C$3:$C$500,0),1)),"")</f>
        <v/>
      </c>
      <c r="S372" s="2"/>
      <c r="T372" s="2" t="str">
        <f>IFERROR(IF(ISBLANK(S372),"",INDEX([1]Gen_Vessels!$A$3:$C$500,MATCH(InspectionSite!$S372,[1]Gen_Vessels!$C$3:$C$500,0),1)),"")</f>
        <v/>
      </c>
      <c r="U372" s="2"/>
      <c r="V372" s="2"/>
      <c r="W372" s="2"/>
      <c r="X372" s="2"/>
      <c r="Y372" s="2"/>
      <c r="AB372" s="2"/>
      <c r="AC372" s="2"/>
      <c r="AD372" s="2"/>
      <c r="AE372" s="2"/>
      <c r="AF372" s="2"/>
      <c r="AG372" s="2"/>
      <c r="AH372" s="2"/>
    </row>
    <row r="373" spans="1:34" x14ac:dyDescent="0.25">
      <c r="A373" s="1" t="str">
        <f t="shared" si="5"/>
        <v/>
      </c>
      <c r="B373" s="2"/>
      <c r="C373" s="2"/>
      <c r="D373" s="2"/>
      <c r="E373" s="2"/>
      <c r="F373" s="2"/>
      <c r="G373" s="6"/>
      <c r="H373" s="2"/>
      <c r="I373" s="7"/>
      <c r="J373" s="8"/>
      <c r="Q373" s="2"/>
      <c r="R373" s="2" t="str">
        <f>IFERROR(IF(ISBLANK(Q373),"",INDEX([1]Gen_Vessels!$A$3:$C$500,MATCH(InspectionSite!$Q373,[1]Gen_Vessels!$C$3:$C$500,0),1)),"")</f>
        <v/>
      </c>
      <c r="S373" s="2"/>
      <c r="T373" s="2" t="str">
        <f>IFERROR(IF(ISBLANK(S373),"",INDEX([1]Gen_Vessels!$A$3:$C$500,MATCH(InspectionSite!$S373,[1]Gen_Vessels!$C$3:$C$500,0),1)),"")</f>
        <v/>
      </c>
      <c r="U373" s="2"/>
      <c r="V373" s="2"/>
      <c r="W373" s="2"/>
      <c r="X373" s="2"/>
      <c r="Y373" s="2"/>
      <c r="AB373" s="2"/>
      <c r="AC373" s="2"/>
      <c r="AD373" s="2"/>
      <c r="AE373" s="2"/>
      <c r="AF373" s="2"/>
      <c r="AG373" s="2"/>
      <c r="AH373" s="2"/>
    </row>
    <row r="374" spans="1:34" x14ac:dyDescent="0.25">
      <c r="A374" s="1" t="str">
        <f t="shared" si="5"/>
        <v/>
      </c>
      <c r="B374" s="2"/>
      <c r="C374" s="2"/>
      <c r="D374" s="2"/>
      <c r="E374" s="2"/>
      <c r="F374" s="2"/>
      <c r="G374" s="6"/>
      <c r="H374" s="2"/>
      <c r="I374" s="7"/>
      <c r="J374" s="8"/>
      <c r="Q374" s="2"/>
      <c r="R374" s="2" t="str">
        <f>IFERROR(IF(ISBLANK(Q374),"",INDEX([1]Gen_Vessels!$A$3:$C$500,MATCH(InspectionSite!$Q374,[1]Gen_Vessels!$C$3:$C$500,0),1)),"")</f>
        <v/>
      </c>
      <c r="S374" s="2"/>
      <c r="T374" s="2" t="str">
        <f>IFERROR(IF(ISBLANK(S374),"",INDEX([1]Gen_Vessels!$A$3:$C$500,MATCH(InspectionSite!$S374,[1]Gen_Vessels!$C$3:$C$500,0),1)),"")</f>
        <v/>
      </c>
      <c r="U374" s="2"/>
      <c r="V374" s="2"/>
      <c r="W374" s="2"/>
      <c r="X374" s="2"/>
      <c r="Y374" s="2"/>
      <c r="AB374" s="2"/>
      <c r="AC374" s="2"/>
      <c r="AD374" s="2"/>
      <c r="AE374" s="2"/>
      <c r="AF374" s="2"/>
      <c r="AG374" s="2"/>
      <c r="AH374" s="2"/>
    </row>
    <row r="375" spans="1:34" x14ac:dyDescent="0.25">
      <c r="A375" s="1" t="str">
        <f t="shared" si="5"/>
        <v/>
      </c>
      <c r="B375" s="2"/>
      <c r="C375" s="2"/>
      <c r="D375" s="2"/>
      <c r="E375" s="2"/>
      <c r="F375" s="2"/>
      <c r="G375" s="6"/>
      <c r="H375" s="2"/>
      <c r="I375" s="7"/>
      <c r="J375" s="8"/>
      <c r="Q375" s="2"/>
      <c r="R375" s="2" t="str">
        <f>IFERROR(IF(ISBLANK(Q375),"",INDEX([1]Gen_Vessels!$A$3:$C$500,MATCH(InspectionSite!$Q375,[1]Gen_Vessels!$C$3:$C$500,0),1)),"")</f>
        <v/>
      </c>
      <c r="S375" s="2"/>
      <c r="T375" s="2" t="str">
        <f>IFERROR(IF(ISBLANK(S375),"",INDEX([1]Gen_Vessels!$A$3:$C$500,MATCH(InspectionSite!$S375,[1]Gen_Vessels!$C$3:$C$500,0),1)),"")</f>
        <v/>
      </c>
      <c r="U375" s="2"/>
      <c r="V375" s="2"/>
      <c r="W375" s="2"/>
      <c r="X375" s="2"/>
      <c r="Y375" s="2"/>
      <c r="AB375" s="2"/>
      <c r="AC375" s="2"/>
      <c r="AD375" s="2"/>
      <c r="AE375" s="2"/>
      <c r="AF375" s="2"/>
      <c r="AG375" s="2"/>
      <c r="AH375" s="2"/>
    </row>
    <row r="376" spans="1:34" x14ac:dyDescent="0.25">
      <c r="A376" s="1" t="str">
        <f t="shared" si="5"/>
        <v/>
      </c>
      <c r="B376" s="2"/>
      <c r="C376" s="2"/>
      <c r="D376" s="2"/>
      <c r="E376" s="2"/>
      <c r="F376" s="2"/>
      <c r="G376" s="6"/>
      <c r="H376" s="2"/>
      <c r="I376" s="7"/>
      <c r="J376" s="8"/>
      <c r="Q376" s="2"/>
      <c r="R376" s="2" t="str">
        <f>IFERROR(IF(ISBLANK(Q376),"",INDEX([1]Gen_Vessels!$A$3:$C$500,MATCH(InspectionSite!$Q376,[1]Gen_Vessels!$C$3:$C$500,0),1)),"")</f>
        <v/>
      </c>
      <c r="S376" s="2"/>
      <c r="T376" s="2" t="str">
        <f>IFERROR(IF(ISBLANK(S376),"",INDEX([1]Gen_Vessels!$A$3:$C$500,MATCH(InspectionSite!$S376,[1]Gen_Vessels!$C$3:$C$500,0),1)),"")</f>
        <v/>
      </c>
      <c r="U376" s="2"/>
      <c r="V376" s="2"/>
      <c r="W376" s="2"/>
      <c r="X376" s="2"/>
      <c r="Y376" s="2"/>
      <c r="AB376" s="2"/>
      <c r="AC376" s="2"/>
      <c r="AD376" s="2"/>
      <c r="AE376" s="2"/>
      <c r="AF376" s="2"/>
      <c r="AG376" s="2"/>
      <c r="AH376" s="2"/>
    </row>
    <row r="377" spans="1:34" x14ac:dyDescent="0.25">
      <c r="A377" s="1" t="str">
        <f t="shared" si="5"/>
        <v/>
      </c>
      <c r="B377" s="2"/>
      <c r="C377" s="2"/>
      <c r="D377" s="2"/>
      <c r="E377" s="2"/>
      <c r="F377" s="2"/>
      <c r="G377" s="6"/>
      <c r="H377" s="2"/>
      <c r="I377" s="7"/>
      <c r="J377" s="8"/>
      <c r="Q377" s="2"/>
      <c r="R377" s="2" t="str">
        <f>IFERROR(IF(ISBLANK(Q377),"",INDEX([1]Gen_Vessels!$A$3:$C$500,MATCH(InspectionSite!$Q377,[1]Gen_Vessels!$C$3:$C$500,0),1)),"")</f>
        <v/>
      </c>
      <c r="S377" s="2"/>
      <c r="T377" s="2" t="str">
        <f>IFERROR(IF(ISBLANK(S377),"",INDEX([1]Gen_Vessels!$A$3:$C$500,MATCH(InspectionSite!$S377,[1]Gen_Vessels!$C$3:$C$500,0),1)),"")</f>
        <v/>
      </c>
      <c r="U377" s="2"/>
      <c r="V377" s="2"/>
      <c r="W377" s="2"/>
      <c r="X377" s="2"/>
      <c r="Y377" s="2"/>
      <c r="AB377" s="2"/>
      <c r="AC377" s="2"/>
      <c r="AD377" s="2"/>
      <c r="AE377" s="2"/>
      <c r="AF377" s="2"/>
      <c r="AG377" s="2"/>
      <c r="AH377" s="2"/>
    </row>
    <row r="378" spans="1:34" x14ac:dyDescent="0.25">
      <c r="A378" s="1" t="str">
        <f t="shared" si="5"/>
        <v/>
      </c>
      <c r="B378" s="2"/>
      <c r="C378" s="2"/>
      <c r="D378" s="2"/>
      <c r="E378" s="2"/>
      <c r="F378" s="2"/>
      <c r="G378" s="6"/>
      <c r="H378" s="2"/>
      <c r="I378" s="7"/>
      <c r="J378" s="8"/>
      <c r="Q378" s="2"/>
      <c r="R378" s="2" t="str">
        <f>IFERROR(IF(ISBLANK(Q378),"",INDEX([1]Gen_Vessels!$A$3:$C$500,MATCH(InspectionSite!$Q378,[1]Gen_Vessels!$C$3:$C$500,0),1)),"")</f>
        <v/>
      </c>
      <c r="S378" s="2"/>
      <c r="T378" s="2" t="str">
        <f>IFERROR(IF(ISBLANK(S378),"",INDEX([1]Gen_Vessels!$A$3:$C$500,MATCH(InspectionSite!$S378,[1]Gen_Vessels!$C$3:$C$500,0),1)),"")</f>
        <v/>
      </c>
      <c r="U378" s="2"/>
      <c r="V378" s="2"/>
      <c r="W378" s="2"/>
      <c r="X378" s="2"/>
      <c r="Y378" s="2"/>
      <c r="AB378" s="2"/>
      <c r="AC378" s="2"/>
      <c r="AD378" s="2"/>
      <c r="AE378" s="2"/>
      <c r="AF378" s="2"/>
      <c r="AG378" s="2"/>
      <c r="AH378" s="2"/>
    </row>
    <row r="379" spans="1:34" x14ac:dyDescent="0.25">
      <c r="A379" s="1" t="str">
        <f t="shared" si="5"/>
        <v/>
      </c>
      <c r="B379" s="2"/>
      <c r="C379" s="2"/>
      <c r="D379" s="2"/>
      <c r="E379" s="2"/>
      <c r="F379" s="2"/>
      <c r="G379" s="6"/>
      <c r="H379" s="2"/>
      <c r="I379" s="7"/>
      <c r="J379" s="8"/>
      <c r="Q379" s="2"/>
      <c r="R379" s="2" t="str">
        <f>IFERROR(IF(ISBLANK(Q379),"",INDEX([1]Gen_Vessels!$A$3:$C$500,MATCH(InspectionSite!$Q379,[1]Gen_Vessels!$C$3:$C$500,0),1)),"")</f>
        <v/>
      </c>
      <c r="S379" s="2"/>
      <c r="T379" s="2" t="str">
        <f>IFERROR(IF(ISBLANK(S379),"",INDEX([1]Gen_Vessels!$A$3:$C$500,MATCH(InspectionSite!$S379,[1]Gen_Vessels!$C$3:$C$500,0),1)),"")</f>
        <v/>
      </c>
      <c r="U379" s="2"/>
      <c r="V379" s="2"/>
      <c r="W379" s="2"/>
      <c r="X379" s="2"/>
      <c r="Y379" s="2"/>
      <c r="AB379" s="2"/>
      <c r="AC379" s="2"/>
      <c r="AD379" s="2"/>
      <c r="AE379" s="2"/>
      <c r="AF379" s="2"/>
      <c r="AG379" s="2"/>
      <c r="AH379" s="2"/>
    </row>
    <row r="380" spans="1:34" x14ac:dyDescent="0.25">
      <c r="A380" s="1" t="str">
        <f t="shared" si="5"/>
        <v/>
      </c>
      <c r="B380" s="2"/>
      <c r="C380" s="2"/>
      <c r="D380" s="2"/>
      <c r="E380" s="2"/>
      <c r="F380" s="2"/>
      <c r="G380" s="6"/>
      <c r="H380" s="2"/>
      <c r="I380" s="7"/>
      <c r="J380" s="8"/>
      <c r="Q380" s="2"/>
      <c r="R380" s="2" t="str">
        <f>IFERROR(IF(ISBLANK(Q380),"",INDEX([1]Gen_Vessels!$A$3:$C$500,MATCH(InspectionSite!$Q380,[1]Gen_Vessels!$C$3:$C$500,0),1)),"")</f>
        <v/>
      </c>
      <c r="S380" s="2"/>
      <c r="T380" s="2" t="str">
        <f>IFERROR(IF(ISBLANK(S380),"",INDEX([1]Gen_Vessels!$A$3:$C$500,MATCH(InspectionSite!$S380,[1]Gen_Vessels!$C$3:$C$500,0),1)),"")</f>
        <v/>
      </c>
      <c r="U380" s="2"/>
      <c r="V380" s="2"/>
      <c r="W380" s="2"/>
      <c r="X380" s="2"/>
      <c r="Y380" s="2"/>
      <c r="AB380" s="2"/>
      <c r="AC380" s="2"/>
      <c r="AD380" s="2"/>
      <c r="AE380" s="2"/>
      <c r="AF380" s="2"/>
      <c r="AG380" s="2"/>
      <c r="AH380" s="2"/>
    </row>
    <row r="381" spans="1:34" x14ac:dyDescent="0.25">
      <c r="A381" s="1" t="str">
        <f t="shared" si="5"/>
        <v/>
      </c>
      <c r="B381" s="2"/>
      <c r="C381" s="2"/>
      <c r="D381" s="2"/>
      <c r="E381" s="2"/>
      <c r="F381" s="2"/>
      <c r="G381" s="6"/>
      <c r="H381" s="2"/>
      <c r="I381" s="7"/>
      <c r="J381" s="8"/>
      <c r="Q381" s="2"/>
      <c r="R381" s="2" t="str">
        <f>IFERROR(IF(ISBLANK(Q381),"",INDEX([1]Gen_Vessels!$A$3:$C$500,MATCH(InspectionSite!$Q381,[1]Gen_Vessels!$C$3:$C$500,0),1)),"")</f>
        <v/>
      </c>
      <c r="S381" s="2"/>
      <c r="T381" s="2" t="str">
        <f>IFERROR(IF(ISBLANK(S381),"",INDEX([1]Gen_Vessels!$A$3:$C$500,MATCH(InspectionSite!$S381,[1]Gen_Vessels!$C$3:$C$500,0),1)),"")</f>
        <v/>
      </c>
      <c r="U381" s="2"/>
      <c r="V381" s="2"/>
      <c r="W381" s="2"/>
      <c r="X381" s="2"/>
      <c r="Y381" s="2"/>
      <c r="AB381" s="2"/>
      <c r="AC381" s="2"/>
      <c r="AD381" s="2"/>
      <c r="AE381" s="2"/>
      <c r="AF381" s="2"/>
      <c r="AG381" s="2"/>
      <c r="AH381" s="2"/>
    </row>
    <row r="382" spans="1:34" x14ac:dyDescent="0.25">
      <c r="A382" s="1" t="str">
        <f t="shared" si="5"/>
        <v/>
      </c>
      <c r="B382" s="2"/>
      <c r="C382" s="2"/>
      <c r="D382" s="2"/>
      <c r="E382" s="2"/>
      <c r="F382" s="2"/>
      <c r="G382" s="6"/>
      <c r="H382" s="2"/>
      <c r="I382" s="7"/>
      <c r="J382" s="8"/>
      <c r="Q382" s="2"/>
      <c r="R382" s="2" t="str">
        <f>IFERROR(IF(ISBLANK(Q382),"",INDEX([1]Gen_Vessels!$A$3:$C$500,MATCH(InspectionSite!$Q382,[1]Gen_Vessels!$C$3:$C$500,0),1)),"")</f>
        <v/>
      </c>
      <c r="S382" s="2"/>
      <c r="T382" s="2" t="str">
        <f>IFERROR(IF(ISBLANK(S382),"",INDEX([1]Gen_Vessels!$A$3:$C$500,MATCH(InspectionSite!$S382,[1]Gen_Vessels!$C$3:$C$500,0),1)),"")</f>
        <v/>
      </c>
      <c r="U382" s="2"/>
      <c r="V382" s="2"/>
      <c r="W382" s="2"/>
      <c r="X382" s="2"/>
      <c r="Y382" s="2"/>
      <c r="AB382" s="2"/>
      <c r="AC382" s="2"/>
      <c r="AD382" s="2"/>
      <c r="AE382" s="2"/>
      <c r="AF382" s="2"/>
      <c r="AG382" s="2"/>
      <c r="AH382" s="2"/>
    </row>
    <row r="383" spans="1:34" x14ac:dyDescent="0.25">
      <c r="A383" s="1" t="str">
        <f t="shared" si="5"/>
        <v/>
      </c>
      <c r="B383" s="2"/>
      <c r="C383" s="2"/>
      <c r="D383" s="2"/>
      <c r="E383" s="2"/>
      <c r="F383" s="2"/>
      <c r="G383" s="6"/>
      <c r="H383" s="2"/>
      <c r="I383" s="7"/>
      <c r="J383" s="8"/>
      <c r="Q383" s="2"/>
      <c r="R383" s="2" t="str">
        <f>IFERROR(IF(ISBLANK(Q383),"",INDEX([1]Gen_Vessels!$A$3:$C$500,MATCH(InspectionSite!$Q383,[1]Gen_Vessels!$C$3:$C$500,0),1)),"")</f>
        <v/>
      </c>
      <c r="S383" s="2"/>
      <c r="T383" s="2" t="str">
        <f>IFERROR(IF(ISBLANK(S383),"",INDEX([1]Gen_Vessels!$A$3:$C$500,MATCH(InspectionSite!$S383,[1]Gen_Vessels!$C$3:$C$500,0),1)),"")</f>
        <v/>
      </c>
      <c r="U383" s="2"/>
      <c r="V383" s="2"/>
      <c r="W383" s="2"/>
      <c r="X383" s="2"/>
      <c r="Y383" s="2"/>
      <c r="AB383" s="2"/>
      <c r="AC383" s="2"/>
      <c r="AD383" s="2"/>
      <c r="AE383" s="2"/>
      <c r="AF383" s="2"/>
      <c r="AG383" s="2"/>
      <c r="AH383" s="2"/>
    </row>
    <row r="384" spans="1:34" x14ac:dyDescent="0.25">
      <c r="A384" s="1" t="str">
        <f t="shared" si="5"/>
        <v/>
      </c>
      <c r="B384" s="2"/>
      <c r="C384" s="2"/>
      <c r="D384" s="2"/>
      <c r="E384" s="2"/>
      <c r="F384" s="2"/>
      <c r="G384" s="6"/>
      <c r="H384" s="2"/>
      <c r="I384" s="7"/>
      <c r="J384" s="8"/>
      <c r="Q384" s="2"/>
      <c r="R384" s="2" t="str">
        <f>IFERROR(IF(ISBLANK(Q384),"",INDEX([1]Gen_Vessels!$A$3:$C$500,MATCH(InspectionSite!$Q384,[1]Gen_Vessels!$C$3:$C$500,0),1)),"")</f>
        <v/>
      </c>
      <c r="S384" s="2"/>
      <c r="T384" s="2" t="str">
        <f>IFERROR(IF(ISBLANK(S384),"",INDEX([1]Gen_Vessels!$A$3:$C$500,MATCH(InspectionSite!$S384,[1]Gen_Vessels!$C$3:$C$500,0),1)),"")</f>
        <v/>
      </c>
      <c r="U384" s="2"/>
      <c r="V384" s="2"/>
      <c r="W384" s="2"/>
      <c r="X384" s="2"/>
      <c r="Y384" s="2"/>
      <c r="AB384" s="2"/>
      <c r="AC384" s="2"/>
      <c r="AD384" s="2"/>
      <c r="AE384" s="2"/>
      <c r="AF384" s="2"/>
      <c r="AG384" s="2"/>
      <c r="AH384" s="2"/>
    </row>
    <row r="385" spans="1:34" x14ac:dyDescent="0.25">
      <c r="A385" s="1" t="str">
        <f t="shared" si="5"/>
        <v/>
      </c>
      <c r="B385" s="2"/>
      <c r="C385" s="2"/>
      <c r="D385" s="2"/>
      <c r="E385" s="2"/>
      <c r="F385" s="2"/>
      <c r="G385" s="6"/>
      <c r="H385" s="2"/>
      <c r="I385" s="7"/>
      <c r="J385" s="8"/>
      <c r="Q385" s="2"/>
      <c r="R385" s="2" t="str">
        <f>IFERROR(IF(ISBLANK(Q385),"",INDEX([1]Gen_Vessels!$A$3:$C$500,MATCH(InspectionSite!$Q385,[1]Gen_Vessels!$C$3:$C$500,0),1)),"")</f>
        <v/>
      </c>
      <c r="S385" s="2"/>
      <c r="T385" s="2" t="str">
        <f>IFERROR(IF(ISBLANK(S385),"",INDEX([1]Gen_Vessels!$A$3:$C$500,MATCH(InspectionSite!$S385,[1]Gen_Vessels!$C$3:$C$500,0),1)),"")</f>
        <v/>
      </c>
      <c r="U385" s="2"/>
      <c r="V385" s="2"/>
      <c r="W385" s="2"/>
      <c r="X385" s="2"/>
      <c r="Y385" s="2"/>
      <c r="AB385" s="2"/>
      <c r="AC385" s="2"/>
      <c r="AD385" s="2"/>
      <c r="AE385" s="2"/>
      <c r="AF385" s="2"/>
      <c r="AG385" s="2"/>
      <c r="AH385" s="2"/>
    </row>
    <row r="386" spans="1:34" x14ac:dyDescent="0.25">
      <c r="A386" s="1" t="str">
        <f t="shared" si="5"/>
        <v/>
      </c>
      <c r="B386" s="2"/>
      <c r="C386" s="2"/>
      <c r="D386" s="2"/>
      <c r="E386" s="2"/>
      <c r="F386" s="2"/>
      <c r="G386" s="6"/>
      <c r="H386" s="2"/>
      <c r="I386" s="7"/>
      <c r="J386" s="8"/>
      <c r="Q386" s="2"/>
      <c r="R386" s="2" t="str">
        <f>IFERROR(IF(ISBLANK(Q386),"",INDEX([1]Gen_Vessels!$A$3:$C$500,MATCH(InspectionSite!$Q386,[1]Gen_Vessels!$C$3:$C$500,0),1)),"")</f>
        <v/>
      </c>
      <c r="S386" s="2"/>
      <c r="T386" s="2" t="str">
        <f>IFERROR(IF(ISBLANK(S386),"",INDEX([1]Gen_Vessels!$A$3:$C$500,MATCH(InspectionSite!$S386,[1]Gen_Vessels!$C$3:$C$500,0),1)),"")</f>
        <v/>
      </c>
      <c r="U386" s="2"/>
      <c r="V386" s="2"/>
      <c r="W386" s="2"/>
      <c r="X386" s="2"/>
      <c r="Y386" s="2"/>
      <c r="AB386" s="2"/>
      <c r="AC386" s="2"/>
      <c r="AD386" s="2"/>
      <c r="AE386" s="2"/>
      <c r="AF386" s="2"/>
      <c r="AG386" s="2"/>
      <c r="AH386" s="2"/>
    </row>
    <row r="387" spans="1:34" x14ac:dyDescent="0.25">
      <c r="A387" s="1" t="str">
        <f t="shared" ref="A387:A450" si="6">IF(ISBLANK($B387)=FALSE,IF(AND($G387&gt;0,$H387&lt;=0,$I387&lt;=0),_xlfn.CONCAT("ofw_",$B387),IF(AND($G387&lt;=0,$H387&gt;0,$I387&lt;=0),_xlfn.CONCAT("owc_",$B387),IF(AND($G387&lt;=0,$H387&lt;=0,$I387&gt;0),_xlfn.CONCAT("opv_",$B387),_xlfn.CONCAT("oce_",$B387)))),"")</f>
        <v/>
      </c>
      <c r="B387" s="2"/>
      <c r="C387" s="2"/>
      <c r="D387" s="2"/>
      <c r="E387" s="2"/>
      <c r="F387" s="2"/>
      <c r="G387" s="6"/>
      <c r="H387" s="2"/>
      <c r="I387" s="7"/>
      <c r="J387" s="8"/>
      <c r="Q387" s="2"/>
      <c r="R387" s="2" t="str">
        <f>IFERROR(IF(ISBLANK(Q387),"",INDEX([1]Gen_Vessels!$A$3:$C$500,MATCH(InspectionSite!$Q387,[1]Gen_Vessels!$C$3:$C$500,0),1)),"")</f>
        <v/>
      </c>
      <c r="S387" s="2"/>
      <c r="T387" s="2" t="str">
        <f>IFERROR(IF(ISBLANK(S387),"",INDEX([1]Gen_Vessels!$A$3:$C$500,MATCH(InspectionSite!$S387,[1]Gen_Vessels!$C$3:$C$500,0),1)),"")</f>
        <v/>
      </c>
      <c r="U387" s="2"/>
      <c r="V387" s="2"/>
      <c r="W387" s="2"/>
      <c r="X387" s="2"/>
      <c r="Y387" s="2"/>
      <c r="AB387" s="2"/>
      <c r="AC387" s="2"/>
      <c r="AD387" s="2"/>
      <c r="AE387" s="2"/>
      <c r="AF387" s="2"/>
      <c r="AG387" s="2"/>
      <c r="AH387" s="2"/>
    </row>
    <row r="388" spans="1:34" x14ac:dyDescent="0.25">
      <c r="A388" s="1" t="str">
        <f t="shared" si="6"/>
        <v/>
      </c>
      <c r="B388" s="2"/>
      <c r="C388" s="2"/>
      <c r="D388" s="2"/>
      <c r="E388" s="2"/>
      <c r="F388" s="2"/>
      <c r="G388" s="6"/>
      <c r="H388" s="2"/>
      <c r="I388" s="7"/>
      <c r="J388" s="8"/>
      <c r="Q388" s="2"/>
      <c r="R388" s="2" t="str">
        <f>IFERROR(IF(ISBLANK(Q388),"",INDEX([1]Gen_Vessels!$A$3:$C$500,MATCH(InspectionSite!$Q388,[1]Gen_Vessels!$C$3:$C$500,0),1)),"")</f>
        <v/>
      </c>
      <c r="S388" s="2"/>
      <c r="T388" s="2" t="str">
        <f>IFERROR(IF(ISBLANK(S388),"",INDEX([1]Gen_Vessels!$A$3:$C$500,MATCH(InspectionSite!$S388,[1]Gen_Vessels!$C$3:$C$500,0),1)),"")</f>
        <v/>
      </c>
      <c r="U388" s="2"/>
      <c r="V388" s="2"/>
      <c r="W388" s="2"/>
      <c r="X388" s="2"/>
      <c r="Y388" s="2"/>
      <c r="AB388" s="2"/>
      <c r="AC388" s="2"/>
      <c r="AD388" s="2"/>
      <c r="AE388" s="2"/>
      <c r="AF388" s="2"/>
      <c r="AG388" s="2"/>
      <c r="AH388" s="2"/>
    </row>
    <row r="389" spans="1:34" x14ac:dyDescent="0.25">
      <c r="A389" s="1" t="str">
        <f t="shared" si="6"/>
        <v/>
      </c>
      <c r="B389" s="2"/>
      <c r="C389" s="2"/>
      <c r="D389" s="2"/>
      <c r="E389" s="2"/>
      <c r="F389" s="2"/>
      <c r="G389" s="6"/>
      <c r="H389" s="2"/>
      <c r="I389" s="7"/>
      <c r="J389" s="8"/>
      <c r="Q389" s="2"/>
      <c r="R389" s="2" t="str">
        <f>IFERROR(IF(ISBLANK(Q389),"",INDEX([1]Gen_Vessels!$A$3:$C$500,MATCH(InspectionSite!$Q389,[1]Gen_Vessels!$C$3:$C$500,0),1)),"")</f>
        <v/>
      </c>
      <c r="S389" s="2"/>
      <c r="T389" s="2" t="str">
        <f>IFERROR(IF(ISBLANK(S389),"",INDEX([1]Gen_Vessels!$A$3:$C$500,MATCH(InspectionSite!$S389,[1]Gen_Vessels!$C$3:$C$500,0),1)),"")</f>
        <v/>
      </c>
      <c r="U389" s="2"/>
      <c r="V389" s="2"/>
      <c r="W389" s="2"/>
      <c r="X389" s="2"/>
      <c r="Y389" s="2"/>
      <c r="AB389" s="2"/>
      <c r="AC389" s="2"/>
      <c r="AD389" s="2"/>
      <c r="AE389" s="2"/>
      <c r="AF389" s="2"/>
      <c r="AG389" s="2"/>
      <c r="AH389" s="2"/>
    </row>
    <row r="390" spans="1:34" x14ac:dyDescent="0.25">
      <c r="A390" s="1" t="str">
        <f t="shared" si="6"/>
        <v/>
      </c>
      <c r="B390" s="2"/>
      <c r="C390" s="2"/>
      <c r="D390" s="2"/>
      <c r="E390" s="2"/>
      <c r="F390" s="2"/>
      <c r="G390" s="6"/>
      <c r="H390" s="2"/>
      <c r="I390" s="7"/>
      <c r="J390" s="8"/>
      <c r="Q390" s="2"/>
      <c r="R390" s="2" t="str">
        <f>IFERROR(IF(ISBLANK(Q390),"",INDEX([1]Gen_Vessels!$A$3:$C$500,MATCH(InspectionSite!$Q390,[1]Gen_Vessels!$C$3:$C$500,0),1)),"")</f>
        <v/>
      </c>
      <c r="S390" s="2"/>
      <c r="T390" s="2" t="str">
        <f>IFERROR(IF(ISBLANK(S390),"",INDEX([1]Gen_Vessels!$A$3:$C$500,MATCH(InspectionSite!$S390,[1]Gen_Vessels!$C$3:$C$500,0),1)),"")</f>
        <v/>
      </c>
      <c r="U390" s="2"/>
      <c r="V390" s="2"/>
      <c r="W390" s="2"/>
      <c r="X390" s="2"/>
      <c r="Y390" s="2"/>
      <c r="AB390" s="2"/>
      <c r="AC390" s="2"/>
      <c r="AD390" s="2"/>
      <c r="AE390" s="2"/>
      <c r="AF390" s="2"/>
      <c r="AG390" s="2"/>
      <c r="AH390" s="2"/>
    </row>
    <row r="391" spans="1:34" x14ac:dyDescent="0.25">
      <c r="A391" s="1" t="str">
        <f t="shared" si="6"/>
        <v/>
      </c>
      <c r="B391" s="2"/>
      <c r="C391" s="2"/>
      <c r="D391" s="2"/>
      <c r="E391" s="2"/>
      <c r="F391" s="2"/>
      <c r="G391" s="6"/>
      <c r="H391" s="2"/>
      <c r="I391" s="7"/>
      <c r="J391" s="8"/>
      <c r="Q391" s="2"/>
      <c r="R391" s="2" t="str">
        <f>IFERROR(IF(ISBLANK(Q391),"",INDEX([1]Gen_Vessels!$A$3:$C$500,MATCH(InspectionSite!$Q391,[1]Gen_Vessels!$C$3:$C$500,0),1)),"")</f>
        <v/>
      </c>
      <c r="S391" s="2"/>
      <c r="T391" s="2" t="str">
        <f>IFERROR(IF(ISBLANK(S391),"",INDEX([1]Gen_Vessels!$A$3:$C$500,MATCH(InspectionSite!$S391,[1]Gen_Vessels!$C$3:$C$500,0),1)),"")</f>
        <v/>
      </c>
      <c r="U391" s="2"/>
      <c r="V391" s="2"/>
      <c r="W391" s="2"/>
      <c r="X391" s="2"/>
      <c r="Y391" s="2"/>
      <c r="AB391" s="2"/>
      <c r="AC391" s="2"/>
      <c r="AD391" s="2"/>
      <c r="AE391" s="2"/>
      <c r="AF391" s="2"/>
      <c r="AG391" s="2"/>
      <c r="AH391" s="2"/>
    </row>
    <row r="392" spans="1:34" x14ac:dyDescent="0.25">
      <c r="A392" s="1" t="str">
        <f t="shared" si="6"/>
        <v/>
      </c>
      <c r="B392" s="2"/>
      <c r="C392" s="2"/>
      <c r="D392" s="2"/>
      <c r="E392" s="2"/>
      <c r="F392" s="2"/>
      <c r="G392" s="6"/>
      <c r="H392" s="2"/>
      <c r="I392" s="7"/>
      <c r="J392" s="8"/>
      <c r="Q392" s="2"/>
      <c r="R392" s="2" t="str">
        <f>IFERROR(IF(ISBLANK(Q392),"",INDEX([1]Gen_Vessels!$A$3:$C$500,MATCH(InspectionSite!$Q392,[1]Gen_Vessels!$C$3:$C$500,0),1)),"")</f>
        <v/>
      </c>
      <c r="S392" s="2"/>
      <c r="T392" s="2" t="str">
        <f>IFERROR(IF(ISBLANK(S392),"",INDEX([1]Gen_Vessels!$A$3:$C$500,MATCH(InspectionSite!$S392,[1]Gen_Vessels!$C$3:$C$500,0),1)),"")</f>
        <v/>
      </c>
      <c r="U392" s="2"/>
      <c r="V392" s="2"/>
      <c r="W392" s="2"/>
      <c r="X392" s="2"/>
      <c r="Y392" s="2"/>
      <c r="AB392" s="2"/>
      <c r="AC392" s="2"/>
      <c r="AD392" s="2"/>
      <c r="AE392" s="2"/>
      <c r="AF392" s="2"/>
      <c r="AG392" s="2"/>
      <c r="AH392" s="2"/>
    </row>
    <row r="393" spans="1:34" x14ac:dyDescent="0.25">
      <c r="A393" s="1" t="str">
        <f t="shared" si="6"/>
        <v/>
      </c>
      <c r="B393" s="2"/>
      <c r="C393" s="2"/>
      <c r="D393" s="2"/>
      <c r="E393" s="2"/>
      <c r="F393" s="2"/>
      <c r="G393" s="6"/>
      <c r="H393" s="2"/>
      <c r="I393" s="7"/>
      <c r="J393" s="8"/>
      <c r="Q393" s="2"/>
      <c r="R393" s="2" t="str">
        <f>IFERROR(IF(ISBLANK(Q393),"",INDEX([1]Gen_Vessels!$A$3:$C$500,MATCH(InspectionSite!$Q393,[1]Gen_Vessels!$C$3:$C$500,0),1)),"")</f>
        <v/>
      </c>
      <c r="S393" s="2"/>
      <c r="T393" s="2" t="str">
        <f>IFERROR(IF(ISBLANK(S393),"",INDEX([1]Gen_Vessels!$A$3:$C$500,MATCH(InspectionSite!$S393,[1]Gen_Vessels!$C$3:$C$500,0),1)),"")</f>
        <v/>
      </c>
      <c r="U393" s="2"/>
      <c r="V393" s="2"/>
      <c r="W393" s="2"/>
      <c r="X393" s="2"/>
      <c r="Y393" s="2"/>
      <c r="AB393" s="2"/>
      <c r="AC393" s="2"/>
      <c r="AD393" s="2"/>
      <c r="AE393" s="2"/>
      <c r="AF393" s="2"/>
      <c r="AG393" s="2"/>
      <c r="AH393" s="2"/>
    </row>
    <row r="394" spans="1:34" x14ac:dyDescent="0.25">
      <c r="A394" s="1" t="str">
        <f t="shared" si="6"/>
        <v/>
      </c>
      <c r="B394" s="2"/>
      <c r="C394" s="2"/>
      <c r="D394" s="2"/>
      <c r="E394" s="2"/>
      <c r="F394" s="2"/>
      <c r="G394" s="6"/>
      <c r="H394" s="2"/>
      <c r="I394" s="7"/>
      <c r="J394" s="8"/>
      <c r="Q394" s="2"/>
      <c r="R394" s="2" t="str">
        <f>IFERROR(IF(ISBLANK(Q394),"",INDEX([1]Gen_Vessels!$A$3:$C$500,MATCH(InspectionSite!$Q394,[1]Gen_Vessels!$C$3:$C$500,0),1)),"")</f>
        <v/>
      </c>
      <c r="S394" s="2"/>
      <c r="T394" s="2" t="str">
        <f>IFERROR(IF(ISBLANK(S394),"",INDEX([1]Gen_Vessels!$A$3:$C$500,MATCH(InspectionSite!$S394,[1]Gen_Vessels!$C$3:$C$500,0),1)),"")</f>
        <v/>
      </c>
      <c r="U394" s="2"/>
      <c r="V394" s="2"/>
      <c r="W394" s="2"/>
      <c r="X394" s="2"/>
      <c r="Y394" s="2"/>
      <c r="AB394" s="2"/>
      <c r="AC394" s="2"/>
      <c r="AD394" s="2"/>
      <c r="AE394" s="2"/>
      <c r="AF394" s="2"/>
      <c r="AG394" s="2"/>
      <c r="AH394" s="2"/>
    </row>
    <row r="395" spans="1:34" x14ac:dyDescent="0.25">
      <c r="A395" s="1" t="str">
        <f t="shared" si="6"/>
        <v/>
      </c>
      <c r="B395" s="2"/>
      <c r="C395" s="2"/>
      <c r="D395" s="2"/>
      <c r="E395" s="2"/>
      <c r="F395" s="2"/>
      <c r="G395" s="6"/>
      <c r="H395" s="2"/>
      <c r="I395" s="7"/>
      <c r="J395" s="8"/>
      <c r="Q395" s="2"/>
      <c r="R395" s="2" t="str">
        <f>IFERROR(IF(ISBLANK(Q395),"",INDEX([1]Gen_Vessels!$A$3:$C$500,MATCH(InspectionSite!$Q395,[1]Gen_Vessels!$C$3:$C$500,0),1)),"")</f>
        <v/>
      </c>
      <c r="S395" s="2"/>
      <c r="T395" s="2" t="str">
        <f>IFERROR(IF(ISBLANK(S395),"",INDEX([1]Gen_Vessels!$A$3:$C$500,MATCH(InspectionSite!$S395,[1]Gen_Vessels!$C$3:$C$500,0),1)),"")</f>
        <v/>
      </c>
      <c r="U395" s="2"/>
      <c r="V395" s="2"/>
      <c r="W395" s="2"/>
      <c r="X395" s="2"/>
      <c r="Y395" s="2"/>
      <c r="AB395" s="2"/>
      <c r="AC395" s="2"/>
      <c r="AD395" s="2"/>
      <c r="AE395" s="2"/>
      <c r="AF395" s="2"/>
      <c r="AG395" s="2"/>
      <c r="AH395" s="2"/>
    </row>
    <row r="396" spans="1:34" x14ac:dyDescent="0.25">
      <c r="A396" s="1" t="str">
        <f t="shared" si="6"/>
        <v/>
      </c>
      <c r="B396" s="2"/>
      <c r="C396" s="2"/>
      <c r="D396" s="2"/>
      <c r="E396" s="2"/>
      <c r="F396" s="2"/>
      <c r="G396" s="6"/>
      <c r="H396" s="2"/>
      <c r="I396" s="7"/>
      <c r="J396" s="8"/>
      <c r="Q396" s="2"/>
      <c r="R396" s="2" t="str">
        <f>IFERROR(IF(ISBLANK(Q396),"",INDEX([1]Gen_Vessels!$A$3:$C$500,MATCH(InspectionSite!$Q396,[1]Gen_Vessels!$C$3:$C$500,0),1)),"")</f>
        <v/>
      </c>
      <c r="S396" s="2"/>
      <c r="T396" s="2" t="str">
        <f>IFERROR(IF(ISBLANK(S396),"",INDEX([1]Gen_Vessels!$A$3:$C$500,MATCH(InspectionSite!$S396,[1]Gen_Vessels!$C$3:$C$500,0),1)),"")</f>
        <v/>
      </c>
      <c r="U396" s="2"/>
      <c r="V396" s="2"/>
      <c r="W396" s="2"/>
      <c r="X396" s="2"/>
      <c r="Y396" s="2"/>
      <c r="AB396" s="2"/>
      <c r="AC396" s="2"/>
      <c r="AD396" s="2"/>
      <c r="AE396" s="2"/>
      <c r="AF396" s="2"/>
      <c r="AG396" s="2"/>
      <c r="AH396" s="2"/>
    </row>
    <row r="397" spans="1:34" x14ac:dyDescent="0.25">
      <c r="A397" s="1" t="str">
        <f t="shared" si="6"/>
        <v/>
      </c>
      <c r="B397" s="2"/>
      <c r="C397" s="2"/>
      <c r="D397" s="2"/>
      <c r="E397" s="2"/>
      <c r="F397" s="2"/>
      <c r="G397" s="6"/>
      <c r="H397" s="2"/>
      <c r="I397" s="7"/>
      <c r="J397" s="8"/>
      <c r="Q397" s="2"/>
      <c r="R397" s="2" t="str">
        <f>IFERROR(IF(ISBLANK(Q397),"",INDEX([1]Gen_Vessels!$A$3:$C$500,MATCH(InspectionSite!$Q397,[1]Gen_Vessels!$C$3:$C$500,0),1)),"")</f>
        <v/>
      </c>
      <c r="S397" s="2"/>
      <c r="T397" s="2" t="str">
        <f>IFERROR(IF(ISBLANK(S397),"",INDEX([1]Gen_Vessels!$A$3:$C$500,MATCH(InspectionSite!$S397,[1]Gen_Vessels!$C$3:$C$500,0),1)),"")</f>
        <v/>
      </c>
      <c r="U397" s="2"/>
      <c r="V397" s="2"/>
      <c r="W397" s="2"/>
      <c r="X397" s="2"/>
      <c r="Y397" s="2"/>
      <c r="AB397" s="2"/>
      <c r="AC397" s="2"/>
      <c r="AD397" s="2"/>
      <c r="AE397" s="2"/>
      <c r="AF397" s="2"/>
      <c r="AG397" s="2"/>
      <c r="AH397" s="2"/>
    </row>
    <row r="398" spans="1:34" x14ac:dyDescent="0.25">
      <c r="A398" s="1" t="str">
        <f t="shared" si="6"/>
        <v/>
      </c>
      <c r="B398" s="2"/>
      <c r="C398" s="2"/>
      <c r="D398" s="2"/>
      <c r="E398" s="2"/>
      <c r="F398" s="2"/>
      <c r="G398" s="6"/>
      <c r="H398" s="2"/>
      <c r="I398" s="7"/>
      <c r="J398" s="8"/>
      <c r="Q398" s="2"/>
      <c r="R398" s="2" t="str">
        <f>IFERROR(IF(ISBLANK(Q398),"",INDEX([1]Gen_Vessels!$A$3:$C$500,MATCH(InspectionSite!$Q398,[1]Gen_Vessels!$C$3:$C$500,0),1)),"")</f>
        <v/>
      </c>
      <c r="S398" s="2"/>
      <c r="T398" s="2" t="str">
        <f>IFERROR(IF(ISBLANK(S398),"",INDEX([1]Gen_Vessels!$A$3:$C$500,MATCH(InspectionSite!$S398,[1]Gen_Vessels!$C$3:$C$500,0),1)),"")</f>
        <v/>
      </c>
      <c r="U398" s="2"/>
      <c r="V398" s="2"/>
      <c r="W398" s="2"/>
      <c r="X398" s="2"/>
      <c r="Y398" s="2"/>
      <c r="AB398" s="2"/>
      <c r="AC398" s="2"/>
      <c r="AD398" s="2"/>
      <c r="AE398" s="2"/>
      <c r="AF398" s="2"/>
      <c r="AG398" s="2"/>
      <c r="AH398" s="2"/>
    </row>
    <row r="399" spans="1:34" x14ac:dyDescent="0.25">
      <c r="A399" s="1" t="str">
        <f t="shared" si="6"/>
        <v/>
      </c>
      <c r="B399" s="2"/>
      <c r="C399" s="2"/>
      <c r="D399" s="2"/>
      <c r="E399" s="2"/>
      <c r="F399" s="2"/>
      <c r="G399" s="6"/>
      <c r="H399" s="2"/>
      <c r="I399" s="7"/>
      <c r="J399" s="8"/>
      <c r="Q399" s="2"/>
      <c r="R399" s="2" t="str">
        <f>IFERROR(IF(ISBLANK(Q399),"",INDEX([1]Gen_Vessels!$A$3:$C$500,MATCH(InspectionSite!$Q399,[1]Gen_Vessels!$C$3:$C$500,0),1)),"")</f>
        <v/>
      </c>
      <c r="S399" s="2"/>
      <c r="T399" s="2" t="str">
        <f>IFERROR(IF(ISBLANK(S399),"",INDEX([1]Gen_Vessels!$A$3:$C$500,MATCH(InspectionSite!$S399,[1]Gen_Vessels!$C$3:$C$500,0),1)),"")</f>
        <v/>
      </c>
      <c r="U399" s="2"/>
      <c r="V399" s="2"/>
      <c r="W399" s="2"/>
      <c r="X399" s="2"/>
      <c r="Y399" s="2"/>
      <c r="AB399" s="2"/>
      <c r="AC399" s="2"/>
      <c r="AD399" s="2"/>
      <c r="AE399" s="2"/>
      <c r="AF399" s="2"/>
      <c r="AG399" s="2"/>
      <c r="AH399" s="2"/>
    </row>
    <row r="400" spans="1:34" x14ac:dyDescent="0.25">
      <c r="A400" s="1" t="str">
        <f t="shared" si="6"/>
        <v/>
      </c>
      <c r="B400" s="2"/>
      <c r="C400" s="2"/>
      <c r="D400" s="2"/>
      <c r="E400" s="2"/>
      <c r="F400" s="2"/>
      <c r="G400" s="6"/>
      <c r="H400" s="2"/>
      <c r="I400" s="7"/>
      <c r="J400" s="8"/>
      <c r="Q400" s="2"/>
      <c r="R400" s="2" t="str">
        <f>IFERROR(IF(ISBLANK(Q400),"",INDEX([1]Gen_Vessels!$A$3:$C$500,MATCH(InspectionSite!$Q400,[1]Gen_Vessels!$C$3:$C$500,0),1)),"")</f>
        <v/>
      </c>
      <c r="S400" s="2"/>
      <c r="T400" s="2" t="str">
        <f>IFERROR(IF(ISBLANK(S400),"",INDEX([1]Gen_Vessels!$A$3:$C$500,MATCH(InspectionSite!$S400,[1]Gen_Vessels!$C$3:$C$500,0),1)),"")</f>
        <v/>
      </c>
      <c r="U400" s="2"/>
      <c r="V400" s="2"/>
      <c r="W400" s="2"/>
      <c r="X400" s="2"/>
      <c r="Y400" s="2"/>
      <c r="AB400" s="2"/>
      <c r="AC400" s="2"/>
      <c r="AD400" s="2"/>
      <c r="AE400" s="2"/>
      <c r="AF400" s="2"/>
      <c r="AG400" s="2"/>
      <c r="AH400" s="2"/>
    </row>
    <row r="401" spans="1:34" x14ac:dyDescent="0.25">
      <c r="A401" s="1" t="str">
        <f t="shared" si="6"/>
        <v/>
      </c>
      <c r="B401" s="2"/>
      <c r="C401" s="2"/>
      <c r="D401" s="2"/>
      <c r="E401" s="2"/>
      <c r="F401" s="2"/>
      <c r="G401" s="6"/>
      <c r="H401" s="2"/>
      <c r="I401" s="7"/>
      <c r="J401" s="8"/>
      <c r="Q401" s="2"/>
      <c r="R401" s="2" t="str">
        <f>IFERROR(IF(ISBLANK(Q401),"",INDEX([1]Gen_Vessels!$A$3:$C$500,MATCH(InspectionSite!$Q401,[1]Gen_Vessels!$C$3:$C$500,0),1)),"")</f>
        <v/>
      </c>
      <c r="S401" s="2"/>
      <c r="T401" s="2" t="str">
        <f>IFERROR(IF(ISBLANK(S401),"",INDEX([1]Gen_Vessels!$A$3:$C$500,MATCH(InspectionSite!$S401,[1]Gen_Vessels!$C$3:$C$500,0),1)),"")</f>
        <v/>
      </c>
      <c r="U401" s="2"/>
      <c r="V401" s="2"/>
      <c r="W401" s="2"/>
      <c r="X401" s="2"/>
      <c r="Y401" s="2"/>
      <c r="AB401" s="2"/>
      <c r="AC401" s="2"/>
      <c r="AD401" s="2"/>
      <c r="AE401" s="2"/>
      <c r="AF401" s="2"/>
      <c r="AG401" s="2"/>
      <c r="AH401" s="2"/>
    </row>
    <row r="402" spans="1:34" x14ac:dyDescent="0.25">
      <c r="A402" s="1" t="str">
        <f t="shared" si="6"/>
        <v/>
      </c>
      <c r="B402" s="2"/>
      <c r="C402" s="2"/>
      <c r="D402" s="2"/>
      <c r="E402" s="2"/>
      <c r="F402" s="2"/>
      <c r="G402" s="6"/>
      <c r="H402" s="2"/>
      <c r="I402" s="7"/>
      <c r="J402" s="8"/>
      <c r="Q402" s="2"/>
      <c r="R402" s="2" t="str">
        <f>IFERROR(IF(ISBLANK(Q402),"",INDEX([1]Gen_Vessels!$A$3:$C$500,MATCH(InspectionSite!$Q402,[1]Gen_Vessels!$C$3:$C$500,0),1)),"")</f>
        <v/>
      </c>
      <c r="S402" s="2"/>
      <c r="T402" s="2" t="str">
        <f>IFERROR(IF(ISBLANK(S402),"",INDEX([1]Gen_Vessels!$A$3:$C$500,MATCH(InspectionSite!$S402,[1]Gen_Vessels!$C$3:$C$500,0),1)),"")</f>
        <v/>
      </c>
      <c r="U402" s="2"/>
      <c r="V402" s="2"/>
      <c r="W402" s="2"/>
      <c r="X402" s="2"/>
      <c r="Y402" s="2"/>
      <c r="AB402" s="2"/>
      <c r="AC402" s="2"/>
      <c r="AD402" s="2"/>
      <c r="AE402" s="2"/>
      <c r="AF402" s="2"/>
      <c r="AG402" s="2"/>
      <c r="AH402" s="2"/>
    </row>
    <row r="403" spans="1:34" x14ac:dyDescent="0.25">
      <c r="A403" s="1" t="str">
        <f t="shared" si="6"/>
        <v/>
      </c>
      <c r="B403" s="2"/>
      <c r="C403" s="2"/>
      <c r="D403" s="2"/>
      <c r="E403" s="2"/>
      <c r="F403" s="2"/>
      <c r="G403" s="6"/>
      <c r="H403" s="2"/>
      <c r="I403" s="7"/>
      <c r="J403" s="8"/>
      <c r="Q403" s="2"/>
      <c r="R403" s="2" t="str">
        <f>IFERROR(IF(ISBLANK(Q403),"",INDEX([1]Gen_Vessels!$A$3:$C$500,MATCH(InspectionSite!$Q403,[1]Gen_Vessels!$C$3:$C$500,0),1)),"")</f>
        <v/>
      </c>
      <c r="S403" s="2"/>
      <c r="T403" s="2" t="str">
        <f>IFERROR(IF(ISBLANK(S403),"",INDEX([1]Gen_Vessels!$A$3:$C$500,MATCH(InspectionSite!$S403,[1]Gen_Vessels!$C$3:$C$500,0),1)),"")</f>
        <v/>
      </c>
      <c r="U403" s="2"/>
      <c r="V403" s="2"/>
      <c r="W403" s="2"/>
      <c r="X403" s="2"/>
      <c r="Y403" s="2"/>
      <c r="AB403" s="2"/>
      <c r="AC403" s="2"/>
      <c r="AD403" s="2"/>
      <c r="AE403" s="2"/>
      <c r="AF403" s="2"/>
      <c r="AG403" s="2"/>
      <c r="AH403" s="2"/>
    </row>
    <row r="404" spans="1:34" x14ac:dyDescent="0.25">
      <c r="A404" s="1" t="str">
        <f t="shared" si="6"/>
        <v/>
      </c>
      <c r="B404" s="2"/>
      <c r="C404" s="2"/>
      <c r="D404" s="2"/>
      <c r="E404" s="2"/>
      <c r="F404" s="2"/>
      <c r="G404" s="6"/>
      <c r="H404" s="2"/>
      <c r="I404" s="7"/>
      <c r="J404" s="8"/>
      <c r="Q404" s="2"/>
      <c r="R404" s="2" t="str">
        <f>IFERROR(IF(ISBLANK(Q404),"",INDEX([1]Gen_Vessels!$A$3:$C$500,MATCH(InspectionSite!$Q404,[1]Gen_Vessels!$C$3:$C$500,0),1)),"")</f>
        <v/>
      </c>
      <c r="S404" s="2"/>
      <c r="T404" s="2" t="str">
        <f>IFERROR(IF(ISBLANK(S404),"",INDEX([1]Gen_Vessels!$A$3:$C$500,MATCH(InspectionSite!$S404,[1]Gen_Vessels!$C$3:$C$500,0),1)),"")</f>
        <v/>
      </c>
      <c r="U404" s="2"/>
      <c r="V404" s="2"/>
      <c r="W404" s="2"/>
      <c r="X404" s="2"/>
      <c r="Y404" s="2"/>
      <c r="AB404" s="2"/>
      <c r="AC404" s="2"/>
      <c r="AD404" s="2"/>
      <c r="AE404" s="2"/>
      <c r="AF404" s="2"/>
      <c r="AG404" s="2"/>
      <c r="AH404" s="2"/>
    </row>
    <row r="405" spans="1:34" x14ac:dyDescent="0.25">
      <c r="A405" s="1" t="str">
        <f t="shared" si="6"/>
        <v/>
      </c>
      <c r="B405" s="2"/>
      <c r="C405" s="2"/>
      <c r="D405" s="2"/>
      <c r="E405" s="2"/>
      <c r="F405" s="2"/>
      <c r="G405" s="6"/>
      <c r="H405" s="2"/>
      <c r="I405" s="7"/>
      <c r="J405" s="8"/>
      <c r="Q405" s="2"/>
      <c r="R405" s="2" t="str">
        <f>IFERROR(IF(ISBLANK(Q405),"",INDEX([1]Gen_Vessels!$A$3:$C$500,MATCH(InspectionSite!$Q405,[1]Gen_Vessels!$C$3:$C$500,0),1)),"")</f>
        <v/>
      </c>
      <c r="S405" s="2"/>
      <c r="T405" s="2" t="str">
        <f>IFERROR(IF(ISBLANK(S405),"",INDEX([1]Gen_Vessels!$A$3:$C$500,MATCH(InspectionSite!$S405,[1]Gen_Vessels!$C$3:$C$500,0),1)),"")</f>
        <v/>
      </c>
      <c r="U405" s="2"/>
      <c r="V405" s="2"/>
      <c r="W405" s="2"/>
      <c r="X405" s="2"/>
      <c r="Y405" s="2"/>
      <c r="AB405" s="2"/>
      <c r="AC405" s="2"/>
      <c r="AD405" s="2"/>
      <c r="AE405" s="2"/>
      <c r="AF405" s="2"/>
      <c r="AG405" s="2"/>
      <c r="AH405" s="2"/>
    </row>
    <row r="406" spans="1:34" x14ac:dyDescent="0.25">
      <c r="A406" s="1" t="str">
        <f t="shared" si="6"/>
        <v/>
      </c>
      <c r="B406" s="2"/>
      <c r="C406" s="2"/>
      <c r="D406" s="2"/>
      <c r="E406" s="2"/>
      <c r="F406" s="2"/>
      <c r="G406" s="6"/>
      <c r="H406" s="2"/>
      <c r="I406" s="7"/>
      <c r="J406" s="8"/>
      <c r="Q406" s="2"/>
      <c r="R406" s="2" t="str">
        <f>IFERROR(IF(ISBLANK(Q406),"",INDEX([1]Gen_Vessels!$A$3:$C$500,MATCH(InspectionSite!$Q406,[1]Gen_Vessels!$C$3:$C$500,0),1)),"")</f>
        <v/>
      </c>
      <c r="S406" s="2"/>
      <c r="T406" s="2" t="str">
        <f>IFERROR(IF(ISBLANK(S406),"",INDEX([1]Gen_Vessels!$A$3:$C$500,MATCH(InspectionSite!$S406,[1]Gen_Vessels!$C$3:$C$500,0),1)),"")</f>
        <v/>
      </c>
      <c r="U406" s="2"/>
      <c r="V406" s="2"/>
      <c r="W406" s="2"/>
      <c r="X406" s="2"/>
      <c r="Y406" s="2"/>
      <c r="AB406" s="2"/>
      <c r="AC406" s="2"/>
      <c r="AD406" s="2"/>
      <c r="AE406" s="2"/>
      <c r="AF406" s="2"/>
      <c r="AG406" s="2"/>
      <c r="AH406" s="2"/>
    </row>
    <row r="407" spans="1:34" x14ac:dyDescent="0.25">
      <c r="A407" s="1" t="str">
        <f t="shared" si="6"/>
        <v/>
      </c>
      <c r="B407" s="2"/>
      <c r="C407" s="2"/>
      <c r="D407" s="2"/>
      <c r="E407" s="2"/>
      <c r="F407" s="2"/>
      <c r="G407" s="6"/>
      <c r="H407" s="2"/>
      <c r="I407" s="7"/>
      <c r="J407" s="8"/>
      <c r="Q407" s="2"/>
      <c r="R407" s="2" t="str">
        <f>IFERROR(IF(ISBLANK(Q407),"",INDEX([1]Gen_Vessels!$A$3:$C$500,MATCH(InspectionSite!$Q407,[1]Gen_Vessels!$C$3:$C$500,0),1)),"")</f>
        <v/>
      </c>
      <c r="S407" s="2"/>
      <c r="T407" s="2" t="str">
        <f>IFERROR(IF(ISBLANK(S407),"",INDEX([1]Gen_Vessels!$A$3:$C$500,MATCH(InspectionSite!$S407,[1]Gen_Vessels!$C$3:$C$500,0),1)),"")</f>
        <v/>
      </c>
      <c r="U407" s="2"/>
      <c r="V407" s="2"/>
      <c r="W407" s="2"/>
      <c r="X407" s="2"/>
      <c r="Y407" s="2"/>
      <c r="AB407" s="2"/>
      <c r="AC407" s="2"/>
      <c r="AD407" s="2"/>
      <c r="AE407" s="2"/>
      <c r="AF407" s="2"/>
      <c r="AG407" s="2"/>
      <c r="AH407" s="2"/>
    </row>
    <row r="408" spans="1:34" x14ac:dyDescent="0.25">
      <c r="A408" s="1" t="str">
        <f t="shared" si="6"/>
        <v/>
      </c>
      <c r="B408" s="2"/>
      <c r="C408" s="2"/>
      <c r="D408" s="2"/>
      <c r="E408" s="2"/>
      <c r="F408" s="2"/>
      <c r="G408" s="6"/>
      <c r="H408" s="2"/>
      <c r="I408" s="7"/>
      <c r="J408" s="8"/>
      <c r="Q408" s="2"/>
      <c r="R408" s="2" t="str">
        <f>IFERROR(IF(ISBLANK(Q408),"",INDEX([1]Gen_Vessels!$A$3:$C$500,MATCH(InspectionSite!$Q408,[1]Gen_Vessels!$C$3:$C$500,0),1)),"")</f>
        <v/>
      </c>
      <c r="S408" s="2"/>
      <c r="T408" s="2" t="str">
        <f>IFERROR(IF(ISBLANK(S408),"",INDEX([1]Gen_Vessels!$A$3:$C$500,MATCH(InspectionSite!$S408,[1]Gen_Vessels!$C$3:$C$500,0),1)),"")</f>
        <v/>
      </c>
      <c r="U408" s="2"/>
      <c r="V408" s="2"/>
      <c r="W408" s="2"/>
      <c r="X408" s="2"/>
      <c r="Y408" s="2"/>
      <c r="AB408" s="2"/>
      <c r="AC408" s="2"/>
      <c r="AD408" s="2"/>
      <c r="AE408" s="2"/>
      <c r="AF408" s="2"/>
      <c r="AG408" s="2"/>
      <c r="AH408" s="2"/>
    </row>
    <row r="409" spans="1:34" x14ac:dyDescent="0.25">
      <c r="A409" s="1" t="str">
        <f t="shared" si="6"/>
        <v/>
      </c>
      <c r="B409" s="2"/>
      <c r="C409" s="2"/>
      <c r="D409" s="2"/>
      <c r="E409" s="2"/>
      <c r="F409" s="2"/>
      <c r="G409" s="6"/>
      <c r="H409" s="2"/>
      <c r="I409" s="7"/>
      <c r="J409" s="8"/>
      <c r="Q409" s="2"/>
      <c r="R409" s="2" t="str">
        <f>IFERROR(IF(ISBLANK(Q409),"",INDEX([1]Gen_Vessels!$A$3:$C$500,MATCH(InspectionSite!$Q409,[1]Gen_Vessels!$C$3:$C$500,0),1)),"")</f>
        <v/>
      </c>
      <c r="S409" s="2"/>
      <c r="T409" s="2" t="str">
        <f>IFERROR(IF(ISBLANK(S409),"",INDEX([1]Gen_Vessels!$A$3:$C$500,MATCH(InspectionSite!$S409,[1]Gen_Vessels!$C$3:$C$500,0),1)),"")</f>
        <v/>
      </c>
      <c r="U409" s="2"/>
      <c r="V409" s="2"/>
      <c r="W409" s="2"/>
      <c r="X409" s="2"/>
      <c r="Y409" s="2"/>
      <c r="AB409" s="2"/>
      <c r="AC409" s="2"/>
      <c r="AD409" s="2"/>
      <c r="AE409" s="2"/>
      <c r="AF409" s="2"/>
      <c r="AG409" s="2"/>
      <c r="AH409" s="2"/>
    </row>
    <row r="410" spans="1:34" x14ac:dyDescent="0.25">
      <c r="A410" s="1" t="str">
        <f t="shared" si="6"/>
        <v/>
      </c>
      <c r="B410" s="2"/>
      <c r="C410" s="2"/>
      <c r="D410" s="2"/>
      <c r="E410" s="2"/>
      <c r="F410" s="2"/>
      <c r="G410" s="6"/>
      <c r="H410" s="2"/>
      <c r="I410" s="7"/>
      <c r="J410" s="8"/>
      <c r="Q410" s="2"/>
      <c r="R410" s="2" t="str">
        <f>IFERROR(IF(ISBLANK(Q410),"",INDEX([1]Gen_Vessels!$A$3:$C$500,MATCH(InspectionSite!$Q410,[1]Gen_Vessels!$C$3:$C$500,0),1)),"")</f>
        <v/>
      </c>
      <c r="S410" s="2"/>
      <c r="T410" s="2" t="str">
        <f>IFERROR(IF(ISBLANK(S410),"",INDEX([1]Gen_Vessels!$A$3:$C$500,MATCH(InspectionSite!$S410,[1]Gen_Vessels!$C$3:$C$500,0),1)),"")</f>
        <v/>
      </c>
      <c r="U410" s="2"/>
      <c r="V410" s="2"/>
      <c r="W410" s="2"/>
      <c r="X410" s="2"/>
      <c r="Y410" s="2"/>
      <c r="AB410" s="2"/>
      <c r="AC410" s="2"/>
      <c r="AD410" s="2"/>
      <c r="AE410" s="2"/>
      <c r="AF410" s="2"/>
      <c r="AG410" s="2"/>
      <c r="AH410" s="2"/>
    </row>
    <row r="411" spans="1:34" x14ac:dyDescent="0.25">
      <c r="A411" s="1" t="str">
        <f t="shared" si="6"/>
        <v/>
      </c>
      <c r="B411" s="2"/>
      <c r="C411" s="2"/>
      <c r="D411" s="2"/>
      <c r="E411" s="2"/>
      <c r="F411" s="2"/>
      <c r="G411" s="6"/>
      <c r="H411" s="2"/>
      <c r="I411" s="7"/>
      <c r="J411" s="8"/>
      <c r="Q411" s="2"/>
      <c r="R411" s="2" t="str">
        <f>IFERROR(IF(ISBLANK(Q411),"",INDEX([1]Gen_Vessels!$A$3:$C$500,MATCH(InspectionSite!$Q411,[1]Gen_Vessels!$C$3:$C$500,0),1)),"")</f>
        <v/>
      </c>
      <c r="S411" s="2"/>
      <c r="T411" s="2" t="str">
        <f>IFERROR(IF(ISBLANK(S411),"",INDEX([1]Gen_Vessels!$A$3:$C$500,MATCH(InspectionSite!$S411,[1]Gen_Vessels!$C$3:$C$500,0),1)),"")</f>
        <v/>
      </c>
      <c r="U411" s="2"/>
      <c r="V411" s="2"/>
      <c r="W411" s="2"/>
      <c r="X411" s="2"/>
      <c r="Y411" s="2"/>
      <c r="AB411" s="2"/>
      <c r="AC411" s="2"/>
      <c r="AD411" s="2"/>
      <c r="AE411" s="2"/>
      <c r="AF411" s="2"/>
      <c r="AG411" s="2"/>
      <c r="AH411" s="2"/>
    </row>
    <row r="412" spans="1:34" x14ac:dyDescent="0.25">
      <c r="A412" s="1" t="str">
        <f t="shared" si="6"/>
        <v/>
      </c>
      <c r="B412" s="2"/>
      <c r="C412" s="2"/>
      <c r="D412" s="2"/>
      <c r="E412" s="2"/>
      <c r="F412" s="2"/>
      <c r="G412" s="6"/>
      <c r="H412" s="2"/>
      <c r="I412" s="7"/>
      <c r="J412" s="8"/>
      <c r="Q412" s="2"/>
      <c r="R412" s="2" t="str">
        <f>IFERROR(IF(ISBLANK(Q412),"",INDEX([1]Gen_Vessels!$A$3:$C$500,MATCH(InspectionSite!$Q412,[1]Gen_Vessels!$C$3:$C$500,0),1)),"")</f>
        <v/>
      </c>
      <c r="S412" s="2"/>
      <c r="T412" s="2" t="str">
        <f>IFERROR(IF(ISBLANK(S412),"",INDEX([1]Gen_Vessels!$A$3:$C$500,MATCH(InspectionSite!$S412,[1]Gen_Vessels!$C$3:$C$500,0),1)),"")</f>
        <v/>
      </c>
      <c r="U412" s="2"/>
      <c r="V412" s="2"/>
      <c r="W412" s="2"/>
      <c r="X412" s="2"/>
      <c r="Y412" s="2"/>
      <c r="AB412" s="2"/>
      <c r="AC412" s="2"/>
      <c r="AD412" s="2"/>
      <c r="AE412" s="2"/>
      <c r="AF412" s="2"/>
      <c r="AG412" s="2"/>
      <c r="AH412" s="2"/>
    </row>
    <row r="413" spans="1:34" x14ac:dyDescent="0.25">
      <c r="A413" s="1" t="str">
        <f t="shared" si="6"/>
        <v/>
      </c>
      <c r="B413" s="2"/>
      <c r="C413" s="2"/>
      <c r="D413" s="2"/>
      <c r="E413" s="2"/>
      <c r="F413" s="2"/>
      <c r="G413" s="6"/>
      <c r="H413" s="2"/>
      <c r="I413" s="7"/>
      <c r="J413" s="8"/>
      <c r="Q413" s="2"/>
      <c r="R413" s="2" t="str">
        <f>IFERROR(IF(ISBLANK(Q413),"",INDEX([1]Gen_Vessels!$A$3:$C$500,MATCH(InspectionSite!$Q413,[1]Gen_Vessels!$C$3:$C$500,0),1)),"")</f>
        <v/>
      </c>
      <c r="S413" s="2"/>
      <c r="T413" s="2" t="str">
        <f>IFERROR(IF(ISBLANK(S413),"",INDEX([1]Gen_Vessels!$A$3:$C$500,MATCH(InspectionSite!$S413,[1]Gen_Vessels!$C$3:$C$500,0),1)),"")</f>
        <v/>
      </c>
      <c r="U413" s="2"/>
      <c r="V413" s="2"/>
      <c r="W413" s="2"/>
      <c r="X413" s="2"/>
      <c r="Y413" s="2"/>
      <c r="AB413" s="2"/>
      <c r="AC413" s="2"/>
      <c r="AD413" s="2"/>
      <c r="AE413" s="2"/>
      <c r="AF413" s="2"/>
      <c r="AG413" s="2"/>
      <c r="AH413" s="2"/>
    </row>
    <row r="414" spans="1:34" x14ac:dyDescent="0.25">
      <c r="A414" s="1" t="str">
        <f t="shared" si="6"/>
        <v/>
      </c>
      <c r="B414" s="2"/>
      <c r="C414" s="2"/>
      <c r="D414" s="2"/>
      <c r="E414" s="2"/>
      <c r="F414" s="2"/>
      <c r="G414" s="6"/>
      <c r="H414" s="2"/>
      <c r="I414" s="7"/>
      <c r="J414" s="8"/>
      <c r="Q414" s="2"/>
      <c r="R414" s="2" t="str">
        <f>IFERROR(IF(ISBLANK(Q414),"",INDEX([1]Gen_Vessels!$A$3:$C$500,MATCH(InspectionSite!$Q414,[1]Gen_Vessels!$C$3:$C$500,0),1)),"")</f>
        <v/>
      </c>
      <c r="S414" s="2"/>
      <c r="T414" s="2" t="str">
        <f>IFERROR(IF(ISBLANK(S414),"",INDEX([1]Gen_Vessels!$A$3:$C$500,MATCH(InspectionSite!$S414,[1]Gen_Vessels!$C$3:$C$500,0),1)),"")</f>
        <v/>
      </c>
      <c r="U414" s="2"/>
      <c r="V414" s="2"/>
      <c r="W414" s="2"/>
      <c r="X414" s="2"/>
      <c r="Y414" s="2"/>
      <c r="AB414" s="2"/>
      <c r="AC414" s="2"/>
      <c r="AD414" s="2"/>
      <c r="AE414" s="2"/>
      <c r="AF414" s="2"/>
      <c r="AG414" s="2"/>
      <c r="AH414" s="2"/>
    </row>
    <row r="415" spans="1:34" x14ac:dyDescent="0.25">
      <c r="A415" s="1" t="str">
        <f t="shared" si="6"/>
        <v/>
      </c>
      <c r="B415" s="2"/>
      <c r="C415" s="2"/>
      <c r="D415" s="2"/>
      <c r="E415" s="2"/>
      <c r="F415" s="2"/>
      <c r="G415" s="6"/>
      <c r="H415" s="2"/>
      <c r="I415" s="7"/>
      <c r="J415" s="8"/>
      <c r="Q415" s="2"/>
      <c r="R415" s="2" t="str">
        <f>IFERROR(IF(ISBLANK(Q415),"",INDEX([1]Gen_Vessels!$A$3:$C$500,MATCH(InspectionSite!$Q415,[1]Gen_Vessels!$C$3:$C$500,0),1)),"")</f>
        <v/>
      </c>
      <c r="S415" s="2"/>
      <c r="T415" s="2" t="str">
        <f>IFERROR(IF(ISBLANK(S415),"",INDEX([1]Gen_Vessels!$A$3:$C$500,MATCH(InspectionSite!$S415,[1]Gen_Vessels!$C$3:$C$500,0),1)),"")</f>
        <v/>
      </c>
      <c r="U415" s="2"/>
      <c r="V415" s="2"/>
      <c r="W415" s="2"/>
      <c r="X415" s="2"/>
      <c r="Y415" s="2"/>
      <c r="AB415" s="2"/>
      <c r="AC415" s="2"/>
      <c r="AD415" s="2"/>
      <c r="AE415" s="2"/>
      <c r="AF415" s="2"/>
      <c r="AG415" s="2"/>
      <c r="AH415" s="2"/>
    </row>
    <row r="416" spans="1:34" x14ac:dyDescent="0.25">
      <c r="A416" s="1" t="str">
        <f t="shared" si="6"/>
        <v/>
      </c>
      <c r="B416" s="2"/>
      <c r="C416" s="2"/>
      <c r="D416" s="2"/>
      <c r="E416" s="2"/>
      <c r="F416" s="2"/>
      <c r="G416" s="6"/>
      <c r="H416" s="2"/>
      <c r="I416" s="7"/>
      <c r="J416" s="8"/>
      <c r="Q416" s="2"/>
      <c r="R416" s="2" t="str">
        <f>IFERROR(IF(ISBLANK(Q416),"",INDEX([1]Gen_Vessels!$A$3:$C$500,MATCH(InspectionSite!$Q416,[1]Gen_Vessels!$C$3:$C$500,0),1)),"")</f>
        <v/>
      </c>
      <c r="S416" s="2"/>
      <c r="T416" s="2" t="str">
        <f>IFERROR(IF(ISBLANK(S416),"",INDEX([1]Gen_Vessels!$A$3:$C$500,MATCH(InspectionSite!$S416,[1]Gen_Vessels!$C$3:$C$500,0),1)),"")</f>
        <v/>
      </c>
      <c r="U416" s="2"/>
      <c r="V416" s="2"/>
      <c r="W416" s="2"/>
      <c r="X416" s="2"/>
      <c r="Y416" s="2"/>
      <c r="AB416" s="2"/>
      <c r="AC416" s="2"/>
      <c r="AD416" s="2"/>
      <c r="AE416" s="2"/>
      <c r="AF416" s="2"/>
      <c r="AG416" s="2"/>
      <c r="AH416" s="2"/>
    </row>
    <row r="417" spans="1:34" x14ac:dyDescent="0.25">
      <c r="A417" s="1" t="str">
        <f t="shared" si="6"/>
        <v/>
      </c>
      <c r="B417" s="2"/>
      <c r="C417" s="2"/>
      <c r="D417" s="2"/>
      <c r="E417" s="2"/>
      <c r="F417" s="2"/>
      <c r="G417" s="6"/>
      <c r="H417" s="2"/>
      <c r="I417" s="7"/>
      <c r="J417" s="8"/>
      <c r="Q417" s="2"/>
      <c r="R417" s="2" t="str">
        <f>IFERROR(IF(ISBLANK(Q417),"",INDEX([1]Gen_Vessels!$A$3:$C$500,MATCH(InspectionSite!$Q417,[1]Gen_Vessels!$C$3:$C$500,0),1)),"")</f>
        <v/>
      </c>
      <c r="S417" s="2"/>
      <c r="T417" s="2" t="str">
        <f>IFERROR(IF(ISBLANK(S417),"",INDEX([1]Gen_Vessels!$A$3:$C$500,MATCH(InspectionSite!$S417,[1]Gen_Vessels!$C$3:$C$500,0),1)),"")</f>
        <v/>
      </c>
      <c r="U417" s="2"/>
      <c r="V417" s="2"/>
      <c r="W417" s="2"/>
      <c r="X417" s="2"/>
      <c r="Y417" s="2"/>
      <c r="AB417" s="2"/>
      <c r="AC417" s="2"/>
      <c r="AD417" s="2"/>
      <c r="AE417" s="2"/>
      <c r="AF417" s="2"/>
      <c r="AG417" s="2"/>
      <c r="AH417" s="2"/>
    </row>
    <row r="418" spans="1:34" x14ac:dyDescent="0.25">
      <c r="A418" s="1" t="str">
        <f t="shared" si="6"/>
        <v/>
      </c>
      <c r="B418" s="2"/>
      <c r="C418" s="2"/>
      <c r="D418" s="2"/>
      <c r="E418" s="2"/>
      <c r="F418" s="2"/>
      <c r="G418" s="6"/>
      <c r="H418" s="2"/>
      <c r="I418" s="7"/>
      <c r="J418" s="8"/>
      <c r="Q418" s="2"/>
      <c r="R418" s="2" t="str">
        <f>IFERROR(IF(ISBLANK(Q418),"",INDEX([1]Gen_Vessels!$A$3:$C$500,MATCH(InspectionSite!$Q418,[1]Gen_Vessels!$C$3:$C$500,0),1)),"")</f>
        <v/>
      </c>
      <c r="S418" s="2"/>
      <c r="T418" s="2" t="str">
        <f>IFERROR(IF(ISBLANK(S418),"",INDEX([1]Gen_Vessels!$A$3:$C$500,MATCH(InspectionSite!$S418,[1]Gen_Vessels!$C$3:$C$500,0),1)),"")</f>
        <v/>
      </c>
      <c r="U418" s="2"/>
      <c r="V418" s="2"/>
      <c r="W418" s="2"/>
      <c r="X418" s="2"/>
      <c r="Y418" s="2"/>
      <c r="AB418" s="2"/>
      <c r="AC418" s="2"/>
      <c r="AD418" s="2"/>
      <c r="AE418" s="2"/>
      <c r="AF418" s="2"/>
      <c r="AG418" s="2"/>
      <c r="AH418" s="2"/>
    </row>
    <row r="419" spans="1:34" x14ac:dyDescent="0.25">
      <c r="A419" s="1" t="str">
        <f t="shared" si="6"/>
        <v/>
      </c>
      <c r="B419" s="2"/>
      <c r="C419" s="2"/>
      <c r="D419" s="2"/>
      <c r="E419" s="2"/>
      <c r="F419" s="2"/>
      <c r="G419" s="6"/>
      <c r="H419" s="2"/>
      <c r="I419" s="7"/>
      <c r="J419" s="8"/>
      <c r="Q419" s="2"/>
      <c r="R419" s="2" t="str">
        <f>IFERROR(IF(ISBLANK(Q419),"",INDEX([1]Gen_Vessels!$A$3:$C$500,MATCH(InspectionSite!$Q419,[1]Gen_Vessels!$C$3:$C$500,0),1)),"")</f>
        <v/>
      </c>
      <c r="S419" s="2"/>
      <c r="T419" s="2" t="str">
        <f>IFERROR(IF(ISBLANK(S419),"",INDEX([1]Gen_Vessels!$A$3:$C$500,MATCH(InspectionSite!$S419,[1]Gen_Vessels!$C$3:$C$500,0),1)),"")</f>
        <v/>
      </c>
      <c r="U419" s="2"/>
      <c r="V419" s="2"/>
      <c r="W419" s="2"/>
      <c r="X419" s="2"/>
      <c r="Y419" s="2"/>
      <c r="AB419" s="2"/>
      <c r="AC419" s="2"/>
      <c r="AD419" s="2"/>
      <c r="AE419" s="2"/>
      <c r="AF419" s="2"/>
      <c r="AG419" s="2"/>
      <c r="AH419" s="2"/>
    </row>
    <row r="420" spans="1:34" x14ac:dyDescent="0.25">
      <c r="A420" s="1" t="str">
        <f t="shared" si="6"/>
        <v/>
      </c>
      <c r="B420" s="2"/>
      <c r="C420" s="2"/>
      <c r="D420" s="2"/>
      <c r="E420" s="2"/>
      <c r="F420" s="2"/>
      <c r="G420" s="6"/>
      <c r="H420" s="2"/>
      <c r="I420" s="7"/>
      <c r="J420" s="8"/>
      <c r="Q420" s="2"/>
      <c r="R420" s="2" t="str">
        <f>IFERROR(IF(ISBLANK(Q420),"",INDEX([1]Gen_Vessels!$A$3:$C$500,MATCH(InspectionSite!$Q420,[1]Gen_Vessels!$C$3:$C$500,0),1)),"")</f>
        <v/>
      </c>
      <c r="S420" s="2"/>
      <c r="T420" s="2" t="str">
        <f>IFERROR(IF(ISBLANK(S420),"",INDEX([1]Gen_Vessels!$A$3:$C$500,MATCH(InspectionSite!$S420,[1]Gen_Vessels!$C$3:$C$500,0),1)),"")</f>
        <v/>
      </c>
      <c r="U420" s="2"/>
      <c r="V420" s="2"/>
      <c r="W420" s="2"/>
      <c r="X420" s="2"/>
      <c r="Y420" s="2"/>
      <c r="AB420" s="2"/>
      <c r="AC420" s="2"/>
      <c r="AD420" s="2"/>
      <c r="AE420" s="2"/>
      <c r="AF420" s="2"/>
      <c r="AG420" s="2"/>
      <c r="AH420" s="2"/>
    </row>
    <row r="421" spans="1:34" x14ac:dyDescent="0.25">
      <c r="A421" s="1" t="str">
        <f t="shared" si="6"/>
        <v/>
      </c>
      <c r="B421" s="2"/>
      <c r="C421" s="2"/>
      <c r="D421" s="2"/>
      <c r="E421" s="2"/>
      <c r="F421" s="2"/>
      <c r="G421" s="6"/>
      <c r="H421" s="2"/>
      <c r="I421" s="7"/>
      <c r="J421" s="8"/>
      <c r="Q421" s="2"/>
      <c r="R421" s="2" t="str">
        <f>IFERROR(IF(ISBLANK(Q421),"",INDEX([1]Gen_Vessels!$A$3:$C$500,MATCH(InspectionSite!$Q421,[1]Gen_Vessels!$C$3:$C$500,0),1)),"")</f>
        <v/>
      </c>
      <c r="S421" s="2"/>
      <c r="T421" s="2" t="str">
        <f>IFERROR(IF(ISBLANK(S421),"",INDEX([1]Gen_Vessels!$A$3:$C$500,MATCH(InspectionSite!$S421,[1]Gen_Vessels!$C$3:$C$500,0),1)),"")</f>
        <v/>
      </c>
      <c r="U421" s="2"/>
      <c r="V421" s="2"/>
      <c r="W421" s="2"/>
      <c r="X421" s="2"/>
      <c r="Y421" s="2"/>
      <c r="AB421" s="2"/>
      <c r="AC421" s="2"/>
      <c r="AD421" s="2"/>
      <c r="AE421" s="2"/>
      <c r="AF421" s="2"/>
      <c r="AG421" s="2"/>
      <c r="AH421" s="2"/>
    </row>
    <row r="422" spans="1:34" x14ac:dyDescent="0.25">
      <c r="A422" s="1" t="str">
        <f t="shared" si="6"/>
        <v/>
      </c>
      <c r="B422" s="2"/>
      <c r="C422" s="2"/>
      <c r="D422" s="2"/>
      <c r="E422" s="2"/>
      <c r="F422" s="2"/>
      <c r="G422" s="6"/>
      <c r="H422" s="2"/>
      <c r="I422" s="7"/>
      <c r="J422" s="8"/>
      <c r="Q422" s="2"/>
      <c r="R422" s="2" t="str">
        <f>IFERROR(IF(ISBLANK(Q422),"",INDEX([1]Gen_Vessels!$A$3:$C$500,MATCH(InspectionSite!$Q422,[1]Gen_Vessels!$C$3:$C$500,0),1)),"")</f>
        <v/>
      </c>
      <c r="S422" s="2"/>
      <c r="T422" s="2" t="str">
        <f>IFERROR(IF(ISBLANK(S422),"",INDEX([1]Gen_Vessels!$A$3:$C$500,MATCH(InspectionSite!$S422,[1]Gen_Vessels!$C$3:$C$500,0),1)),"")</f>
        <v/>
      </c>
      <c r="U422" s="2"/>
      <c r="V422" s="2"/>
      <c r="W422" s="2"/>
      <c r="X422" s="2"/>
      <c r="Y422" s="2"/>
      <c r="AB422" s="2"/>
      <c r="AC422" s="2"/>
      <c r="AD422" s="2"/>
      <c r="AE422" s="2"/>
      <c r="AF422" s="2"/>
      <c r="AG422" s="2"/>
      <c r="AH422" s="2"/>
    </row>
    <row r="423" spans="1:34" x14ac:dyDescent="0.25">
      <c r="A423" s="1" t="str">
        <f t="shared" si="6"/>
        <v/>
      </c>
      <c r="B423" s="2"/>
      <c r="C423" s="2"/>
      <c r="D423" s="2"/>
      <c r="E423" s="2"/>
      <c r="F423" s="2"/>
      <c r="G423" s="6"/>
      <c r="H423" s="2"/>
      <c r="I423" s="7"/>
      <c r="J423" s="8"/>
      <c r="Q423" s="2"/>
      <c r="R423" s="2" t="str">
        <f>IFERROR(IF(ISBLANK(Q423),"",INDEX([1]Gen_Vessels!$A$3:$C$500,MATCH(InspectionSite!$Q423,[1]Gen_Vessels!$C$3:$C$500,0),1)),"")</f>
        <v/>
      </c>
      <c r="S423" s="2"/>
      <c r="T423" s="2" t="str">
        <f>IFERROR(IF(ISBLANK(S423),"",INDEX([1]Gen_Vessels!$A$3:$C$500,MATCH(InspectionSite!$S423,[1]Gen_Vessels!$C$3:$C$500,0),1)),"")</f>
        <v/>
      </c>
      <c r="U423" s="2"/>
      <c r="V423" s="2"/>
      <c r="W423" s="2"/>
      <c r="X423" s="2"/>
      <c r="Y423" s="2"/>
      <c r="AB423" s="2"/>
      <c r="AC423" s="2"/>
      <c r="AD423" s="2"/>
      <c r="AE423" s="2"/>
      <c r="AF423" s="2"/>
      <c r="AG423" s="2"/>
      <c r="AH423" s="2"/>
    </row>
    <row r="424" spans="1:34" x14ac:dyDescent="0.25">
      <c r="A424" s="1" t="str">
        <f t="shared" si="6"/>
        <v/>
      </c>
      <c r="B424" s="2"/>
      <c r="C424" s="2"/>
      <c r="D424" s="2"/>
      <c r="E424" s="2"/>
      <c r="F424" s="2"/>
      <c r="G424" s="6"/>
      <c r="H424" s="2"/>
      <c r="I424" s="7"/>
      <c r="J424" s="8"/>
      <c r="Q424" s="2"/>
      <c r="R424" s="2" t="str">
        <f>IFERROR(IF(ISBLANK(Q424),"",INDEX([1]Gen_Vessels!$A$3:$C$500,MATCH(InspectionSite!$Q424,[1]Gen_Vessels!$C$3:$C$500,0),1)),"")</f>
        <v/>
      </c>
      <c r="S424" s="2"/>
      <c r="T424" s="2" t="str">
        <f>IFERROR(IF(ISBLANK(S424),"",INDEX([1]Gen_Vessels!$A$3:$C$500,MATCH(InspectionSite!$S424,[1]Gen_Vessels!$C$3:$C$500,0),1)),"")</f>
        <v/>
      </c>
      <c r="U424" s="2"/>
      <c r="V424" s="2"/>
      <c r="W424" s="2"/>
      <c r="X424" s="2"/>
      <c r="Y424" s="2"/>
      <c r="AB424" s="2"/>
      <c r="AC424" s="2"/>
      <c r="AD424" s="2"/>
      <c r="AE424" s="2"/>
      <c r="AF424" s="2"/>
      <c r="AG424" s="2"/>
      <c r="AH424" s="2"/>
    </row>
    <row r="425" spans="1:34" x14ac:dyDescent="0.25">
      <c r="A425" s="1" t="str">
        <f t="shared" si="6"/>
        <v/>
      </c>
      <c r="B425" s="2"/>
      <c r="C425" s="2"/>
      <c r="D425" s="2"/>
      <c r="E425" s="2"/>
      <c r="F425" s="2"/>
      <c r="G425" s="6"/>
      <c r="H425" s="2"/>
      <c r="I425" s="7"/>
      <c r="J425" s="8"/>
      <c r="Q425" s="2"/>
      <c r="R425" s="2" t="str">
        <f>IFERROR(IF(ISBLANK(Q425),"",INDEX([1]Gen_Vessels!$A$3:$C$500,MATCH(InspectionSite!$Q425,[1]Gen_Vessels!$C$3:$C$500,0),1)),"")</f>
        <v/>
      </c>
      <c r="S425" s="2"/>
      <c r="T425" s="2" t="str">
        <f>IFERROR(IF(ISBLANK(S425),"",INDEX([1]Gen_Vessels!$A$3:$C$500,MATCH(InspectionSite!$S425,[1]Gen_Vessels!$C$3:$C$500,0),1)),"")</f>
        <v/>
      </c>
      <c r="U425" s="2"/>
      <c r="V425" s="2"/>
      <c r="W425" s="2"/>
      <c r="X425" s="2"/>
      <c r="Y425" s="2"/>
      <c r="AB425" s="2"/>
      <c r="AC425" s="2"/>
      <c r="AD425" s="2"/>
      <c r="AE425" s="2"/>
      <c r="AF425" s="2"/>
      <c r="AG425" s="2"/>
      <c r="AH425" s="2"/>
    </row>
    <row r="426" spans="1:34" x14ac:dyDescent="0.25">
      <c r="A426" s="1" t="str">
        <f t="shared" si="6"/>
        <v/>
      </c>
      <c r="B426" s="2"/>
      <c r="C426" s="2"/>
      <c r="D426" s="2"/>
      <c r="E426" s="2"/>
      <c r="F426" s="2"/>
      <c r="G426" s="6"/>
      <c r="H426" s="2"/>
      <c r="I426" s="7"/>
      <c r="J426" s="8"/>
      <c r="Q426" s="2"/>
      <c r="R426" s="2" t="str">
        <f>IFERROR(IF(ISBLANK(Q426),"",INDEX([1]Gen_Vessels!$A$3:$C$500,MATCH(InspectionSite!$Q426,[1]Gen_Vessels!$C$3:$C$500,0),1)),"")</f>
        <v/>
      </c>
      <c r="S426" s="2"/>
      <c r="T426" s="2" t="str">
        <f>IFERROR(IF(ISBLANK(S426),"",INDEX([1]Gen_Vessels!$A$3:$C$500,MATCH(InspectionSite!$S426,[1]Gen_Vessels!$C$3:$C$500,0),1)),"")</f>
        <v/>
      </c>
      <c r="U426" s="2"/>
      <c r="V426" s="2"/>
      <c r="W426" s="2"/>
      <c r="X426" s="2"/>
      <c r="Y426" s="2"/>
      <c r="AB426" s="2"/>
      <c r="AC426" s="2"/>
      <c r="AD426" s="2"/>
      <c r="AE426" s="2"/>
      <c r="AF426" s="2"/>
      <c r="AG426" s="2"/>
      <c r="AH426" s="2"/>
    </row>
    <row r="427" spans="1:34" x14ac:dyDescent="0.25">
      <c r="A427" s="1" t="str">
        <f t="shared" si="6"/>
        <v/>
      </c>
      <c r="B427" s="2"/>
      <c r="C427" s="2"/>
      <c r="D427" s="2"/>
      <c r="E427" s="2"/>
      <c r="F427" s="2"/>
      <c r="G427" s="6"/>
      <c r="H427" s="2"/>
      <c r="I427" s="7"/>
      <c r="J427" s="8"/>
      <c r="Q427" s="2"/>
      <c r="R427" s="2" t="str">
        <f>IFERROR(IF(ISBLANK(Q427),"",INDEX([1]Gen_Vessels!$A$3:$C$500,MATCH(InspectionSite!$Q427,[1]Gen_Vessels!$C$3:$C$500,0),1)),"")</f>
        <v/>
      </c>
      <c r="S427" s="2"/>
      <c r="T427" s="2" t="str">
        <f>IFERROR(IF(ISBLANK(S427),"",INDEX([1]Gen_Vessels!$A$3:$C$500,MATCH(InspectionSite!$S427,[1]Gen_Vessels!$C$3:$C$500,0),1)),"")</f>
        <v/>
      </c>
      <c r="U427" s="2"/>
      <c r="V427" s="2"/>
      <c r="W427" s="2"/>
      <c r="X427" s="2"/>
      <c r="Y427" s="2"/>
      <c r="AB427" s="2"/>
      <c r="AC427" s="2"/>
      <c r="AD427" s="2"/>
      <c r="AE427" s="2"/>
      <c r="AF427" s="2"/>
      <c r="AG427" s="2"/>
      <c r="AH427" s="2"/>
    </row>
    <row r="428" spans="1:34" x14ac:dyDescent="0.25">
      <c r="A428" s="1" t="str">
        <f t="shared" si="6"/>
        <v/>
      </c>
      <c r="B428" s="2"/>
      <c r="C428" s="2"/>
      <c r="D428" s="2"/>
      <c r="E428" s="2"/>
      <c r="F428" s="2"/>
      <c r="G428" s="6"/>
      <c r="H428" s="2"/>
      <c r="I428" s="7"/>
      <c r="J428" s="8"/>
      <c r="Q428" s="2"/>
      <c r="R428" s="2" t="str">
        <f>IFERROR(IF(ISBLANK(Q428),"",INDEX([1]Gen_Vessels!$A$3:$C$500,MATCH(InspectionSite!$Q428,[1]Gen_Vessels!$C$3:$C$500,0),1)),"")</f>
        <v/>
      </c>
      <c r="S428" s="2"/>
      <c r="T428" s="2" t="str">
        <f>IFERROR(IF(ISBLANK(S428),"",INDEX([1]Gen_Vessels!$A$3:$C$500,MATCH(InspectionSite!$S428,[1]Gen_Vessels!$C$3:$C$500,0),1)),"")</f>
        <v/>
      </c>
      <c r="U428" s="2"/>
      <c r="V428" s="2"/>
      <c r="W428" s="2"/>
      <c r="X428" s="2"/>
      <c r="Y428" s="2"/>
      <c r="AB428" s="2"/>
      <c r="AC428" s="2"/>
      <c r="AD428" s="2"/>
      <c r="AE428" s="2"/>
      <c r="AF428" s="2"/>
      <c r="AG428" s="2"/>
      <c r="AH428" s="2"/>
    </row>
    <row r="429" spans="1:34" x14ac:dyDescent="0.25">
      <c r="A429" s="1" t="str">
        <f t="shared" si="6"/>
        <v/>
      </c>
      <c r="B429" s="2"/>
      <c r="C429" s="2"/>
      <c r="D429" s="2"/>
      <c r="E429" s="2"/>
      <c r="F429" s="2"/>
      <c r="G429" s="6"/>
      <c r="H429" s="2"/>
      <c r="I429" s="7"/>
      <c r="J429" s="8"/>
      <c r="Q429" s="2"/>
      <c r="R429" s="2" t="str">
        <f>IFERROR(IF(ISBLANK(Q429),"",INDEX([1]Gen_Vessels!$A$3:$C$500,MATCH(InspectionSite!$Q429,[1]Gen_Vessels!$C$3:$C$500,0),1)),"")</f>
        <v/>
      </c>
      <c r="S429" s="2"/>
      <c r="T429" s="2" t="str">
        <f>IFERROR(IF(ISBLANK(S429),"",INDEX([1]Gen_Vessels!$A$3:$C$500,MATCH(InspectionSite!$S429,[1]Gen_Vessels!$C$3:$C$500,0),1)),"")</f>
        <v/>
      </c>
      <c r="U429" s="2"/>
      <c r="V429" s="2"/>
      <c r="W429" s="2"/>
      <c r="X429" s="2"/>
      <c r="Y429" s="2"/>
      <c r="AB429" s="2"/>
      <c r="AC429" s="2"/>
      <c r="AD429" s="2"/>
      <c r="AE429" s="2"/>
      <c r="AF429" s="2"/>
      <c r="AG429" s="2"/>
      <c r="AH429" s="2"/>
    </row>
    <row r="430" spans="1:34" x14ac:dyDescent="0.25">
      <c r="A430" s="1" t="str">
        <f t="shared" si="6"/>
        <v/>
      </c>
      <c r="B430" s="2"/>
      <c r="C430" s="2"/>
      <c r="D430" s="2"/>
      <c r="E430" s="2"/>
      <c r="F430" s="2"/>
      <c r="G430" s="6"/>
      <c r="H430" s="2"/>
      <c r="I430" s="7"/>
      <c r="J430" s="8"/>
      <c r="Q430" s="2"/>
      <c r="R430" s="2" t="str">
        <f>IFERROR(IF(ISBLANK(Q430),"",INDEX([1]Gen_Vessels!$A$3:$C$500,MATCH(InspectionSite!$Q430,[1]Gen_Vessels!$C$3:$C$500,0),1)),"")</f>
        <v/>
      </c>
      <c r="S430" s="2"/>
      <c r="T430" s="2" t="str">
        <f>IFERROR(IF(ISBLANK(S430),"",INDEX([1]Gen_Vessels!$A$3:$C$500,MATCH(InspectionSite!$S430,[1]Gen_Vessels!$C$3:$C$500,0),1)),"")</f>
        <v/>
      </c>
      <c r="U430" s="2"/>
      <c r="V430" s="2"/>
      <c r="W430" s="2"/>
      <c r="X430" s="2"/>
      <c r="Y430" s="2"/>
      <c r="AB430" s="2"/>
      <c r="AC430" s="2"/>
      <c r="AD430" s="2"/>
      <c r="AE430" s="2"/>
      <c r="AF430" s="2"/>
      <c r="AG430" s="2"/>
      <c r="AH430" s="2"/>
    </row>
    <row r="431" spans="1:34" x14ac:dyDescent="0.25">
      <c r="A431" s="1" t="str">
        <f t="shared" si="6"/>
        <v/>
      </c>
      <c r="B431" s="2"/>
      <c r="C431" s="2"/>
      <c r="D431" s="2"/>
      <c r="E431" s="2"/>
      <c r="F431" s="2"/>
      <c r="G431" s="6"/>
      <c r="H431" s="2"/>
      <c r="I431" s="7"/>
      <c r="J431" s="8"/>
      <c r="Q431" s="2"/>
      <c r="R431" s="2" t="str">
        <f>IFERROR(IF(ISBLANK(Q431),"",INDEX([1]Gen_Vessels!$A$3:$C$500,MATCH(InspectionSite!$Q431,[1]Gen_Vessels!$C$3:$C$500,0),1)),"")</f>
        <v/>
      </c>
      <c r="S431" s="2"/>
      <c r="T431" s="2" t="str">
        <f>IFERROR(IF(ISBLANK(S431),"",INDEX([1]Gen_Vessels!$A$3:$C$500,MATCH(InspectionSite!$S431,[1]Gen_Vessels!$C$3:$C$500,0),1)),"")</f>
        <v/>
      </c>
      <c r="U431" s="2"/>
      <c r="V431" s="2"/>
      <c r="W431" s="2"/>
      <c r="X431" s="2"/>
      <c r="Y431" s="2"/>
      <c r="AB431" s="2"/>
      <c r="AC431" s="2"/>
      <c r="AD431" s="2"/>
      <c r="AE431" s="2"/>
      <c r="AF431" s="2"/>
      <c r="AG431" s="2"/>
      <c r="AH431" s="2"/>
    </row>
    <row r="432" spans="1:34" x14ac:dyDescent="0.25">
      <c r="A432" s="1" t="str">
        <f t="shared" si="6"/>
        <v/>
      </c>
      <c r="B432" s="2"/>
      <c r="C432" s="2"/>
      <c r="D432" s="2"/>
      <c r="E432" s="2"/>
      <c r="F432" s="2"/>
      <c r="G432" s="6"/>
      <c r="H432" s="2"/>
      <c r="I432" s="7"/>
      <c r="J432" s="8"/>
      <c r="Q432" s="2"/>
      <c r="R432" s="2" t="str">
        <f>IFERROR(IF(ISBLANK(Q432),"",INDEX([1]Gen_Vessels!$A$3:$C$500,MATCH(InspectionSite!$Q432,[1]Gen_Vessels!$C$3:$C$500,0),1)),"")</f>
        <v/>
      </c>
      <c r="S432" s="2"/>
      <c r="T432" s="2" t="str">
        <f>IFERROR(IF(ISBLANK(S432),"",INDEX([1]Gen_Vessels!$A$3:$C$500,MATCH(InspectionSite!$S432,[1]Gen_Vessels!$C$3:$C$500,0),1)),"")</f>
        <v/>
      </c>
      <c r="U432" s="2"/>
      <c r="V432" s="2"/>
      <c r="W432" s="2"/>
      <c r="X432" s="2"/>
      <c r="Y432" s="2"/>
      <c r="AB432" s="2"/>
      <c r="AC432" s="2"/>
      <c r="AD432" s="2"/>
      <c r="AE432" s="2"/>
      <c r="AF432" s="2"/>
      <c r="AG432" s="2"/>
      <c r="AH432" s="2"/>
    </row>
    <row r="433" spans="1:34" x14ac:dyDescent="0.25">
      <c r="A433" s="1" t="str">
        <f t="shared" si="6"/>
        <v/>
      </c>
      <c r="B433" s="2"/>
      <c r="C433" s="2"/>
      <c r="D433" s="2"/>
      <c r="E433" s="2"/>
      <c r="F433" s="2"/>
      <c r="G433" s="6"/>
      <c r="H433" s="2"/>
      <c r="I433" s="7"/>
      <c r="J433" s="8"/>
      <c r="Q433" s="2"/>
      <c r="R433" s="2" t="str">
        <f>IFERROR(IF(ISBLANK(Q433),"",INDEX([1]Gen_Vessels!$A$3:$C$500,MATCH(InspectionSite!$Q433,[1]Gen_Vessels!$C$3:$C$500,0),1)),"")</f>
        <v/>
      </c>
      <c r="S433" s="2"/>
      <c r="T433" s="2" t="str">
        <f>IFERROR(IF(ISBLANK(S433),"",INDEX([1]Gen_Vessels!$A$3:$C$500,MATCH(InspectionSite!$S433,[1]Gen_Vessels!$C$3:$C$500,0),1)),"")</f>
        <v/>
      </c>
      <c r="U433" s="2"/>
      <c r="V433" s="2"/>
      <c r="W433" s="2"/>
      <c r="X433" s="2"/>
      <c r="Y433" s="2"/>
      <c r="AB433" s="2"/>
      <c r="AC433" s="2"/>
      <c r="AD433" s="2"/>
      <c r="AE433" s="2"/>
      <c r="AF433" s="2"/>
      <c r="AG433" s="2"/>
      <c r="AH433" s="2"/>
    </row>
    <row r="434" spans="1:34" x14ac:dyDescent="0.25">
      <c r="A434" s="1" t="str">
        <f t="shared" si="6"/>
        <v/>
      </c>
      <c r="B434" s="2"/>
      <c r="C434" s="2"/>
      <c r="D434" s="2"/>
      <c r="E434" s="2"/>
      <c r="F434" s="2"/>
      <c r="G434" s="6"/>
      <c r="H434" s="2"/>
      <c r="I434" s="7"/>
      <c r="J434" s="8"/>
      <c r="Q434" s="2"/>
      <c r="R434" s="2" t="str">
        <f>IFERROR(IF(ISBLANK(Q434),"",INDEX([1]Gen_Vessels!$A$3:$C$500,MATCH(InspectionSite!$Q434,[1]Gen_Vessels!$C$3:$C$500,0),1)),"")</f>
        <v/>
      </c>
      <c r="S434" s="2"/>
      <c r="T434" s="2" t="str">
        <f>IFERROR(IF(ISBLANK(S434),"",INDEX([1]Gen_Vessels!$A$3:$C$500,MATCH(InspectionSite!$S434,[1]Gen_Vessels!$C$3:$C$500,0),1)),"")</f>
        <v/>
      </c>
      <c r="U434" s="2"/>
      <c r="V434" s="2"/>
      <c r="W434" s="2"/>
      <c r="X434" s="2"/>
      <c r="Y434" s="2"/>
      <c r="AB434" s="2"/>
      <c r="AC434" s="2"/>
      <c r="AD434" s="2"/>
      <c r="AE434" s="2"/>
      <c r="AF434" s="2"/>
      <c r="AG434" s="2"/>
      <c r="AH434" s="2"/>
    </row>
    <row r="435" spans="1:34" x14ac:dyDescent="0.25">
      <c r="A435" s="1" t="str">
        <f t="shared" si="6"/>
        <v/>
      </c>
      <c r="B435" s="2"/>
      <c r="C435" s="2"/>
      <c r="D435" s="2"/>
      <c r="E435" s="2"/>
      <c r="F435" s="2"/>
      <c r="G435" s="6"/>
      <c r="H435" s="2"/>
      <c r="I435" s="7"/>
      <c r="J435" s="8"/>
      <c r="Q435" s="2"/>
      <c r="R435" s="2" t="str">
        <f>IFERROR(IF(ISBLANK(Q435),"",INDEX([1]Gen_Vessels!$A$3:$C$500,MATCH(InspectionSite!$Q435,[1]Gen_Vessels!$C$3:$C$500,0),1)),"")</f>
        <v/>
      </c>
      <c r="S435" s="2"/>
      <c r="T435" s="2" t="str">
        <f>IFERROR(IF(ISBLANK(S435),"",INDEX([1]Gen_Vessels!$A$3:$C$500,MATCH(InspectionSite!$S435,[1]Gen_Vessels!$C$3:$C$500,0),1)),"")</f>
        <v/>
      </c>
      <c r="U435" s="2"/>
      <c r="V435" s="2"/>
      <c r="W435" s="2"/>
      <c r="X435" s="2"/>
      <c r="Y435" s="2"/>
      <c r="AB435" s="2"/>
      <c r="AC435" s="2"/>
      <c r="AD435" s="2"/>
      <c r="AE435" s="2"/>
      <c r="AF435" s="2"/>
      <c r="AG435" s="2"/>
      <c r="AH435" s="2"/>
    </row>
    <row r="436" spans="1:34" x14ac:dyDescent="0.25">
      <c r="A436" s="1" t="str">
        <f t="shared" si="6"/>
        <v/>
      </c>
      <c r="B436" s="2"/>
      <c r="C436" s="2"/>
      <c r="D436" s="2"/>
      <c r="E436" s="2"/>
      <c r="F436" s="2"/>
      <c r="G436" s="6"/>
      <c r="H436" s="2"/>
      <c r="I436" s="7"/>
      <c r="J436" s="8"/>
      <c r="Q436" s="2"/>
      <c r="R436" s="2" t="str">
        <f>IFERROR(IF(ISBLANK(Q436),"",INDEX([1]Gen_Vessels!$A$3:$C$500,MATCH(InspectionSite!$Q436,[1]Gen_Vessels!$C$3:$C$500,0),1)),"")</f>
        <v/>
      </c>
      <c r="S436" s="2"/>
      <c r="T436" s="2" t="str">
        <f>IFERROR(IF(ISBLANK(S436),"",INDEX([1]Gen_Vessels!$A$3:$C$500,MATCH(InspectionSite!$S436,[1]Gen_Vessels!$C$3:$C$500,0),1)),"")</f>
        <v/>
      </c>
      <c r="U436" s="2"/>
      <c r="V436" s="2"/>
      <c r="W436" s="2"/>
      <c r="X436" s="2"/>
      <c r="Y436" s="2"/>
      <c r="AB436" s="2"/>
      <c r="AC436" s="2"/>
      <c r="AD436" s="2"/>
      <c r="AE436" s="2"/>
      <c r="AF436" s="2"/>
      <c r="AG436" s="2"/>
      <c r="AH436" s="2"/>
    </row>
    <row r="437" spans="1:34" x14ac:dyDescent="0.25">
      <c r="A437" s="1" t="str">
        <f t="shared" si="6"/>
        <v/>
      </c>
      <c r="B437" s="2"/>
      <c r="C437" s="2"/>
      <c r="D437" s="2"/>
      <c r="E437" s="2"/>
      <c r="F437" s="2"/>
      <c r="G437" s="6"/>
      <c r="H437" s="2"/>
      <c r="I437" s="7"/>
      <c r="J437" s="8"/>
      <c r="Q437" s="2"/>
      <c r="R437" s="2" t="str">
        <f>IFERROR(IF(ISBLANK(Q437),"",INDEX([1]Gen_Vessels!$A$3:$C$500,MATCH(InspectionSite!$Q437,[1]Gen_Vessels!$C$3:$C$500,0),1)),"")</f>
        <v/>
      </c>
      <c r="S437" s="2"/>
      <c r="T437" s="2" t="str">
        <f>IFERROR(IF(ISBLANK(S437),"",INDEX([1]Gen_Vessels!$A$3:$C$500,MATCH(InspectionSite!$S437,[1]Gen_Vessels!$C$3:$C$500,0),1)),"")</f>
        <v/>
      </c>
      <c r="U437" s="2"/>
      <c r="V437" s="2"/>
      <c r="W437" s="2"/>
      <c r="X437" s="2"/>
      <c r="Y437" s="2"/>
      <c r="AB437" s="2"/>
      <c r="AC437" s="2"/>
      <c r="AD437" s="2"/>
      <c r="AE437" s="2"/>
      <c r="AF437" s="2"/>
      <c r="AG437" s="2"/>
      <c r="AH437" s="2"/>
    </row>
    <row r="438" spans="1:34" x14ac:dyDescent="0.25">
      <c r="A438" s="1" t="str">
        <f t="shared" si="6"/>
        <v/>
      </c>
      <c r="B438" s="2"/>
      <c r="C438" s="2"/>
      <c r="D438" s="2"/>
      <c r="E438" s="2"/>
      <c r="F438" s="2"/>
      <c r="G438" s="6"/>
      <c r="H438" s="2"/>
      <c r="I438" s="7"/>
      <c r="J438" s="8"/>
      <c r="Q438" s="2"/>
      <c r="R438" s="2" t="str">
        <f>IFERROR(IF(ISBLANK(Q438),"",INDEX([1]Gen_Vessels!$A$3:$C$500,MATCH(InspectionSite!$Q438,[1]Gen_Vessels!$C$3:$C$500,0),1)),"")</f>
        <v/>
      </c>
      <c r="S438" s="2"/>
      <c r="T438" s="2" t="str">
        <f>IFERROR(IF(ISBLANK(S438),"",INDEX([1]Gen_Vessels!$A$3:$C$500,MATCH(InspectionSite!$S438,[1]Gen_Vessels!$C$3:$C$500,0),1)),"")</f>
        <v/>
      </c>
      <c r="U438" s="2"/>
      <c r="V438" s="2"/>
      <c r="W438" s="2"/>
      <c r="X438" s="2"/>
      <c r="Y438" s="2"/>
      <c r="AB438" s="2"/>
      <c r="AC438" s="2"/>
      <c r="AD438" s="2"/>
      <c r="AE438" s="2"/>
      <c r="AF438" s="2"/>
      <c r="AG438" s="2"/>
      <c r="AH438" s="2"/>
    </row>
    <row r="439" spans="1:34" x14ac:dyDescent="0.25">
      <c r="A439" s="1" t="str">
        <f t="shared" si="6"/>
        <v/>
      </c>
      <c r="B439" s="2"/>
      <c r="C439" s="2"/>
      <c r="D439" s="2"/>
      <c r="E439" s="2"/>
      <c r="F439" s="2"/>
      <c r="G439" s="6"/>
      <c r="H439" s="2"/>
      <c r="I439" s="7"/>
      <c r="J439" s="8"/>
      <c r="Q439" s="2"/>
      <c r="R439" s="2" t="str">
        <f>IFERROR(IF(ISBLANK(Q439),"",INDEX([1]Gen_Vessels!$A$3:$C$500,MATCH(InspectionSite!$Q439,[1]Gen_Vessels!$C$3:$C$500,0),1)),"")</f>
        <v/>
      </c>
      <c r="S439" s="2"/>
      <c r="T439" s="2" t="str">
        <f>IFERROR(IF(ISBLANK(S439),"",INDEX([1]Gen_Vessels!$A$3:$C$500,MATCH(InspectionSite!$S439,[1]Gen_Vessels!$C$3:$C$500,0),1)),"")</f>
        <v/>
      </c>
      <c r="U439" s="2"/>
      <c r="V439" s="2"/>
      <c r="W439" s="2"/>
      <c r="X439" s="2"/>
      <c r="Y439" s="2"/>
      <c r="AB439" s="2"/>
      <c r="AC439" s="2"/>
      <c r="AD439" s="2"/>
      <c r="AE439" s="2"/>
      <c r="AF439" s="2"/>
      <c r="AG439" s="2"/>
      <c r="AH439" s="2"/>
    </row>
    <row r="440" spans="1:34" x14ac:dyDescent="0.25">
      <c r="A440" s="1" t="str">
        <f t="shared" si="6"/>
        <v/>
      </c>
      <c r="B440" s="2"/>
      <c r="C440" s="2"/>
      <c r="D440" s="2"/>
      <c r="E440" s="2"/>
      <c r="F440" s="2"/>
      <c r="G440" s="6"/>
      <c r="H440" s="2"/>
      <c r="I440" s="7"/>
      <c r="J440" s="8"/>
      <c r="Q440" s="2"/>
      <c r="R440" s="2" t="str">
        <f>IFERROR(IF(ISBLANK(Q440),"",INDEX([1]Gen_Vessels!$A$3:$C$500,MATCH(InspectionSite!$Q440,[1]Gen_Vessels!$C$3:$C$500,0),1)),"")</f>
        <v/>
      </c>
      <c r="S440" s="2"/>
      <c r="T440" s="2" t="str">
        <f>IFERROR(IF(ISBLANK(S440),"",INDEX([1]Gen_Vessels!$A$3:$C$500,MATCH(InspectionSite!$S440,[1]Gen_Vessels!$C$3:$C$500,0),1)),"")</f>
        <v/>
      </c>
      <c r="U440" s="2"/>
      <c r="V440" s="2"/>
      <c r="W440" s="2"/>
      <c r="X440" s="2"/>
      <c r="Y440" s="2"/>
      <c r="AB440" s="2"/>
      <c r="AC440" s="2"/>
      <c r="AD440" s="2"/>
      <c r="AE440" s="2"/>
      <c r="AF440" s="2"/>
      <c r="AG440" s="2"/>
      <c r="AH440" s="2"/>
    </row>
    <row r="441" spans="1:34" x14ac:dyDescent="0.25">
      <c r="A441" s="1" t="str">
        <f t="shared" si="6"/>
        <v/>
      </c>
      <c r="B441" s="2"/>
      <c r="C441" s="2"/>
      <c r="D441" s="2"/>
      <c r="E441" s="2"/>
      <c r="F441" s="2"/>
      <c r="G441" s="6"/>
      <c r="H441" s="2"/>
      <c r="I441" s="7"/>
      <c r="J441" s="8"/>
      <c r="Q441" s="2"/>
      <c r="R441" s="2" t="str">
        <f>IFERROR(IF(ISBLANK(Q441),"",INDEX([1]Gen_Vessels!$A$3:$C$500,MATCH(InspectionSite!$Q441,[1]Gen_Vessels!$C$3:$C$500,0),1)),"")</f>
        <v/>
      </c>
      <c r="S441" s="2"/>
      <c r="T441" s="2" t="str">
        <f>IFERROR(IF(ISBLANK(S441),"",INDEX([1]Gen_Vessels!$A$3:$C$500,MATCH(InspectionSite!$S441,[1]Gen_Vessels!$C$3:$C$500,0),1)),"")</f>
        <v/>
      </c>
      <c r="U441" s="2"/>
      <c r="V441" s="2"/>
      <c r="W441" s="2"/>
      <c r="X441" s="2"/>
      <c r="Y441" s="2"/>
      <c r="AB441" s="2"/>
      <c r="AC441" s="2"/>
      <c r="AD441" s="2"/>
      <c r="AE441" s="2"/>
      <c r="AF441" s="2"/>
      <c r="AG441" s="2"/>
      <c r="AH441" s="2"/>
    </row>
    <row r="442" spans="1:34" x14ac:dyDescent="0.25">
      <c r="A442" s="1" t="str">
        <f t="shared" si="6"/>
        <v/>
      </c>
      <c r="B442" s="2"/>
      <c r="C442" s="2"/>
      <c r="D442" s="2"/>
      <c r="E442" s="2"/>
      <c r="F442" s="2"/>
      <c r="G442" s="6"/>
      <c r="H442" s="2"/>
      <c r="I442" s="7"/>
      <c r="J442" s="8"/>
      <c r="Q442" s="2"/>
      <c r="R442" s="2" t="str">
        <f>IFERROR(IF(ISBLANK(Q442),"",INDEX([1]Gen_Vessels!$A$3:$C$500,MATCH(InspectionSite!$Q442,[1]Gen_Vessels!$C$3:$C$500,0),1)),"")</f>
        <v/>
      </c>
      <c r="S442" s="2"/>
      <c r="T442" s="2" t="str">
        <f>IFERROR(IF(ISBLANK(S442),"",INDEX([1]Gen_Vessels!$A$3:$C$500,MATCH(InspectionSite!$S442,[1]Gen_Vessels!$C$3:$C$500,0),1)),"")</f>
        <v/>
      </c>
      <c r="U442" s="2"/>
      <c r="V442" s="2"/>
      <c r="W442" s="2"/>
      <c r="X442" s="2"/>
      <c r="Y442" s="2"/>
      <c r="AB442" s="2"/>
      <c r="AC442" s="2"/>
      <c r="AD442" s="2"/>
      <c r="AE442" s="2"/>
      <c r="AF442" s="2"/>
      <c r="AG442" s="2"/>
      <c r="AH442" s="2"/>
    </row>
    <row r="443" spans="1:34" x14ac:dyDescent="0.25">
      <c r="A443" s="1" t="str">
        <f t="shared" si="6"/>
        <v/>
      </c>
      <c r="B443" s="2"/>
      <c r="C443" s="2"/>
      <c r="D443" s="2"/>
      <c r="E443" s="2"/>
      <c r="F443" s="2"/>
      <c r="G443" s="6"/>
      <c r="H443" s="2"/>
      <c r="I443" s="7"/>
      <c r="J443" s="8"/>
      <c r="Q443" s="2"/>
      <c r="R443" s="2" t="str">
        <f>IFERROR(IF(ISBLANK(Q443),"",INDEX([1]Gen_Vessels!$A$3:$C$500,MATCH(InspectionSite!$Q443,[1]Gen_Vessels!$C$3:$C$500,0),1)),"")</f>
        <v/>
      </c>
      <c r="S443" s="2"/>
      <c r="T443" s="2" t="str">
        <f>IFERROR(IF(ISBLANK(S443),"",INDEX([1]Gen_Vessels!$A$3:$C$500,MATCH(InspectionSite!$S443,[1]Gen_Vessels!$C$3:$C$500,0),1)),"")</f>
        <v/>
      </c>
      <c r="U443" s="2"/>
      <c r="V443" s="2"/>
      <c r="W443" s="2"/>
      <c r="X443" s="2"/>
      <c r="Y443" s="2"/>
      <c r="AB443" s="2"/>
      <c r="AC443" s="2"/>
      <c r="AD443" s="2"/>
      <c r="AE443" s="2"/>
      <c r="AF443" s="2"/>
      <c r="AG443" s="2"/>
      <c r="AH443" s="2"/>
    </row>
    <row r="444" spans="1:34" x14ac:dyDescent="0.25">
      <c r="A444" s="1" t="str">
        <f t="shared" si="6"/>
        <v/>
      </c>
      <c r="B444" s="2"/>
      <c r="C444" s="2"/>
      <c r="D444" s="2"/>
      <c r="E444" s="2"/>
      <c r="F444" s="2"/>
      <c r="G444" s="6"/>
      <c r="H444" s="2"/>
      <c r="I444" s="7"/>
      <c r="J444" s="8"/>
      <c r="Q444" s="2"/>
      <c r="R444" s="2" t="str">
        <f>IFERROR(IF(ISBLANK(Q444),"",INDEX([1]Gen_Vessels!$A$3:$C$500,MATCH(InspectionSite!$Q444,[1]Gen_Vessels!$C$3:$C$500,0),1)),"")</f>
        <v/>
      </c>
      <c r="S444" s="2"/>
      <c r="T444" s="2" t="str">
        <f>IFERROR(IF(ISBLANK(S444),"",INDEX([1]Gen_Vessels!$A$3:$C$500,MATCH(InspectionSite!$S444,[1]Gen_Vessels!$C$3:$C$500,0),1)),"")</f>
        <v/>
      </c>
      <c r="U444" s="2"/>
      <c r="V444" s="2"/>
      <c r="W444" s="2"/>
      <c r="X444" s="2"/>
      <c r="Y444" s="2"/>
      <c r="AB444" s="2"/>
      <c r="AC444" s="2"/>
      <c r="AD444" s="2"/>
      <c r="AE444" s="2"/>
      <c r="AF444" s="2"/>
      <c r="AG444" s="2"/>
      <c r="AH444" s="2"/>
    </row>
    <row r="445" spans="1:34" x14ac:dyDescent="0.25">
      <c r="A445" s="1" t="str">
        <f t="shared" si="6"/>
        <v/>
      </c>
      <c r="B445" s="2"/>
      <c r="C445" s="2"/>
      <c r="D445" s="2"/>
      <c r="E445" s="2"/>
      <c r="F445" s="2"/>
      <c r="G445" s="6"/>
      <c r="H445" s="2"/>
      <c r="I445" s="7"/>
      <c r="J445" s="8"/>
      <c r="Q445" s="2"/>
      <c r="R445" s="2" t="str">
        <f>IFERROR(IF(ISBLANK(Q445),"",INDEX([1]Gen_Vessels!$A$3:$C$500,MATCH(InspectionSite!$Q445,[1]Gen_Vessels!$C$3:$C$500,0),1)),"")</f>
        <v/>
      </c>
      <c r="S445" s="2"/>
      <c r="T445" s="2" t="str">
        <f>IFERROR(IF(ISBLANK(S445),"",INDEX([1]Gen_Vessels!$A$3:$C$500,MATCH(InspectionSite!$S445,[1]Gen_Vessels!$C$3:$C$500,0),1)),"")</f>
        <v/>
      </c>
      <c r="U445" s="2"/>
      <c r="V445" s="2"/>
      <c r="W445" s="2"/>
      <c r="X445" s="2"/>
      <c r="Y445" s="2"/>
      <c r="AB445" s="2"/>
      <c r="AC445" s="2"/>
      <c r="AD445" s="2"/>
      <c r="AE445" s="2"/>
      <c r="AF445" s="2"/>
      <c r="AG445" s="2"/>
      <c r="AH445" s="2"/>
    </row>
    <row r="446" spans="1:34" x14ac:dyDescent="0.25">
      <c r="A446" s="1" t="str">
        <f t="shared" si="6"/>
        <v/>
      </c>
      <c r="B446" s="2"/>
      <c r="C446" s="2"/>
      <c r="D446" s="2"/>
      <c r="E446" s="2"/>
      <c r="F446" s="2"/>
      <c r="G446" s="6"/>
      <c r="H446" s="2"/>
      <c r="I446" s="7"/>
      <c r="J446" s="8"/>
      <c r="Q446" s="2"/>
      <c r="R446" s="2" t="str">
        <f>IFERROR(IF(ISBLANK(Q446),"",INDEX([1]Gen_Vessels!$A$3:$C$500,MATCH(InspectionSite!$Q446,[1]Gen_Vessels!$C$3:$C$500,0),1)),"")</f>
        <v/>
      </c>
      <c r="S446" s="2"/>
      <c r="T446" s="2" t="str">
        <f>IFERROR(IF(ISBLANK(S446),"",INDEX([1]Gen_Vessels!$A$3:$C$500,MATCH(InspectionSite!$S446,[1]Gen_Vessels!$C$3:$C$500,0),1)),"")</f>
        <v/>
      </c>
      <c r="U446" s="2"/>
      <c r="V446" s="2"/>
      <c r="W446" s="2"/>
      <c r="X446" s="2"/>
      <c r="Y446" s="2"/>
      <c r="AB446" s="2"/>
      <c r="AC446" s="2"/>
      <c r="AD446" s="2"/>
      <c r="AE446" s="2"/>
      <c r="AF446" s="2"/>
      <c r="AG446" s="2"/>
      <c r="AH446" s="2"/>
    </row>
    <row r="447" spans="1:34" x14ac:dyDescent="0.25">
      <c r="A447" s="1" t="str">
        <f t="shared" si="6"/>
        <v/>
      </c>
      <c r="B447" s="2"/>
      <c r="C447" s="2"/>
      <c r="D447" s="2"/>
      <c r="E447" s="2"/>
      <c r="F447" s="2"/>
      <c r="G447" s="6"/>
      <c r="H447" s="2"/>
      <c r="I447" s="7"/>
      <c r="J447" s="8"/>
      <c r="Q447" s="2"/>
      <c r="R447" s="2" t="str">
        <f>IFERROR(IF(ISBLANK(Q447),"",INDEX([1]Gen_Vessels!$A$3:$C$500,MATCH(InspectionSite!$Q447,[1]Gen_Vessels!$C$3:$C$500,0),1)),"")</f>
        <v/>
      </c>
      <c r="S447" s="2"/>
      <c r="T447" s="2" t="str">
        <f>IFERROR(IF(ISBLANK(S447),"",INDEX([1]Gen_Vessels!$A$3:$C$500,MATCH(InspectionSite!$S447,[1]Gen_Vessels!$C$3:$C$500,0),1)),"")</f>
        <v/>
      </c>
      <c r="U447" s="2"/>
      <c r="V447" s="2"/>
      <c r="W447" s="2"/>
      <c r="X447" s="2"/>
      <c r="Y447" s="2"/>
      <c r="AB447" s="2"/>
      <c r="AC447" s="2"/>
      <c r="AD447" s="2"/>
      <c r="AE447" s="2"/>
      <c r="AF447" s="2"/>
      <c r="AG447" s="2"/>
      <c r="AH447" s="2"/>
    </row>
    <row r="448" spans="1:34" x14ac:dyDescent="0.25">
      <c r="A448" s="1" t="str">
        <f t="shared" si="6"/>
        <v/>
      </c>
      <c r="B448" s="2"/>
      <c r="C448" s="2"/>
      <c r="D448" s="2"/>
      <c r="E448" s="2"/>
      <c r="F448" s="2"/>
      <c r="G448" s="6"/>
      <c r="H448" s="2"/>
      <c r="I448" s="7"/>
      <c r="J448" s="8"/>
      <c r="Q448" s="2"/>
      <c r="R448" s="2" t="str">
        <f>IFERROR(IF(ISBLANK(Q448),"",INDEX([1]Gen_Vessels!$A$3:$C$500,MATCH(InspectionSite!$Q448,[1]Gen_Vessels!$C$3:$C$500,0),1)),"")</f>
        <v/>
      </c>
      <c r="S448" s="2"/>
      <c r="T448" s="2" t="str">
        <f>IFERROR(IF(ISBLANK(S448),"",INDEX([1]Gen_Vessels!$A$3:$C$500,MATCH(InspectionSite!$S448,[1]Gen_Vessels!$C$3:$C$500,0),1)),"")</f>
        <v/>
      </c>
      <c r="U448" s="2"/>
      <c r="V448" s="2"/>
      <c r="W448" s="2"/>
      <c r="X448" s="2"/>
      <c r="Y448" s="2"/>
      <c r="AB448" s="2"/>
      <c r="AC448" s="2"/>
      <c r="AD448" s="2"/>
      <c r="AE448" s="2"/>
      <c r="AF448" s="2"/>
      <c r="AG448" s="2"/>
      <c r="AH448" s="2"/>
    </row>
    <row r="449" spans="1:34" x14ac:dyDescent="0.25">
      <c r="A449" s="1" t="str">
        <f t="shared" si="6"/>
        <v/>
      </c>
      <c r="B449" s="2"/>
      <c r="C449" s="2"/>
      <c r="D449" s="2"/>
      <c r="E449" s="2"/>
      <c r="F449" s="2"/>
      <c r="G449" s="6"/>
      <c r="H449" s="2"/>
      <c r="I449" s="7"/>
      <c r="J449" s="8"/>
      <c r="Q449" s="2"/>
      <c r="R449" s="2" t="str">
        <f>IFERROR(IF(ISBLANK(Q449),"",INDEX([1]Gen_Vessels!$A$3:$C$500,MATCH(InspectionSite!$Q449,[1]Gen_Vessels!$C$3:$C$500,0),1)),"")</f>
        <v/>
      </c>
      <c r="S449" s="2"/>
      <c r="T449" s="2" t="str">
        <f>IFERROR(IF(ISBLANK(S449),"",INDEX([1]Gen_Vessels!$A$3:$C$500,MATCH(InspectionSite!$S449,[1]Gen_Vessels!$C$3:$C$500,0),1)),"")</f>
        <v/>
      </c>
      <c r="U449" s="2"/>
      <c r="V449" s="2"/>
      <c r="W449" s="2"/>
      <c r="X449" s="2"/>
      <c r="Y449" s="2"/>
      <c r="AB449" s="2"/>
      <c r="AC449" s="2"/>
      <c r="AD449" s="2"/>
      <c r="AE449" s="2"/>
      <c r="AF449" s="2"/>
      <c r="AG449" s="2"/>
      <c r="AH449" s="2"/>
    </row>
    <row r="450" spans="1:34" x14ac:dyDescent="0.25">
      <c r="A450" s="1" t="str">
        <f t="shared" si="6"/>
        <v/>
      </c>
      <c r="B450" s="2"/>
      <c r="C450" s="2"/>
      <c r="D450" s="2"/>
      <c r="E450" s="2"/>
      <c r="F450" s="2"/>
      <c r="G450" s="6"/>
      <c r="H450" s="2"/>
      <c r="I450" s="7"/>
      <c r="J450" s="8"/>
      <c r="Q450" s="2"/>
      <c r="R450" s="2" t="str">
        <f>IFERROR(IF(ISBLANK(Q450),"",INDEX([1]Gen_Vessels!$A$3:$C$500,MATCH(InspectionSite!$Q450,[1]Gen_Vessels!$C$3:$C$500,0),1)),"")</f>
        <v/>
      </c>
      <c r="S450" s="2"/>
      <c r="T450" s="2" t="str">
        <f>IFERROR(IF(ISBLANK(S450),"",INDEX([1]Gen_Vessels!$A$3:$C$500,MATCH(InspectionSite!$S450,[1]Gen_Vessels!$C$3:$C$500,0),1)),"")</f>
        <v/>
      </c>
      <c r="U450" s="2"/>
      <c r="V450" s="2"/>
      <c r="W450" s="2"/>
      <c r="X450" s="2"/>
      <c r="Y450" s="2"/>
      <c r="AB450" s="2"/>
      <c r="AC450" s="2"/>
      <c r="AD450" s="2"/>
      <c r="AE450" s="2"/>
      <c r="AF450" s="2"/>
      <c r="AG450" s="2"/>
      <c r="AH450" s="2"/>
    </row>
    <row r="451" spans="1:34" x14ac:dyDescent="0.25">
      <c r="A451" s="1" t="str">
        <f t="shared" ref="A451:A490" si="7">IF(ISBLANK($B451)=FALSE,IF(AND($G451&gt;0,$H451&lt;=0,$I451&lt;=0),_xlfn.CONCAT("ofw_",$B451),IF(AND($G451&lt;=0,$H451&gt;0,$I451&lt;=0),_xlfn.CONCAT("owc_",$B451),IF(AND($G451&lt;=0,$H451&lt;=0,$I451&gt;0),_xlfn.CONCAT("opv_",$B451),_xlfn.CONCAT("oce_",$B451)))),"")</f>
        <v/>
      </c>
      <c r="B451" s="2"/>
      <c r="C451" s="2"/>
      <c r="D451" s="2"/>
      <c r="E451" s="2"/>
      <c r="F451" s="2"/>
      <c r="G451" s="6"/>
      <c r="H451" s="2"/>
      <c r="I451" s="7"/>
      <c r="J451" s="8"/>
      <c r="Q451" s="2"/>
      <c r="R451" s="2" t="str">
        <f>IFERROR(IF(ISBLANK(Q451),"",INDEX([1]Gen_Vessels!$A$3:$C$500,MATCH(InspectionSite!$Q451,[1]Gen_Vessels!$C$3:$C$500,0),1)),"")</f>
        <v/>
      </c>
      <c r="S451" s="2"/>
      <c r="T451" s="2" t="str">
        <f>IFERROR(IF(ISBLANK(S451),"",INDEX([1]Gen_Vessels!$A$3:$C$500,MATCH(InspectionSite!$S451,[1]Gen_Vessels!$C$3:$C$500,0),1)),"")</f>
        <v/>
      </c>
      <c r="U451" s="2"/>
      <c r="V451" s="2"/>
      <c r="W451" s="2"/>
      <c r="X451" s="2"/>
      <c r="Y451" s="2"/>
      <c r="AB451" s="2"/>
      <c r="AC451" s="2"/>
      <c r="AD451" s="2"/>
      <c r="AE451" s="2"/>
      <c r="AF451" s="2"/>
      <c r="AG451" s="2"/>
      <c r="AH451" s="2"/>
    </row>
    <row r="452" spans="1:34" x14ac:dyDescent="0.25">
      <c r="A452" s="1" t="str">
        <f t="shared" si="7"/>
        <v/>
      </c>
      <c r="B452" s="2"/>
      <c r="C452" s="2"/>
      <c r="D452" s="2"/>
      <c r="E452" s="2"/>
      <c r="F452" s="2"/>
      <c r="G452" s="6"/>
      <c r="H452" s="2"/>
      <c r="I452" s="7"/>
      <c r="J452" s="8"/>
      <c r="Q452" s="2"/>
      <c r="R452" s="2" t="str">
        <f>IFERROR(IF(ISBLANK(Q452),"",INDEX([1]Gen_Vessels!$A$3:$C$500,MATCH(InspectionSite!$Q452,[1]Gen_Vessels!$C$3:$C$500,0),1)),"")</f>
        <v/>
      </c>
      <c r="S452" s="2"/>
      <c r="T452" s="2" t="str">
        <f>IFERROR(IF(ISBLANK(S452),"",INDEX([1]Gen_Vessels!$A$3:$C$500,MATCH(InspectionSite!$S452,[1]Gen_Vessels!$C$3:$C$500,0),1)),"")</f>
        <v/>
      </c>
      <c r="U452" s="2"/>
      <c r="V452" s="2"/>
      <c r="W452" s="2"/>
      <c r="X452" s="2"/>
      <c r="Y452" s="2"/>
      <c r="AB452" s="2"/>
      <c r="AC452" s="2"/>
      <c r="AD452" s="2"/>
      <c r="AE452" s="2"/>
      <c r="AF452" s="2"/>
      <c r="AG452" s="2"/>
      <c r="AH452" s="2"/>
    </row>
    <row r="453" spans="1:34" x14ac:dyDescent="0.25">
      <c r="A453" s="1" t="str">
        <f t="shared" si="7"/>
        <v/>
      </c>
      <c r="B453" s="2"/>
      <c r="C453" s="2"/>
      <c r="D453" s="2"/>
      <c r="E453" s="2"/>
      <c r="F453" s="2"/>
      <c r="G453" s="6"/>
      <c r="H453" s="2"/>
      <c r="I453" s="7"/>
      <c r="J453" s="8"/>
      <c r="Q453" s="2"/>
      <c r="R453" s="2" t="str">
        <f>IFERROR(IF(ISBLANK(Q453),"",INDEX([1]Gen_Vessels!$A$3:$C$500,MATCH(InspectionSite!$Q453,[1]Gen_Vessels!$C$3:$C$500,0),1)),"")</f>
        <v/>
      </c>
      <c r="S453" s="2"/>
      <c r="T453" s="2" t="str">
        <f>IFERROR(IF(ISBLANK(S453),"",INDEX([1]Gen_Vessels!$A$3:$C$500,MATCH(InspectionSite!$S453,[1]Gen_Vessels!$C$3:$C$500,0),1)),"")</f>
        <v/>
      </c>
      <c r="U453" s="2"/>
      <c r="V453" s="2"/>
      <c r="W453" s="2"/>
      <c r="X453" s="2"/>
      <c r="Y453" s="2"/>
      <c r="AB453" s="2"/>
      <c r="AC453" s="2"/>
      <c r="AD453" s="2"/>
      <c r="AE453" s="2"/>
      <c r="AF453" s="2"/>
      <c r="AG453" s="2"/>
      <c r="AH453" s="2"/>
    </row>
    <row r="454" spans="1:34" x14ac:dyDescent="0.25">
      <c r="A454" s="1" t="str">
        <f t="shared" si="7"/>
        <v/>
      </c>
      <c r="B454" s="2"/>
      <c r="C454" s="2"/>
      <c r="D454" s="2"/>
      <c r="E454" s="2"/>
      <c r="F454" s="2"/>
      <c r="G454" s="6"/>
      <c r="H454" s="2"/>
      <c r="I454" s="7"/>
      <c r="J454" s="8"/>
      <c r="Q454" s="2"/>
      <c r="R454" s="2" t="str">
        <f>IFERROR(IF(ISBLANK(Q454),"",INDEX([1]Gen_Vessels!$A$3:$C$500,MATCH(InspectionSite!$Q454,[1]Gen_Vessels!$C$3:$C$500,0),1)),"")</f>
        <v/>
      </c>
      <c r="S454" s="2"/>
      <c r="T454" s="2" t="str">
        <f>IFERROR(IF(ISBLANK(S454),"",INDEX([1]Gen_Vessels!$A$3:$C$500,MATCH(InspectionSite!$S454,[1]Gen_Vessels!$C$3:$C$500,0),1)),"")</f>
        <v/>
      </c>
      <c r="U454" s="2"/>
      <c r="V454" s="2"/>
      <c r="W454" s="2"/>
      <c r="X454" s="2"/>
      <c r="Y454" s="2"/>
      <c r="AB454" s="2"/>
      <c r="AC454" s="2"/>
      <c r="AD454" s="2"/>
      <c r="AE454" s="2"/>
      <c r="AF454" s="2"/>
      <c r="AG454" s="2"/>
      <c r="AH454" s="2"/>
    </row>
    <row r="455" spans="1:34" x14ac:dyDescent="0.25">
      <c r="A455" s="1" t="str">
        <f t="shared" si="7"/>
        <v/>
      </c>
      <c r="B455" s="2"/>
      <c r="C455" s="2"/>
      <c r="D455" s="2"/>
      <c r="E455" s="2"/>
      <c r="F455" s="2"/>
      <c r="G455" s="6"/>
      <c r="H455" s="2"/>
      <c r="I455" s="7"/>
      <c r="J455" s="8"/>
      <c r="Q455" s="2"/>
      <c r="R455" s="2" t="str">
        <f>IFERROR(IF(ISBLANK(Q455),"",INDEX([1]Gen_Vessels!$A$3:$C$500,MATCH(InspectionSite!$Q455,[1]Gen_Vessels!$C$3:$C$500,0),1)),"")</f>
        <v/>
      </c>
      <c r="S455" s="2"/>
      <c r="T455" s="2" t="str">
        <f>IFERROR(IF(ISBLANK(S455),"",INDEX([1]Gen_Vessels!$A$3:$C$500,MATCH(InspectionSite!$S455,[1]Gen_Vessels!$C$3:$C$500,0),1)),"")</f>
        <v/>
      </c>
      <c r="U455" s="2"/>
      <c r="V455" s="2"/>
      <c r="W455" s="2"/>
      <c r="X455" s="2"/>
      <c r="Y455" s="2"/>
      <c r="AB455" s="2"/>
      <c r="AC455" s="2"/>
      <c r="AD455" s="2"/>
      <c r="AE455" s="2"/>
      <c r="AF455" s="2"/>
      <c r="AG455" s="2"/>
      <c r="AH455" s="2"/>
    </row>
    <row r="456" spans="1:34" x14ac:dyDescent="0.25">
      <c r="A456" s="1" t="str">
        <f t="shared" si="7"/>
        <v/>
      </c>
      <c r="B456" s="2"/>
      <c r="C456" s="2"/>
      <c r="D456" s="2"/>
      <c r="E456" s="2"/>
      <c r="F456" s="2"/>
      <c r="G456" s="6"/>
      <c r="H456" s="2"/>
      <c r="I456" s="7"/>
      <c r="J456" s="8"/>
      <c r="Q456" s="2"/>
      <c r="R456" s="2" t="str">
        <f>IFERROR(IF(ISBLANK(Q456),"",INDEX([1]Gen_Vessels!$A$3:$C$500,MATCH(InspectionSite!$Q456,[1]Gen_Vessels!$C$3:$C$500,0),1)),"")</f>
        <v/>
      </c>
      <c r="S456" s="2"/>
      <c r="T456" s="2" t="str">
        <f>IFERROR(IF(ISBLANK(S456),"",INDEX([1]Gen_Vessels!$A$3:$C$500,MATCH(InspectionSite!$S456,[1]Gen_Vessels!$C$3:$C$500,0),1)),"")</f>
        <v/>
      </c>
      <c r="U456" s="2"/>
      <c r="V456" s="2"/>
      <c r="W456" s="2"/>
      <c r="X456" s="2"/>
      <c r="Y456" s="2"/>
      <c r="AB456" s="2"/>
      <c r="AC456" s="2"/>
      <c r="AD456" s="2"/>
      <c r="AE456" s="2"/>
      <c r="AF456" s="2"/>
      <c r="AG456" s="2"/>
      <c r="AH456" s="2"/>
    </row>
    <row r="457" spans="1:34" x14ac:dyDescent="0.25">
      <c r="A457" s="1" t="str">
        <f t="shared" si="7"/>
        <v/>
      </c>
      <c r="B457" s="2"/>
      <c r="C457" s="2"/>
      <c r="D457" s="2"/>
      <c r="E457" s="2"/>
      <c r="F457" s="2"/>
      <c r="G457" s="6"/>
      <c r="H457" s="2"/>
      <c r="I457" s="7"/>
      <c r="J457" s="8"/>
      <c r="Q457" s="2"/>
      <c r="R457" s="2" t="str">
        <f>IFERROR(IF(ISBLANK(Q457),"",INDEX([1]Gen_Vessels!$A$3:$C$500,MATCH(InspectionSite!$Q457,[1]Gen_Vessels!$C$3:$C$500,0),1)),"")</f>
        <v/>
      </c>
      <c r="S457" s="2"/>
      <c r="T457" s="2" t="str">
        <f>IFERROR(IF(ISBLANK(S457),"",INDEX([1]Gen_Vessels!$A$3:$C$500,MATCH(InspectionSite!$S457,[1]Gen_Vessels!$C$3:$C$500,0),1)),"")</f>
        <v/>
      </c>
      <c r="U457" s="2"/>
      <c r="V457" s="2"/>
      <c r="W457" s="2"/>
      <c r="X457" s="2"/>
      <c r="Y457" s="2"/>
      <c r="AB457" s="2"/>
      <c r="AC457" s="2"/>
      <c r="AD457" s="2"/>
      <c r="AE457" s="2"/>
      <c r="AF457" s="2"/>
      <c r="AG457" s="2"/>
      <c r="AH457" s="2"/>
    </row>
    <row r="458" spans="1:34" x14ac:dyDescent="0.25">
      <c r="A458" s="1" t="str">
        <f t="shared" si="7"/>
        <v/>
      </c>
      <c r="B458" s="2"/>
      <c r="C458" s="2"/>
      <c r="D458" s="2"/>
      <c r="E458" s="2"/>
      <c r="F458" s="2"/>
      <c r="G458" s="6"/>
      <c r="H458" s="2"/>
      <c r="I458" s="7"/>
      <c r="J458" s="8"/>
      <c r="Q458" s="2"/>
      <c r="R458" s="2" t="str">
        <f>IFERROR(IF(ISBLANK(Q458),"",INDEX([1]Gen_Vessels!$A$3:$C$500,MATCH(InspectionSite!$Q458,[1]Gen_Vessels!$C$3:$C$500,0),1)),"")</f>
        <v/>
      </c>
      <c r="S458" s="2"/>
      <c r="T458" s="2" t="str">
        <f>IFERROR(IF(ISBLANK(S458),"",INDEX([1]Gen_Vessels!$A$3:$C$500,MATCH(InspectionSite!$S458,[1]Gen_Vessels!$C$3:$C$500,0),1)),"")</f>
        <v/>
      </c>
      <c r="U458" s="2"/>
      <c r="V458" s="2"/>
      <c r="W458" s="2"/>
      <c r="X458" s="2"/>
      <c r="Y458" s="2"/>
      <c r="AB458" s="2"/>
      <c r="AC458" s="2"/>
      <c r="AD458" s="2"/>
      <c r="AE458" s="2"/>
      <c r="AF458" s="2"/>
      <c r="AG458" s="2"/>
      <c r="AH458" s="2"/>
    </row>
    <row r="459" spans="1:34" x14ac:dyDescent="0.25">
      <c r="A459" s="1" t="str">
        <f t="shared" si="7"/>
        <v/>
      </c>
      <c r="B459" s="2"/>
      <c r="C459" s="2"/>
      <c r="D459" s="2"/>
      <c r="E459" s="2"/>
      <c r="F459" s="2"/>
      <c r="G459" s="6"/>
      <c r="H459" s="2"/>
      <c r="I459" s="7"/>
      <c r="J459" s="8"/>
      <c r="Q459" s="2"/>
      <c r="R459" s="2" t="str">
        <f>IFERROR(IF(ISBLANK(Q459),"",INDEX([1]Gen_Vessels!$A$3:$C$500,MATCH(InspectionSite!$Q459,[1]Gen_Vessels!$C$3:$C$500,0),1)),"")</f>
        <v/>
      </c>
      <c r="S459" s="2"/>
      <c r="T459" s="2" t="str">
        <f>IFERROR(IF(ISBLANK(S459),"",INDEX([1]Gen_Vessels!$A$3:$C$500,MATCH(InspectionSite!$S459,[1]Gen_Vessels!$C$3:$C$500,0),1)),"")</f>
        <v/>
      </c>
      <c r="U459" s="2"/>
      <c r="V459" s="2"/>
      <c r="W459" s="2"/>
      <c r="X459" s="2"/>
      <c r="Y459" s="2"/>
      <c r="AB459" s="2"/>
      <c r="AC459" s="2"/>
      <c r="AD459" s="2"/>
      <c r="AE459" s="2"/>
      <c r="AF459" s="2"/>
      <c r="AG459" s="2"/>
      <c r="AH459" s="2"/>
    </row>
    <row r="460" spans="1:34" x14ac:dyDescent="0.25">
      <c r="A460" s="1" t="str">
        <f t="shared" si="7"/>
        <v/>
      </c>
      <c r="B460" s="2"/>
      <c r="C460" s="2"/>
      <c r="D460" s="2"/>
      <c r="E460" s="2"/>
      <c r="F460" s="2"/>
      <c r="G460" s="6"/>
      <c r="H460" s="2"/>
      <c r="I460" s="7"/>
      <c r="J460" s="8"/>
      <c r="Q460" s="2"/>
      <c r="R460" s="2" t="str">
        <f>IFERROR(IF(ISBLANK(Q460),"",INDEX([1]Gen_Vessels!$A$3:$C$500,MATCH(InspectionSite!$Q460,[1]Gen_Vessels!$C$3:$C$500,0),1)),"")</f>
        <v/>
      </c>
      <c r="S460" s="2"/>
      <c r="T460" s="2" t="str">
        <f>IFERROR(IF(ISBLANK(S460),"",INDEX([1]Gen_Vessels!$A$3:$C$500,MATCH(InspectionSite!$S460,[1]Gen_Vessels!$C$3:$C$500,0),1)),"")</f>
        <v/>
      </c>
      <c r="U460" s="2"/>
      <c r="V460" s="2"/>
      <c r="W460" s="2"/>
      <c r="X460" s="2"/>
      <c r="Y460" s="2"/>
      <c r="AB460" s="2"/>
      <c r="AC460" s="2"/>
      <c r="AD460" s="2"/>
      <c r="AE460" s="2"/>
      <c r="AF460" s="2"/>
      <c r="AG460" s="2"/>
      <c r="AH460" s="2"/>
    </row>
    <row r="461" spans="1:34" x14ac:dyDescent="0.25">
      <c r="A461" s="1" t="str">
        <f t="shared" si="7"/>
        <v/>
      </c>
      <c r="B461" s="2"/>
      <c r="C461" s="2"/>
      <c r="D461" s="2"/>
      <c r="E461" s="2"/>
      <c r="F461" s="2"/>
      <c r="G461" s="6"/>
      <c r="H461" s="2"/>
      <c r="I461" s="7"/>
      <c r="J461" s="8"/>
      <c r="Q461" s="2"/>
      <c r="R461" s="2" t="str">
        <f>IFERROR(IF(ISBLANK(Q461),"",INDEX([1]Gen_Vessels!$A$3:$C$500,MATCH(InspectionSite!$Q461,[1]Gen_Vessels!$C$3:$C$500,0),1)),"")</f>
        <v/>
      </c>
      <c r="S461" s="2"/>
      <c r="T461" s="2" t="str">
        <f>IFERROR(IF(ISBLANK(S461),"",INDEX([1]Gen_Vessels!$A$3:$C$500,MATCH(InspectionSite!$S461,[1]Gen_Vessels!$C$3:$C$500,0),1)),"")</f>
        <v/>
      </c>
      <c r="U461" s="2"/>
      <c r="V461" s="2"/>
      <c r="W461" s="2"/>
      <c r="X461" s="2"/>
      <c r="Y461" s="2"/>
      <c r="AB461" s="2"/>
      <c r="AC461" s="2"/>
      <c r="AD461" s="2"/>
      <c r="AE461" s="2"/>
      <c r="AF461" s="2"/>
      <c r="AG461" s="2"/>
      <c r="AH461" s="2"/>
    </row>
    <row r="462" spans="1:34" x14ac:dyDescent="0.25">
      <c r="A462" s="1" t="str">
        <f t="shared" si="7"/>
        <v/>
      </c>
      <c r="B462" s="2"/>
      <c r="C462" s="2"/>
      <c r="D462" s="2"/>
      <c r="E462" s="2"/>
      <c r="F462" s="2"/>
      <c r="G462" s="6"/>
      <c r="H462" s="2"/>
      <c r="I462" s="7"/>
      <c r="J462" s="8"/>
      <c r="Q462" s="2"/>
      <c r="R462" s="2" t="str">
        <f>IFERROR(IF(ISBLANK(Q462),"",INDEX([1]Gen_Vessels!$A$3:$C$500,MATCH(InspectionSite!$Q462,[1]Gen_Vessels!$C$3:$C$500,0),1)),"")</f>
        <v/>
      </c>
      <c r="S462" s="2"/>
      <c r="T462" s="2" t="str">
        <f>IFERROR(IF(ISBLANK(S462),"",INDEX([1]Gen_Vessels!$A$3:$C$500,MATCH(InspectionSite!$S462,[1]Gen_Vessels!$C$3:$C$500,0),1)),"")</f>
        <v/>
      </c>
      <c r="U462" s="2"/>
      <c r="V462" s="2"/>
      <c r="W462" s="2"/>
      <c r="X462" s="2"/>
      <c r="Y462" s="2"/>
      <c r="AB462" s="2"/>
      <c r="AC462" s="2"/>
      <c r="AD462" s="2"/>
      <c r="AE462" s="2"/>
      <c r="AF462" s="2"/>
      <c r="AG462" s="2"/>
      <c r="AH462" s="2"/>
    </row>
    <row r="463" spans="1:34" x14ac:dyDescent="0.25">
      <c r="A463" s="1" t="str">
        <f t="shared" si="7"/>
        <v/>
      </c>
      <c r="B463" s="2"/>
      <c r="C463" s="2"/>
      <c r="D463" s="2"/>
      <c r="E463" s="2"/>
      <c r="F463" s="2"/>
      <c r="G463" s="6"/>
      <c r="H463" s="2"/>
      <c r="I463" s="7"/>
      <c r="J463" s="8"/>
      <c r="Q463" s="2"/>
      <c r="R463" s="2" t="str">
        <f>IFERROR(IF(ISBLANK(Q463),"",INDEX([1]Gen_Vessels!$A$3:$C$500,MATCH(InspectionSite!$Q463,[1]Gen_Vessels!$C$3:$C$500,0),1)),"")</f>
        <v/>
      </c>
      <c r="S463" s="2"/>
      <c r="T463" s="2" t="str">
        <f>IFERROR(IF(ISBLANK(S463),"",INDEX([1]Gen_Vessels!$A$3:$C$500,MATCH(InspectionSite!$S463,[1]Gen_Vessels!$C$3:$C$500,0),1)),"")</f>
        <v/>
      </c>
      <c r="U463" s="2"/>
      <c r="V463" s="2"/>
      <c r="W463" s="2"/>
      <c r="X463" s="2"/>
      <c r="Y463" s="2"/>
      <c r="AB463" s="2"/>
      <c r="AC463" s="2"/>
      <c r="AD463" s="2"/>
      <c r="AE463" s="2"/>
      <c r="AF463" s="2"/>
      <c r="AG463" s="2"/>
      <c r="AH463" s="2"/>
    </row>
    <row r="464" spans="1:34" x14ac:dyDescent="0.25">
      <c r="A464" s="1" t="str">
        <f t="shared" si="7"/>
        <v/>
      </c>
      <c r="B464" s="2"/>
      <c r="C464" s="2"/>
      <c r="D464" s="2"/>
      <c r="E464" s="2"/>
      <c r="F464" s="2"/>
      <c r="G464" s="6"/>
      <c r="H464" s="2"/>
      <c r="I464" s="7"/>
      <c r="J464" s="8"/>
      <c r="Q464" s="2"/>
      <c r="R464" s="2" t="str">
        <f>IFERROR(IF(ISBLANK(Q464),"",INDEX([1]Gen_Vessels!$A$3:$C$500,MATCH(InspectionSite!$Q464,[1]Gen_Vessels!$C$3:$C$500,0),1)),"")</f>
        <v/>
      </c>
      <c r="S464" s="2"/>
      <c r="T464" s="2" t="str">
        <f>IFERROR(IF(ISBLANK(S464),"",INDEX([1]Gen_Vessels!$A$3:$C$500,MATCH(InspectionSite!$S464,[1]Gen_Vessels!$C$3:$C$500,0),1)),"")</f>
        <v/>
      </c>
      <c r="U464" s="2"/>
      <c r="V464" s="2"/>
      <c r="W464" s="2"/>
      <c r="X464" s="2"/>
      <c r="Y464" s="2"/>
      <c r="AB464" s="2"/>
      <c r="AC464" s="2"/>
      <c r="AD464" s="2"/>
      <c r="AE464" s="2"/>
      <c r="AF464" s="2"/>
      <c r="AG464" s="2"/>
      <c r="AH464" s="2"/>
    </row>
    <row r="465" spans="1:34" x14ac:dyDescent="0.25">
      <c r="A465" s="1" t="str">
        <f t="shared" si="7"/>
        <v/>
      </c>
      <c r="B465" s="2"/>
      <c r="C465" s="2"/>
      <c r="D465" s="2"/>
      <c r="E465" s="2"/>
      <c r="F465" s="2"/>
      <c r="G465" s="6"/>
      <c r="H465" s="2"/>
      <c r="I465" s="7"/>
      <c r="J465" s="8"/>
      <c r="Q465" s="2"/>
      <c r="R465" s="2" t="str">
        <f>IFERROR(IF(ISBLANK(Q465),"",INDEX([1]Gen_Vessels!$A$3:$C$500,MATCH(InspectionSite!$Q465,[1]Gen_Vessels!$C$3:$C$500,0),1)),"")</f>
        <v/>
      </c>
      <c r="S465" s="2"/>
      <c r="T465" s="2" t="str">
        <f>IFERROR(IF(ISBLANK(S465),"",INDEX([1]Gen_Vessels!$A$3:$C$500,MATCH(InspectionSite!$S465,[1]Gen_Vessels!$C$3:$C$500,0),1)),"")</f>
        <v/>
      </c>
      <c r="U465" s="2"/>
      <c r="V465" s="2"/>
      <c r="W465" s="2"/>
      <c r="X465" s="2"/>
      <c r="Y465" s="2"/>
      <c r="AB465" s="2"/>
      <c r="AC465" s="2"/>
      <c r="AD465" s="2"/>
      <c r="AE465" s="2"/>
      <c r="AF465" s="2"/>
      <c r="AG465" s="2"/>
      <c r="AH465" s="2"/>
    </row>
    <row r="466" spans="1:34" x14ac:dyDescent="0.25">
      <c r="A466" s="1" t="str">
        <f t="shared" si="7"/>
        <v/>
      </c>
      <c r="B466" s="2"/>
      <c r="C466" s="2"/>
      <c r="D466" s="2"/>
      <c r="E466" s="2"/>
      <c r="F466" s="2"/>
      <c r="G466" s="6"/>
      <c r="H466" s="2"/>
      <c r="I466" s="7"/>
      <c r="J466" s="8"/>
      <c r="Q466" s="2"/>
      <c r="R466" s="2" t="str">
        <f>IFERROR(IF(ISBLANK(Q466),"",INDEX([1]Gen_Vessels!$A$3:$C$500,MATCH(InspectionSite!$Q466,[1]Gen_Vessels!$C$3:$C$500,0),1)),"")</f>
        <v/>
      </c>
      <c r="S466" s="2"/>
      <c r="T466" s="2" t="str">
        <f>IFERROR(IF(ISBLANK(S466),"",INDEX([1]Gen_Vessels!$A$3:$C$500,MATCH(InspectionSite!$S466,[1]Gen_Vessels!$C$3:$C$500,0),1)),"")</f>
        <v/>
      </c>
      <c r="U466" s="2"/>
      <c r="V466" s="2"/>
      <c r="W466" s="2"/>
      <c r="X466" s="2"/>
      <c r="Y466" s="2"/>
      <c r="AB466" s="2"/>
      <c r="AC466" s="2"/>
      <c r="AD466" s="2"/>
      <c r="AE466" s="2"/>
      <c r="AF466" s="2"/>
      <c r="AG466" s="2"/>
      <c r="AH466" s="2"/>
    </row>
    <row r="467" spans="1:34" x14ac:dyDescent="0.25">
      <c r="A467" s="1" t="str">
        <f t="shared" si="7"/>
        <v/>
      </c>
      <c r="B467" s="2"/>
      <c r="C467" s="2"/>
      <c r="D467" s="2"/>
      <c r="E467" s="2"/>
      <c r="F467" s="2"/>
      <c r="G467" s="6"/>
      <c r="H467" s="2"/>
      <c r="I467" s="7"/>
      <c r="J467" s="8"/>
      <c r="Q467" s="2"/>
      <c r="R467" s="2" t="str">
        <f>IFERROR(IF(ISBLANK(Q467),"",INDEX([1]Gen_Vessels!$A$3:$C$500,MATCH(InspectionSite!$Q467,[1]Gen_Vessels!$C$3:$C$500,0),1)),"")</f>
        <v/>
      </c>
      <c r="S467" s="2"/>
      <c r="T467" s="2" t="str">
        <f>IFERROR(IF(ISBLANK(S467),"",INDEX([1]Gen_Vessels!$A$3:$C$500,MATCH(InspectionSite!$S467,[1]Gen_Vessels!$C$3:$C$500,0),1)),"")</f>
        <v/>
      </c>
      <c r="U467" s="2"/>
      <c r="V467" s="2"/>
      <c r="W467" s="2"/>
      <c r="X467" s="2"/>
      <c r="Y467" s="2"/>
      <c r="AB467" s="2"/>
      <c r="AC467" s="2"/>
      <c r="AD467" s="2"/>
      <c r="AE467" s="2"/>
      <c r="AF467" s="2"/>
      <c r="AG467" s="2"/>
      <c r="AH467" s="2"/>
    </row>
    <row r="468" spans="1:34" x14ac:dyDescent="0.25">
      <c r="A468" s="1" t="str">
        <f t="shared" si="7"/>
        <v/>
      </c>
      <c r="B468" s="2"/>
      <c r="C468" s="2"/>
      <c r="D468" s="2"/>
      <c r="E468" s="2"/>
      <c r="F468" s="2"/>
      <c r="G468" s="6"/>
      <c r="H468" s="2"/>
      <c r="I468" s="7"/>
      <c r="J468" s="8"/>
      <c r="Q468" s="2"/>
      <c r="R468" s="2" t="str">
        <f>IFERROR(IF(ISBLANK(Q468),"",INDEX([1]Gen_Vessels!$A$3:$C$500,MATCH(InspectionSite!$Q468,[1]Gen_Vessels!$C$3:$C$500,0),1)),"")</f>
        <v/>
      </c>
      <c r="S468" s="2"/>
      <c r="T468" s="2" t="str">
        <f>IFERROR(IF(ISBLANK(S468),"",INDEX([1]Gen_Vessels!$A$3:$C$500,MATCH(InspectionSite!$S468,[1]Gen_Vessels!$C$3:$C$500,0),1)),"")</f>
        <v/>
      </c>
      <c r="U468" s="2"/>
      <c r="V468" s="2"/>
      <c r="W468" s="2"/>
      <c r="X468" s="2"/>
      <c r="Y468" s="2"/>
      <c r="AB468" s="2"/>
      <c r="AC468" s="2"/>
      <c r="AD468" s="2"/>
      <c r="AE468" s="2"/>
      <c r="AF468" s="2"/>
      <c r="AG468" s="2"/>
      <c r="AH468" s="2"/>
    </row>
    <row r="469" spans="1:34" x14ac:dyDescent="0.25">
      <c r="A469" s="1" t="str">
        <f t="shared" si="7"/>
        <v/>
      </c>
      <c r="B469" s="2"/>
      <c r="C469" s="2"/>
      <c r="D469" s="2"/>
      <c r="E469" s="2"/>
      <c r="F469" s="2"/>
      <c r="G469" s="6"/>
      <c r="H469" s="2"/>
      <c r="I469" s="7"/>
      <c r="J469" s="8"/>
      <c r="Q469" s="2"/>
      <c r="R469" s="2" t="str">
        <f>IFERROR(IF(ISBLANK(Q469),"",INDEX([1]Gen_Vessels!$A$3:$C$500,MATCH(InspectionSite!$Q469,[1]Gen_Vessels!$C$3:$C$500,0),1)),"")</f>
        <v/>
      </c>
      <c r="S469" s="2"/>
      <c r="T469" s="2" t="str">
        <f>IFERROR(IF(ISBLANK(S469),"",INDEX([1]Gen_Vessels!$A$3:$C$500,MATCH(InspectionSite!$S469,[1]Gen_Vessels!$C$3:$C$500,0),1)),"")</f>
        <v/>
      </c>
      <c r="U469" s="2"/>
      <c r="V469" s="2"/>
      <c r="W469" s="2"/>
      <c r="X469" s="2"/>
      <c r="Y469" s="2"/>
      <c r="AB469" s="2"/>
      <c r="AC469" s="2"/>
      <c r="AD469" s="2"/>
      <c r="AE469" s="2"/>
      <c r="AF469" s="2"/>
      <c r="AG469" s="2"/>
      <c r="AH469" s="2"/>
    </row>
    <row r="470" spans="1:34" x14ac:dyDescent="0.25">
      <c r="A470" s="1" t="str">
        <f t="shared" si="7"/>
        <v/>
      </c>
      <c r="B470" s="2"/>
      <c r="C470" s="2"/>
      <c r="D470" s="2"/>
      <c r="E470" s="2"/>
      <c r="F470" s="2"/>
      <c r="G470" s="6"/>
      <c r="H470" s="2"/>
      <c r="I470" s="7"/>
      <c r="J470" s="8"/>
      <c r="Q470" s="2"/>
      <c r="R470" s="2" t="str">
        <f>IFERROR(IF(ISBLANK(Q470),"",INDEX([1]Gen_Vessels!$A$3:$C$500,MATCH(InspectionSite!$Q470,[1]Gen_Vessels!$C$3:$C$500,0),1)),"")</f>
        <v/>
      </c>
      <c r="S470" s="2"/>
      <c r="T470" s="2" t="str">
        <f>IFERROR(IF(ISBLANK(S470),"",INDEX([1]Gen_Vessels!$A$3:$C$500,MATCH(InspectionSite!$S470,[1]Gen_Vessels!$C$3:$C$500,0),1)),"")</f>
        <v/>
      </c>
      <c r="U470" s="2"/>
      <c r="V470" s="2"/>
      <c r="W470" s="2"/>
      <c r="X470" s="2"/>
      <c r="Y470" s="2"/>
      <c r="AB470" s="2"/>
      <c r="AC470" s="2"/>
      <c r="AD470" s="2"/>
      <c r="AE470" s="2"/>
      <c r="AF470" s="2"/>
      <c r="AG470" s="2"/>
      <c r="AH470" s="2"/>
    </row>
    <row r="471" spans="1:34" x14ac:dyDescent="0.25">
      <c r="A471" s="1" t="str">
        <f t="shared" si="7"/>
        <v/>
      </c>
      <c r="B471" s="2"/>
      <c r="C471" s="2"/>
      <c r="D471" s="2"/>
      <c r="E471" s="2"/>
      <c r="F471" s="2"/>
      <c r="G471" s="6"/>
      <c r="H471" s="2"/>
      <c r="I471" s="7"/>
      <c r="J471" s="8"/>
      <c r="Q471" s="2"/>
      <c r="R471" s="2" t="str">
        <f>IFERROR(IF(ISBLANK(Q471),"",INDEX([1]Gen_Vessels!$A$3:$C$500,MATCH(InspectionSite!$Q471,[1]Gen_Vessels!$C$3:$C$500,0),1)),"")</f>
        <v/>
      </c>
      <c r="S471" s="2"/>
      <c r="T471" s="2" t="str">
        <f>IFERROR(IF(ISBLANK(S471),"",INDEX([1]Gen_Vessels!$A$3:$C$500,MATCH(InspectionSite!$S471,[1]Gen_Vessels!$C$3:$C$500,0),1)),"")</f>
        <v/>
      </c>
      <c r="U471" s="2"/>
      <c r="V471" s="2"/>
      <c r="W471" s="2"/>
      <c r="X471" s="2"/>
      <c r="Y471" s="2"/>
      <c r="AB471" s="2"/>
      <c r="AC471" s="2"/>
      <c r="AD471" s="2"/>
      <c r="AE471" s="2"/>
      <c r="AF471" s="2"/>
      <c r="AG471" s="2"/>
      <c r="AH471" s="2"/>
    </row>
    <row r="472" spans="1:34" x14ac:dyDescent="0.25">
      <c r="A472" s="1" t="str">
        <f t="shared" si="7"/>
        <v/>
      </c>
      <c r="B472" s="2"/>
      <c r="C472" s="2"/>
      <c r="D472" s="2"/>
      <c r="E472" s="2"/>
      <c r="F472" s="2"/>
      <c r="G472" s="6"/>
      <c r="H472" s="2"/>
      <c r="I472" s="7"/>
      <c r="J472" s="8"/>
      <c r="Q472" s="2"/>
      <c r="R472" s="2" t="str">
        <f>IFERROR(IF(ISBLANK(Q472),"",INDEX([1]Gen_Vessels!$A$3:$C$500,MATCH(InspectionSite!$Q472,[1]Gen_Vessels!$C$3:$C$500,0),1)),"")</f>
        <v/>
      </c>
      <c r="S472" s="2"/>
      <c r="T472" s="2" t="str">
        <f>IFERROR(IF(ISBLANK(S472),"",INDEX([1]Gen_Vessels!$A$3:$C$500,MATCH(InspectionSite!$S472,[1]Gen_Vessels!$C$3:$C$500,0),1)),"")</f>
        <v/>
      </c>
      <c r="U472" s="2"/>
      <c r="V472" s="2"/>
      <c r="W472" s="2"/>
      <c r="X472" s="2"/>
      <c r="Y472" s="2"/>
      <c r="AB472" s="2"/>
      <c r="AC472" s="2"/>
      <c r="AD472" s="2"/>
      <c r="AE472" s="2"/>
      <c r="AF472" s="2"/>
      <c r="AG472" s="2"/>
      <c r="AH472" s="2"/>
    </row>
    <row r="473" spans="1:34" x14ac:dyDescent="0.25">
      <c r="A473" s="1" t="str">
        <f t="shared" si="7"/>
        <v/>
      </c>
      <c r="B473" s="2"/>
      <c r="C473" s="2"/>
      <c r="D473" s="2"/>
      <c r="E473" s="2"/>
      <c r="F473" s="2"/>
      <c r="G473" s="6"/>
      <c r="H473" s="2"/>
      <c r="I473" s="7"/>
      <c r="J473" s="8"/>
      <c r="Q473" s="2"/>
      <c r="R473" s="2" t="str">
        <f>IFERROR(IF(ISBLANK(Q473),"",INDEX([1]Gen_Vessels!$A$3:$C$500,MATCH(InspectionSite!$Q473,[1]Gen_Vessels!$C$3:$C$500,0),1)),"")</f>
        <v/>
      </c>
      <c r="S473" s="2"/>
      <c r="T473" s="2" t="str">
        <f>IFERROR(IF(ISBLANK(S473),"",INDEX([1]Gen_Vessels!$A$3:$C$500,MATCH(InspectionSite!$S473,[1]Gen_Vessels!$C$3:$C$500,0),1)),"")</f>
        <v/>
      </c>
      <c r="U473" s="2"/>
      <c r="V473" s="2"/>
      <c r="W473" s="2"/>
      <c r="X473" s="2"/>
      <c r="Y473" s="2"/>
      <c r="AB473" s="2"/>
      <c r="AC473" s="2"/>
      <c r="AD473" s="2"/>
      <c r="AE473" s="2"/>
      <c r="AF473" s="2"/>
      <c r="AG473" s="2"/>
      <c r="AH473" s="2"/>
    </row>
    <row r="474" spans="1:34" x14ac:dyDescent="0.25">
      <c r="A474" s="1" t="str">
        <f t="shared" si="7"/>
        <v/>
      </c>
      <c r="B474" s="2"/>
      <c r="C474" s="2"/>
      <c r="D474" s="2"/>
      <c r="E474" s="2"/>
      <c r="F474" s="2"/>
      <c r="G474" s="6"/>
      <c r="H474" s="2"/>
      <c r="I474" s="7"/>
      <c r="J474" s="8"/>
      <c r="Q474" s="2"/>
      <c r="R474" s="2" t="str">
        <f>IFERROR(IF(ISBLANK(Q474),"",INDEX([1]Gen_Vessels!$A$3:$C$500,MATCH(InspectionSite!$Q474,[1]Gen_Vessels!$C$3:$C$500,0),1)),"")</f>
        <v/>
      </c>
      <c r="S474" s="2"/>
      <c r="T474" s="2" t="str">
        <f>IFERROR(IF(ISBLANK(S474),"",INDEX([1]Gen_Vessels!$A$3:$C$500,MATCH(InspectionSite!$S474,[1]Gen_Vessels!$C$3:$C$500,0),1)),"")</f>
        <v/>
      </c>
      <c r="U474" s="2"/>
      <c r="V474" s="2"/>
      <c r="W474" s="2"/>
      <c r="X474" s="2"/>
      <c r="Y474" s="2"/>
      <c r="AB474" s="2"/>
      <c r="AC474" s="2"/>
      <c r="AD474" s="2"/>
      <c r="AE474" s="2"/>
      <c r="AF474" s="2"/>
      <c r="AG474" s="2"/>
      <c r="AH474" s="2"/>
    </row>
    <row r="475" spans="1:34" x14ac:dyDescent="0.25">
      <c r="A475" s="1" t="str">
        <f t="shared" si="7"/>
        <v/>
      </c>
      <c r="B475" s="2"/>
      <c r="C475" s="2"/>
      <c r="D475" s="2"/>
      <c r="E475" s="2"/>
      <c r="F475" s="2"/>
      <c r="G475" s="6"/>
      <c r="H475" s="2"/>
      <c r="I475" s="7"/>
      <c r="J475" s="8"/>
      <c r="Q475" s="2"/>
      <c r="R475" s="2" t="str">
        <f>IFERROR(IF(ISBLANK(Q475),"",INDEX([1]Gen_Vessels!$A$3:$C$500,MATCH(InspectionSite!$Q475,[1]Gen_Vessels!$C$3:$C$500,0),1)),"")</f>
        <v/>
      </c>
      <c r="S475" s="2"/>
      <c r="T475" s="2" t="str">
        <f>IFERROR(IF(ISBLANK(S475),"",INDEX([1]Gen_Vessels!$A$3:$C$500,MATCH(InspectionSite!$S475,[1]Gen_Vessels!$C$3:$C$500,0),1)),"")</f>
        <v/>
      </c>
      <c r="U475" s="2"/>
      <c r="V475" s="2"/>
      <c r="W475" s="2"/>
      <c r="X475" s="2"/>
      <c r="Y475" s="2"/>
      <c r="AB475" s="2"/>
      <c r="AC475" s="2"/>
      <c r="AD475" s="2"/>
      <c r="AE475" s="2"/>
      <c r="AF475" s="2"/>
      <c r="AG475" s="2"/>
      <c r="AH475" s="2"/>
    </row>
    <row r="476" spans="1:34" x14ac:dyDescent="0.25">
      <c r="A476" s="1" t="str">
        <f t="shared" si="7"/>
        <v/>
      </c>
      <c r="B476" s="2"/>
      <c r="C476" s="2"/>
      <c r="D476" s="2"/>
      <c r="E476" s="2"/>
      <c r="F476" s="2"/>
      <c r="G476" s="6"/>
      <c r="H476" s="2"/>
      <c r="I476" s="7"/>
      <c r="J476" s="8"/>
      <c r="Q476" s="2"/>
      <c r="R476" s="2" t="str">
        <f>IFERROR(IF(ISBLANK(Q476),"",INDEX([1]Gen_Vessels!$A$3:$C$500,MATCH(InspectionSite!$Q476,[1]Gen_Vessels!$C$3:$C$500,0),1)),"")</f>
        <v/>
      </c>
      <c r="S476" s="2"/>
      <c r="T476" s="2" t="str">
        <f>IFERROR(IF(ISBLANK(S476),"",INDEX([1]Gen_Vessels!$A$3:$C$500,MATCH(InspectionSite!$S476,[1]Gen_Vessels!$C$3:$C$500,0),1)),"")</f>
        <v/>
      </c>
      <c r="U476" s="2"/>
      <c r="V476" s="2"/>
      <c r="W476" s="2"/>
      <c r="X476" s="2"/>
      <c r="Y476" s="2"/>
      <c r="AB476" s="2"/>
      <c r="AC476" s="2"/>
      <c r="AD476" s="2"/>
      <c r="AE476" s="2"/>
      <c r="AF476" s="2"/>
      <c r="AG476" s="2"/>
      <c r="AH476" s="2"/>
    </row>
    <row r="477" spans="1:34" x14ac:dyDescent="0.25">
      <c r="A477" s="1" t="str">
        <f t="shared" si="7"/>
        <v/>
      </c>
      <c r="B477" s="2"/>
      <c r="C477" s="2"/>
      <c r="D477" s="2"/>
      <c r="E477" s="2"/>
      <c r="F477" s="2"/>
      <c r="G477" s="6"/>
      <c r="H477" s="2"/>
      <c r="I477" s="7"/>
      <c r="J477" s="8"/>
      <c r="Q477" s="2"/>
      <c r="R477" s="2" t="str">
        <f>IFERROR(IF(ISBLANK(Q477),"",INDEX([1]Gen_Vessels!$A$3:$C$500,MATCH(InspectionSite!$Q477,[1]Gen_Vessels!$C$3:$C$500,0),1)),"")</f>
        <v/>
      </c>
      <c r="S477" s="2"/>
      <c r="T477" s="2" t="str">
        <f>IFERROR(IF(ISBLANK(S477),"",INDEX([1]Gen_Vessels!$A$3:$C$500,MATCH(InspectionSite!$S477,[1]Gen_Vessels!$C$3:$C$500,0),1)),"")</f>
        <v/>
      </c>
      <c r="U477" s="2"/>
      <c r="V477" s="2"/>
      <c r="W477" s="2"/>
      <c r="X477" s="2"/>
      <c r="Y477" s="2"/>
      <c r="AB477" s="2"/>
      <c r="AC477" s="2"/>
      <c r="AD477" s="2"/>
      <c r="AE477" s="2"/>
      <c r="AF477" s="2"/>
      <c r="AG477" s="2"/>
      <c r="AH477" s="2"/>
    </row>
    <row r="478" spans="1:34" x14ac:dyDescent="0.25">
      <c r="A478" s="1" t="str">
        <f t="shared" si="7"/>
        <v/>
      </c>
      <c r="B478" s="2"/>
      <c r="C478" s="2"/>
      <c r="D478" s="2"/>
      <c r="E478" s="2"/>
      <c r="F478" s="2"/>
      <c r="G478" s="6"/>
      <c r="H478" s="2"/>
      <c r="I478" s="7"/>
      <c r="J478" s="8"/>
      <c r="Q478" s="2"/>
      <c r="R478" s="2" t="str">
        <f>IFERROR(IF(ISBLANK(Q478),"",INDEX([1]Gen_Vessels!$A$3:$C$500,MATCH(InspectionSite!$Q478,[1]Gen_Vessels!$C$3:$C$500,0),1)),"")</f>
        <v/>
      </c>
      <c r="S478" s="2"/>
      <c r="T478" s="2" t="str">
        <f>IFERROR(IF(ISBLANK(S478),"",INDEX([1]Gen_Vessels!$A$3:$C$500,MATCH(InspectionSite!$S478,[1]Gen_Vessels!$C$3:$C$500,0),1)),"")</f>
        <v/>
      </c>
      <c r="U478" s="2"/>
      <c r="V478" s="2"/>
      <c r="W478" s="2"/>
      <c r="X478" s="2"/>
      <c r="Y478" s="2"/>
      <c r="AB478" s="2"/>
      <c r="AC478" s="2"/>
      <c r="AD478" s="2"/>
      <c r="AE478" s="2"/>
      <c r="AF478" s="2"/>
      <c r="AG478" s="2"/>
      <c r="AH478" s="2"/>
    </row>
    <row r="479" spans="1:34" x14ac:dyDescent="0.25">
      <c r="A479" s="1" t="str">
        <f t="shared" si="7"/>
        <v/>
      </c>
      <c r="B479" s="2"/>
      <c r="C479" s="2"/>
      <c r="D479" s="2"/>
      <c r="E479" s="2"/>
      <c r="F479" s="2"/>
      <c r="G479" s="6"/>
      <c r="H479" s="2"/>
      <c r="I479" s="7"/>
      <c r="J479" s="8"/>
      <c r="Q479" s="2"/>
      <c r="R479" s="2" t="str">
        <f>IFERROR(IF(ISBLANK(Q479),"",INDEX([1]Gen_Vessels!$A$3:$C$500,MATCH(InspectionSite!$Q479,[1]Gen_Vessels!$C$3:$C$500,0),1)),"")</f>
        <v/>
      </c>
      <c r="S479" s="2"/>
      <c r="T479" s="2" t="str">
        <f>IFERROR(IF(ISBLANK(S479),"",INDEX([1]Gen_Vessels!$A$3:$C$500,MATCH(InspectionSite!$S479,[1]Gen_Vessels!$C$3:$C$500,0),1)),"")</f>
        <v/>
      </c>
      <c r="U479" s="2"/>
      <c r="V479" s="2"/>
      <c r="W479" s="2"/>
      <c r="X479" s="2"/>
      <c r="Y479" s="2"/>
      <c r="AB479" s="2"/>
      <c r="AC479" s="2"/>
      <c r="AD479" s="2"/>
      <c r="AE479" s="2"/>
      <c r="AF479" s="2"/>
      <c r="AG479" s="2"/>
      <c r="AH479" s="2"/>
    </row>
    <row r="480" spans="1:34" x14ac:dyDescent="0.25">
      <c r="A480" s="1" t="str">
        <f t="shared" si="7"/>
        <v/>
      </c>
      <c r="B480" s="2"/>
      <c r="C480" s="2"/>
      <c r="D480" s="2"/>
      <c r="E480" s="2"/>
      <c r="F480" s="2"/>
      <c r="G480" s="6"/>
      <c r="H480" s="2"/>
      <c r="I480" s="7"/>
      <c r="J480" s="8"/>
      <c r="Q480" s="2"/>
      <c r="R480" s="2" t="str">
        <f>IFERROR(IF(ISBLANK(Q480),"",INDEX([1]Gen_Vessels!$A$3:$C$500,MATCH(InspectionSite!$Q480,[1]Gen_Vessels!$C$3:$C$500,0),1)),"")</f>
        <v/>
      </c>
      <c r="S480" s="2"/>
      <c r="T480" s="2" t="str">
        <f>IFERROR(IF(ISBLANK(S480),"",INDEX([1]Gen_Vessels!$A$3:$C$500,MATCH(InspectionSite!$S480,[1]Gen_Vessels!$C$3:$C$500,0),1)),"")</f>
        <v/>
      </c>
      <c r="U480" s="2"/>
      <c r="V480" s="2"/>
      <c r="W480" s="2"/>
      <c r="X480" s="2"/>
      <c r="Y480" s="2"/>
      <c r="AB480" s="2"/>
      <c r="AC480" s="2"/>
      <c r="AD480" s="2"/>
      <c r="AE480" s="2"/>
      <c r="AF480" s="2"/>
      <c r="AG480" s="2"/>
      <c r="AH480" s="2"/>
    </row>
    <row r="481" spans="1:34" x14ac:dyDescent="0.25">
      <c r="A481" s="1" t="str">
        <f t="shared" si="7"/>
        <v/>
      </c>
      <c r="B481" s="2"/>
      <c r="C481" s="2"/>
      <c r="D481" s="2"/>
      <c r="E481" s="2"/>
      <c r="F481" s="2"/>
      <c r="G481" s="6"/>
      <c r="H481" s="2"/>
      <c r="I481" s="7"/>
      <c r="J481" s="8"/>
      <c r="Q481" s="2"/>
      <c r="R481" s="2" t="str">
        <f>IFERROR(IF(ISBLANK(Q481),"",INDEX([1]Gen_Vessels!$A$3:$C$500,MATCH(InspectionSite!$Q481,[1]Gen_Vessels!$C$3:$C$500,0),1)),"")</f>
        <v/>
      </c>
      <c r="S481" s="2"/>
      <c r="T481" s="2" t="str">
        <f>IFERROR(IF(ISBLANK(S481),"",INDEX([1]Gen_Vessels!$A$3:$C$500,MATCH(InspectionSite!$S481,[1]Gen_Vessels!$C$3:$C$500,0),1)),"")</f>
        <v/>
      </c>
      <c r="U481" s="2"/>
      <c r="V481" s="2"/>
      <c r="W481" s="2"/>
      <c r="X481" s="2"/>
      <c r="Y481" s="2"/>
      <c r="AB481" s="2"/>
      <c r="AC481" s="2"/>
      <c r="AD481" s="2"/>
      <c r="AE481" s="2"/>
      <c r="AF481" s="2"/>
      <c r="AG481" s="2"/>
      <c r="AH481" s="2"/>
    </row>
    <row r="482" spans="1:34" x14ac:dyDescent="0.25">
      <c r="A482" s="1" t="str">
        <f t="shared" si="7"/>
        <v/>
      </c>
      <c r="B482" s="2"/>
      <c r="C482" s="2"/>
      <c r="D482" s="2"/>
      <c r="E482" s="2"/>
      <c r="F482" s="2"/>
      <c r="G482" s="6"/>
      <c r="H482" s="2"/>
      <c r="I482" s="7"/>
      <c r="J482" s="8"/>
      <c r="Q482" s="2"/>
      <c r="R482" s="2" t="str">
        <f>IFERROR(IF(ISBLANK(Q482),"",INDEX([1]Gen_Vessels!$A$3:$C$500,MATCH(InspectionSite!$Q482,[1]Gen_Vessels!$C$3:$C$500,0),1)),"")</f>
        <v/>
      </c>
      <c r="S482" s="2"/>
      <c r="T482" s="2" t="str">
        <f>IFERROR(IF(ISBLANK(S482),"",INDEX([1]Gen_Vessels!$A$3:$C$500,MATCH(InspectionSite!$S482,[1]Gen_Vessels!$C$3:$C$500,0),1)),"")</f>
        <v/>
      </c>
      <c r="U482" s="2"/>
      <c r="V482" s="2"/>
      <c r="W482" s="2"/>
      <c r="X482" s="2"/>
      <c r="Y482" s="2"/>
      <c r="AB482" s="2"/>
      <c r="AC482" s="2"/>
      <c r="AD482" s="2"/>
      <c r="AE482" s="2"/>
      <c r="AF482" s="2"/>
      <c r="AG482" s="2"/>
      <c r="AH482" s="2"/>
    </row>
    <row r="483" spans="1:34" x14ac:dyDescent="0.25">
      <c r="A483" s="1" t="str">
        <f t="shared" si="7"/>
        <v/>
      </c>
      <c r="B483" s="2"/>
      <c r="C483" s="2"/>
      <c r="D483" s="2"/>
      <c r="E483" s="2"/>
      <c r="F483" s="2"/>
      <c r="G483" s="6"/>
      <c r="H483" s="2"/>
      <c r="I483" s="7"/>
      <c r="J483" s="8"/>
      <c r="Q483" s="2"/>
      <c r="R483" s="2" t="str">
        <f>IFERROR(IF(ISBLANK(Q483),"",INDEX([1]Gen_Vessels!$A$3:$C$500,MATCH(InspectionSite!$Q483,[1]Gen_Vessels!$C$3:$C$500,0),1)),"")</f>
        <v/>
      </c>
      <c r="S483" s="2"/>
      <c r="T483" s="2" t="str">
        <f>IFERROR(IF(ISBLANK(S483),"",INDEX([1]Gen_Vessels!$A$3:$C$500,MATCH(InspectionSite!$S483,[1]Gen_Vessels!$C$3:$C$500,0),1)),"")</f>
        <v/>
      </c>
      <c r="U483" s="2"/>
      <c r="V483" s="2"/>
      <c r="W483" s="2"/>
      <c r="X483" s="2"/>
      <c r="Y483" s="2"/>
      <c r="AB483" s="2"/>
      <c r="AC483" s="2"/>
      <c r="AD483" s="2"/>
      <c r="AE483" s="2"/>
      <c r="AF483" s="2"/>
      <c r="AG483" s="2"/>
      <c r="AH483" s="2"/>
    </row>
    <row r="484" spans="1:34" x14ac:dyDescent="0.25">
      <c r="A484" s="1" t="str">
        <f t="shared" si="7"/>
        <v/>
      </c>
      <c r="B484" s="2"/>
      <c r="C484" s="2"/>
      <c r="D484" s="2"/>
      <c r="E484" s="2"/>
      <c r="F484" s="2"/>
      <c r="G484" s="6"/>
      <c r="H484" s="2"/>
      <c r="I484" s="7"/>
      <c r="J484" s="8"/>
      <c r="Q484" s="2"/>
      <c r="R484" s="2" t="str">
        <f>IFERROR(IF(ISBLANK(Q484),"",INDEX([1]Gen_Vessels!$A$3:$C$500,MATCH(InspectionSite!$Q484,[1]Gen_Vessels!$C$3:$C$500,0),1)),"")</f>
        <v/>
      </c>
      <c r="S484" s="2"/>
      <c r="T484" s="2" t="str">
        <f>IFERROR(IF(ISBLANK(S484),"",INDEX([1]Gen_Vessels!$A$3:$C$500,MATCH(InspectionSite!$S484,[1]Gen_Vessels!$C$3:$C$500,0),1)),"")</f>
        <v/>
      </c>
      <c r="U484" s="2"/>
      <c r="V484" s="2"/>
      <c r="W484" s="2"/>
      <c r="X484" s="2"/>
      <c r="Y484" s="2"/>
      <c r="AB484" s="2"/>
      <c r="AC484" s="2"/>
      <c r="AD484" s="2"/>
      <c r="AE484" s="2"/>
      <c r="AF484" s="2"/>
      <c r="AG484" s="2"/>
      <c r="AH484" s="2"/>
    </row>
    <row r="485" spans="1:34" x14ac:dyDescent="0.25">
      <c r="A485" s="1" t="str">
        <f t="shared" si="7"/>
        <v/>
      </c>
      <c r="B485" s="2"/>
      <c r="C485" s="2"/>
      <c r="D485" s="2"/>
      <c r="E485" s="2"/>
      <c r="F485" s="2"/>
      <c r="G485" s="6"/>
      <c r="H485" s="2"/>
      <c r="I485" s="7"/>
      <c r="J485" s="8"/>
      <c r="Q485" s="2"/>
      <c r="R485" s="2" t="str">
        <f>IFERROR(IF(ISBLANK(Q485),"",INDEX([1]Gen_Vessels!$A$3:$C$500,MATCH(InspectionSite!$Q485,[1]Gen_Vessels!$C$3:$C$500,0),1)),"")</f>
        <v/>
      </c>
      <c r="S485" s="2"/>
      <c r="T485" s="2" t="str">
        <f>IFERROR(IF(ISBLANK(S485),"",INDEX([1]Gen_Vessels!$A$3:$C$500,MATCH(InspectionSite!$S485,[1]Gen_Vessels!$C$3:$C$500,0),1)),"")</f>
        <v/>
      </c>
      <c r="U485" s="2"/>
      <c r="V485" s="2"/>
      <c r="W485" s="2"/>
      <c r="X485" s="2"/>
      <c r="Y485" s="2"/>
      <c r="AB485" s="2"/>
      <c r="AC485" s="2"/>
      <c r="AD485" s="2"/>
      <c r="AE485" s="2"/>
      <c r="AF485" s="2"/>
      <c r="AG485" s="2"/>
      <c r="AH485" s="2"/>
    </row>
    <row r="486" spans="1:34" x14ac:dyDescent="0.25">
      <c r="A486" s="1" t="str">
        <f t="shared" si="7"/>
        <v/>
      </c>
      <c r="B486" s="2"/>
      <c r="C486" s="2"/>
      <c r="D486" s="2"/>
      <c r="E486" s="2"/>
      <c r="F486" s="2"/>
      <c r="G486" s="6"/>
      <c r="H486" s="2"/>
      <c r="I486" s="7"/>
      <c r="J486" s="8"/>
      <c r="Q486" s="2"/>
      <c r="R486" s="2" t="str">
        <f>IFERROR(IF(ISBLANK(Q486),"",INDEX([1]Gen_Vessels!$A$3:$C$500,MATCH(InspectionSite!$Q486,[1]Gen_Vessels!$C$3:$C$500,0),1)),"")</f>
        <v/>
      </c>
      <c r="S486" s="2"/>
      <c r="T486" s="2" t="str">
        <f>IFERROR(IF(ISBLANK(S486),"",INDEX([1]Gen_Vessels!$A$3:$C$500,MATCH(InspectionSite!$S486,[1]Gen_Vessels!$C$3:$C$500,0),1)),"")</f>
        <v/>
      </c>
      <c r="U486" s="2"/>
      <c r="V486" s="2"/>
      <c r="W486" s="2"/>
      <c r="X486" s="2"/>
      <c r="Y486" s="2"/>
      <c r="AB486" s="2"/>
      <c r="AC486" s="2"/>
      <c r="AD486" s="2"/>
      <c r="AE486" s="2"/>
      <c r="AF486" s="2"/>
      <c r="AG486" s="2"/>
      <c r="AH486" s="2"/>
    </row>
    <row r="487" spans="1:34" x14ac:dyDescent="0.25">
      <c r="A487" s="1" t="str">
        <f t="shared" si="7"/>
        <v/>
      </c>
      <c r="B487" s="2"/>
      <c r="C487" s="2"/>
      <c r="D487" s="2"/>
      <c r="E487" s="2"/>
      <c r="F487" s="2"/>
      <c r="G487" s="6"/>
      <c r="H487" s="2"/>
      <c r="I487" s="7"/>
      <c r="J487" s="8"/>
      <c r="Q487" s="2"/>
      <c r="R487" s="2" t="str">
        <f>IFERROR(IF(ISBLANK(Q487),"",INDEX([1]Gen_Vessels!$A$3:$C$500,MATCH(InspectionSite!$Q487,[1]Gen_Vessels!$C$3:$C$500,0),1)),"")</f>
        <v/>
      </c>
      <c r="S487" s="2"/>
      <c r="T487" s="2" t="str">
        <f>IFERROR(IF(ISBLANK(S487),"",INDEX([1]Gen_Vessels!$A$3:$C$500,MATCH(InspectionSite!$S487,[1]Gen_Vessels!$C$3:$C$500,0),1)),"")</f>
        <v/>
      </c>
      <c r="U487" s="2"/>
      <c r="V487" s="2"/>
      <c r="W487" s="2"/>
      <c r="X487" s="2"/>
      <c r="Y487" s="2"/>
      <c r="AB487" s="2"/>
      <c r="AC487" s="2"/>
      <c r="AD487" s="2"/>
      <c r="AE487" s="2"/>
      <c r="AF487" s="2"/>
      <c r="AG487" s="2"/>
      <c r="AH487" s="2"/>
    </row>
    <row r="488" spans="1:34" x14ac:dyDescent="0.25">
      <c r="A488" s="1" t="str">
        <f t="shared" si="7"/>
        <v/>
      </c>
      <c r="B488" s="2"/>
      <c r="C488" s="2"/>
      <c r="D488" s="2"/>
      <c r="E488" s="2"/>
      <c r="F488" s="2"/>
      <c r="G488" s="6"/>
      <c r="H488" s="2"/>
      <c r="I488" s="7"/>
      <c r="J488" s="8"/>
      <c r="Q488" s="2"/>
      <c r="R488" s="2" t="str">
        <f>IFERROR(IF(ISBLANK(Q488),"",INDEX([1]Gen_Vessels!$A$3:$C$500,MATCH(InspectionSite!$Q488,[1]Gen_Vessels!$C$3:$C$500,0),1)),"")</f>
        <v/>
      </c>
      <c r="S488" s="2"/>
      <c r="T488" s="2" t="str">
        <f>IFERROR(IF(ISBLANK(S488),"",INDEX([1]Gen_Vessels!$A$3:$C$500,MATCH(InspectionSite!$S488,[1]Gen_Vessels!$C$3:$C$500,0),1)),"")</f>
        <v/>
      </c>
      <c r="U488" s="2"/>
      <c r="V488" s="2"/>
      <c r="W488" s="2"/>
      <c r="X488" s="2"/>
      <c r="Y488" s="2"/>
      <c r="AB488" s="2"/>
      <c r="AC488" s="2"/>
      <c r="AD488" s="2"/>
      <c r="AE488" s="2"/>
      <c r="AF488" s="2"/>
      <c r="AG488" s="2"/>
      <c r="AH488" s="2"/>
    </row>
    <row r="489" spans="1:34" x14ac:dyDescent="0.25">
      <c r="A489" s="1" t="str">
        <f t="shared" si="7"/>
        <v/>
      </c>
      <c r="B489" s="2"/>
      <c r="C489" s="2"/>
      <c r="D489" s="2"/>
      <c r="E489" s="2"/>
      <c r="F489" s="2"/>
      <c r="G489" s="6"/>
      <c r="H489" s="2"/>
      <c r="I489" s="7"/>
      <c r="J489" s="8"/>
      <c r="Q489" s="2"/>
      <c r="R489" s="2" t="str">
        <f>IFERROR(IF(ISBLANK(Q489),"",INDEX([1]Gen_Vessels!$A$3:$C$500,MATCH(InspectionSite!$Q489,[1]Gen_Vessels!$C$3:$C$500,0),1)),"")</f>
        <v/>
      </c>
      <c r="S489" s="2"/>
      <c r="T489" s="2" t="str">
        <f>IFERROR(IF(ISBLANK(S489),"",INDEX([1]Gen_Vessels!$A$3:$C$500,MATCH(InspectionSite!$S489,[1]Gen_Vessels!$C$3:$C$500,0),1)),"")</f>
        <v/>
      </c>
      <c r="U489" s="2"/>
      <c r="V489" s="2"/>
      <c r="W489" s="2"/>
      <c r="X489" s="2"/>
      <c r="Y489" s="2"/>
      <c r="AB489" s="2"/>
      <c r="AC489" s="2"/>
      <c r="AD489" s="2"/>
      <c r="AE489" s="2"/>
      <c r="AF489" s="2"/>
      <c r="AG489" s="2"/>
      <c r="AH489" s="2"/>
    </row>
    <row r="490" spans="1:34" x14ac:dyDescent="0.25">
      <c r="A490" s="1" t="str">
        <f t="shared" si="7"/>
        <v/>
      </c>
      <c r="B490" s="2"/>
      <c r="C490" s="2"/>
      <c r="D490" s="2"/>
      <c r="E490" s="2"/>
      <c r="F490" s="2"/>
      <c r="G490" s="6"/>
      <c r="H490" s="2"/>
      <c r="I490" s="7"/>
      <c r="J490" s="8"/>
      <c r="Q490" s="2"/>
      <c r="R490" s="2" t="str">
        <f>IFERROR(IF(ISBLANK(Q490),"",INDEX([1]Gen_Vessels!$A$3:$C$500,MATCH(InspectionSite!$Q490,[1]Gen_Vessels!$C$3:$C$500,0),1)),"")</f>
        <v/>
      </c>
      <c r="S490" s="2"/>
      <c r="T490" s="2" t="str">
        <f>IFERROR(IF(ISBLANK(S490),"",INDEX([1]Gen_Vessels!$A$3:$C$500,MATCH(InspectionSite!$S490,[1]Gen_Vessels!$C$3:$C$500,0),1)),"")</f>
        <v/>
      </c>
      <c r="U490" s="2"/>
      <c r="V490" s="2"/>
      <c r="W490" s="2"/>
      <c r="X490" s="2"/>
      <c r="Y490" s="2"/>
      <c r="AB490" s="2"/>
      <c r="AC490" s="2"/>
      <c r="AD490" s="2"/>
      <c r="AE490" s="2"/>
      <c r="AF490" s="2"/>
      <c r="AG490" s="2"/>
      <c r="AH490" s="2"/>
    </row>
    <row r="491" spans="1:34" x14ac:dyDescent="0.25">
      <c r="R491" s="2" t="str">
        <f>IFERROR(IF(ISBLANK(Q491),"",INDEX([1]Gen_Vessels!$A$3:$C$500,MATCH(InspectionSite!$Q491,[1]Gen_Vessels!$C$3:$C$500,0),1)),"")</f>
        <v/>
      </c>
      <c r="T491" s="2" t="str">
        <f>IFERROR(IF(ISBLANK(S491),"",INDEX([1]Gen_Vessels!$A$3:$C$500,MATCH(InspectionSite!$S491,[1]Gen_Vessels!$C$3:$C$500,0),1)),"")</f>
        <v/>
      </c>
    </row>
    <row r="492" spans="1:34" x14ac:dyDescent="0.25">
      <c r="R492" s="2" t="str">
        <f>IFERROR(IF(ISBLANK(Q492),"",INDEX([1]Gen_Vessels!$A$3:$C$500,MATCH(InspectionSite!$Q492,[1]Gen_Vessels!$C$3:$C$500,0),1)),"")</f>
        <v/>
      </c>
      <c r="T492" s="2" t="str">
        <f>IFERROR(IF(ISBLANK(S492),"",INDEX([1]Gen_Vessels!$A$3:$C$500,MATCH(InspectionSite!$S492,[1]Gen_Vessels!$C$3:$C$500,0),1)),"")</f>
        <v/>
      </c>
    </row>
    <row r="493" spans="1:34" x14ac:dyDescent="0.25">
      <c r="R493" s="2" t="str">
        <f>IFERROR(IF(ISBLANK(Q493),"",INDEX([1]Gen_Vessels!$A$3:$C$500,MATCH(InspectionSite!$Q493,[1]Gen_Vessels!$C$3:$C$500,0),1)),"")</f>
        <v/>
      </c>
      <c r="T493" s="2" t="str">
        <f>IFERROR(IF(ISBLANK(S493),"",INDEX([1]Gen_Vessels!$A$3:$C$500,MATCH(InspectionSite!$S493,[1]Gen_Vessels!$C$3:$C$500,0),1)),"")</f>
        <v/>
      </c>
    </row>
    <row r="494" spans="1:34" x14ac:dyDescent="0.25">
      <c r="R494" s="2" t="str">
        <f>IFERROR(IF(ISBLANK(Q494),"",INDEX([1]Gen_Vessels!$A$3:$C$500,MATCH(InspectionSite!$Q494,[1]Gen_Vessels!$C$3:$C$500,0),1)),"")</f>
        <v/>
      </c>
      <c r="T494" s="2" t="str">
        <f>IFERROR(IF(ISBLANK(S494),"",INDEX([1]Gen_Vessels!$A$3:$C$500,MATCH(InspectionSite!$S494,[1]Gen_Vessels!$C$3:$C$500,0),1)),"")</f>
        <v/>
      </c>
    </row>
    <row r="495" spans="1:34" x14ac:dyDescent="0.25">
      <c r="R495" s="2" t="str">
        <f>IFERROR(IF(ISBLANK(Q495),"",INDEX([1]Gen_Vessels!$A$3:$C$500,MATCH(InspectionSite!$Q495,[1]Gen_Vessels!$C$3:$C$500,0),1)),"")</f>
        <v/>
      </c>
      <c r="T495" s="2" t="str">
        <f>IFERROR(IF(ISBLANK(S495),"",INDEX([1]Gen_Vessels!$A$3:$C$500,MATCH(InspectionSite!$S495,[1]Gen_Vessels!$C$3:$C$500,0),1)),"")</f>
        <v/>
      </c>
    </row>
    <row r="496" spans="1:34" x14ac:dyDescent="0.25">
      <c r="R496" s="2" t="str">
        <f>IFERROR(IF(ISBLANK(Q496),"",INDEX([1]Gen_Vessels!$A$3:$C$500,MATCH(InspectionSite!$Q496,[1]Gen_Vessels!$C$3:$C$500,0),1)),"")</f>
        <v/>
      </c>
      <c r="T496" s="2" t="str">
        <f>IFERROR(IF(ISBLANK(S496),"",INDEX([1]Gen_Vessels!$A$3:$C$500,MATCH(InspectionSite!$S496,[1]Gen_Vessels!$C$3:$C$500,0),1)),"")</f>
        <v/>
      </c>
    </row>
    <row r="497" spans="18:20" x14ac:dyDescent="0.25">
      <c r="R497" s="2" t="str">
        <f>IFERROR(IF(ISBLANK(Q497),"",INDEX([1]Gen_Vessels!$A$3:$C$500,MATCH(InspectionSite!$Q497,[1]Gen_Vessels!$C$3:$C$500,0),1)),"")</f>
        <v/>
      </c>
      <c r="T497" s="2" t="str">
        <f>IFERROR(IF(ISBLANK(S497),"",INDEX([1]Gen_Vessels!$A$3:$C$500,MATCH(InspectionSite!$S497,[1]Gen_Vessels!$C$3:$C$500,0),1)),"")</f>
        <v/>
      </c>
    </row>
    <row r="498" spans="18:20" x14ac:dyDescent="0.25">
      <c r="R498" s="2" t="str">
        <f>IFERROR(IF(ISBLANK(Q498),"",INDEX([1]Gen_Vessels!$A$3:$C$500,MATCH(InspectionSite!$Q498,[1]Gen_Vessels!$C$3:$C$500,0),1)),"")</f>
        <v/>
      </c>
      <c r="T498" s="2" t="str">
        <f>IFERROR(IF(ISBLANK(S498),"",INDEX([1]Gen_Vessels!$A$3:$C$500,MATCH(InspectionSite!$S498,[1]Gen_Vessels!$C$3:$C$500,0),1)),"")</f>
        <v/>
      </c>
    </row>
  </sheetData>
  <conditionalFormatting sqref="A1:B1048576">
    <cfRule type="expression" dxfId="14" priority="9">
      <formula>AND(COUNTIF(A:A,$A1)&gt;1,$A1&lt;&gt;"")</formula>
    </cfRule>
  </conditionalFormatting>
  <conditionalFormatting sqref="D3:D500 K3:K500">
    <cfRule type="expression" dxfId="13" priority="10">
      <formula>AND(NOT(ISBLANK(D3)),D3=$A3)</formula>
    </cfRule>
  </conditionalFormatting>
  <conditionalFormatting sqref="G3:I500">
    <cfRule type="expression" dxfId="12" priority="11">
      <formula>AND(NOT(ISBLANK($B3)),$G3=0,$H3=0,$I3=0)</formula>
    </cfRule>
  </conditionalFormatting>
  <conditionalFormatting sqref="Z3:Z500">
    <cfRule type="expression" dxfId="11" priority="8">
      <formula>AND(NOT(ISBLANK($B3)),IF(AND(NOT(ISBLANK($A3)),ISBLANK(Z3)),TRUE,FALSE))</formula>
    </cfRule>
  </conditionalFormatting>
  <conditionalFormatting sqref="AA3:AA5">
    <cfRule type="expression" dxfId="10" priority="2">
      <formula>AND(COUNTIF(AA:AA,$A3)&gt;1,$A3&lt;&gt;"")</formula>
    </cfRule>
  </conditionalFormatting>
  <conditionalFormatting sqref="AB3:AB15">
    <cfRule type="expression" dxfId="9" priority="1">
      <formula>AND(NOT(ISBLANK(AB3)),AB3=$A3)</formula>
    </cfRule>
  </conditionalFormatting>
  <dataValidations count="10">
    <dataValidation type="list" allowBlank="1" showInputMessage="1" showErrorMessage="1" sqref="Z3:Z15" xr:uid="{44B9613B-87C3-462A-A677-F800D35A6DBB}">
      <formula1>"device, array_cable, exp_cable, dyn_cable-sub"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L3:P18" xr:uid="{92947757-6D73-4F6D-8346-C1B025EB7696}">
      <formula1>AND(ISNUMBER(L3),L3&gt;0)</formula1>
    </dataValidation>
    <dataValidation type="list" allowBlank="1" showInputMessage="1" showErrorMessage="1" sqref="D3:D15 K3:K1048576 AB3:AB15" xr:uid="{0EF80DB7-C51B-4F20-9B35-51C8661D3D74}">
      <formula1>"False,True"</formula1>
    </dataValidation>
    <dataValidation type="decimal" operator="greaterThanOrEqual" allowBlank="1" showInputMessage="1" showErrorMessage="1" sqref="W3:Y486" xr:uid="{02F1E916-8E59-416A-A33A-40821B60EC1C}">
      <formula1>0</formula1>
    </dataValidation>
    <dataValidation type="decimal" operator="greaterThan" allowBlank="1" showInputMessage="1" showErrorMessage="1" sqref="J3:J490 E3:E1048576" xr:uid="{FA41915F-EAC8-46C0-B1B3-CFB5BF199673}">
      <formula1>0</formula1>
    </dataValidation>
    <dataValidation type="whole" operator="greaterThanOrEqual" allowBlank="1" showInputMessage="1" showErrorMessage="1" sqref="V3:V486" xr:uid="{BA28D496-B1DE-47DF-8E3D-45142A7936F0}">
      <formula1>1</formula1>
    </dataValidation>
    <dataValidation type="list" allowBlank="1" showInputMessage="1" showErrorMessage="1" sqref="Z17:Z172" xr:uid="{B00F7F8C-7D9A-4996-97A6-9ACCEE2B7206}">
      <formula1>"opv-device, opv-cable, opv-inverter, opv-substation, opv-intercable, ofw-device, ofw-substation, ofw-intercable, owc-device, owc-substation, owc-intercable, owc-device, owc-substation, owc-intercable, exp_cable, substation"</formula1>
    </dataValidation>
    <dataValidation type="decimal" operator="greaterThan" allowBlank="1" showInputMessage="1" showErrorMessage="1" errorTitle="Wrong input" error="Leave it empy or it must be a decimal greater than 0.0." sqref="L19:P513" xr:uid="{074EA0B3-6168-4B33-97BD-E2B146ABE7BA}">
      <formula1>0</formula1>
    </dataValidation>
    <dataValidation operator="greaterThan" allowBlank="1" showInputMessage="1" showErrorMessage="1" sqref="G2:K2" xr:uid="{CAE242C0-61DA-46D0-B72B-12DE4C389401}"/>
    <dataValidation type="whole" operator="greaterThanOrEqual" allowBlank="1" showInputMessage="1" showErrorMessage="1" sqref="G487:I489" xr:uid="{11BCD89C-6E98-4579-979E-93E4F079A784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0F5D-0FC9-446E-829A-8C3DE1AF622A}">
  <sheetPr>
    <tabColor theme="4" tint="0.39997558519241921"/>
  </sheetPr>
  <dimension ref="A1:T492"/>
  <sheetViews>
    <sheetView zoomScaleNormal="100" workbookViewId="0">
      <pane xSplit="3" ySplit="2" topLeftCell="K3" activePane="bottomRight" state="frozen"/>
      <selection pane="topRight" activeCell="C1" sqref="C1"/>
      <selection pane="bottomLeft" activeCell="A3" sqref="A3"/>
      <selection pane="bottomRight" activeCell="M1" sqref="M1:M2"/>
    </sheetView>
  </sheetViews>
  <sheetFormatPr defaultColWidth="9.28515625" defaultRowHeight="15" x14ac:dyDescent="0.25"/>
  <cols>
    <col min="1" max="1" width="18.7109375" style="1" customWidth="1"/>
    <col min="2" max="2" width="16.7109375" style="1" customWidth="1"/>
    <col min="3" max="3" width="40.7109375" style="1" customWidth="1"/>
    <col min="4" max="4" width="12.7109375" style="1" customWidth="1"/>
    <col min="5" max="5" width="19.42578125" style="1" customWidth="1"/>
    <col min="6" max="6" width="18.7109375" style="1" customWidth="1"/>
    <col min="7" max="7" width="13.7109375" style="1" customWidth="1"/>
    <col min="8" max="8" width="6.7109375" style="1" customWidth="1"/>
    <col min="9" max="10" width="21.42578125" style="1" customWidth="1"/>
    <col min="11" max="11" width="13.5703125" style="1" customWidth="1"/>
    <col min="12" max="12" width="12.7109375" style="1" customWidth="1"/>
    <col min="13" max="16384" width="9.28515625" style="1"/>
  </cols>
  <sheetData>
    <row r="1" spans="1:20" x14ac:dyDescent="0.25">
      <c r="A1" s="1" t="s">
        <v>0</v>
      </c>
      <c r="B1" s="1" t="s">
        <v>27</v>
      </c>
      <c r="C1" s="1" t="s">
        <v>1</v>
      </c>
      <c r="D1" s="1" t="s">
        <v>9</v>
      </c>
      <c r="E1" s="1" t="s">
        <v>10</v>
      </c>
      <c r="F1" s="1" t="s">
        <v>106</v>
      </c>
      <c r="G1" s="1" t="s">
        <v>59</v>
      </c>
      <c r="H1" s="1" t="s">
        <v>62</v>
      </c>
      <c r="I1" s="1" t="s">
        <v>66</v>
      </c>
      <c r="J1" s="1" t="s">
        <v>12</v>
      </c>
      <c r="K1" s="1" t="s">
        <v>13</v>
      </c>
      <c r="L1" s="1" t="s">
        <v>14</v>
      </c>
      <c r="M1" s="1" t="s">
        <v>122</v>
      </c>
    </row>
    <row r="2" spans="1:20" x14ac:dyDescent="0.25">
      <c r="A2" s="1" t="s">
        <v>3</v>
      </c>
      <c r="B2" s="1" t="s">
        <v>3</v>
      </c>
      <c r="C2" s="1" t="s">
        <v>3</v>
      </c>
      <c r="D2" s="1" t="s">
        <v>6</v>
      </c>
      <c r="E2" s="1" t="s">
        <v>3</v>
      </c>
      <c r="F2" s="1" t="s">
        <v>3</v>
      </c>
      <c r="G2" s="1" t="s">
        <v>67</v>
      </c>
      <c r="H2" s="1" t="s">
        <v>70</v>
      </c>
      <c r="I2" s="1" t="s">
        <v>3</v>
      </c>
      <c r="J2" s="1" t="s">
        <v>5</v>
      </c>
      <c r="K2" s="1" t="s">
        <v>4</v>
      </c>
      <c r="L2" s="1" t="s">
        <v>4</v>
      </c>
      <c r="M2" s="1" t="s">
        <v>123</v>
      </c>
    </row>
    <row r="3" spans="1:20" x14ac:dyDescent="0.25">
      <c r="A3" s="1" t="s">
        <v>116</v>
      </c>
      <c r="B3" s="2" t="s">
        <v>113</v>
      </c>
      <c r="C3" s="2" t="s">
        <v>21</v>
      </c>
      <c r="D3" s="2">
        <v>5</v>
      </c>
      <c r="E3" s="2" t="s">
        <v>7</v>
      </c>
      <c r="F3" s="2">
        <v>10</v>
      </c>
      <c r="G3" s="8">
        <v>168</v>
      </c>
      <c r="I3" s="2">
        <v>3</v>
      </c>
      <c r="J3" s="3">
        <v>300</v>
      </c>
      <c r="K3" s="2">
        <v>498125</v>
      </c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1" t="s">
        <v>115</v>
      </c>
      <c r="B4" s="2" t="s">
        <v>114</v>
      </c>
      <c r="C4" s="2" t="s">
        <v>22</v>
      </c>
      <c r="D4" s="2">
        <v>5</v>
      </c>
      <c r="E4" s="2" t="s">
        <v>7</v>
      </c>
      <c r="F4" s="2">
        <v>10</v>
      </c>
      <c r="G4" s="8">
        <v>672</v>
      </c>
      <c r="I4" s="2">
        <v>3</v>
      </c>
      <c r="J4" s="3">
        <v>300</v>
      </c>
      <c r="K4" s="2">
        <v>498125</v>
      </c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B5" s="2"/>
      <c r="C5" s="2"/>
      <c r="D5" s="2"/>
      <c r="E5" s="2"/>
      <c r="F5" s="2"/>
      <c r="G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B6" s="2"/>
      <c r="C6" s="2"/>
      <c r="D6" s="2"/>
      <c r="E6" s="2"/>
      <c r="F6" s="2"/>
      <c r="G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B7" s="2"/>
      <c r="C7" s="2"/>
      <c r="D7" s="2"/>
      <c r="E7" s="2"/>
      <c r="F7" s="2"/>
      <c r="G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B8" s="2"/>
      <c r="C8" s="2"/>
      <c r="D8" s="2"/>
      <c r="E8" s="2"/>
      <c r="F8" s="2"/>
      <c r="G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B9" s="2"/>
      <c r="C9" s="2"/>
      <c r="D9" s="2"/>
      <c r="E9" s="2"/>
      <c r="F9" s="2"/>
      <c r="G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B10" s="2"/>
      <c r="C10" s="2"/>
      <c r="D10" s="2"/>
      <c r="E10" s="2"/>
      <c r="F10" s="2"/>
      <c r="G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B11" s="2"/>
      <c r="C11" s="2"/>
      <c r="D11" s="2"/>
      <c r="E11" s="2"/>
      <c r="F11" s="2"/>
      <c r="G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B12" s="2"/>
      <c r="C12" s="2"/>
      <c r="D12" s="2"/>
      <c r="E12" s="2"/>
      <c r="F12" s="2"/>
      <c r="G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B13" s="2"/>
      <c r="C13" s="2"/>
      <c r="D13" s="2"/>
      <c r="E13" s="2"/>
      <c r="F13" s="2"/>
      <c r="G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B14" s="2"/>
      <c r="C14" s="2"/>
      <c r="D14" s="2"/>
      <c r="E14" s="2"/>
      <c r="F14" s="2"/>
      <c r="G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B15" s="2"/>
      <c r="C15" s="2"/>
      <c r="D15" s="2"/>
      <c r="E15" s="2"/>
      <c r="F15" s="2"/>
      <c r="G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B16" s="2"/>
      <c r="C16" s="2"/>
      <c r="D16" s="2"/>
      <c r="E16" s="2"/>
      <c r="F16" s="2"/>
      <c r="G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x14ac:dyDescent="0.25">
      <c r="B17" s="2"/>
      <c r="C17" s="2"/>
      <c r="D17" s="2"/>
      <c r="E17" s="2"/>
      <c r="F17" s="2"/>
      <c r="G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x14ac:dyDescent="0.25">
      <c r="B18" s="2"/>
      <c r="C18" s="2"/>
      <c r="D18" s="2"/>
      <c r="E18" s="2"/>
      <c r="F18" s="2"/>
      <c r="G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x14ac:dyDescent="0.25">
      <c r="B19" s="2"/>
      <c r="C19" s="2"/>
      <c r="D19" s="2"/>
      <c r="E19" s="2"/>
      <c r="F19" s="2"/>
      <c r="G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x14ac:dyDescent="0.25">
      <c r="B20" s="2"/>
      <c r="C20" s="2"/>
      <c r="D20" s="2"/>
      <c r="E20" s="2"/>
      <c r="F20" s="2"/>
      <c r="G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x14ac:dyDescent="0.25">
      <c r="B21" s="2"/>
      <c r="C21" s="2"/>
      <c r="D21" s="2"/>
      <c r="E21" s="2"/>
      <c r="F21" s="2"/>
      <c r="G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x14ac:dyDescent="0.25">
      <c r="B22" s="2"/>
      <c r="C22" s="2"/>
      <c r="D22" s="2"/>
      <c r="E22" s="2"/>
      <c r="F22" s="2"/>
      <c r="G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x14ac:dyDescent="0.25">
      <c r="B23" s="2"/>
      <c r="C23" s="2"/>
      <c r="D23" s="2"/>
      <c r="E23" s="2"/>
      <c r="F23" s="2"/>
      <c r="G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x14ac:dyDescent="0.25">
      <c r="B24" s="2"/>
      <c r="C24" s="2"/>
      <c r="D24" s="2"/>
      <c r="E24" s="2"/>
      <c r="F24" s="2"/>
      <c r="G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x14ac:dyDescent="0.25">
      <c r="B25" s="2"/>
      <c r="C25" s="2"/>
      <c r="D25" s="2"/>
      <c r="E25" s="2"/>
      <c r="F25" s="2"/>
      <c r="G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x14ac:dyDescent="0.25">
      <c r="B26" s="2"/>
      <c r="C26" s="2"/>
      <c r="D26" s="2"/>
      <c r="E26" s="2"/>
      <c r="F26" s="2"/>
      <c r="G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x14ac:dyDescent="0.25">
      <c r="B27" s="2"/>
      <c r="C27" s="2"/>
      <c r="D27" s="2"/>
      <c r="E27" s="2"/>
      <c r="F27" s="2"/>
      <c r="G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x14ac:dyDescent="0.25">
      <c r="B28" s="2"/>
      <c r="C28" s="2"/>
      <c r="D28" s="2"/>
      <c r="E28" s="2"/>
      <c r="F28" s="2"/>
      <c r="G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x14ac:dyDescent="0.25">
      <c r="B29" s="2"/>
      <c r="C29" s="2"/>
      <c r="D29" s="2"/>
      <c r="E29" s="2"/>
      <c r="F29" s="2"/>
      <c r="G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x14ac:dyDescent="0.25">
      <c r="B30" s="2"/>
      <c r="C30" s="2"/>
      <c r="D30" s="2"/>
      <c r="E30" s="2"/>
      <c r="F30" s="2"/>
      <c r="G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x14ac:dyDescent="0.25">
      <c r="B31" s="2"/>
      <c r="C31" s="2"/>
      <c r="D31" s="2"/>
      <c r="E31" s="2"/>
      <c r="F31" s="2"/>
      <c r="G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x14ac:dyDescent="0.25">
      <c r="B32" s="2"/>
      <c r="C32" s="2"/>
      <c r="D32" s="2"/>
      <c r="E32" s="2"/>
      <c r="F32" s="2"/>
      <c r="G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x14ac:dyDescent="0.25">
      <c r="B33" s="2"/>
      <c r="C33" s="2"/>
      <c r="D33" s="2"/>
      <c r="E33" s="2"/>
      <c r="F33" s="2"/>
      <c r="G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x14ac:dyDescent="0.25">
      <c r="B34" s="2"/>
      <c r="C34" s="2"/>
      <c r="D34" s="2"/>
      <c r="E34" s="2"/>
      <c r="F34" s="2"/>
      <c r="G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x14ac:dyDescent="0.25">
      <c r="B35" s="2"/>
      <c r="C35" s="2"/>
      <c r="D35" s="2"/>
      <c r="E35" s="2"/>
      <c r="F35" s="2"/>
      <c r="G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x14ac:dyDescent="0.25">
      <c r="B36" s="2"/>
      <c r="C36" s="2"/>
      <c r="D36" s="2"/>
      <c r="E36" s="2"/>
      <c r="F36" s="2"/>
      <c r="G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x14ac:dyDescent="0.25">
      <c r="B37" s="2"/>
      <c r="C37" s="2"/>
      <c r="D37" s="2"/>
      <c r="E37" s="2"/>
      <c r="F37" s="2"/>
      <c r="G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x14ac:dyDescent="0.25">
      <c r="B38" s="2"/>
      <c r="C38" s="2"/>
      <c r="D38" s="2"/>
      <c r="E38" s="2"/>
      <c r="F38" s="2"/>
      <c r="G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x14ac:dyDescent="0.25">
      <c r="B39" s="2"/>
      <c r="C39" s="2"/>
      <c r="D39" s="2"/>
      <c r="E39" s="2"/>
      <c r="F39" s="2"/>
      <c r="G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x14ac:dyDescent="0.25">
      <c r="B40" s="2"/>
      <c r="C40" s="2"/>
      <c r="D40" s="2"/>
      <c r="E40" s="2"/>
      <c r="F40" s="2"/>
      <c r="G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x14ac:dyDescent="0.25">
      <c r="B41" s="2"/>
      <c r="C41" s="2"/>
      <c r="D41" s="2"/>
      <c r="E41" s="2"/>
      <c r="F41" s="2"/>
      <c r="G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x14ac:dyDescent="0.25">
      <c r="B42" s="2"/>
      <c r="C42" s="2"/>
      <c r="D42" s="2"/>
      <c r="E42" s="2"/>
      <c r="F42" s="2"/>
      <c r="G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x14ac:dyDescent="0.25">
      <c r="B43" s="2"/>
      <c r="C43" s="2"/>
      <c r="D43" s="2"/>
      <c r="E43" s="2"/>
      <c r="F43" s="2"/>
      <c r="G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x14ac:dyDescent="0.25">
      <c r="B44" s="2"/>
      <c r="C44" s="2"/>
      <c r="D44" s="2"/>
      <c r="E44" s="2"/>
      <c r="F44" s="2"/>
      <c r="G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x14ac:dyDescent="0.25">
      <c r="B45" s="2"/>
      <c r="C45" s="2"/>
      <c r="D45" s="2"/>
      <c r="E45" s="2"/>
      <c r="F45" s="2"/>
      <c r="G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x14ac:dyDescent="0.25">
      <c r="B46" s="2"/>
      <c r="C46" s="2"/>
      <c r="D46" s="2"/>
      <c r="E46" s="2"/>
      <c r="F46" s="2"/>
      <c r="G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x14ac:dyDescent="0.25">
      <c r="B47" s="2"/>
      <c r="C47" s="2"/>
      <c r="D47" s="2"/>
      <c r="E47" s="2"/>
      <c r="F47" s="2"/>
      <c r="G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x14ac:dyDescent="0.25">
      <c r="B48" s="2"/>
      <c r="C48" s="2"/>
      <c r="D48" s="2"/>
      <c r="E48" s="2"/>
      <c r="F48" s="2"/>
      <c r="G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x14ac:dyDescent="0.25">
      <c r="B49" s="2"/>
      <c r="C49" s="2"/>
      <c r="D49" s="2"/>
      <c r="E49" s="2"/>
      <c r="F49" s="2"/>
      <c r="G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x14ac:dyDescent="0.25">
      <c r="B50" s="2"/>
      <c r="C50" s="2"/>
      <c r="D50" s="2"/>
      <c r="E50" s="2"/>
      <c r="F50" s="2"/>
      <c r="G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x14ac:dyDescent="0.25">
      <c r="B51" s="2"/>
      <c r="C51" s="2"/>
      <c r="D51" s="2"/>
      <c r="E51" s="2"/>
      <c r="F51" s="2"/>
      <c r="G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x14ac:dyDescent="0.25">
      <c r="B52" s="2"/>
      <c r="C52" s="2"/>
      <c r="D52" s="2"/>
      <c r="E52" s="2"/>
      <c r="F52" s="2"/>
      <c r="G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x14ac:dyDescent="0.25">
      <c r="B53" s="2"/>
      <c r="C53" s="2"/>
      <c r="D53" s="2"/>
      <c r="E53" s="2"/>
      <c r="F53" s="2"/>
      <c r="G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x14ac:dyDescent="0.25">
      <c r="B54" s="2"/>
      <c r="C54" s="2"/>
      <c r="D54" s="2"/>
      <c r="E54" s="2"/>
      <c r="F54" s="2"/>
      <c r="G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x14ac:dyDescent="0.25">
      <c r="B55" s="2"/>
      <c r="C55" s="2"/>
      <c r="D55" s="2"/>
      <c r="E55" s="2"/>
      <c r="F55" s="2"/>
      <c r="G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25">
      <c r="B56" s="2"/>
      <c r="C56" s="2"/>
      <c r="D56" s="2"/>
      <c r="E56" s="2"/>
      <c r="F56" s="2"/>
      <c r="G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x14ac:dyDescent="0.25">
      <c r="B57" s="2"/>
      <c r="C57" s="2"/>
      <c r="D57" s="2"/>
      <c r="E57" s="2"/>
      <c r="F57" s="2"/>
      <c r="G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x14ac:dyDescent="0.25">
      <c r="B58" s="2"/>
      <c r="C58" s="2"/>
      <c r="D58" s="2"/>
      <c r="E58" s="2"/>
      <c r="F58" s="2"/>
      <c r="G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x14ac:dyDescent="0.25">
      <c r="B59" s="2"/>
      <c r="C59" s="2"/>
      <c r="D59" s="2"/>
      <c r="E59" s="2"/>
      <c r="F59" s="2"/>
      <c r="G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x14ac:dyDescent="0.25">
      <c r="B60" s="2"/>
      <c r="C60" s="2"/>
      <c r="D60" s="2"/>
      <c r="E60" s="2"/>
      <c r="F60" s="2"/>
      <c r="G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x14ac:dyDescent="0.25">
      <c r="B61" s="2"/>
      <c r="C61" s="2"/>
      <c r="D61" s="2"/>
      <c r="E61" s="2"/>
      <c r="F61" s="2"/>
      <c r="G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x14ac:dyDescent="0.25">
      <c r="B62" s="2"/>
      <c r="C62" s="2"/>
      <c r="D62" s="2"/>
      <c r="E62" s="2"/>
      <c r="F62" s="2"/>
      <c r="G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x14ac:dyDescent="0.25">
      <c r="B63" s="2"/>
      <c r="C63" s="2"/>
      <c r="D63" s="2"/>
      <c r="E63" s="2"/>
      <c r="F63" s="2"/>
      <c r="G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x14ac:dyDescent="0.25">
      <c r="B64" s="2"/>
      <c r="C64" s="2"/>
      <c r="D64" s="2"/>
      <c r="E64" s="2"/>
      <c r="F64" s="2"/>
      <c r="G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x14ac:dyDescent="0.25">
      <c r="B65" s="2"/>
      <c r="C65" s="2"/>
      <c r="D65" s="2"/>
      <c r="E65" s="2"/>
      <c r="F65" s="2"/>
      <c r="G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x14ac:dyDescent="0.25">
      <c r="B66" s="2"/>
      <c r="C66" s="2"/>
      <c r="D66" s="2"/>
      <c r="E66" s="2"/>
      <c r="F66" s="2"/>
      <c r="G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x14ac:dyDescent="0.25">
      <c r="B67" s="2"/>
      <c r="C67" s="2"/>
      <c r="D67" s="2"/>
      <c r="E67" s="2"/>
      <c r="F67" s="2"/>
      <c r="G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x14ac:dyDescent="0.25">
      <c r="B68" s="2"/>
      <c r="C68" s="2"/>
      <c r="D68" s="2"/>
      <c r="E68" s="2"/>
      <c r="F68" s="2"/>
      <c r="G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x14ac:dyDescent="0.25">
      <c r="B69" s="2"/>
      <c r="C69" s="2"/>
      <c r="D69" s="2"/>
      <c r="E69" s="2"/>
      <c r="F69" s="2"/>
      <c r="G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x14ac:dyDescent="0.25">
      <c r="B70" s="2"/>
      <c r="C70" s="2"/>
      <c r="D70" s="2"/>
      <c r="E70" s="2"/>
      <c r="F70" s="2"/>
      <c r="G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x14ac:dyDescent="0.25">
      <c r="B71" s="2"/>
      <c r="C71" s="2"/>
      <c r="D71" s="2"/>
      <c r="E71" s="2"/>
      <c r="F71" s="2"/>
      <c r="G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x14ac:dyDescent="0.25">
      <c r="B72" s="2"/>
      <c r="C72" s="2"/>
      <c r="D72" s="2"/>
      <c r="E72" s="2"/>
      <c r="F72" s="2"/>
      <c r="G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x14ac:dyDescent="0.25">
      <c r="B73" s="2"/>
      <c r="C73" s="2"/>
      <c r="D73" s="2"/>
      <c r="E73" s="2"/>
      <c r="F73" s="2"/>
      <c r="G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x14ac:dyDescent="0.25">
      <c r="B74" s="2"/>
      <c r="C74" s="2"/>
      <c r="D74" s="2"/>
      <c r="E74" s="2"/>
      <c r="F74" s="2"/>
      <c r="G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x14ac:dyDescent="0.25">
      <c r="B75" s="2"/>
      <c r="C75" s="2"/>
      <c r="D75" s="2"/>
      <c r="E75" s="2"/>
      <c r="F75" s="2"/>
      <c r="G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x14ac:dyDescent="0.25">
      <c r="B76" s="2"/>
      <c r="C76" s="2"/>
      <c r="D76" s="2"/>
      <c r="E76" s="2"/>
      <c r="F76" s="2"/>
      <c r="G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x14ac:dyDescent="0.25">
      <c r="B77" s="2"/>
      <c r="C77" s="2"/>
      <c r="D77" s="2"/>
      <c r="E77" s="2"/>
      <c r="F77" s="2"/>
      <c r="G77" s="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x14ac:dyDescent="0.25">
      <c r="B78" s="2"/>
      <c r="C78" s="2"/>
      <c r="D78" s="2"/>
      <c r="E78" s="2"/>
      <c r="F78" s="2"/>
      <c r="G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x14ac:dyDescent="0.25">
      <c r="B79" s="2"/>
      <c r="C79" s="2"/>
      <c r="D79" s="2"/>
      <c r="E79" s="2"/>
      <c r="F79" s="2"/>
      <c r="G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x14ac:dyDescent="0.25">
      <c r="B80" s="2"/>
      <c r="C80" s="2"/>
      <c r="D80" s="2"/>
      <c r="E80" s="2"/>
      <c r="F80" s="2"/>
      <c r="G80" s="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x14ac:dyDescent="0.25">
      <c r="B81" s="2"/>
      <c r="C81" s="2"/>
      <c r="D81" s="2"/>
      <c r="E81" s="2"/>
      <c r="F81" s="2"/>
      <c r="G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x14ac:dyDescent="0.25">
      <c r="B82" s="2"/>
      <c r="C82" s="2"/>
      <c r="D82" s="2"/>
      <c r="E82" s="2"/>
      <c r="F82" s="2"/>
      <c r="G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x14ac:dyDescent="0.25">
      <c r="B83" s="2"/>
      <c r="C83" s="2"/>
      <c r="D83" s="2"/>
      <c r="E83" s="2"/>
      <c r="F83" s="2"/>
      <c r="G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25">
      <c r="B84" s="2"/>
      <c r="C84" s="2"/>
      <c r="D84" s="2"/>
      <c r="E84" s="2"/>
      <c r="F84" s="2"/>
      <c r="G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x14ac:dyDescent="0.25">
      <c r="B85" s="2"/>
      <c r="C85" s="2"/>
      <c r="D85" s="2"/>
      <c r="E85" s="2"/>
      <c r="F85" s="2"/>
      <c r="G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x14ac:dyDescent="0.25">
      <c r="B86" s="2"/>
      <c r="C86" s="2"/>
      <c r="D86" s="2"/>
      <c r="E86" s="2"/>
      <c r="F86" s="2"/>
      <c r="G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x14ac:dyDescent="0.25">
      <c r="B87" s="2"/>
      <c r="C87" s="2"/>
      <c r="D87" s="2"/>
      <c r="E87" s="2"/>
      <c r="F87" s="2"/>
      <c r="G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x14ac:dyDescent="0.25">
      <c r="B88" s="2"/>
      <c r="C88" s="2"/>
      <c r="D88" s="2"/>
      <c r="E88" s="2"/>
      <c r="F88" s="2"/>
      <c r="G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x14ac:dyDescent="0.25">
      <c r="B89" s="2"/>
      <c r="C89" s="2"/>
      <c r="D89" s="2"/>
      <c r="E89" s="2"/>
      <c r="F89" s="2"/>
      <c r="G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x14ac:dyDescent="0.25">
      <c r="B90" s="2"/>
      <c r="C90" s="2"/>
      <c r="D90" s="2"/>
      <c r="E90" s="2"/>
      <c r="F90" s="2"/>
      <c r="G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x14ac:dyDescent="0.25">
      <c r="B91" s="2"/>
      <c r="C91" s="2"/>
      <c r="D91" s="2"/>
      <c r="E91" s="2"/>
      <c r="F91" s="2"/>
      <c r="G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x14ac:dyDescent="0.25">
      <c r="B92" s="2"/>
      <c r="C92" s="2"/>
      <c r="D92" s="2"/>
      <c r="E92" s="2"/>
      <c r="F92" s="2"/>
      <c r="G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x14ac:dyDescent="0.25">
      <c r="B93" s="2"/>
      <c r="C93" s="2"/>
      <c r="D93" s="2"/>
      <c r="E93" s="2"/>
      <c r="F93" s="2"/>
      <c r="G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x14ac:dyDescent="0.25">
      <c r="B94" s="2"/>
      <c r="C94" s="2"/>
      <c r="D94" s="2"/>
      <c r="E94" s="2"/>
      <c r="F94" s="2"/>
      <c r="G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x14ac:dyDescent="0.25">
      <c r="B95" s="2"/>
      <c r="C95" s="2"/>
      <c r="D95" s="2"/>
      <c r="E95" s="2"/>
      <c r="F95" s="2"/>
      <c r="G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x14ac:dyDescent="0.25">
      <c r="B96" s="2"/>
      <c r="C96" s="2"/>
      <c r="D96" s="2"/>
      <c r="E96" s="2"/>
      <c r="F96" s="2"/>
      <c r="G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x14ac:dyDescent="0.25">
      <c r="B97" s="2"/>
      <c r="C97" s="2"/>
      <c r="D97" s="2"/>
      <c r="E97" s="2"/>
      <c r="F97" s="2"/>
      <c r="G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x14ac:dyDescent="0.25">
      <c r="B98" s="2"/>
      <c r="C98" s="2"/>
      <c r="D98" s="2"/>
      <c r="E98" s="2"/>
      <c r="F98" s="2"/>
      <c r="G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x14ac:dyDescent="0.25">
      <c r="B99" s="2"/>
      <c r="C99" s="2"/>
      <c r="D99" s="2"/>
      <c r="E99" s="2"/>
      <c r="F99" s="2"/>
      <c r="G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x14ac:dyDescent="0.25">
      <c r="B100" s="2"/>
      <c r="C100" s="2"/>
      <c r="D100" s="2"/>
      <c r="E100" s="2"/>
      <c r="F100" s="2"/>
      <c r="G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x14ac:dyDescent="0.25">
      <c r="B101" s="2"/>
      <c r="C101" s="2"/>
      <c r="D101" s="2"/>
      <c r="E101" s="2"/>
      <c r="F101" s="2"/>
      <c r="G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x14ac:dyDescent="0.25">
      <c r="B102" s="2"/>
      <c r="C102" s="2"/>
      <c r="D102" s="2"/>
      <c r="E102" s="2"/>
      <c r="F102" s="2"/>
      <c r="G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x14ac:dyDescent="0.25">
      <c r="B103" s="2"/>
      <c r="C103" s="2"/>
      <c r="D103" s="2"/>
      <c r="E103" s="2"/>
      <c r="F103" s="2"/>
      <c r="G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x14ac:dyDescent="0.25">
      <c r="B104" s="2"/>
      <c r="C104" s="2"/>
      <c r="D104" s="2"/>
      <c r="E104" s="2"/>
      <c r="F104" s="2"/>
      <c r="G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x14ac:dyDescent="0.25">
      <c r="B105" s="2"/>
      <c r="C105" s="2"/>
      <c r="D105" s="2"/>
      <c r="E105" s="2"/>
      <c r="F105" s="2"/>
      <c r="G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x14ac:dyDescent="0.25">
      <c r="B106" s="2"/>
      <c r="C106" s="2"/>
      <c r="D106" s="2"/>
      <c r="E106" s="2"/>
      <c r="F106" s="2"/>
      <c r="G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x14ac:dyDescent="0.25">
      <c r="B107" s="2"/>
      <c r="C107" s="2"/>
      <c r="D107" s="2"/>
      <c r="E107" s="2"/>
      <c r="F107" s="2"/>
      <c r="G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x14ac:dyDescent="0.25">
      <c r="B108" s="2"/>
      <c r="C108" s="2"/>
      <c r="D108" s="2"/>
      <c r="E108" s="2"/>
      <c r="F108" s="2"/>
      <c r="G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x14ac:dyDescent="0.25">
      <c r="B109" s="2"/>
      <c r="C109" s="2"/>
      <c r="D109" s="2"/>
      <c r="E109" s="2"/>
      <c r="F109" s="2"/>
      <c r="G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x14ac:dyDescent="0.25">
      <c r="B110" s="2"/>
      <c r="C110" s="2"/>
      <c r="D110" s="2"/>
      <c r="E110" s="2"/>
      <c r="F110" s="2"/>
      <c r="G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x14ac:dyDescent="0.25">
      <c r="B111" s="2"/>
      <c r="C111" s="2"/>
      <c r="D111" s="2"/>
      <c r="E111" s="2"/>
      <c r="F111" s="2"/>
      <c r="G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x14ac:dyDescent="0.25">
      <c r="B112" s="2"/>
      <c r="C112" s="2"/>
      <c r="D112" s="2"/>
      <c r="E112" s="2"/>
      <c r="F112" s="2"/>
      <c r="G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x14ac:dyDescent="0.25">
      <c r="B113" s="2"/>
      <c r="C113" s="2"/>
      <c r="D113" s="2"/>
      <c r="E113" s="2"/>
      <c r="F113" s="2"/>
      <c r="G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x14ac:dyDescent="0.25">
      <c r="B114" s="2"/>
      <c r="C114" s="2"/>
      <c r="D114" s="2"/>
      <c r="E114" s="2"/>
      <c r="F114" s="2"/>
      <c r="G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x14ac:dyDescent="0.25">
      <c r="B115" s="2"/>
      <c r="C115" s="2"/>
      <c r="D115" s="2"/>
      <c r="E115" s="2"/>
      <c r="F115" s="2"/>
      <c r="G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x14ac:dyDescent="0.25">
      <c r="B116" s="2"/>
      <c r="C116" s="2"/>
      <c r="D116" s="2"/>
      <c r="E116" s="2"/>
      <c r="F116" s="2"/>
      <c r="G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x14ac:dyDescent="0.25">
      <c r="B117" s="2"/>
      <c r="C117" s="2"/>
      <c r="D117" s="2"/>
      <c r="E117" s="2"/>
      <c r="F117" s="2"/>
      <c r="G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x14ac:dyDescent="0.25">
      <c r="B118" s="2"/>
      <c r="C118" s="2"/>
      <c r="D118" s="2"/>
      <c r="E118" s="2"/>
      <c r="F118" s="2"/>
      <c r="G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x14ac:dyDescent="0.25">
      <c r="B119" s="2"/>
      <c r="C119" s="2"/>
      <c r="D119" s="2"/>
      <c r="E119" s="2"/>
      <c r="F119" s="2"/>
      <c r="G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x14ac:dyDescent="0.25">
      <c r="B120" s="2"/>
      <c r="C120" s="2"/>
      <c r="D120" s="2"/>
      <c r="E120" s="2"/>
      <c r="F120" s="2"/>
      <c r="G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x14ac:dyDescent="0.25">
      <c r="B121" s="2"/>
      <c r="C121" s="2"/>
      <c r="D121" s="2"/>
      <c r="E121" s="2"/>
      <c r="F121" s="2"/>
      <c r="G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x14ac:dyDescent="0.25">
      <c r="B122" s="2"/>
      <c r="C122" s="2"/>
      <c r="D122" s="2"/>
      <c r="E122" s="2"/>
      <c r="F122" s="2"/>
      <c r="G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x14ac:dyDescent="0.25">
      <c r="B123" s="2"/>
      <c r="C123" s="2"/>
      <c r="D123" s="2"/>
      <c r="E123" s="2"/>
      <c r="F123" s="2"/>
      <c r="G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x14ac:dyDescent="0.25">
      <c r="B124" s="2"/>
      <c r="C124" s="2"/>
      <c r="D124" s="2"/>
      <c r="E124" s="2"/>
      <c r="F124" s="2"/>
      <c r="G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x14ac:dyDescent="0.25">
      <c r="B125" s="2"/>
      <c r="C125" s="2"/>
      <c r="D125" s="2"/>
      <c r="E125" s="2"/>
      <c r="F125" s="2"/>
      <c r="G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x14ac:dyDescent="0.25">
      <c r="B126" s="2"/>
      <c r="C126" s="2"/>
      <c r="D126" s="2"/>
      <c r="E126" s="2"/>
      <c r="F126" s="2"/>
      <c r="G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x14ac:dyDescent="0.25">
      <c r="B127" s="2"/>
      <c r="C127" s="2"/>
      <c r="D127" s="2"/>
      <c r="E127" s="2"/>
      <c r="F127" s="2"/>
      <c r="G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x14ac:dyDescent="0.25">
      <c r="B128" s="2"/>
      <c r="C128" s="2"/>
      <c r="D128" s="2"/>
      <c r="E128" s="2"/>
      <c r="F128" s="2"/>
      <c r="G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x14ac:dyDescent="0.25">
      <c r="B129" s="2"/>
      <c r="C129" s="2"/>
      <c r="D129" s="2"/>
      <c r="E129" s="2"/>
      <c r="F129" s="2"/>
      <c r="G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x14ac:dyDescent="0.25">
      <c r="B130" s="2"/>
      <c r="C130" s="2"/>
      <c r="D130" s="2"/>
      <c r="E130" s="2"/>
      <c r="F130" s="2"/>
      <c r="G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x14ac:dyDescent="0.25">
      <c r="B131" s="2"/>
      <c r="C131" s="2"/>
      <c r="D131" s="2"/>
      <c r="E131" s="2"/>
      <c r="F131" s="2"/>
      <c r="G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x14ac:dyDescent="0.25">
      <c r="B132" s="2"/>
      <c r="C132" s="2"/>
      <c r="D132" s="2"/>
      <c r="E132" s="2"/>
      <c r="F132" s="2"/>
      <c r="G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x14ac:dyDescent="0.25">
      <c r="B133" s="2"/>
      <c r="C133" s="2"/>
      <c r="D133" s="2"/>
      <c r="E133" s="2"/>
      <c r="F133" s="2"/>
      <c r="G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x14ac:dyDescent="0.25">
      <c r="B134" s="2"/>
      <c r="C134" s="2"/>
      <c r="D134" s="2"/>
      <c r="E134" s="2"/>
      <c r="F134" s="2"/>
      <c r="G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x14ac:dyDescent="0.25">
      <c r="B135" s="2"/>
      <c r="C135" s="2"/>
      <c r="D135" s="2"/>
      <c r="E135" s="2"/>
      <c r="F135" s="2"/>
      <c r="G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x14ac:dyDescent="0.25">
      <c r="B136" s="2"/>
      <c r="C136" s="2"/>
      <c r="D136" s="2"/>
      <c r="E136" s="2"/>
      <c r="F136" s="2"/>
      <c r="G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x14ac:dyDescent="0.25">
      <c r="B137" s="2"/>
      <c r="C137" s="2"/>
      <c r="D137" s="2"/>
      <c r="E137" s="2"/>
      <c r="F137" s="2"/>
      <c r="G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x14ac:dyDescent="0.25">
      <c r="B138" s="2"/>
      <c r="C138" s="2"/>
      <c r="D138" s="2"/>
      <c r="E138" s="2"/>
      <c r="F138" s="2"/>
      <c r="G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x14ac:dyDescent="0.25">
      <c r="B139" s="2"/>
      <c r="C139" s="2"/>
      <c r="D139" s="2"/>
      <c r="E139" s="2"/>
      <c r="F139" s="2"/>
      <c r="G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x14ac:dyDescent="0.25">
      <c r="B140" s="2"/>
      <c r="C140" s="2"/>
      <c r="D140" s="2"/>
      <c r="E140" s="2"/>
      <c r="F140" s="2"/>
      <c r="G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x14ac:dyDescent="0.25">
      <c r="B141" s="2"/>
      <c r="C141" s="2"/>
      <c r="D141" s="2"/>
      <c r="E141" s="2"/>
      <c r="F141" s="2"/>
      <c r="G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x14ac:dyDescent="0.25">
      <c r="B142" s="2"/>
      <c r="C142" s="2"/>
      <c r="D142" s="2"/>
      <c r="E142" s="2"/>
      <c r="F142" s="2"/>
      <c r="G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x14ac:dyDescent="0.25">
      <c r="B143" s="2"/>
      <c r="C143" s="2"/>
      <c r="D143" s="2"/>
      <c r="E143" s="2"/>
      <c r="F143" s="2"/>
      <c r="G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x14ac:dyDescent="0.25">
      <c r="B144" s="2"/>
      <c r="C144" s="2"/>
      <c r="D144" s="2"/>
      <c r="E144" s="2"/>
      <c r="F144" s="2"/>
      <c r="G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x14ac:dyDescent="0.25">
      <c r="B145" s="2"/>
      <c r="C145" s="2"/>
      <c r="D145" s="2"/>
      <c r="E145" s="2"/>
      <c r="F145" s="2"/>
      <c r="G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x14ac:dyDescent="0.25">
      <c r="B146" s="2"/>
      <c r="C146" s="2"/>
      <c r="D146" s="2"/>
      <c r="E146" s="2"/>
      <c r="F146" s="2"/>
      <c r="G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x14ac:dyDescent="0.25">
      <c r="B147" s="2"/>
      <c r="C147" s="2"/>
      <c r="D147" s="2"/>
      <c r="E147" s="2"/>
      <c r="F147" s="2"/>
      <c r="G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x14ac:dyDescent="0.25">
      <c r="B148" s="2"/>
      <c r="C148" s="2"/>
      <c r="D148" s="2"/>
      <c r="E148" s="2"/>
      <c r="F148" s="2"/>
      <c r="G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x14ac:dyDescent="0.25">
      <c r="B149" s="2"/>
      <c r="C149" s="2"/>
      <c r="D149" s="2"/>
      <c r="E149" s="2"/>
      <c r="F149" s="2"/>
      <c r="G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x14ac:dyDescent="0.25">
      <c r="B150" s="2"/>
      <c r="C150" s="2"/>
      <c r="D150" s="2"/>
      <c r="E150" s="2"/>
      <c r="F150" s="2"/>
      <c r="G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x14ac:dyDescent="0.25">
      <c r="B151" s="2"/>
      <c r="C151" s="2"/>
      <c r="D151" s="2"/>
      <c r="E151" s="2"/>
      <c r="F151" s="2"/>
      <c r="G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x14ac:dyDescent="0.25">
      <c r="B152" s="2"/>
      <c r="C152" s="2"/>
      <c r="D152" s="2"/>
      <c r="E152" s="2"/>
      <c r="F152" s="2"/>
      <c r="G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x14ac:dyDescent="0.25">
      <c r="B153" s="2"/>
      <c r="C153" s="2"/>
      <c r="D153" s="2"/>
      <c r="E153" s="2"/>
      <c r="F153" s="2"/>
      <c r="G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x14ac:dyDescent="0.25">
      <c r="B154" s="2"/>
      <c r="C154" s="2"/>
      <c r="D154" s="2"/>
      <c r="E154" s="2"/>
      <c r="F154" s="2"/>
      <c r="G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x14ac:dyDescent="0.25">
      <c r="B155" s="2"/>
      <c r="C155" s="2"/>
      <c r="D155" s="2"/>
      <c r="E155" s="2"/>
      <c r="F155" s="2"/>
      <c r="G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x14ac:dyDescent="0.25">
      <c r="B156" s="2"/>
      <c r="C156" s="2"/>
      <c r="D156" s="2"/>
      <c r="E156" s="2"/>
      <c r="F156" s="2"/>
      <c r="G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x14ac:dyDescent="0.25">
      <c r="B157" s="2"/>
      <c r="C157" s="2"/>
      <c r="D157" s="2"/>
      <c r="E157" s="2"/>
      <c r="F157" s="2"/>
      <c r="G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x14ac:dyDescent="0.25">
      <c r="B158" s="2"/>
      <c r="C158" s="2"/>
      <c r="D158" s="2"/>
      <c r="E158" s="2"/>
      <c r="F158" s="2"/>
      <c r="G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x14ac:dyDescent="0.25">
      <c r="B159" s="2"/>
      <c r="C159" s="2"/>
      <c r="D159" s="2"/>
      <c r="E159" s="2"/>
      <c r="F159" s="2"/>
      <c r="G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x14ac:dyDescent="0.25">
      <c r="B160" s="2"/>
      <c r="C160" s="2"/>
      <c r="D160" s="2"/>
      <c r="E160" s="2"/>
      <c r="F160" s="2"/>
      <c r="G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x14ac:dyDescent="0.25">
      <c r="B161" s="2"/>
      <c r="C161" s="2"/>
      <c r="D161" s="2"/>
      <c r="E161" s="2"/>
      <c r="F161" s="2"/>
      <c r="G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x14ac:dyDescent="0.25">
      <c r="B162" s="2"/>
      <c r="C162" s="2"/>
      <c r="D162" s="2"/>
      <c r="E162" s="2"/>
      <c r="F162" s="2"/>
      <c r="G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x14ac:dyDescent="0.25">
      <c r="B163" s="2"/>
      <c r="C163" s="2"/>
      <c r="D163" s="2"/>
      <c r="E163" s="2"/>
      <c r="F163" s="2"/>
      <c r="G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x14ac:dyDescent="0.25">
      <c r="B164" s="2"/>
      <c r="C164" s="2"/>
      <c r="D164" s="2"/>
      <c r="E164" s="2"/>
      <c r="F164" s="2"/>
      <c r="G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x14ac:dyDescent="0.25">
      <c r="B165" s="2"/>
      <c r="C165" s="2"/>
      <c r="D165" s="2"/>
      <c r="E165" s="2"/>
      <c r="F165" s="2"/>
      <c r="G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x14ac:dyDescent="0.25">
      <c r="B166" s="2"/>
      <c r="C166" s="2"/>
      <c r="D166" s="2"/>
      <c r="E166" s="2"/>
      <c r="F166" s="2"/>
      <c r="G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x14ac:dyDescent="0.25">
      <c r="B167" s="2"/>
      <c r="C167" s="2"/>
      <c r="D167" s="2"/>
      <c r="E167" s="2"/>
      <c r="F167" s="2"/>
      <c r="G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x14ac:dyDescent="0.25">
      <c r="B168" s="2"/>
      <c r="C168" s="2"/>
      <c r="D168" s="2"/>
      <c r="E168" s="2"/>
      <c r="F168" s="2"/>
      <c r="G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x14ac:dyDescent="0.25">
      <c r="B169" s="2"/>
      <c r="C169" s="2"/>
      <c r="D169" s="2"/>
      <c r="E169" s="2"/>
      <c r="F169" s="2"/>
      <c r="G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x14ac:dyDescent="0.25">
      <c r="B170" s="2"/>
      <c r="C170" s="2"/>
      <c r="D170" s="2"/>
      <c r="E170" s="2"/>
      <c r="F170" s="2"/>
      <c r="G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x14ac:dyDescent="0.25">
      <c r="B171" s="2"/>
      <c r="C171" s="2"/>
      <c r="D171" s="2"/>
      <c r="E171" s="2"/>
      <c r="F171" s="2"/>
      <c r="G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x14ac:dyDescent="0.25">
      <c r="B172" s="2"/>
      <c r="C172" s="2"/>
      <c r="D172" s="2"/>
      <c r="E172" s="2"/>
      <c r="F172" s="2"/>
      <c r="G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x14ac:dyDescent="0.25">
      <c r="B173" s="2"/>
      <c r="C173" s="2"/>
      <c r="D173" s="2"/>
      <c r="E173" s="2"/>
      <c r="F173" s="2"/>
      <c r="G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x14ac:dyDescent="0.25">
      <c r="B174" s="2"/>
      <c r="C174" s="2"/>
      <c r="D174" s="2"/>
      <c r="E174" s="2"/>
      <c r="F174" s="2"/>
      <c r="G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x14ac:dyDescent="0.25">
      <c r="B175" s="2"/>
      <c r="C175" s="2"/>
      <c r="D175" s="2"/>
      <c r="E175" s="2"/>
      <c r="F175" s="2"/>
      <c r="G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x14ac:dyDescent="0.25">
      <c r="B176" s="2"/>
      <c r="C176" s="2"/>
      <c r="D176" s="2"/>
      <c r="E176" s="2"/>
      <c r="F176" s="2"/>
      <c r="G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x14ac:dyDescent="0.25">
      <c r="B177" s="2"/>
      <c r="C177" s="2"/>
      <c r="D177" s="2"/>
      <c r="E177" s="2"/>
      <c r="F177" s="2"/>
      <c r="G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x14ac:dyDescent="0.25">
      <c r="B178" s="2"/>
      <c r="C178" s="2"/>
      <c r="D178" s="2"/>
      <c r="E178" s="2"/>
      <c r="F178" s="2"/>
      <c r="G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x14ac:dyDescent="0.25">
      <c r="B179" s="2"/>
      <c r="C179" s="2"/>
      <c r="D179" s="2"/>
      <c r="E179" s="2"/>
      <c r="F179" s="2"/>
      <c r="G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x14ac:dyDescent="0.25">
      <c r="B180" s="2"/>
      <c r="C180" s="2"/>
      <c r="D180" s="2"/>
      <c r="E180" s="2"/>
      <c r="F180" s="2"/>
      <c r="G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x14ac:dyDescent="0.25">
      <c r="B181" s="2"/>
      <c r="C181" s="2"/>
      <c r="D181" s="2"/>
      <c r="E181" s="2"/>
      <c r="F181" s="2"/>
      <c r="G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x14ac:dyDescent="0.25">
      <c r="B182" s="2"/>
      <c r="C182" s="2"/>
      <c r="D182" s="2"/>
      <c r="E182" s="2"/>
      <c r="F182" s="2"/>
      <c r="G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x14ac:dyDescent="0.25">
      <c r="B183" s="2"/>
      <c r="C183" s="2"/>
      <c r="D183" s="2"/>
      <c r="E183" s="2"/>
      <c r="F183" s="2"/>
      <c r="G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x14ac:dyDescent="0.25">
      <c r="B184" s="2"/>
      <c r="C184" s="2"/>
      <c r="D184" s="2"/>
      <c r="E184" s="2"/>
      <c r="F184" s="2"/>
      <c r="G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x14ac:dyDescent="0.25">
      <c r="B185" s="2"/>
      <c r="C185" s="2"/>
      <c r="D185" s="2"/>
      <c r="E185" s="2"/>
      <c r="F185" s="2"/>
      <c r="G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x14ac:dyDescent="0.25">
      <c r="B186" s="2"/>
      <c r="C186" s="2"/>
      <c r="D186" s="2"/>
      <c r="E186" s="2"/>
      <c r="F186" s="2"/>
      <c r="G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x14ac:dyDescent="0.25">
      <c r="B187" s="2"/>
      <c r="C187" s="2"/>
      <c r="D187" s="2"/>
      <c r="E187" s="2"/>
      <c r="F187" s="2"/>
      <c r="G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x14ac:dyDescent="0.25">
      <c r="B188" s="2"/>
      <c r="C188" s="2"/>
      <c r="D188" s="2"/>
      <c r="E188" s="2"/>
      <c r="F188" s="2"/>
      <c r="G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x14ac:dyDescent="0.25">
      <c r="B189" s="2"/>
      <c r="C189" s="2"/>
      <c r="D189" s="2"/>
      <c r="E189" s="2"/>
      <c r="F189" s="2"/>
      <c r="G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x14ac:dyDescent="0.25">
      <c r="B190" s="2"/>
      <c r="C190" s="2"/>
      <c r="D190" s="2"/>
      <c r="E190" s="2"/>
      <c r="F190" s="2"/>
      <c r="G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x14ac:dyDescent="0.25">
      <c r="B191" s="2"/>
      <c r="C191" s="2"/>
      <c r="D191" s="2"/>
      <c r="E191" s="2"/>
      <c r="F191" s="2"/>
      <c r="G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x14ac:dyDescent="0.25">
      <c r="B192" s="2"/>
      <c r="C192" s="2"/>
      <c r="D192" s="2"/>
      <c r="E192" s="2"/>
      <c r="F192" s="2"/>
      <c r="G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x14ac:dyDescent="0.25">
      <c r="B193" s="2"/>
      <c r="C193" s="2"/>
      <c r="D193" s="2"/>
      <c r="E193" s="2"/>
      <c r="F193" s="2"/>
      <c r="G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x14ac:dyDescent="0.25">
      <c r="B194" s="2"/>
      <c r="C194" s="2"/>
      <c r="D194" s="2"/>
      <c r="E194" s="2"/>
      <c r="F194" s="2"/>
      <c r="G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x14ac:dyDescent="0.25">
      <c r="B195" s="2"/>
      <c r="C195" s="2"/>
      <c r="D195" s="2"/>
      <c r="E195" s="2"/>
      <c r="F195" s="2"/>
      <c r="G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x14ac:dyDescent="0.25">
      <c r="B196" s="2"/>
      <c r="C196" s="2"/>
      <c r="D196" s="2"/>
      <c r="E196" s="2"/>
      <c r="F196" s="2"/>
      <c r="G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x14ac:dyDescent="0.25">
      <c r="B197" s="2"/>
      <c r="C197" s="2"/>
      <c r="D197" s="2"/>
      <c r="E197" s="2"/>
      <c r="F197" s="2"/>
      <c r="G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x14ac:dyDescent="0.25">
      <c r="B198" s="2"/>
      <c r="C198" s="2"/>
      <c r="D198" s="2"/>
      <c r="E198" s="2"/>
      <c r="F198" s="2"/>
      <c r="G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x14ac:dyDescent="0.25">
      <c r="B199" s="2"/>
      <c r="C199" s="2"/>
      <c r="D199" s="2"/>
      <c r="E199" s="2"/>
      <c r="F199" s="2"/>
      <c r="G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x14ac:dyDescent="0.25">
      <c r="B200" s="2"/>
      <c r="C200" s="2"/>
      <c r="D200" s="2"/>
      <c r="E200" s="2"/>
      <c r="F200" s="2"/>
      <c r="G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x14ac:dyDescent="0.25">
      <c r="B201" s="2"/>
      <c r="C201" s="2"/>
      <c r="D201" s="2"/>
      <c r="E201" s="2"/>
      <c r="F201" s="2"/>
      <c r="G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x14ac:dyDescent="0.25">
      <c r="B202" s="2"/>
      <c r="C202" s="2"/>
      <c r="D202" s="2"/>
      <c r="E202" s="2"/>
      <c r="F202" s="2"/>
      <c r="G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x14ac:dyDescent="0.25">
      <c r="B203" s="2"/>
      <c r="C203" s="2"/>
      <c r="D203" s="2"/>
      <c r="E203" s="2"/>
      <c r="F203" s="2"/>
      <c r="G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x14ac:dyDescent="0.25">
      <c r="B204" s="2"/>
      <c r="C204" s="2"/>
      <c r="D204" s="2"/>
      <c r="E204" s="2"/>
      <c r="F204" s="2"/>
      <c r="G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x14ac:dyDescent="0.25">
      <c r="B205" s="2"/>
      <c r="C205" s="2"/>
      <c r="D205" s="2"/>
      <c r="E205" s="2"/>
      <c r="F205" s="2"/>
      <c r="G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x14ac:dyDescent="0.25">
      <c r="B206" s="2"/>
      <c r="C206" s="2"/>
      <c r="D206" s="2"/>
      <c r="E206" s="2"/>
      <c r="F206" s="2"/>
      <c r="G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x14ac:dyDescent="0.25">
      <c r="B207" s="2"/>
      <c r="C207" s="2"/>
      <c r="D207" s="2"/>
      <c r="E207" s="2"/>
      <c r="F207" s="2"/>
      <c r="G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x14ac:dyDescent="0.25">
      <c r="B208" s="2"/>
      <c r="C208" s="2"/>
      <c r="D208" s="2"/>
      <c r="E208" s="2"/>
      <c r="F208" s="2"/>
      <c r="G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x14ac:dyDescent="0.25">
      <c r="B209" s="2"/>
      <c r="C209" s="2"/>
      <c r="D209" s="2"/>
      <c r="E209" s="2"/>
      <c r="F209" s="2"/>
      <c r="G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x14ac:dyDescent="0.25">
      <c r="B210" s="2"/>
      <c r="C210" s="2"/>
      <c r="D210" s="2"/>
      <c r="E210" s="2"/>
      <c r="F210" s="2"/>
      <c r="G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x14ac:dyDescent="0.25">
      <c r="B211" s="2"/>
      <c r="C211" s="2"/>
      <c r="D211" s="2"/>
      <c r="E211" s="2"/>
      <c r="F211" s="2"/>
      <c r="G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x14ac:dyDescent="0.25">
      <c r="B212" s="2"/>
      <c r="C212" s="2"/>
      <c r="D212" s="2"/>
      <c r="E212" s="2"/>
      <c r="F212" s="2"/>
      <c r="G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x14ac:dyDescent="0.25">
      <c r="B213" s="2"/>
      <c r="C213" s="2"/>
      <c r="D213" s="2"/>
      <c r="E213" s="2"/>
      <c r="F213" s="2"/>
      <c r="G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x14ac:dyDescent="0.25">
      <c r="B214" s="2"/>
      <c r="C214" s="2"/>
      <c r="D214" s="2"/>
      <c r="E214" s="2"/>
      <c r="F214" s="2"/>
      <c r="G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x14ac:dyDescent="0.25">
      <c r="B215" s="2"/>
      <c r="C215" s="2"/>
      <c r="D215" s="2"/>
      <c r="E215" s="2"/>
      <c r="F215" s="2"/>
      <c r="G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x14ac:dyDescent="0.25">
      <c r="B216" s="2"/>
      <c r="C216" s="2"/>
      <c r="D216" s="2"/>
      <c r="E216" s="2"/>
      <c r="F216" s="2"/>
      <c r="G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x14ac:dyDescent="0.25">
      <c r="B217" s="2"/>
      <c r="C217" s="2"/>
      <c r="D217" s="2"/>
      <c r="E217" s="2"/>
      <c r="F217" s="2"/>
      <c r="G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x14ac:dyDescent="0.25">
      <c r="B218" s="2"/>
      <c r="C218" s="2"/>
      <c r="D218" s="2"/>
      <c r="E218" s="2"/>
      <c r="F218" s="2"/>
      <c r="G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x14ac:dyDescent="0.25">
      <c r="B219" s="2"/>
      <c r="C219" s="2"/>
      <c r="D219" s="2"/>
      <c r="E219" s="2"/>
      <c r="F219" s="2"/>
      <c r="G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x14ac:dyDescent="0.25">
      <c r="B220" s="2"/>
      <c r="C220" s="2"/>
      <c r="D220" s="2"/>
      <c r="E220" s="2"/>
      <c r="F220" s="2"/>
      <c r="G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x14ac:dyDescent="0.25">
      <c r="B221" s="2"/>
      <c r="C221" s="2"/>
      <c r="D221" s="2"/>
      <c r="E221" s="2"/>
      <c r="F221" s="2"/>
      <c r="G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x14ac:dyDescent="0.25">
      <c r="B222" s="2"/>
      <c r="C222" s="2"/>
      <c r="D222" s="2"/>
      <c r="E222" s="2"/>
      <c r="F222" s="2"/>
      <c r="G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x14ac:dyDescent="0.25">
      <c r="B223" s="2"/>
      <c r="C223" s="2"/>
      <c r="D223" s="2"/>
      <c r="E223" s="2"/>
      <c r="F223" s="2"/>
      <c r="G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x14ac:dyDescent="0.25">
      <c r="B224" s="2"/>
      <c r="C224" s="2"/>
      <c r="D224" s="2"/>
      <c r="E224" s="2"/>
      <c r="F224" s="2"/>
      <c r="G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x14ac:dyDescent="0.25">
      <c r="B225" s="2"/>
      <c r="C225" s="2"/>
      <c r="D225" s="2"/>
      <c r="E225" s="2"/>
      <c r="F225" s="2"/>
      <c r="G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x14ac:dyDescent="0.25">
      <c r="B226" s="2"/>
      <c r="C226" s="2"/>
      <c r="D226" s="2"/>
      <c r="E226" s="2"/>
      <c r="F226" s="2"/>
      <c r="G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x14ac:dyDescent="0.25">
      <c r="B227" s="2"/>
      <c r="C227" s="2"/>
      <c r="D227" s="2"/>
      <c r="E227" s="2"/>
      <c r="F227" s="2"/>
      <c r="G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x14ac:dyDescent="0.25">
      <c r="B228" s="2"/>
      <c r="C228" s="2"/>
      <c r="D228" s="2"/>
      <c r="E228" s="2"/>
      <c r="F228" s="2"/>
      <c r="G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x14ac:dyDescent="0.25">
      <c r="B229" s="2"/>
      <c r="C229" s="2"/>
      <c r="D229" s="2"/>
      <c r="E229" s="2"/>
      <c r="F229" s="2"/>
      <c r="G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2:20" x14ac:dyDescent="0.25">
      <c r="B230" s="2"/>
      <c r="C230" s="2"/>
      <c r="D230" s="2"/>
      <c r="E230" s="2"/>
      <c r="F230" s="2"/>
      <c r="G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2:20" x14ac:dyDescent="0.25">
      <c r="B231" s="2"/>
      <c r="C231" s="2"/>
      <c r="D231" s="2"/>
      <c r="E231" s="2"/>
      <c r="F231" s="2"/>
      <c r="G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2:20" x14ac:dyDescent="0.25">
      <c r="B232" s="2"/>
      <c r="C232" s="2"/>
      <c r="D232" s="2"/>
      <c r="E232" s="2"/>
      <c r="F232" s="2"/>
      <c r="G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2:20" x14ac:dyDescent="0.25">
      <c r="B233" s="2"/>
      <c r="C233" s="2"/>
      <c r="D233" s="2"/>
      <c r="E233" s="2"/>
      <c r="F233" s="2"/>
      <c r="G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2:20" x14ac:dyDescent="0.25">
      <c r="B234" s="2"/>
      <c r="C234" s="2"/>
      <c r="D234" s="2"/>
      <c r="E234" s="2"/>
      <c r="F234" s="2"/>
      <c r="G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2:20" x14ac:dyDescent="0.25">
      <c r="B235" s="2"/>
      <c r="C235" s="2"/>
      <c r="D235" s="2"/>
      <c r="E235" s="2"/>
      <c r="F235" s="2"/>
      <c r="G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2:20" x14ac:dyDescent="0.25">
      <c r="B236" s="2"/>
      <c r="C236" s="2"/>
      <c r="D236" s="2"/>
      <c r="E236" s="2"/>
      <c r="F236" s="2"/>
      <c r="G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2:20" x14ac:dyDescent="0.25">
      <c r="B237" s="2"/>
      <c r="C237" s="2"/>
      <c r="D237" s="2"/>
      <c r="E237" s="2"/>
      <c r="F237" s="2"/>
      <c r="G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2:20" x14ac:dyDescent="0.25">
      <c r="B238" s="2"/>
      <c r="C238" s="2"/>
      <c r="D238" s="2"/>
      <c r="E238" s="2"/>
      <c r="F238" s="2"/>
      <c r="G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2:20" x14ac:dyDescent="0.25">
      <c r="B239" s="2"/>
      <c r="C239" s="2"/>
      <c r="D239" s="2"/>
      <c r="E239" s="2"/>
      <c r="F239" s="2"/>
      <c r="G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2:20" x14ac:dyDescent="0.25">
      <c r="B240" s="2"/>
      <c r="C240" s="2"/>
      <c r="D240" s="2"/>
      <c r="E240" s="2"/>
      <c r="F240" s="2"/>
      <c r="G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2:20" x14ac:dyDescent="0.25">
      <c r="B241" s="2"/>
      <c r="C241" s="2"/>
      <c r="D241" s="2"/>
      <c r="E241" s="2"/>
      <c r="F241" s="2"/>
      <c r="G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2:20" x14ac:dyDescent="0.25">
      <c r="B242" s="2"/>
      <c r="C242" s="2"/>
      <c r="D242" s="2"/>
      <c r="E242" s="2"/>
      <c r="F242" s="2"/>
      <c r="G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2:20" x14ac:dyDescent="0.25">
      <c r="B243" s="2"/>
      <c r="C243" s="2"/>
      <c r="D243" s="2"/>
      <c r="E243" s="2"/>
      <c r="F243" s="2"/>
      <c r="G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2:20" x14ac:dyDescent="0.25">
      <c r="B244" s="2"/>
      <c r="C244" s="2"/>
      <c r="D244" s="2"/>
      <c r="E244" s="2"/>
      <c r="F244" s="2"/>
      <c r="G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2:20" x14ac:dyDescent="0.25">
      <c r="B245" s="2"/>
      <c r="C245" s="2"/>
      <c r="D245" s="2"/>
      <c r="E245" s="2"/>
      <c r="F245" s="2"/>
      <c r="G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2:20" x14ac:dyDescent="0.25">
      <c r="B246" s="2"/>
      <c r="C246" s="2"/>
      <c r="D246" s="2"/>
      <c r="E246" s="2"/>
      <c r="F246" s="2"/>
      <c r="G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2:20" x14ac:dyDescent="0.25">
      <c r="B247" s="2"/>
      <c r="C247" s="2"/>
      <c r="D247" s="2"/>
      <c r="E247" s="2"/>
      <c r="F247" s="2"/>
      <c r="G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2:20" x14ac:dyDescent="0.25">
      <c r="B248" s="2"/>
      <c r="C248" s="2"/>
      <c r="D248" s="2"/>
      <c r="E248" s="2"/>
      <c r="F248" s="2"/>
      <c r="G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2:20" x14ac:dyDescent="0.25">
      <c r="B249" s="2"/>
      <c r="C249" s="2"/>
      <c r="D249" s="2"/>
      <c r="E249" s="2"/>
      <c r="F249" s="2"/>
      <c r="G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2:20" x14ac:dyDescent="0.25">
      <c r="B250" s="2"/>
      <c r="C250" s="2"/>
      <c r="D250" s="2"/>
      <c r="E250" s="2"/>
      <c r="F250" s="2"/>
      <c r="G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2:20" x14ac:dyDescent="0.25">
      <c r="B251" s="2"/>
      <c r="C251" s="2"/>
      <c r="D251" s="2"/>
      <c r="E251" s="2"/>
      <c r="F251" s="2"/>
      <c r="G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2:20" x14ac:dyDescent="0.25">
      <c r="B252" s="2"/>
      <c r="C252" s="2"/>
      <c r="D252" s="2"/>
      <c r="E252" s="2"/>
      <c r="F252" s="2"/>
      <c r="G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2:20" x14ac:dyDescent="0.25">
      <c r="B253" s="2"/>
      <c r="C253" s="2"/>
      <c r="D253" s="2"/>
      <c r="E253" s="2"/>
      <c r="F253" s="2"/>
      <c r="G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2:20" x14ac:dyDescent="0.25">
      <c r="B254" s="2"/>
      <c r="C254" s="2"/>
      <c r="D254" s="2"/>
      <c r="E254" s="2"/>
      <c r="F254" s="2"/>
      <c r="G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2:20" x14ac:dyDescent="0.25">
      <c r="B255" s="2"/>
      <c r="C255" s="2"/>
      <c r="D255" s="2"/>
      <c r="E255" s="2"/>
      <c r="F255" s="2"/>
      <c r="G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2:20" x14ac:dyDescent="0.25">
      <c r="B256" s="2"/>
      <c r="C256" s="2"/>
      <c r="D256" s="2"/>
      <c r="E256" s="2"/>
      <c r="F256" s="2"/>
      <c r="G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2:20" x14ac:dyDescent="0.25">
      <c r="B257" s="2"/>
      <c r="C257" s="2"/>
      <c r="D257" s="2"/>
      <c r="E257" s="2"/>
      <c r="F257" s="2"/>
      <c r="G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2:20" x14ac:dyDescent="0.25">
      <c r="B258" s="2"/>
      <c r="C258" s="2"/>
      <c r="D258" s="2"/>
      <c r="E258" s="2"/>
      <c r="F258" s="2"/>
      <c r="G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2:20" x14ac:dyDescent="0.25">
      <c r="B259" s="2"/>
      <c r="C259" s="2"/>
      <c r="D259" s="2"/>
      <c r="E259" s="2"/>
      <c r="F259" s="2"/>
      <c r="G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2:20" x14ac:dyDescent="0.25">
      <c r="B260" s="2"/>
      <c r="C260" s="2"/>
      <c r="D260" s="2"/>
      <c r="E260" s="2"/>
      <c r="F260" s="2"/>
      <c r="G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2:20" x14ac:dyDescent="0.25">
      <c r="B261" s="2"/>
      <c r="C261" s="2"/>
      <c r="D261" s="2"/>
      <c r="E261" s="2"/>
      <c r="F261" s="2"/>
      <c r="G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2:20" x14ac:dyDescent="0.25">
      <c r="B262" s="2"/>
      <c r="C262" s="2"/>
      <c r="D262" s="2"/>
      <c r="E262" s="2"/>
      <c r="F262" s="2"/>
      <c r="G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2:20" x14ac:dyDescent="0.25">
      <c r="B263" s="2"/>
      <c r="C263" s="2"/>
      <c r="D263" s="2"/>
      <c r="E263" s="2"/>
      <c r="F263" s="2"/>
      <c r="G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2:20" x14ac:dyDescent="0.25">
      <c r="B264" s="2"/>
      <c r="C264" s="2"/>
      <c r="D264" s="2"/>
      <c r="E264" s="2"/>
      <c r="F264" s="2"/>
      <c r="G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2:20" x14ac:dyDescent="0.25">
      <c r="B265" s="2"/>
      <c r="C265" s="2"/>
      <c r="D265" s="2"/>
      <c r="E265" s="2"/>
      <c r="F265" s="2"/>
      <c r="G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2:20" x14ac:dyDescent="0.25">
      <c r="B266" s="2"/>
      <c r="C266" s="2"/>
      <c r="D266" s="2"/>
      <c r="E266" s="2"/>
      <c r="F266" s="2"/>
      <c r="G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2:20" x14ac:dyDescent="0.25">
      <c r="B267" s="2"/>
      <c r="C267" s="2"/>
      <c r="D267" s="2"/>
      <c r="E267" s="2"/>
      <c r="F267" s="2"/>
      <c r="G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2:20" x14ac:dyDescent="0.25">
      <c r="B268" s="2"/>
      <c r="C268" s="2"/>
      <c r="D268" s="2"/>
      <c r="E268" s="2"/>
      <c r="F268" s="2"/>
      <c r="G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2:20" x14ac:dyDescent="0.25">
      <c r="B269" s="2"/>
      <c r="C269" s="2"/>
      <c r="D269" s="2"/>
      <c r="E269" s="2"/>
      <c r="F269" s="2"/>
      <c r="G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2:20" x14ac:dyDescent="0.25">
      <c r="B270" s="2"/>
      <c r="C270" s="2"/>
      <c r="D270" s="2"/>
      <c r="E270" s="2"/>
      <c r="F270" s="2"/>
      <c r="G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2:20" x14ac:dyDescent="0.25">
      <c r="B271" s="2"/>
      <c r="C271" s="2"/>
      <c r="D271" s="2"/>
      <c r="E271" s="2"/>
      <c r="F271" s="2"/>
      <c r="G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2:20" x14ac:dyDescent="0.25">
      <c r="B272" s="2"/>
      <c r="C272" s="2"/>
      <c r="D272" s="2"/>
      <c r="E272" s="2"/>
      <c r="F272" s="2"/>
      <c r="G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2:20" x14ac:dyDescent="0.25">
      <c r="B273" s="2"/>
      <c r="C273" s="2"/>
      <c r="D273" s="2"/>
      <c r="E273" s="2"/>
      <c r="F273" s="2"/>
      <c r="G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2:20" x14ac:dyDescent="0.25">
      <c r="B274" s="2"/>
      <c r="C274" s="2"/>
      <c r="D274" s="2"/>
      <c r="E274" s="2"/>
      <c r="F274" s="2"/>
      <c r="G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2:20" x14ac:dyDescent="0.25">
      <c r="B275" s="2"/>
      <c r="C275" s="2"/>
      <c r="D275" s="2"/>
      <c r="E275" s="2"/>
      <c r="F275" s="2"/>
      <c r="G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2:20" x14ac:dyDescent="0.25">
      <c r="B276" s="2"/>
      <c r="C276" s="2"/>
      <c r="D276" s="2"/>
      <c r="E276" s="2"/>
      <c r="F276" s="2"/>
      <c r="G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2:20" x14ac:dyDescent="0.25">
      <c r="B277" s="2"/>
      <c r="C277" s="2"/>
      <c r="D277" s="2"/>
      <c r="E277" s="2"/>
      <c r="F277" s="2"/>
      <c r="G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2:20" x14ac:dyDescent="0.25">
      <c r="B278" s="2"/>
      <c r="C278" s="2"/>
      <c r="D278" s="2"/>
      <c r="E278" s="2"/>
      <c r="F278" s="2"/>
      <c r="G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2:20" x14ac:dyDescent="0.25">
      <c r="B279" s="2"/>
      <c r="C279" s="2"/>
      <c r="D279" s="2"/>
      <c r="E279" s="2"/>
      <c r="F279" s="2"/>
      <c r="G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2:20" x14ac:dyDescent="0.25">
      <c r="B280" s="2"/>
      <c r="C280" s="2"/>
      <c r="D280" s="2"/>
      <c r="E280" s="2"/>
      <c r="F280" s="2"/>
      <c r="G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2:20" x14ac:dyDescent="0.25">
      <c r="B281" s="2"/>
      <c r="C281" s="2"/>
      <c r="D281" s="2"/>
      <c r="E281" s="2"/>
      <c r="F281" s="2"/>
      <c r="G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2:20" x14ac:dyDescent="0.25">
      <c r="B282" s="2"/>
      <c r="C282" s="2"/>
      <c r="D282" s="2"/>
      <c r="E282" s="2"/>
      <c r="F282" s="2"/>
      <c r="G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2:20" x14ac:dyDescent="0.25">
      <c r="B283" s="2"/>
      <c r="C283" s="2"/>
      <c r="D283" s="2"/>
      <c r="E283" s="2"/>
      <c r="F283" s="2"/>
      <c r="G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2:20" x14ac:dyDescent="0.25">
      <c r="B284" s="2"/>
      <c r="C284" s="2"/>
      <c r="D284" s="2"/>
      <c r="E284" s="2"/>
      <c r="F284" s="2"/>
      <c r="G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2:20" x14ac:dyDescent="0.25">
      <c r="B285" s="2"/>
      <c r="C285" s="2"/>
      <c r="D285" s="2"/>
      <c r="E285" s="2"/>
      <c r="F285" s="2"/>
      <c r="G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2:20" x14ac:dyDescent="0.25">
      <c r="B286" s="2"/>
      <c r="C286" s="2"/>
      <c r="D286" s="2"/>
      <c r="E286" s="2"/>
      <c r="F286" s="2"/>
      <c r="G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2:20" x14ac:dyDescent="0.25">
      <c r="B287" s="2"/>
      <c r="C287" s="2"/>
      <c r="D287" s="2"/>
      <c r="E287" s="2"/>
      <c r="F287" s="2"/>
      <c r="G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2:20" x14ac:dyDescent="0.25">
      <c r="B288" s="2"/>
      <c r="C288" s="2"/>
      <c r="D288" s="2"/>
      <c r="E288" s="2"/>
      <c r="F288" s="2"/>
      <c r="G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2:20" x14ac:dyDescent="0.25">
      <c r="B289" s="2"/>
      <c r="C289" s="2"/>
      <c r="D289" s="2"/>
      <c r="E289" s="2"/>
      <c r="F289" s="2"/>
      <c r="G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2:20" x14ac:dyDescent="0.25">
      <c r="B290" s="2"/>
      <c r="C290" s="2"/>
      <c r="D290" s="2"/>
      <c r="E290" s="2"/>
      <c r="F290" s="2"/>
      <c r="G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2:20" x14ac:dyDescent="0.25">
      <c r="B291" s="2"/>
      <c r="C291" s="2"/>
      <c r="D291" s="2"/>
      <c r="E291" s="2"/>
      <c r="F291" s="2"/>
      <c r="G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2:20" x14ac:dyDescent="0.25">
      <c r="B292" s="2"/>
      <c r="C292" s="2"/>
      <c r="D292" s="2"/>
      <c r="E292" s="2"/>
      <c r="F292" s="2"/>
      <c r="G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2:20" x14ac:dyDescent="0.25">
      <c r="B293" s="2"/>
      <c r="C293" s="2"/>
      <c r="D293" s="2"/>
      <c r="E293" s="2"/>
      <c r="F293" s="2"/>
      <c r="G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2:20" x14ac:dyDescent="0.25">
      <c r="B294" s="2"/>
      <c r="C294" s="2"/>
      <c r="D294" s="2"/>
      <c r="E294" s="2"/>
      <c r="F294" s="2"/>
      <c r="G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2:20" x14ac:dyDescent="0.25">
      <c r="B295" s="2"/>
      <c r="C295" s="2"/>
      <c r="D295" s="2"/>
      <c r="E295" s="2"/>
      <c r="F295" s="2"/>
      <c r="G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2:20" x14ac:dyDescent="0.25">
      <c r="B296" s="2"/>
      <c r="C296" s="2"/>
      <c r="D296" s="2"/>
      <c r="E296" s="2"/>
      <c r="F296" s="2"/>
      <c r="G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2:20" x14ac:dyDescent="0.25">
      <c r="B297" s="2"/>
      <c r="C297" s="2"/>
      <c r="D297" s="2"/>
      <c r="E297" s="2"/>
      <c r="F297" s="2"/>
      <c r="G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2:20" x14ac:dyDescent="0.25">
      <c r="B298" s="2"/>
      <c r="C298" s="2"/>
      <c r="D298" s="2"/>
      <c r="E298" s="2"/>
      <c r="F298" s="2"/>
      <c r="G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2:20" x14ac:dyDescent="0.25">
      <c r="B299" s="2"/>
      <c r="C299" s="2"/>
      <c r="D299" s="2"/>
      <c r="E299" s="2"/>
      <c r="F299" s="2"/>
      <c r="G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2:20" x14ac:dyDescent="0.25">
      <c r="B300" s="2"/>
      <c r="C300" s="2"/>
      <c r="D300" s="2"/>
      <c r="E300" s="2"/>
      <c r="F300" s="2"/>
      <c r="G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2:20" x14ac:dyDescent="0.25">
      <c r="B301" s="2"/>
      <c r="C301" s="2"/>
      <c r="D301" s="2"/>
      <c r="E301" s="2"/>
      <c r="F301" s="2"/>
      <c r="G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2:20" x14ac:dyDescent="0.25">
      <c r="B302" s="2"/>
      <c r="C302" s="2"/>
      <c r="D302" s="2"/>
      <c r="E302" s="2"/>
      <c r="F302" s="2"/>
      <c r="G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2:20" x14ac:dyDescent="0.25">
      <c r="B303" s="2"/>
      <c r="C303" s="2"/>
      <c r="D303" s="2"/>
      <c r="E303" s="2"/>
      <c r="F303" s="2"/>
      <c r="G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2:20" x14ac:dyDescent="0.25">
      <c r="B304" s="2"/>
      <c r="C304" s="2"/>
      <c r="D304" s="2"/>
      <c r="E304" s="2"/>
      <c r="F304" s="2"/>
      <c r="G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2:20" x14ac:dyDescent="0.25">
      <c r="B305" s="2"/>
      <c r="C305" s="2"/>
      <c r="D305" s="2"/>
      <c r="E305" s="2"/>
      <c r="F305" s="2"/>
      <c r="G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2:20" x14ac:dyDescent="0.25">
      <c r="B306" s="2"/>
      <c r="C306" s="2"/>
      <c r="D306" s="2"/>
      <c r="E306" s="2"/>
      <c r="F306" s="2"/>
      <c r="G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2:20" x14ac:dyDescent="0.25">
      <c r="B307" s="2"/>
      <c r="C307" s="2"/>
      <c r="D307" s="2"/>
      <c r="E307" s="2"/>
      <c r="F307" s="2"/>
      <c r="G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2:20" x14ac:dyDescent="0.25">
      <c r="B308" s="2"/>
      <c r="C308" s="2"/>
      <c r="D308" s="2"/>
      <c r="E308" s="2"/>
      <c r="F308" s="2"/>
      <c r="G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2:20" x14ac:dyDescent="0.25">
      <c r="B309" s="2"/>
      <c r="C309" s="2"/>
      <c r="D309" s="2"/>
      <c r="E309" s="2"/>
      <c r="F309" s="2"/>
      <c r="G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2:20" x14ac:dyDescent="0.25">
      <c r="B310" s="2"/>
      <c r="C310" s="2"/>
      <c r="D310" s="2"/>
      <c r="E310" s="2"/>
      <c r="F310" s="2"/>
      <c r="G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2:20" x14ac:dyDescent="0.25">
      <c r="B311" s="2"/>
      <c r="C311" s="2"/>
      <c r="D311" s="2"/>
      <c r="E311" s="2"/>
      <c r="F311" s="2"/>
      <c r="G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2:20" x14ac:dyDescent="0.25">
      <c r="B312" s="2"/>
      <c r="C312" s="2"/>
      <c r="D312" s="2"/>
      <c r="E312" s="2"/>
      <c r="F312" s="2"/>
      <c r="G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2:20" x14ac:dyDescent="0.25">
      <c r="B313" s="2"/>
      <c r="C313" s="2"/>
      <c r="D313" s="2"/>
      <c r="E313" s="2"/>
      <c r="F313" s="2"/>
      <c r="G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2:20" x14ac:dyDescent="0.25">
      <c r="B314" s="2"/>
      <c r="C314" s="2"/>
      <c r="D314" s="2"/>
      <c r="E314" s="2"/>
      <c r="F314" s="2"/>
      <c r="G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2:20" x14ac:dyDescent="0.25">
      <c r="B315" s="2"/>
      <c r="C315" s="2"/>
      <c r="D315" s="2"/>
      <c r="E315" s="2"/>
      <c r="F315" s="2"/>
      <c r="G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2:20" x14ac:dyDescent="0.25">
      <c r="B316" s="2"/>
      <c r="C316" s="2"/>
      <c r="D316" s="2"/>
      <c r="E316" s="2"/>
      <c r="F316" s="2"/>
      <c r="G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2:20" x14ac:dyDescent="0.25">
      <c r="B317" s="2"/>
      <c r="C317" s="2"/>
      <c r="D317" s="2"/>
      <c r="E317" s="2"/>
      <c r="F317" s="2"/>
      <c r="G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2:20" x14ac:dyDescent="0.25">
      <c r="B318" s="2"/>
      <c r="C318" s="2"/>
      <c r="D318" s="2"/>
      <c r="E318" s="2"/>
      <c r="F318" s="2"/>
      <c r="G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2:20" x14ac:dyDescent="0.25">
      <c r="B319" s="2"/>
      <c r="C319" s="2"/>
      <c r="D319" s="2"/>
      <c r="E319" s="2"/>
      <c r="F319" s="2"/>
      <c r="G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2:20" x14ac:dyDescent="0.25">
      <c r="B320" s="2"/>
      <c r="C320" s="2"/>
      <c r="D320" s="2"/>
      <c r="E320" s="2"/>
      <c r="F320" s="2"/>
      <c r="G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2:20" x14ac:dyDescent="0.25">
      <c r="B321" s="2"/>
      <c r="C321" s="2"/>
      <c r="D321" s="2"/>
      <c r="E321" s="2"/>
      <c r="F321" s="2"/>
      <c r="G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2:20" x14ac:dyDescent="0.25">
      <c r="B322" s="2"/>
      <c r="C322" s="2"/>
      <c r="D322" s="2"/>
      <c r="E322" s="2"/>
      <c r="F322" s="2"/>
      <c r="G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2:20" x14ac:dyDescent="0.25">
      <c r="B323" s="2"/>
      <c r="C323" s="2"/>
      <c r="D323" s="2"/>
      <c r="E323" s="2"/>
      <c r="F323" s="2"/>
      <c r="G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2:20" x14ac:dyDescent="0.25">
      <c r="B324" s="2"/>
      <c r="C324" s="2"/>
      <c r="D324" s="2"/>
      <c r="E324" s="2"/>
      <c r="F324" s="2"/>
      <c r="G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2:20" x14ac:dyDescent="0.25">
      <c r="B325" s="2"/>
      <c r="C325" s="2"/>
      <c r="D325" s="2"/>
      <c r="E325" s="2"/>
      <c r="F325" s="2"/>
      <c r="G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2:20" x14ac:dyDescent="0.25">
      <c r="B326" s="2"/>
      <c r="C326" s="2"/>
      <c r="D326" s="2"/>
      <c r="E326" s="2"/>
      <c r="F326" s="2"/>
      <c r="G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2:20" x14ac:dyDescent="0.25">
      <c r="B327" s="2"/>
      <c r="C327" s="2"/>
      <c r="D327" s="2"/>
      <c r="E327" s="2"/>
      <c r="F327" s="2"/>
      <c r="G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2:20" x14ac:dyDescent="0.25">
      <c r="B328" s="2"/>
      <c r="C328" s="2"/>
      <c r="D328" s="2"/>
      <c r="E328" s="2"/>
      <c r="F328" s="2"/>
      <c r="G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2:20" x14ac:dyDescent="0.25">
      <c r="B329" s="2"/>
      <c r="C329" s="2"/>
      <c r="D329" s="2"/>
      <c r="E329" s="2"/>
      <c r="F329" s="2"/>
      <c r="G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2:20" x14ac:dyDescent="0.25">
      <c r="B330" s="2"/>
      <c r="C330" s="2"/>
      <c r="D330" s="2"/>
      <c r="E330" s="2"/>
      <c r="F330" s="2"/>
      <c r="G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2:20" x14ac:dyDescent="0.25">
      <c r="B331" s="2"/>
      <c r="C331" s="2"/>
      <c r="D331" s="2"/>
      <c r="E331" s="2"/>
      <c r="F331" s="2"/>
      <c r="G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2:20" x14ac:dyDescent="0.25">
      <c r="B332" s="2"/>
      <c r="C332" s="2"/>
      <c r="D332" s="2"/>
      <c r="E332" s="2"/>
      <c r="F332" s="2"/>
      <c r="G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2:20" x14ac:dyDescent="0.25">
      <c r="B333" s="2"/>
      <c r="C333" s="2"/>
      <c r="D333" s="2"/>
      <c r="E333" s="2"/>
      <c r="F333" s="2"/>
      <c r="G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2:20" x14ac:dyDescent="0.25">
      <c r="B334" s="2"/>
      <c r="C334" s="2"/>
      <c r="D334" s="2"/>
      <c r="E334" s="2"/>
      <c r="F334" s="2"/>
      <c r="G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2:20" x14ac:dyDescent="0.25">
      <c r="B335" s="2"/>
      <c r="C335" s="2"/>
      <c r="D335" s="2"/>
      <c r="E335" s="2"/>
      <c r="F335" s="2"/>
      <c r="G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2:20" x14ac:dyDescent="0.25">
      <c r="B336" s="2"/>
      <c r="C336" s="2"/>
      <c r="D336" s="2"/>
      <c r="E336" s="2"/>
      <c r="F336" s="2"/>
      <c r="G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2:20" x14ac:dyDescent="0.25">
      <c r="B337" s="2"/>
      <c r="C337" s="2"/>
      <c r="D337" s="2"/>
      <c r="E337" s="2"/>
      <c r="F337" s="2"/>
      <c r="G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2:20" x14ac:dyDescent="0.25">
      <c r="B338" s="2"/>
      <c r="C338" s="2"/>
      <c r="D338" s="2"/>
      <c r="E338" s="2"/>
      <c r="F338" s="2"/>
      <c r="G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2:20" x14ac:dyDescent="0.25">
      <c r="B339" s="2"/>
      <c r="C339" s="2"/>
      <c r="D339" s="2"/>
      <c r="E339" s="2"/>
      <c r="F339" s="2"/>
      <c r="G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2:20" x14ac:dyDescent="0.25">
      <c r="B340" s="2"/>
      <c r="C340" s="2"/>
      <c r="D340" s="2"/>
      <c r="E340" s="2"/>
      <c r="F340" s="2"/>
      <c r="G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2:20" x14ac:dyDescent="0.25">
      <c r="B341" s="2"/>
      <c r="C341" s="2"/>
      <c r="D341" s="2"/>
      <c r="E341" s="2"/>
      <c r="F341" s="2"/>
      <c r="G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2:20" x14ac:dyDescent="0.25">
      <c r="B342" s="2"/>
      <c r="C342" s="2"/>
      <c r="D342" s="2"/>
      <c r="E342" s="2"/>
      <c r="F342" s="2"/>
      <c r="G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2:20" x14ac:dyDescent="0.25">
      <c r="B343" s="2"/>
      <c r="C343" s="2"/>
      <c r="D343" s="2"/>
      <c r="E343" s="2"/>
      <c r="F343" s="2"/>
      <c r="G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2:20" x14ac:dyDescent="0.25">
      <c r="B344" s="2"/>
      <c r="C344" s="2"/>
      <c r="D344" s="2"/>
      <c r="E344" s="2"/>
      <c r="F344" s="2"/>
      <c r="G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2:20" x14ac:dyDescent="0.25">
      <c r="B345" s="2"/>
      <c r="C345" s="2"/>
      <c r="D345" s="2"/>
      <c r="E345" s="2"/>
      <c r="F345" s="2"/>
      <c r="G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2:20" x14ac:dyDescent="0.25">
      <c r="B346" s="2"/>
      <c r="C346" s="2"/>
      <c r="D346" s="2"/>
      <c r="E346" s="2"/>
      <c r="F346" s="2"/>
      <c r="G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2:20" x14ac:dyDescent="0.25">
      <c r="B347" s="2"/>
      <c r="C347" s="2"/>
      <c r="D347" s="2"/>
      <c r="E347" s="2"/>
      <c r="F347" s="2"/>
      <c r="G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2:20" x14ac:dyDescent="0.25">
      <c r="B348" s="2"/>
      <c r="C348" s="2"/>
      <c r="D348" s="2"/>
      <c r="E348" s="2"/>
      <c r="F348" s="2"/>
      <c r="G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2:20" x14ac:dyDescent="0.25">
      <c r="B349" s="2"/>
      <c r="C349" s="2"/>
      <c r="D349" s="2"/>
      <c r="E349" s="2"/>
      <c r="F349" s="2"/>
      <c r="G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2:20" x14ac:dyDescent="0.25">
      <c r="B350" s="2"/>
      <c r="C350" s="2"/>
      <c r="D350" s="2"/>
      <c r="E350" s="2"/>
      <c r="F350" s="2"/>
      <c r="G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2:20" x14ac:dyDescent="0.25">
      <c r="B351" s="2"/>
      <c r="C351" s="2"/>
      <c r="D351" s="2"/>
      <c r="E351" s="2"/>
      <c r="F351" s="2"/>
      <c r="G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2:20" x14ac:dyDescent="0.25">
      <c r="B352" s="2"/>
      <c r="C352" s="2"/>
      <c r="D352" s="2"/>
      <c r="E352" s="2"/>
      <c r="F352" s="2"/>
      <c r="G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x14ac:dyDescent="0.25">
      <c r="B353" s="2"/>
      <c r="C353" s="2"/>
      <c r="D353" s="2"/>
      <c r="E353" s="2"/>
      <c r="F353" s="2"/>
      <c r="G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x14ac:dyDescent="0.25">
      <c r="B354" s="2"/>
      <c r="C354" s="2"/>
      <c r="D354" s="2"/>
      <c r="E354" s="2"/>
      <c r="F354" s="2"/>
      <c r="G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x14ac:dyDescent="0.25">
      <c r="B355" s="2"/>
      <c r="C355" s="2"/>
      <c r="D355" s="2"/>
      <c r="E355" s="2"/>
      <c r="F355" s="2"/>
      <c r="G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x14ac:dyDescent="0.25">
      <c r="B356" s="2"/>
      <c r="C356" s="2"/>
      <c r="D356" s="2"/>
      <c r="E356" s="2"/>
      <c r="F356" s="2"/>
      <c r="G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x14ac:dyDescent="0.25">
      <c r="B357" s="2"/>
      <c r="C357" s="2"/>
      <c r="D357" s="2"/>
      <c r="E357" s="2"/>
      <c r="F357" s="2"/>
      <c r="G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x14ac:dyDescent="0.25">
      <c r="B358" s="2"/>
      <c r="C358" s="2"/>
      <c r="D358" s="2"/>
      <c r="E358" s="2"/>
      <c r="F358" s="2"/>
      <c r="G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x14ac:dyDescent="0.25">
      <c r="B359" s="2"/>
      <c r="C359" s="2"/>
      <c r="D359" s="2"/>
      <c r="E359" s="2"/>
      <c r="F359" s="2"/>
      <c r="G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x14ac:dyDescent="0.25">
      <c r="B360" s="2"/>
      <c r="C360" s="2"/>
      <c r="D360" s="2"/>
      <c r="E360" s="2"/>
      <c r="F360" s="2"/>
      <c r="G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2:20" x14ac:dyDescent="0.25">
      <c r="B361" s="2"/>
      <c r="C361" s="2"/>
      <c r="D361" s="2"/>
      <c r="E361" s="2"/>
      <c r="F361" s="2"/>
      <c r="G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2:20" x14ac:dyDescent="0.25">
      <c r="B362" s="2"/>
      <c r="C362" s="2"/>
      <c r="D362" s="2"/>
      <c r="E362" s="2"/>
      <c r="F362" s="2"/>
      <c r="G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2:20" x14ac:dyDescent="0.25">
      <c r="B363" s="2"/>
      <c r="C363" s="2"/>
      <c r="D363" s="2"/>
      <c r="E363" s="2"/>
      <c r="F363" s="2"/>
      <c r="G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2:20" x14ac:dyDescent="0.25">
      <c r="B364" s="2"/>
      <c r="C364" s="2"/>
      <c r="D364" s="2"/>
      <c r="E364" s="2"/>
      <c r="F364" s="2"/>
      <c r="G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2:20" x14ac:dyDescent="0.25">
      <c r="B365" s="2"/>
      <c r="C365" s="2"/>
      <c r="D365" s="2"/>
      <c r="E365" s="2"/>
      <c r="F365" s="2"/>
      <c r="G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2:20" x14ac:dyDescent="0.25">
      <c r="B366" s="2"/>
      <c r="C366" s="2"/>
      <c r="D366" s="2"/>
      <c r="E366" s="2"/>
      <c r="F366" s="2"/>
      <c r="G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2:20" x14ac:dyDescent="0.25">
      <c r="B367" s="2"/>
      <c r="C367" s="2"/>
      <c r="D367" s="2"/>
      <c r="E367" s="2"/>
      <c r="F367" s="2"/>
      <c r="G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2:20" x14ac:dyDescent="0.25">
      <c r="B368" s="2"/>
      <c r="C368" s="2"/>
      <c r="D368" s="2"/>
      <c r="E368" s="2"/>
      <c r="F368" s="2"/>
      <c r="G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2:20" x14ac:dyDescent="0.25">
      <c r="B369" s="2"/>
      <c r="C369" s="2"/>
      <c r="D369" s="2"/>
      <c r="E369" s="2"/>
      <c r="F369" s="2"/>
      <c r="G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2:20" x14ac:dyDescent="0.25">
      <c r="B370" s="2"/>
      <c r="C370" s="2"/>
      <c r="D370" s="2"/>
      <c r="E370" s="2"/>
      <c r="F370" s="2"/>
      <c r="G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2:20" x14ac:dyDescent="0.25">
      <c r="B371" s="2"/>
      <c r="C371" s="2"/>
      <c r="D371" s="2"/>
      <c r="E371" s="2"/>
      <c r="F371" s="2"/>
      <c r="G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2:20" x14ac:dyDescent="0.25">
      <c r="B372" s="2"/>
      <c r="C372" s="2"/>
      <c r="D372" s="2"/>
      <c r="E372" s="2"/>
      <c r="F372" s="2"/>
      <c r="G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2:20" x14ac:dyDescent="0.25">
      <c r="B373" s="2"/>
      <c r="C373" s="2"/>
      <c r="D373" s="2"/>
      <c r="E373" s="2"/>
      <c r="F373" s="2"/>
      <c r="G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2:20" x14ac:dyDescent="0.25">
      <c r="B374" s="2"/>
      <c r="C374" s="2"/>
      <c r="D374" s="2"/>
      <c r="E374" s="2"/>
      <c r="F374" s="2"/>
      <c r="G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2:20" x14ac:dyDescent="0.25">
      <c r="B375" s="2"/>
      <c r="C375" s="2"/>
      <c r="D375" s="2"/>
      <c r="E375" s="2"/>
      <c r="F375" s="2"/>
      <c r="G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2:20" x14ac:dyDescent="0.25">
      <c r="B376" s="2"/>
      <c r="C376" s="2"/>
      <c r="D376" s="2"/>
      <c r="E376" s="2"/>
      <c r="F376" s="2"/>
      <c r="G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2:20" x14ac:dyDescent="0.25">
      <c r="B377" s="2"/>
      <c r="C377" s="2"/>
      <c r="D377" s="2"/>
      <c r="E377" s="2"/>
      <c r="F377" s="2"/>
      <c r="G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2:20" x14ac:dyDescent="0.25">
      <c r="B378" s="2"/>
      <c r="C378" s="2"/>
      <c r="D378" s="2"/>
      <c r="E378" s="2"/>
      <c r="F378" s="2"/>
      <c r="G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2:20" x14ac:dyDescent="0.25">
      <c r="B379" s="2"/>
      <c r="C379" s="2"/>
      <c r="D379" s="2"/>
      <c r="E379" s="2"/>
      <c r="F379" s="2"/>
      <c r="G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2:20" x14ac:dyDescent="0.25">
      <c r="B380" s="2"/>
      <c r="C380" s="2"/>
      <c r="D380" s="2"/>
      <c r="E380" s="2"/>
      <c r="F380" s="2"/>
      <c r="G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2:20" x14ac:dyDescent="0.25">
      <c r="B381" s="2"/>
      <c r="C381" s="2"/>
      <c r="D381" s="2"/>
      <c r="E381" s="2"/>
      <c r="F381" s="2"/>
      <c r="G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2:20" x14ac:dyDescent="0.25">
      <c r="B382" s="2"/>
      <c r="C382" s="2"/>
      <c r="D382" s="2"/>
      <c r="E382" s="2"/>
      <c r="F382" s="2"/>
      <c r="G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2:20" x14ac:dyDescent="0.25">
      <c r="B383" s="2"/>
      <c r="C383" s="2"/>
      <c r="D383" s="2"/>
      <c r="E383" s="2"/>
      <c r="F383" s="2"/>
      <c r="G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2:20" x14ac:dyDescent="0.25">
      <c r="B384" s="2"/>
      <c r="C384" s="2"/>
      <c r="D384" s="2"/>
      <c r="E384" s="2"/>
      <c r="F384" s="2"/>
      <c r="G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2:20" x14ac:dyDescent="0.25">
      <c r="B385" s="2"/>
      <c r="C385" s="2"/>
      <c r="D385" s="2"/>
      <c r="E385" s="2"/>
      <c r="F385" s="2"/>
      <c r="G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2:20" x14ac:dyDescent="0.25">
      <c r="B386" s="2"/>
      <c r="C386" s="2"/>
      <c r="D386" s="2"/>
      <c r="E386" s="2"/>
      <c r="F386" s="2"/>
      <c r="G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2:20" x14ac:dyDescent="0.25">
      <c r="B387" s="2"/>
      <c r="C387" s="2"/>
      <c r="D387" s="2"/>
      <c r="E387" s="2"/>
      <c r="F387" s="2"/>
      <c r="G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2:20" x14ac:dyDescent="0.25">
      <c r="B388" s="2"/>
      <c r="C388" s="2"/>
      <c r="D388" s="2"/>
      <c r="E388" s="2"/>
      <c r="F388" s="2"/>
      <c r="G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2:20" x14ac:dyDescent="0.25">
      <c r="B389" s="2"/>
      <c r="C389" s="2"/>
      <c r="D389" s="2"/>
      <c r="E389" s="2"/>
      <c r="F389" s="2"/>
      <c r="G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2:20" x14ac:dyDescent="0.25">
      <c r="B390" s="2"/>
      <c r="C390" s="2"/>
      <c r="D390" s="2"/>
      <c r="E390" s="2"/>
      <c r="F390" s="2"/>
      <c r="G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2:20" x14ac:dyDescent="0.25">
      <c r="B391" s="2"/>
      <c r="C391" s="2"/>
      <c r="D391" s="2"/>
      <c r="E391" s="2"/>
      <c r="F391" s="2"/>
      <c r="G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2:20" x14ac:dyDescent="0.25">
      <c r="B392" s="2"/>
      <c r="C392" s="2"/>
      <c r="D392" s="2"/>
      <c r="E392" s="2"/>
      <c r="F392" s="2"/>
      <c r="G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2:20" x14ac:dyDescent="0.25">
      <c r="B393" s="2"/>
      <c r="C393" s="2"/>
      <c r="D393" s="2"/>
      <c r="E393" s="2"/>
      <c r="F393" s="2"/>
      <c r="G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2:20" x14ac:dyDescent="0.25">
      <c r="B394" s="2"/>
      <c r="C394" s="2"/>
      <c r="D394" s="2"/>
      <c r="E394" s="2"/>
      <c r="F394" s="2"/>
      <c r="G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2:20" x14ac:dyDescent="0.25">
      <c r="B395" s="2"/>
      <c r="C395" s="2"/>
      <c r="D395" s="2"/>
      <c r="E395" s="2"/>
      <c r="F395" s="2"/>
      <c r="G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2:20" x14ac:dyDescent="0.25">
      <c r="B396" s="2"/>
      <c r="C396" s="2"/>
      <c r="D396" s="2"/>
      <c r="E396" s="2"/>
      <c r="F396" s="2"/>
      <c r="G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2:20" x14ac:dyDescent="0.25">
      <c r="B397" s="2"/>
      <c r="C397" s="2"/>
      <c r="D397" s="2"/>
      <c r="E397" s="2"/>
      <c r="F397" s="2"/>
      <c r="G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2:20" x14ac:dyDescent="0.25">
      <c r="B398" s="2"/>
      <c r="C398" s="2"/>
      <c r="D398" s="2"/>
      <c r="E398" s="2"/>
      <c r="F398" s="2"/>
      <c r="G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2:20" x14ac:dyDescent="0.25">
      <c r="B399" s="2"/>
      <c r="C399" s="2"/>
      <c r="D399" s="2"/>
      <c r="E399" s="2"/>
      <c r="F399" s="2"/>
      <c r="G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2:20" x14ac:dyDescent="0.25">
      <c r="B400" s="2"/>
      <c r="C400" s="2"/>
      <c r="D400" s="2"/>
      <c r="E400" s="2"/>
      <c r="F400" s="2"/>
      <c r="G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2:20" x14ac:dyDescent="0.25">
      <c r="B401" s="2"/>
      <c r="C401" s="2"/>
      <c r="D401" s="2"/>
      <c r="E401" s="2"/>
      <c r="F401" s="2"/>
      <c r="G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2:20" x14ac:dyDescent="0.25">
      <c r="B402" s="2"/>
      <c r="C402" s="2"/>
      <c r="D402" s="2"/>
      <c r="E402" s="2"/>
      <c r="F402" s="2"/>
      <c r="G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2:20" x14ac:dyDescent="0.25">
      <c r="B403" s="2"/>
      <c r="C403" s="2"/>
      <c r="D403" s="2"/>
      <c r="E403" s="2"/>
      <c r="F403" s="2"/>
      <c r="G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2:20" x14ac:dyDescent="0.25">
      <c r="B404" s="2"/>
      <c r="C404" s="2"/>
      <c r="D404" s="2"/>
      <c r="E404" s="2"/>
      <c r="F404" s="2"/>
      <c r="G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2:20" x14ac:dyDescent="0.25">
      <c r="B405" s="2"/>
      <c r="C405" s="2"/>
      <c r="D405" s="2"/>
      <c r="E405" s="2"/>
      <c r="F405" s="2"/>
      <c r="G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2:20" x14ac:dyDescent="0.25">
      <c r="B406" s="2"/>
      <c r="C406" s="2"/>
      <c r="D406" s="2"/>
      <c r="E406" s="2"/>
      <c r="F406" s="2"/>
      <c r="G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2:20" x14ac:dyDescent="0.25">
      <c r="B407" s="2"/>
      <c r="C407" s="2"/>
      <c r="D407" s="2"/>
      <c r="E407" s="2"/>
      <c r="F407" s="2"/>
      <c r="G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2:20" x14ac:dyDescent="0.25">
      <c r="B408" s="2"/>
      <c r="C408" s="2"/>
      <c r="D408" s="2"/>
      <c r="E408" s="2"/>
      <c r="F408" s="2"/>
      <c r="G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2:20" x14ac:dyDescent="0.25">
      <c r="B409" s="2"/>
      <c r="C409" s="2"/>
      <c r="D409" s="2"/>
      <c r="E409" s="2"/>
      <c r="F409" s="2"/>
      <c r="G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2:20" x14ac:dyDescent="0.25">
      <c r="B410" s="2"/>
      <c r="C410" s="2"/>
      <c r="D410" s="2"/>
      <c r="E410" s="2"/>
      <c r="F410" s="2"/>
      <c r="G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2:20" x14ac:dyDescent="0.25">
      <c r="B411" s="2"/>
      <c r="C411" s="2"/>
      <c r="D411" s="2"/>
      <c r="E411" s="2"/>
      <c r="F411" s="2"/>
      <c r="G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2:20" x14ac:dyDescent="0.25">
      <c r="B412" s="2"/>
      <c r="C412" s="2"/>
      <c r="D412" s="2"/>
      <c r="E412" s="2"/>
      <c r="F412" s="2"/>
      <c r="G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2:20" x14ac:dyDescent="0.25">
      <c r="B413" s="2"/>
      <c r="C413" s="2"/>
      <c r="D413" s="2"/>
      <c r="E413" s="2"/>
      <c r="F413" s="2"/>
      <c r="G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2:20" x14ac:dyDescent="0.25">
      <c r="B414" s="2"/>
      <c r="C414" s="2"/>
      <c r="D414" s="2"/>
      <c r="E414" s="2"/>
      <c r="F414" s="2"/>
      <c r="G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2:20" x14ac:dyDescent="0.25">
      <c r="B415" s="2"/>
      <c r="C415" s="2"/>
      <c r="D415" s="2"/>
      <c r="E415" s="2"/>
      <c r="F415" s="2"/>
      <c r="G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2:20" x14ac:dyDescent="0.25">
      <c r="B416" s="2"/>
      <c r="C416" s="2"/>
      <c r="D416" s="2"/>
      <c r="E416" s="2"/>
      <c r="F416" s="2"/>
      <c r="G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2:20" x14ac:dyDescent="0.25">
      <c r="B417" s="2"/>
      <c r="C417" s="2"/>
      <c r="D417" s="2"/>
      <c r="E417" s="2"/>
      <c r="F417" s="2"/>
      <c r="G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2:20" x14ac:dyDescent="0.25">
      <c r="B418" s="2"/>
      <c r="C418" s="2"/>
      <c r="D418" s="2"/>
      <c r="E418" s="2"/>
      <c r="F418" s="2"/>
      <c r="G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2:20" x14ac:dyDescent="0.25">
      <c r="B419" s="2"/>
      <c r="C419" s="2"/>
      <c r="D419" s="2"/>
      <c r="E419" s="2"/>
      <c r="F419" s="2"/>
      <c r="G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2:20" x14ac:dyDescent="0.25">
      <c r="B420" s="2"/>
      <c r="C420" s="2"/>
      <c r="D420" s="2"/>
      <c r="E420" s="2"/>
      <c r="F420" s="2"/>
      <c r="G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2:20" x14ac:dyDescent="0.25">
      <c r="B421" s="2"/>
      <c r="C421" s="2"/>
      <c r="D421" s="2"/>
      <c r="E421" s="2"/>
      <c r="F421" s="2"/>
      <c r="G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2:20" x14ac:dyDescent="0.25">
      <c r="B422" s="2"/>
      <c r="C422" s="2"/>
      <c r="D422" s="2"/>
      <c r="E422" s="2"/>
      <c r="F422" s="2"/>
      <c r="G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2:20" x14ac:dyDescent="0.25">
      <c r="B423" s="2"/>
      <c r="C423" s="2"/>
      <c r="D423" s="2"/>
      <c r="E423" s="2"/>
      <c r="F423" s="2"/>
      <c r="G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2:20" x14ac:dyDescent="0.25">
      <c r="B424" s="2"/>
      <c r="C424" s="2"/>
      <c r="D424" s="2"/>
      <c r="E424" s="2"/>
      <c r="F424" s="2"/>
      <c r="G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2:20" x14ac:dyDescent="0.25">
      <c r="B425" s="2"/>
      <c r="C425" s="2"/>
      <c r="D425" s="2"/>
      <c r="E425" s="2"/>
      <c r="F425" s="2"/>
      <c r="G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2:20" x14ac:dyDescent="0.25">
      <c r="B426" s="2"/>
      <c r="C426" s="2"/>
      <c r="D426" s="2"/>
      <c r="E426" s="2"/>
      <c r="F426" s="2"/>
      <c r="G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2:20" x14ac:dyDescent="0.25">
      <c r="B427" s="2"/>
      <c r="C427" s="2"/>
      <c r="D427" s="2"/>
      <c r="E427" s="2"/>
      <c r="F427" s="2"/>
      <c r="G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2:20" x14ac:dyDescent="0.25">
      <c r="B428" s="2"/>
      <c r="C428" s="2"/>
      <c r="D428" s="2"/>
      <c r="E428" s="2"/>
      <c r="F428" s="2"/>
      <c r="G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2:20" x14ac:dyDescent="0.25">
      <c r="B429" s="2"/>
      <c r="C429" s="2"/>
      <c r="D429" s="2"/>
      <c r="E429" s="2"/>
      <c r="F429" s="2"/>
      <c r="G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2:20" x14ac:dyDescent="0.25">
      <c r="B430" s="2"/>
      <c r="C430" s="2"/>
      <c r="D430" s="2"/>
      <c r="E430" s="2"/>
      <c r="F430" s="2"/>
      <c r="G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2:20" x14ac:dyDescent="0.25">
      <c r="B431" s="2"/>
      <c r="C431" s="2"/>
      <c r="D431" s="2"/>
      <c r="E431" s="2"/>
      <c r="F431" s="2"/>
      <c r="G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2:20" x14ac:dyDescent="0.25">
      <c r="B432" s="2"/>
      <c r="C432" s="2"/>
      <c r="D432" s="2"/>
      <c r="E432" s="2"/>
      <c r="F432" s="2"/>
      <c r="G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2:20" x14ac:dyDescent="0.25">
      <c r="B433" s="2"/>
      <c r="C433" s="2"/>
      <c r="D433" s="2"/>
      <c r="E433" s="2"/>
      <c r="F433" s="2"/>
      <c r="G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2:20" x14ac:dyDescent="0.25">
      <c r="B434" s="2"/>
      <c r="C434" s="2"/>
      <c r="D434" s="2"/>
      <c r="E434" s="2"/>
      <c r="F434" s="2"/>
      <c r="G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2:20" x14ac:dyDescent="0.25">
      <c r="B435" s="2"/>
      <c r="C435" s="2"/>
      <c r="D435" s="2"/>
      <c r="E435" s="2"/>
      <c r="F435" s="2"/>
      <c r="G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2:20" x14ac:dyDescent="0.25">
      <c r="B436" s="2"/>
      <c r="C436" s="2"/>
      <c r="D436" s="2"/>
      <c r="E436" s="2"/>
      <c r="F436" s="2"/>
      <c r="G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2:20" x14ac:dyDescent="0.25">
      <c r="B437" s="2"/>
      <c r="C437" s="2"/>
      <c r="D437" s="2"/>
      <c r="E437" s="2"/>
      <c r="F437" s="2"/>
      <c r="G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2:20" x14ac:dyDescent="0.25">
      <c r="B438" s="2"/>
      <c r="C438" s="2"/>
      <c r="D438" s="2"/>
      <c r="E438" s="2"/>
      <c r="F438" s="2"/>
      <c r="G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2:20" x14ac:dyDescent="0.25">
      <c r="B439" s="2"/>
      <c r="C439" s="2"/>
      <c r="D439" s="2"/>
      <c r="E439" s="2"/>
      <c r="F439" s="2"/>
      <c r="G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2:20" x14ac:dyDescent="0.25">
      <c r="B440" s="2"/>
      <c r="C440" s="2"/>
      <c r="D440" s="2"/>
      <c r="E440" s="2"/>
      <c r="F440" s="2"/>
      <c r="G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2:20" x14ac:dyDescent="0.25">
      <c r="B441" s="2"/>
      <c r="C441" s="2"/>
      <c r="D441" s="2"/>
      <c r="E441" s="2"/>
      <c r="F441" s="2"/>
      <c r="G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2:20" x14ac:dyDescent="0.25">
      <c r="B442" s="2"/>
      <c r="C442" s="2"/>
      <c r="D442" s="2"/>
      <c r="E442" s="2"/>
      <c r="F442" s="2"/>
      <c r="G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2:20" x14ac:dyDescent="0.25">
      <c r="B443" s="2"/>
      <c r="C443" s="2"/>
      <c r="D443" s="2"/>
      <c r="E443" s="2"/>
      <c r="F443" s="2"/>
      <c r="G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2:20" x14ac:dyDescent="0.25">
      <c r="B444" s="2"/>
      <c r="C444" s="2"/>
      <c r="D444" s="2"/>
      <c r="E444" s="2"/>
      <c r="F444" s="2"/>
      <c r="G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2:20" x14ac:dyDescent="0.25">
      <c r="B445" s="2"/>
      <c r="C445" s="2"/>
      <c r="D445" s="2"/>
      <c r="E445" s="2"/>
      <c r="F445" s="2"/>
      <c r="G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2:20" x14ac:dyDescent="0.25">
      <c r="B446" s="2"/>
      <c r="C446" s="2"/>
      <c r="D446" s="2"/>
      <c r="E446" s="2"/>
      <c r="F446" s="2"/>
      <c r="G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2:20" x14ac:dyDescent="0.25">
      <c r="B447" s="2"/>
      <c r="C447" s="2"/>
      <c r="D447" s="2"/>
      <c r="E447" s="2"/>
      <c r="F447" s="2"/>
      <c r="G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2:20" x14ac:dyDescent="0.25">
      <c r="B448" s="2"/>
      <c r="C448" s="2"/>
      <c r="D448" s="2"/>
      <c r="E448" s="2"/>
      <c r="F448" s="2"/>
      <c r="G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2:20" x14ac:dyDescent="0.25">
      <c r="B449" s="2"/>
      <c r="C449" s="2"/>
      <c r="D449" s="2"/>
      <c r="E449" s="2"/>
      <c r="F449" s="2"/>
      <c r="G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2:20" x14ac:dyDescent="0.25">
      <c r="B450" s="2"/>
      <c r="C450" s="2"/>
      <c r="D450" s="2"/>
      <c r="E450" s="2"/>
      <c r="F450" s="2"/>
      <c r="G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2:20" x14ac:dyDescent="0.25">
      <c r="B451" s="2"/>
      <c r="C451" s="2"/>
      <c r="D451" s="2"/>
      <c r="E451" s="2"/>
      <c r="F451" s="2"/>
      <c r="G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2:20" x14ac:dyDescent="0.25">
      <c r="B452" s="2"/>
      <c r="C452" s="2"/>
      <c r="D452" s="2"/>
      <c r="E452" s="2"/>
      <c r="F452" s="2"/>
      <c r="G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2:20" x14ac:dyDescent="0.25">
      <c r="B453" s="2"/>
      <c r="C453" s="2"/>
      <c r="D453" s="2"/>
      <c r="E453" s="2"/>
      <c r="F453" s="2"/>
      <c r="G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2:20" x14ac:dyDescent="0.25">
      <c r="B454" s="2"/>
      <c r="C454" s="2"/>
      <c r="D454" s="2"/>
      <c r="E454" s="2"/>
      <c r="F454" s="2"/>
      <c r="G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2:20" x14ac:dyDescent="0.25">
      <c r="B455" s="2"/>
      <c r="C455" s="2"/>
      <c r="D455" s="2"/>
      <c r="E455" s="2"/>
      <c r="F455" s="2"/>
      <c r="G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2:20" x14ac:dyDescent="0.25">
      <c r="B456" s="2"/>
      <c r="C456" s="2"/>
      <c r="D456" s="2"/>
      <c r="E456" s="2"/>
      <c r="F456" s="2"/>
      <c r="G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2:20" x14ac:dyDescent="0.25">
      <c r="B457" s="2"/>
      <c r="C457" s="2"/>
      <c r="D457" s="2"/>
      <c r="E457" s="2"/>
      <c r="F457" s="2"/>
      <c r="G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2:20" x14ac:dyDescent="0.25">
      <c r="B458" s="2"/>
      <c r="C458" s="2"/>
      <c r="D458" s="2"/>
      <c r="E458" s="2"/>
      <c r="F458" s="2"/>
      <c r="G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2:20" x14ac:dyDescent="0.25">
      <c r="B459" s="2"/>
      <c r="C459" s="2"/>
      <c r="D459" s="2"/>
      <c r="E459" s="2"/>
      <c r="F459" s="2"/>
      <c r="G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2:20" x14ac:dyDescent="0.25">
      <c r="B460" s="2"/>
      <c r="C460" s="2"/>
      <c r="D460" s="2"/>
      <c r="E460" s="2"/>
      <c r="F460" s="2"/>
      <c r="G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2:20" x14ac:dyDescent="0.25">
      <c r="B461" s="2"/>
      <c r="C461" s="2"/>
      <c r="D461" s="2"/>
      <c r="E461" s="2"/>
      <c r="F461" s="2"/>
      <c r="G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2:20" x14ac:dyDescent="0.25">
      <c r="B462" s="2"/>
      <c r="C462" s="2"/>
      <c r="D462" s="2"/>
      <c r="E462" s="2"/>
      <c r="F462" s="2"/>
      <c r="G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2:20" x14ac:dyDescent="0.25">
      <c r="B463" s="2"/>
      <c r="C463" s="2"/>
      <c r="D463" s="2"/>
      <c r="E463" s="2"/>
      <c r="F463" s="2"/>
      <c r="G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2:20" x14ac:dyDescent="0.25">
      <c r="B464" s="2"/>
      <c r="C464" s="2"/>
      <c r="D464" s="2"/>
      <c r="E464" s="2"/>
      <c r="F464" s="2"/>
      <c r="G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2:20" x14ac:dyDescent="0.25">
      <c r="B465" s="2"/>
      <c r="C465" s="2"/>
      <c r="D465" s="2"/>
      <c r="E465" s="2"/>
      <c r="F465" s="2"/>
      <c r="G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2:20" x14ac:dyDescent="0.25">
      <c r="B466" s="2"/>
      <c r="C466" s="2"/>
      <c r="D466" s="2"/>
      <c r="E466" s="2"/>
      <c r="F466" s="2"/>
      <c r="G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2:20" x14ac:dyDescent="0.25">
      <c r="B467" s="2"/>
      <c r="C467" s="2"/>
      <c r="D467" s="2"/>
      <c r="E467" s="2"/>
      <c r="F467" s="2"/>
      <c r="G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2:20" x14ac:dyDescent="0.25">
      <c r="B468" s="2"/>
      <c r="C468" s="2"/>
      <c r="D468" s="2"/>
      <c r="E468" s="2"/>
      <c r="F468" s="2"/>
      <c r="G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2:20" x14ac:dyDescent="0.25">
      <c r="B469" s="2"/>
      <c r="C469" s="2"/>
      <c r="D469" s="2"/>
      <c r="E469" s="2"/>
      <c r="F469" s="2"/>
      <c r="G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2:20" x14ac:dyDescent="0.25">
      <c r="B470" s="2"/>
      <c r="C470" s="2"/>
      <c r="D470" s="2"/>
      <c r="E470" s="2"/>
      <c r="F470" s="2"/>
      <c r="G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2:20" x14ac:dyDescent="0.25">
      <c r="B471" s="2"/>
      <c r="C471" s="2"/>
      <c r="D471" s="2"/>
      <c r="E471" s="2"/>
      <c r="F471" s="2"/>
      <c r="G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2:20" x14ac:dyDescent="0.25">
      <c r="B472" s="2"/>
      <c r="C472" s="2"/>
      <c r="D472" s="2"/>
      <c r="E472" s="2"/>
      <c r="F472" s="2"/>
      <c r="G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2:20" x14ac:dyDescent="0.25">
      <c r="B473" s="2"/>
      <c r="C473" s="2"/>
      <c r="D473" s="2"/>
      <c r="E473" s="2"/>
      <c r="F473" s="2"/>
      <c r="G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2:20" x14ac:dyDescent="0.25">
      <c r="B474" s="2"/>
      <c r="C474" s="2"/>
      <c r="D474" s="2"/>
      <c r="E474" s="2"/>
      <c r="F474" s="2"/>
      <c r="G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2:20" x14ac:dyDescent="0.25">
      <c r="B475" s="2"/>
      <c r="C475" s="2"/>
      <c r="D475" s="2"/>
      <c r="E475" s="2"/>
      <c r="F475" s="2"/>
      <c r="G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2:20" x14ac:dyDescent="0.25">
      <c r="B476" s="2"/>
      <c r="C476" s="2"/>
      <c r="D476" s="2"/>
      <c r="E476" s="2"/>
      <c r="F476" s="2"/>
      <c r="G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2:20" x14ac:dyDescent="0.25">
      <c r="B477" s="2"/>
      <c r="C477" s="2"/>
      <c r="D477" s="2"/>
      <c r="E477" s="2"/>
      <c r="F477" s="2"/>
      <c r="G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2:20" x14ac:dyDescent="0.25">
      <c r="B478" s="2"/>
      <c r="C478" s="2"/>
      <c r="D478" s="2"/>
      <c r="E478" s="2"/>
      <c r="F478" s="2"/>
      <c r="G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2:20" x14ac:dyDescent="0.25">
      <c r="B479" s="2"/>
      <c r="C479" s="2"/>
      <c r="D479" s="2"/>
      <c r="E479" s="2"/>
      <c r="F479" s="2"/>
      <c r="G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2:20" x14ac:dyDescent="0.25">
      <c r="B480" s="2"/>
      <c r="C480" s="2"/>
      <c r="D480" s="2"/>
      <c r="E480" s="2"/>
      <c r="F480" s="2"/>
      <c r="G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2:20" x14ac:dyDescent="0.25">
      <c r="B481" s="2"/>
      <c r="C481" s="2"/>
      <c r="D481" s="2"/>
      <c r="E481" s="2"/>
      <c r="F481" s="2"/>
      <c r="G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2:20" x14ac:dyDescent="0.25">
      <c r="B482" s="2"/>
      <c r="C482" s="2"/>
      <c r="D482" s="2"/>
      <c r="E482" s="2"/>
      <c r="F482" s="2"/>
      <c r="G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2:20" x14ac:dyDescent="0.25">
      <c r="B483" s="2"/>
      <c r="C483" s="2"/>
      <c r="D483" s="2"/>
      <c r="E483" s="2"/>
      <c r="F483" s="2"/>
      <c r="G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2:20" x14ac:dyDescent="0.25">
      <c r="B484" s="2"/>
      <c r="C484" s="2"/>
      <c r="D484" s="2"/>
      <c r="E484" s="2"/>
      <c r="F484" s="2"/>
      <c r="G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2:20" x14ac:dyDescent="0.25">
      <c r="B485" s="2"/>
      <c r="C485" s="2"/>
      <c r="D485" s="2"/>
      <c r="E485" s="2"/>
      <c r="F485" s="2"/>
      <c r="G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2:20" x14ac:dyDescent="0.25">
      <c r="B486" s="2"/>
      <c r="C486" s="2"/>
      <c r="D486" s="2"/>
      <c r="E486" s="2"/>
      <c r="F486" s="2"/>
      <c r="G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2:20" x14ac:dyDescent="0.25">
      <c r="B487" s="2"/>
      <c r="C487" s="2"/>
      <c r="D487" s="2"/>
      <c r="E487" s="2"/>
      <c r="F487" s="2"/>
      <c r="G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2:20" x14ac:dyDescent="0.25">
      <c r="B488" s="2"/>
      <c r="C488" s="2"/>
      <c r="D488" s="2"/>
      <c r="E488" s="2"/>
      <c r="F488" s="2"/>
      <c r="G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2:20" x14ac:dyDescent="0.25">
      <c r="B489" s="2"/>
      <c r="C489" s="2"/>
      <c r="D489" s="2"/>
      <c r="E489" s="2"/>
      <c r="F489" s="2"/>
      <c r="G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2:20" x14ac:dyDescent="0.25">
      <c r="B490" s="2"/>
      <c r="C490" s="2"/>
      <c r="D490" s="2"/>
      <c r="E490" s="2"/>
      <c r="F490" s="2"/>
      <c r="G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2:20" x14ac:dyDescent="0.25">
      <c r="B491" s="2"/>
      <c r="C491" s="2"/>
      <c r="D491" s="2"/>
      <c r="E491" s="2"/>
      <c r="F491" s="2"/>
      <c r="G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2:20" x14ac:dyDescent="0.25">
      <c r="B492" s="2"/>
      <c r="C492" s="2"/>
      <c r="D492" s="2"/>
      <c r="E492" s="2"/>
      <c r="F492" s="2"/>
      <c r="G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</sheetData>
  <conditionalFormatting sqref="A1:B1048576">
    <cfRule type="expression" dxfId="8" priority="1">
      <formula>AND(COUNTIF(A:A,$A1)&gt;1,$A1&lt;&gt;"")</formula>
    </cfRule>
  </conditionalFormatting>
  <conditionalFormatting sqref="F3:F494">
    <cfRule type="expression" dxfId="7" priority="6">
      <formula>AND(NOT(ISBLANK($B3)),#REF!=0,$F3=0,#REF!=0)</formula>
    </cfRule>
  </conditionalFormatting>
  <dataValidations count="7">
    <dataValidation type="custom" operator="greaterThan" allowBlank="1" showInputMessage="1" showErrorMessage="1" errorTitle="Wrong input" error="If location is &quot;transit&quot;, leave this cell empty. If not, it must be decimal greater than 0.0." sqref="H3:H20" xr:uid="{C2F4CC6D-0F58-4B6A-B078-893ED2646DE7}">
      <formula1>AND(ISNUMBER(H3),H3&gt;0)</formula1>
    </dataValidation>
    <dataValidation type="decimal" operator="greaterThan" allowBlank="1" showInputMessage="1" showErrorMessage="1" errorTitle="Wrong input" error="Leave it empy or it must be a decimal greater than 0.0." sqref="H21:H515" xr:uid="{060367BD-26F5-4545-B3D5-BF7D4BAE7086}">
      <formula1>0</formula1>
    </dataValidation>
    <dataValidation type="whole" operator="greaterThanOrEqual" allowBlank="1" showInputMessage="1" showErrorMessage="1" sqref="I3:I488" xr:uid="{263B1ADD-F04B-4E5E-B766-C78B24766CFE}">
      <formula1>1</formula1>
    </dataValidation>
    <dataValidation type="decimal" operator="greaterThan" allowBlank="1" showInputMessage="1" showErrorMessage="1" sqref="D3:D1048576 G3:G492" xr:uid="{7C2F8309-D0EF-47C7-B0EC-2306E0C04473}">
      <formula1>0</formula1>
    </dataValidation>
    <dataValidation type="decimal" operator="greaterThanOrEqual" allowBlank="1" showInputMessage="1" showErrorMessage="1" sqref="J3:L488" xr:uid="{3D2BD8BA-DD74-4A1E-9C57-0030BF8C8EA0}">
      <formula1>0</formula1>
    </dataValidation>
    <dataValidation type="whole" operator="greaterThanOrEqual" allowBlank="1" showInputMessage="1" showErrorMessage="1" sqref="F489:F491" xr:uid="{8F511A55-BEBD-49CA-B2C1-3E0BB1DC96C3}">
      <formula1>0</formula1>
    </dataValidation>
    <dataValidation operator="greaterThan" allowBlank="1" showInputMessage="1" showErrorMessage="1" sqref="F2:G2" xr:uid="{F8DB1AEB-3360-4A00-B0B5-C207770087BF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2610-EC1C-4D68-BCA9-09A56D2657D7}">
  <sheetPr>
    <tabColor theme="4" tint="0.39997558519241921"/>
  </sheetPr>
  <dimension ref="A1:M49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1" sqref="M1:M2"/>
    </sheetView>
  </sheetViews>
  <sheetFormatPr defaultColWidth="9.28515625" defaultRowHeight="15" x14ac:dyDescent="0.25"/>
  <cols>
    <col min="1" max="1" width="10.7109375" style="1" customWidth="1"/>
    <col min="2" max="2" width="40.7109375" style="1" customWidth="1"/>
    <col min="3" max="3" width="13.85546875" style="1" bestFit="1" customWidth="1"/>
    <col min="4" max="4" width="15.5703125" style="1" customWidth="1"/>
    <col min="5" max="5" width="15.5703125" style="1" hidden="1" customWidth="1"/>
    <col min="6" max="6" width="15.5703125" style="1" customWidth="1"/>
    <col min="7" max="7" width="15.5703125" style="1" hidden="1" customWidth="1"/>
    <col min="8" max="8" width="15.5703125" style="1" customWidth="1"/>
    <col min="9" max="10" width="21.42578125" style="1" customWidth="1"/>
    <col min="11" max="11" width="13.5703125" style="1" customWidth="1"/>
    <col min="12" max="12" width="12.7109375" style="1" customWidth="1"/>
    <col min="13" max="13" width="17.28515625" style="1" bestFit="1" customWidth="1"/>
    <col min="14" max="16384" width="9.28515625" style="1"/>
  </cols>
  <sheetData>
    <row r="1" spans="1:13" x14ac:dyDescent="0.25">
      <c r="A1" s="1" t="s">
        <v>0</v>
      </c>
      <c r="B1" s="1" t="s">
        <v>1</v>
      </c>
      <c r="C1" s="1" t="s">
        <v>57</v>
      </c>
      <c r="D1" s="1" t="s">
        <v>64</v>
      </c>
      <c r="E1" s="1" t="s">
        <v>55</v>
      </c>
      <c r="F1" s="1" t="s">
        <v>65</v>
      </c>
      <c r="G1" s="1" t="s">
        <v>56</v>
      </c>
      <c r="H1" s="1" t="s">
        <v>18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122</v>
      </c>
    </row>
    <row r="2" spans="1:13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5</v>
      </c>
      <c r="K2" s="1" t="s">
        <v>4</v>
      </c>
      <c r="L2" s="1" t="s">
        <v>4</v>
      </c>
      <c r="M2" s="1" t="s">
        <v>123</v>
      </c>
    </row>
    <row r="3" spans="1:13" x14ac:dyDescent="0.25">
      <c r="A3" s="1" t="s">
        <v>112</v>
      </c>
      <c r="B3" s="1" t="s">
        <v>24</v>
      </c>
      <c r="C3" s="2" t="b">
        <v>0</v>
      </c>
      <c r="D3" s="1" t="s">
        <v>74</v>
      </c>
      <c r="E3" s="2" t="str">
        <f>IFERROR(IF(ISBLANK(D3),"",INDEX([1]Gen_Vessels!$A$3:$C$500,MATCH(D3,[1]Gen_Vessels!$C$3:$C$500,0),1)),"")</f>
        <v>V003</v>
      </c>
      <c r="G3" s="2" t="str">
        <f>IFERROR(IF(ISBLANK(F3),"",INDEX([1]Gen_Vessels!$A$3:$C$500,MATCH(F3,[1]Gen_Vessels!$C$3:$C$500,0),1)),"")</f>
        <v/>
      </c>
      <c r="I3" s="1">
        <v>3</v>
      </c>
      <c r="J3" s="1">
        <v>300</v>
      </c>
      <c r="K3" s="1">
        <v>20000</v>
      </c>
      <c r="L3" s="1">
        <v>30000</v>
      </c>
    </row>
    <row r="4" spans="1:13" x14ac:dyDescent="0.25">
      <c r="A4" s="1" t="s">
        <v>25</v>
      </c>
      <c r="B4" s="1" t="s">
        <v>8</v>
      </c>
      <c r="C4" s="2" t="b">
        <v>1</v>
      </c>
      <c r="E4" s="2" t="str">
        <f>IFERROR(IF(ISBLANK(D4),"",INDEX([1]Gen_Vessels!$A$3:$C$500,MATCH(D4,[1]Gen_Vessels!$C$3:$C$500,0),1)),"")</f>
        <v/>
      </c>
      <c r="G4" s="2" t="str">
        <f>IFERROR(IF(ISBLANK(F4),"",INDEX([1]Gen_Vessels!$A$3:$C$500,MATCH(F4,[1]Gen_Vessels!$C$3:$C$500,0),1)),"")</f>
        <v/>
      </c>
      <c r="I4" s="1">
        <v>5</v>
      </c>
      <c r="J4" s="1">
        <v>100</v>
      </c>
      <c r="K4" s="1">
        <v>250000</v>
      </c>
      <c r="L4" s="1">
        <v>1500</v>
      </c>
    </row>
    <row r="5" spans="1:13" x14ac:dyDescent="0.25">
      <c r="A5" s="1" t="s">
        <v>26</v>
      </c>
      <c r="B5" s="1" t="s">
        <v>19</v>
      </c>
      <c r="C5" s="2" t="b">
        <v>0</v>
      </c>
      <c r="D5" s="1" t="s">
        <v>76</v>
      </c>
      <c r="E5" s="2" t="str">
        <f>IFERROR(IF(ISBLANK(D5),"",INDEX([1]Gen_Vessels!$A$3:$C$500,MATCH(D5,[1]Gen_Vessels!$C$3:$C$500,0),1)),"")</f>
        <v>V002</v>
      </c>
      <c r="G5" s="2" t="str">
        <f>IFERROR(IF(ISBLANK(F5),"",INDEX([1]Gen_Vessels!$A$3:$C$500,MATCH(F5,[1]Gen_Vessels!$C$3:$C$500,0),1)),"")</f>
        <v/>
      </c>
      <c r="I5" s="1">
        <v>5</v>
      </c>
      <c r="J5" s="1">
        <v>500</v>
      </c>
      <c r="K5" s="1">
        <v>1000000</v>
      </c>
      <c r="L5" s="1">
        <v>100000</v>
      </c>
    </row>
    <row r="6" spans="1:13" x14ac:dyDescent="0.25">
      <c r="C6" s="2"/>
      <c r="E6" s="2" t="str">
        <f>IFERROR(IF(ISBLANK(D6),"",INDEX([1]Gen_Vessels!$A$3:$C$500,MATCH(D6,[1]Gen_Vessels!$C$3:$C$500,0),1)),"")</f>
        <v/>
      </c>
      <c r="G6" s="2" t="str">
        <f>IFERROR(IF(ISBLANK(F6),"",INDEX([1]Gen_Vessels!$A$3:$C$500,MATCH(F6,[1]Gen_Vessels!$C$3:$C$500,0),1)),"")</f>
        <v/>
      </c>
    </row>
    <row r="7" spans="1:13" x14ac:dyDescent="0.25">
      <c r="C7" s="2"/>
      <c r="E7" s="2" t="str">
        <f>IFERROR(IF(ISBLANK(D7),"",INDEX([1]Gen_Vessels!$A$3:$C$500,MATCH(D7,[1]Gen_Vessels!$C$3:$C$500,0),1)),"")</f>
        <v/>
      </c>
      <c r="G7" s="2" t="str">
        <f>IFERROR(IF(ISBLANK(F7),"",INDEX([1]Gen_Vessels!$A$3:$C$500,MATCH(F7,[1]Gen_Vessels!$C$3:$C$500,0),1)),"")</f>
        <v/>
      </c>
    </row>
    <row r="8" spans="1:13" x14ac:dyDescent="0.25">
      <c r="C8" s="2"/>
      <c r="E8" s="2" t="str">
        <f>IFERROR(IF(ISBLANK(D8),"",INDEX([1]Gen_Vessels!$A$3:$C$500,MATCH(D8,[1]Gen_Vessels!$C$3:$C$500,0),1)),"")</f>
        <v/>
      </c>
      <c r="G8" s="2" t="str">
        <f>IFERROR(IF(ISBLANK(F8),"",INDEX([1]Gen_Vessels!$A$3:$C$500,MATCH(F8,[1]Gen_Vessels!$C$3:$C$500,0),1)),"")</f>
        <v/>
      </c>
    </row>
    <row r="9" spans="1:13" x14ac:dyDescent="0.25">
      <c r="C9" s="2"/>
      <c r="E9" s="2" t="str">
        <f>IFERROR(IF(ISBLANK(D9),"",INDEX([1]Gen_Vessels!$A$3:$C$500,MATCH(D9,[1]Gen_Vessels!$C$3:$C$500,0),1)),"")</f>
        <v/>
      </c>
      <c r="G9" s="2" t="str">
        <f>IFERROR(IF(ISBLANK(F9),"",INDEX([1]Gen_Vessels!$A$3:$C$500,MATCH(F9,[1]Gen_Vessels!$C$3:$C$500,0),1)),"")</f>
        <v/>
      </c>
    </row>
    <row r="10" spans="1:13" x14ac:dyDescent="0.25">
      <c r="C10" s="2"/>
      <c r="E10" s="2" t="str">
        <f>IFERROR(IF(ISBLANK(D10),"",INDEX([1]Gen_Vessels!$A$3:$C$500,MATCH(D10,[1]Gen_Vessels!$C$3:$C$500,0),1)),"")</f>
        <v/>
      </c>
      <c r="G10" s="2" t="str">
        <f>IFERROR(IF(ISBLANK(F10),"",INDEX([1]Gen_Vessels!$A$3:$C$500,MATCH(F10,[1]Gen_Vessels!$C$3:$C$500,0),1)),"")</f>
        <v/>
      </c>
    </row>
    <row r="11" spans="1:13" x14ac:dyDescent="0.25">
      <c r="C11" s="2"/>
      <c r="E11" s="2" t="str">
        <f>IFERROR(IF(ISBLANK(D11),"",INDEX([1]Gen_Vessels!$A$3:$C$500,MATCH(D11,[1]Gen_Vessels!$C$3:$C$500,0),1)),"")</f>
        <v/>
      </c>
      <c r="G11" s="2" t="str">
        <f>IFERROR(IF(ISBLANK(F11),"",INDEX([1]Gen_Vessels!$A$3:$C$500,MATCH(F11,[1]Gen_Vessels!$C$3:$C$500,0),1)),"")</f>
        <v/>
      </c>
    </row>
    <row r="12" spans="1:13" x14ac:dyDescent="0.25">
      <c r="C12" s="2"/>
      <c r="E12" s="2" t="str">
        <f>IFERROR(IF(ISBLANK(D12),"",INDEX([1]Gen_Vessels!$A$3:$C$500,MATCH(D12,[1]Gen_Vessels!$C$3:$C$500,0),1)),"")</f>
        <v/>
      </c>
      <c r="G12" s="2" t="str">
        <f>IFERROR(IF(ISBLANK(F12),"",INDEX([1]Gen_Vessels!$A$3:$C$500,MATCH(F12,[1]Gen_Vessels!$C$3:$C$500,0),1)),"")</f>
        <v/>
      </c>
    </row>
    <row r="13" spans="1:13" x14ac:dyDescent="0.25">
      <c r="C13" s="2"/>
      <c r="E13" s="2" t="str">
        <f>IFERROR(IF(ISBLANK(D13),"",INDEX([1]Gen_Vessels!$A$3:$C$500,MATCH(D13,[1]Gen_Vessels!$C$3:$C$500,0),1)),"")</f>
        <v/>
      </c>
      <c r="G13" s="2" t="str">
        <f>IFERROR(IF(ISBLANK(F13),"",INDEX([1]Gen_Vessels!$A$3:$C$500,MATCH(F13,[1]Gen_Vessels!$C$3:$C$500,0),1)),"")</f>
        <v/>
      </c>
    </row>
    <row r="14" spans="1:13" x14ac:dyDescent="0.25">
      <c r="C14" s="2"/>
      <c r="E14" s="2" t="str">
        <f>IFERROR(IF(ISBLANK(D14),"",INDEX([1]Gen_Vessels!$A$3:$C$500,MATCH(D14,[1]Gen_Vessels!$C$3:$C$500,0),1)),"")</f>
        <v/>
      </c>
      <c r="G14" s="2" t="str">
        <f>IFERROR(IF(ISBLANK(F14),"",INDEX([1]Gen_Vessels!$A$3:$C$500,MATCH(F14,[1]Gen_Vessels!$C$3:$C$500,0),1)),"")</f>
        <v/>
      </c>
    </row>
    <row r="15" spans="1:13" x14ac:dyDescent="0.25">
      <c r="C15" s="2"/>
      <c r="E15" s="2" t="str">
        <f>IFERROR(IF(ISBLANK(D15),"",INDEX([1]Gen_Vessels!$A$3:$C$500,MATCH(D15,[1]Gen_Vessels!$C$3:$C$500,0),1)),"")</f>
        <v/>
      </c>
      <c r="G15" s="2" t="str">
        <f>IFERROR(IF(ISBLANK(F15),"",INDEX([1]Gen_Vessels!$A$3:$C$500,MATCH(F15,[1]Gen_Vessels!$C$3:$C$500,0),1)),"")</f>
        <v/>
      </c>
    </row>
    <row r="16" spans="1:13" x14ac:dyDescent="0.25">
      <c r="C16" s="2"/>
      <c r="E16" s="2" t="str">
        <f>IFERROR(IF(ISBLANK(D16),"",INDEX([1]Gen_Vessels!$A$3:$C$500,MATCH(D16,[1]Gen_Vessels!$C$3:$C$500,0),1)),"")</f>
        <v/>
      </c>
      <c r="G16" s="2" t="str">
        <f>IFERROR(IF(ISBLANK(F16),"",INDEX([1]Gen_Vessels!$A$3:$C$500,MATCH(F16,[1]Gen_Vessels!$C$3:$C$500,0),1)),"")</f>
        <v/>
      </c>
    </row>
    <row r="17" spans="3:7" x14ac:dyDescent="0.25">
      <c r="C17" s="2"/>
      <c r="E17" s="2" t="str">
        <f>IFERROR(IF(ISBLANK(D17),"",INDEX([1]Gen_Vessels!$A$3:$C$500,MATCH(D17,[1]Gen_Vessels!$C$3:$C$500,0),1)),"")</f>
        <v/>
      </c>
      <c r="G17" s="2" t="str">
        <f>IFERROR(IF(ISBLANK(F17),"",INDEX([1]Gen_Vessels!$A$3:$C$500,MATCH(F17,[1]Gen_Vessels!$C$3:$C$500,0),1)),"")</f>
        <v/>
      </c>
    </row>
    <row r="18" spans="3:7" x14ac:dyDescent="0.25">
      <c r="C18" s="2"/>
      <c r="E18" s="2" t="str">
        <f>IFERROR(IF(ISBLANK(D18),"",INDEX([1]Gen_Vessels!$A$3:$C$500,MATCH(D18,[1]Gen_Vessels!$C$3:$C$500,0),1)),"")</f>
        <v/>
      </c>
      <c r="G18" s="2" t="str">
        <f>IFERROR(IF(ISBLANK(F18),"",INDEX([1]Gen_Vessels!$A$3:$C$500,MATCH(F18,[1]Gen_Vessels!$C$3:$C$500,0),1)),"")</f>
        <v/>
      </c>
    </row>
    <row r="19" spans="3:7" x14ac:dyDescent="0.25">
      <c r="C19" s="2"/>
      <c r="E19" s="2" t="str">
        <f>IFERROR(IF(ISBLANK(D19),"",INDEX([1]Gen_Vessels!$A$3:$C$500,MATCH(D19,[1]Gen_Vessels!$C$3:$C$500,0),1)),"")</f>
        <v/>
      </c>
      <c r="G19" s="2" t="str">
        <f>IFERROR(IF(ISBLANK(F19),"",INDEX([1]Gen_Vessels!$A$3:$C$500,MATCH(F19,[1]Gen_Vessels!$C$3:$C$500,0),1)),"")</f>
        <v/>
      </c>
    </row>
    <row r="20" spans="3:7" x14ac:dyDescent="0.25">
      <c r="C20" s="2"/>
      <c r="E20" s="2" t="str">
        <f>IFERROR(IF(ISBLANK(D20),"",INDEX([1]Gen_Vessels!$A$3:$C$500,MATCH(D20,[1]Gen_Vessels!$C$3:$C$500,0),1)),"")</f>
        <v/>
      </c>
      <c r="G20" s="2" t="str">
        <f>IFERROR(IF(ISBLANK(F20),"",INDEX([1]Gen_Vessels!$A$3:$C$500,MATCH(F20,[1]Gen_Vessels!$C$3:$C$500,0),1)),"")</f>
        <v/>
      </c>
    </row>
    <row r="21" spans="3:7" x14ac:dyDescent="0.25">
      <c r="C21" s="2"/>
      <c r="E21" s="2" t="str">
        <f>IFERROR(IF(ISBLANK(D21),"",INDEX([1]Gen_Vessels!$A$3:$C$500,MATCH(D21,[1]Gen_Vessels!$C$3:$C$500,0),1)),"")</f>
        <v/>
      </c>
      <c r="G21" s="2" t="str">
        <f>IFERROR(IF(ISBLANK(F21),"",INDEX([1]Gen_Vessels!$A$3:$C$500,MATCH(F21,[1]Gen_Vessels!$C$3:$C$500,0),1)),"")</f>
        <v/>
      </c>
    </row>
    <row r="22" spans="3:7" x14ac:dyDescent="0.25">
      <c r="C22" s="2"/>
      <c r="E22" s="2" t="str">
        <f>IFERROR(IF(ISBLANK(D22),"",INDEX([1]Gen_Vessels!$A$3:$C$500,MATCH(D22,[1]Gen_Vessels!$C$3:$C$500,0),1)),"")</f>
        <v/>
      </c>
      <c r="G22" s="2" t="str">
        <f>IFERROR(IF(ISBLANK(F22),"",INDEX([1]Gen_Vessels!$A$3:$C$500,MATCH(F22,[1]Gen_Vessels!$C$3:$C$500,0),1)),"")</f>
        <v/>
      </c>
    </row>
    <row r="23" spans="3:7" x14ac:dyDescent="0.25">
      <c r="C23" s="2"/>
      <c r="E23" s="2" t="str">
        <f>IFERROR(IF(ISBLANK(D23),"",INDEX([1]Gen_Vessels!$A$3:$C$500,MATCH(D23,[1]Gen_Vessels!$C$3:$C$500,0),1)),"")</f>
        <v/>
      </c>
      <c r="G23" s="2" t="str">
        <f>IFERROR(IF(ISBLANK(F23),"",INDEX([1]Gen_Vessels!$A$3:$C$500,MATCH(F23,[1]Gen_Vessels!$C$3:$C$500,0),1)),"")</f>
        <v/>
      </c>
    </row>
    <row r="24" spans="3:7" x14ac:dyDescent="0.25">
      <c r="C24" s="2"/>
      <c r="E24" s="2" t="str">
        <f>IFERROR(IF(ISBLANK(D24),"",INDEX([1]Gen_Vessels!$A$3:$C$500,MATCH(D24,[1]Gen_Vessels!$C$3:$C$500,0),1)),"")</f>
        <v/>
      </c>
      <c r="G24" s="2" t="str">
        <f>IFERROR(IF(ISBLANK(F24),"",INDEX([1]Gen_Vessels!$A$3:$C$500,MATCH(F24,[1]Gen_Vessels!$C$3:$C$500,0),1)),"")</f>
        <v/>
      </c>
    </row>
    <row r="25" spans="3:7" x14ac:dyDescent="0.25">
      <c r="C25" s="2"/>
      <c r="E25" s="2" t="str">
        <f>IFERROR(IF(ISBLANK(D25),"",INDEX([1]Gen_Vessels!$A$3:$C$500,MATCH(D25,[1]Gen_Vessels!$C$3:$C$500,0),1)),"")</f>
        <v/>
      </c>
      <c r="G25" s="2" t="str">
        <f>IFERROR(IF(ISBLANK(F25),"",INDEX([1]Gen_Vessels!$A$3:$C$500,MATCH(F25,[1]Gen_Vessels!$C$3:$C$500,0),1)),"")</f>
        <v/>
      </c>
    </row>
    <row r="26" spans="3:7" x14ac:dyDescent="0.25">
      <c r="C26" s="2"/>
      <c r="E26" s="2" t="str">
        <f>IFERROR(IF(ISBLANK(D26),"",INDEX([1]Gen_Vessels!$A$3:$C$500,MATCH(D26,[1]Gen_Vessels!$C$3:$C$500,0),1)),"")</f>
        <v/>
      </c>
      <c r="G26" s="2" t="str">
        <f>IFERROR(IF(ISBLANK(F26),"",INDEX([1]Gen_Vessels!$A$3:$C$500,MATCH(F26,[1]Gen_Vessels!$C$3:$C$500,0),1)),"")</f>
        <v/>
      </c>
    </row>
    <row r="27" spans="3:7" x14ac:dyDescent="0.25">
      <c r="C27" s="2"/>
      <c r="E27" s="2" t="str">
        <f>IFERROR(IF(ISBLANK(D27),"",INDEX([1]Gen_Vessels!$A$3:$C$500,MATCH(D27,[1]Gen_Vessels!$C$3:$C$500,0),1)),"")</f>
        <v/>
      </c>
      <c r="G27" s="2" t="str">
        <f>IFERROR(IF(ISBLANK(F27),"",INDEX([1]Gen_Vessels!$A$3:$C$500,MATCH(F27,[1]Gen_Vessels!$C$3:$C$500,0),1)),"")</f>
        <v/>
      </c>
    </row>
    <row r="28" spans="3:7" x14ac:dyDescent="0.25">
      <c r="C28" s="2"/>
      <c r="E28" s="2" t="str">
        <f>IFERROR(IF(ISBLANK(D28),"",INDEX([1]Gen_Vessels!$A$3:$C$500,MATCH(D28,[1]Gen_Vessels!$C$3:$C$500,0),1)),"")</f>
        <v/>
      </c>
      <c r="G28" s="2" t="str">
        <f>IFERROR(IF(ISBLANK(F28),"",INDEX([1]Gen_Vessels!$A$3:$C$500,MATCH(F28,[1]Gen_Vessels!$C$3:$C$500,0),1)),"")</f>
        <v/>
      </c>
    </row>
    <row r="29" spans="3:7" x14ac:dyDescent="0.25">
      <c r="C29" s="2"/>
      <c r="E29" s="2" t="str">
        <f>IFERROR(IF(ISBLANK(D29),"",INDEX([1]Gen_Vessels!$A$3:$C$500,MATCH(D29,[1]Gen_Vessels!$C$3:$C$500,0),1)),"")</f>
        <v/>
      </c>
      <c r="G29" s="2" t="str">
        <f>IFERROR(IF(ISBLANK(F29),"",INDEX([1]Gen_Vessels!$A$3:$C$500,MATCH(F29,[1]Gen_Vessels!$C$3:$C$500,0),1)),"")</f>
        <v/>
      </c>
    </row>
    <row r="30" spans="3:7" x14ac:dyDescent="0.25">
      <c r="C30" s="2"/>
      <c r="E30" s="2" t="str">
        <f>IFERROR(IF(ISBLANK(D30),"",INDEX([1]Gen_Vessels!$A$3:$C$500,MATCH(D30,[1]Gen_Vessels!$C$3:$C$500,0),1)),"")</f>
        <v/>
      </c>
      <c r="G30" s="2" t="str">
        <f>IFERROR(IF(ISBLANK(F30),"",INDEX([1]Gen_Vessels!$A$3:$C$500,MATCH(F30,[1]Gen_Vessels!$C$3:$C$500,0),1)),"")</f>
        <v/>
      </c>
    </row>
    <row r="31" spans="3:7" x14ac:dyDescent="0.25">
      <c r="C31" s="2"/>
      <c r="E31" s="2" t="str">
        <f>IFERROR(IF(ISBLANK(D31),"",INDEX([1]Gen_Vessels!$A$3:$C$500,MATCH(D31,[1]Gen_Vessels!$C$3:$C$500,0),1)),"")</f>
        <v/>
      </c>
      <c r="G31" s="2" t="str">
        <f>IFERROR(IF(ISBLANK(F31),"",INDEX([1]Gen_Vessels!$A$3:$C$500,MATCH(F31,[1]Gen_Vessels!$C$3:$C$500,0),1)),"")</f>
        <v/>
      </c>
    </row>
    <row r="32" spans="3:7" x14ac:dyDescent="0.25">
      <c r="C32" s="2"/>
      <c r="E32" s="2" t="str">
        <f>IFERROR(IF(ISBLANK(D32),"",INDEX([1]Gen_Vessels!$A$3:$C$500,MATCH(D32,[1]Gen_Vessels!$C$3:$C$500,0),1)),"")</f>
        <v/>
      </c>
      <c r="G32" s="2" t="str">
        <f>IFERROR(IF(ISBLANK(F32),"",INDEX([1]Gen_Vessels!$A$3:$C$500,MATCH(F32,[1]Gen_Vessels!$C$3:$C$500,0),1)),"")</f>
        <v/>
      </c>
    </row>
    <row r="33" spans="3:7" x14ac:dyDescent="0.25">
      <c r="C33" s="2"/>
      <c r="E33" s="2" t="str">
        <f>IFERROR(IF(ISBLANK(D33),"",INDEX([1]Gen_Vessels!$A$3:$C$500,MATCH(D33,[1]Gen_Vessels!$C$3:$C$500,0),1)),"")</f>
        <v/>
      </c>
      <c r="G33" s="2" t="str">
        <f>IFERROR(IF(ISBLANK(F33),"",INDEX([1]Gen_Vessels!$A$3:$C$500,MATCH(F33,[1]Gen_Vessels!$C$3:$C$500,0),1)),"")</f>
        <v/>
      </c>
    </row>
    <row r="34" spans="3:7" x14ac:dyDescent="0.25">
      <c r="C34" s="2"/>
      <c r="E34" s="2" t="str">
        <f>IFERROR(IF(ISBLANK(D34),"",INDEX([1]Gen_Vessels!$A$3:$C$500,MATCH(D34,[1]Gen_Vessels!$C$3:$C$500,0),1)),"")</f>
        <v/>
      </c>
      <c r="G34" s="2" t="str">
        <f>IFERROR(IF(ISBLANK(F34),"",INDEX([1]Gen_Vessels!$A$3:$C$500,MATCH(F34,[1]Gen_Vessels!$C$3:$C$500,0),1)),"")</f>
        <v/>
      </c>
    </row>
    <row r="35" spans="3:7" x14ac:dyDescent="0.25">
      <c r="C35" s="2"/>
      <c r="E35" s="2" t="str">
        <f>IFERROR(IF(ISBLANK(D35),"",INDEX([1]Gen_Vessels!$A$3:$C$500,MATCH(D35,[1]Gen_Vessels!$C$3:$C$500,0),1)),"")</f>
        <v/>
      </c>
      <c r="G35" s="2" t="str">
        <f>IFERROR(IF(ISBLANK(F35),"",INDEX([1]Gen_Vessels!$A$3:$C$500,MATCH(F35,[1]Gen_Vessels!$C$3:$C$500,0),1)),"")</f>
        <v/>
      </c>
    </row>
    <row r="36" spans="3:7" x14ac:dyDescent="0.25">
      <c r="C36" s="2"/>
      <c r="E36" s="2" t="str">
        <f>IFERROR(IF(ISBLANK(D36),"",INDEX([1]Gen_Vessels!$A$3:$C$500,MATCH(D36,[1]Gen_Vessels!$C$3:$C$500,0),1)),"")</f>
        <v/>
      </c>
      <c r="G36" s="2" t="str">
        <f>IFERROR(IF(ISBLANK(F36),"",INDEX([1]Gen_Vessels!$A$3:$C$500,MATCH(F36,[1]Gen_Vessels!$C$3:$C$500,0),1)),"")</f>
        <v/>
      </c>
    </row>
    <row r="37" spans="3:7" x14ac:dyDescent="0.25">
      <c r="C37" s="2"/>
      <c r="E37" s="2" t="str">
        <f>IFERROR(IF(ISBLANK(D37),"",INDEX([1]Gen_Vessels!$A$3:$C$500,MATCH(D37,[1]Gen_Vessels!$C$3:$C$500,0),1)),"")</f>
        <v/>
      </c>
      <c r="G37" s="2" t="str">
        <f>IFERROR(IF(ISBLANK(F37),"",INDEX([1]Gen_Vessels!$A$3:$C$500,MATCH(F37,[1]Gen_Vessels!$C$3:$C$500,0),1)),"")</f>
        <v/>
      </c>
    </row>
    <row r="38" spans="3:7" x14ac:dyDescent="0.25">
      <c r="C38" s="2"/>
      <c r="E38" s="2" t="str">
        <f>IFERROR(IF(ISBLANK(D38),"",INDEX([1]Gen_Vessels!$A$3:$C$500,MATCH(D38,[1]Gen_Vessels!$C$3:$C$500,0),1)),"")</f>
        <v/>
      </c>
      <c r="G38" s="2" t="str">
        <f>IFERROR(IF(ISBLANK(F38),"",INDEX([1]Gen_Vessels!$A$3:$C$500,MATCH(F38,[1]Gen_Vessels!$C$3:$C$500,0),1)),"")</f>
        <v/>
      </c>
    </row>
    <row r="39" spans="3:7" x14ac:dyDescent="0.25">
      <c r="C39" s="2"/>
      <c r="E39" s="2" t="str">
        <f>IFERROR(IF(ISBLANK(D39),"",INDEX([1]Gen_Vessels!$A$3:$C$500,MATCH(D39,[1]Gen_Vessels!$C$3:$C$500,0),1)),"")</f>
        <v/>
      </c>
      <c r="G39" s="2" t="str">
        <f>IFERROR(IF(ISBLANK(F39),"",INDEX([1]Gen_Vessels!$A$3:$C$500,MATCH(F39,[1]Gen_Vessels!$C$3:$C$500,0),1)),"")</f>
        <v/>
      </c>
    </row>
    <row r="40" spans="3:7" x14ac:dyDescent="0.25">
      <c r="C40" s="2"/>
      <c r="E40" s="2" t="str">
        <f>IFERROR(IF(ISBLANK(D40),"",INDEX([1]Gen_Vessels!$A$3:$C$500,MATCH(D40,[1]Gen_Vessels!$C$3:$C$500,0),1)),"")</f>
        <v/>
      </c>
      <c r="G40" s="2" t="str">
        <f>IFERROR(IF(ISBLANK(F40),"",INDEX([1]Gen_Vessels!$A$3:$C$500,MATCH(F40,[1]Gen_Vessels!$C$3:$C$500,0),1)),"")</f>
        <v/>
      </c>
    </row>
    <row r="41" spans="3:7" x14ac:dyDescent="0.25">
      <c r="C41" s="2"/>
      <c r="E41" s="2" t="str">
        <f>IFERROR(IF(ISBLANK(D41),"",INDEX([1]Gen_Vessels!$A$3:$C$500,MATCH(D41,[1]Gen_Vessels!$C$3:$C$500,0),1)),"")</f>
        <v/>
      </c>
      <c r="G41" s="2" t="str">
        <f>IFERROR(IF(ISBLANK(F41),"",INDEX([1]Gen_Vessels!$A$3:$C$500,MATCH(F41,[1]Gen_Vessels!$C$3:$C$500,0),1)),"")</f>
        <v/>
      </c>
    </row>
    <row r="42" spans="3:7" x14ac:dyDescent="0.25">
      <c r="C42" s="2"/>
      <c r="E42" s="2" t="str">
        <f>IFERROR(IF(ISBLANK(D42),"",INDEX([1]Gen_Vessels!$A$3:$C$500,MATCH(D42,[1]Gen_Vessels!$C$3:$C$500,0),1)),"")</f>
        <v/>
      </c>
      <c r="G42" s="2" t="str">
        <f>IFERROR(IF(ISBLANK(F42),"",INDEX([1]Gen_Vessels!$A$3:$C$500,MATCH(F42,[1]Gen_Vessels!$C$3:$C$500,0),1)),"")</f>
        <v/>
      </c>
    </row>
    <row r="43" spans="3:7" x14ac:dyDescent="0.25">
      <c r="C43" s="2"/>
      <c r="E43" s="2" t="str">
        <f>IFERROR(IF(ISBLANK(D43),"",INDEX([1]Gen_Vessels!$A$3:$C$500,MATCH(D43,[1]Gen_Vessels!$C$3:$C$500,0),1)),"")</f>
        <v/>
      </c>
      <c r="G43" s="2" t="str">
        <f>IFERROR(IF(ISBLANK(F43),"",INDEX([1]Gen_Vessels!$A$3:$C$500,MATCH(F43,[1]Gen_Vessels!$C$3:$C$500,0),1)),"")</f>
        <v/>
      </c>
    </row>
    <row r="44" spans="3:7" x14ac:dyDescent="0.25">
      <c r="C44" s="2"/>
      <c r="E44" s="2" t="str">
        <f>IFERROR(IF(ISBLANK(D44),"",INDEX([1]Gen_Vessels!$A$3:$C$500,MATCH(D44,[1]Gen_Vessels!$C$3:$C$500,0),1)),"")</f>
        <v/>
      </c>
      <c r="G44" s="2" t="str">
        <f>IFERROR(IF(ISBLANK(F44),"",INDEX([1]Gen_Vessels!$A$3:$C$500,MATCH(F44,[1]Gen_Vessels!$C$3:$C$500,0),1)),"")</f>
        <v/>
      </c>
    </row>
    <row r="45" spans="3:7" x14ac:dyDescent="0.25">
      <c r="C45" s="2"/>
      <c r="E45" s="2" t="str">
        <f>IFERROR(IF(ISBLANK(D45),"",INDEX([1]Gen_Vessels!$A$3:$C$500,MATCH(D45,[1]Gen_Vessels!$C$3:$C$500,0),1)),"")</f>
        <v/>
      </c>
      <c r="G45" s="2" t="str">
        <f>IFERROR(IF(ISBLANK(F45),"",INDEX([1]Gen_Vessels!$A$3:$C$500,MATCH(F45,[1]Gen_Vessels!$C$3:$C$500,0),1)),"")</f>
        <v/>
      </c>
    </row>
    <row r="46" spans="3:7" x14ac:dyDescent="0.25">
      <c r="C46" s="2"/>
      <c r="E46" s="2" t="str">
        <f>IFERROR(IF(ISBLANK(D46),"",INDEX([1]Gen_Vessels!$A$3:$C$500,MATCH(D46,[1]Gen_Vessels!$C$3:$C$500,0),1)),"")</f>
        <v/>
      </c>
      <c r="G46" s="2" t="str">
        <f>IFERROR(IF(ISBLANK(F46),"",INDEX([1]Gen_Vessels!$A$3:$C$500,MATCH(F46,[1]Gen_Vessels!$C$3:$C$500,0),1)),"")</f>
        <v/>
      </c>
    </row>
    <row r="47" spans="3:7" x14ac:dyDescent="0.25">
      <c r="C47" s="2"/>
      <c r="E47" s="2" t="str">
        <f>IFERROR(IF(ISBLANK(D47),"",INDEX([1]Gen_Vessels!$A$3:$C$500,MATCH(D47,[1]Gen_Vessels!$C$3:$C$500,0),1)),"")</f>
        <v/>
      </c>
      <c r="G47" s="2" t="str">
        <f>IFERROR(IF(ISBLANK(F47),"",INDEX([1]Gen_Vessels!$A$3:$C$500,MATCH(F47,[1]Gen_Vessels!$C$3:$C$500,0),1)),"")</f>
        <v/>
      </c>
    </row>
    <row r="48" spans="3:7" x14ac:dyDescent="0.25">
      <c r="C48" s="2"/>
      <c r="E48" s="2" t="str">
        <f>IFERROR(IF(ISBLANK(D48),"",INDEX([1]Gen_Vessels!$A$3:$C$500,MATCH(D48,[1]Gen_Vessels!$C$3:$C$500,0),1)),"")</f>
        <v/>
      </c>
      <c r="G48" s="2" t="str">
        <f>IFERROR(IF(ISBLANK(F48),"",INDEX([1]Gen_Vessels!$A$3:$C$500,MATCH(F48,[1]Gen_Vessels!$C$3:$C$500,0),1)),"")</f>
        <v/>
      </c>
    </row>
    <row r="49" spans="3:7" x14ac:dyDescent="0.25">
      <c r="C49" s="2"/>
      <c r="E49" s="2" t="str">
        <f>IFERROR(IF(ISBLANK(D49),"",INDEX([1]Gen_Vessels!$A$3:$C$500,MATCH(D49,[1]Gen_Vessels!$C$3:$C$500,0),1)),"")</f>
        <v/>
      </c>
      <c r="G49" s="2" t="str">
        <f>IFERROR(IF(ISBLANK(F49),"",INDEX([1]Gen_Vessels!$A$3:$C$500,MATCH(F49,[1]Gen_Vessels!$C$3:$C$500,0),1)),"")</f>
        <v/>
      </c>
    </row>
    <row r="50" spans="3:7" x14ac:dyDescent="0.25">
      <c r="C50" s="2"/>
      <c r="E50" s="2" t="str">
        <f>IFERROR(IF(ISBLANK(D50),"",INDEX([1]Gen_Vessels!$A$3:$C$500,MATCH(D50,[1]Gen_Vessels!$C$3:$C$500,0),1)),"")</f>
        <v/>
      </c>
      <c r="G50" s="2" t="str">
        <f>IFERROR(IF(ISBLANK(F50),"",INDEX([1]Gen_Vessels!$A$3:$C$500,MATCH(F50,[1]Gen_Vessels!$C$3:$C$500,0),1)),"")</f>
        <v/>
      </c>
    </row>
    <row r="51" spans="3:7" x14ac:dyDescent="0.25">
      <c r="C51" s="2"/>
      <c r="E51" s="2" t="str">
        <f>IFERROR(IF(ISBLANK(D51),"",INDEX([1]Gen_Vessels!$A$3:$C$500,MATCH(D51,[1]Gen_Vessels!$C$3:$C$500,0),1)),"")</f>
        <v/>
      </c>
      <c r="G51" s="2" t="str">
        <f>IFERROR(IF(ISBLANK(F51),"",INDEX([1]Gen_Vessels!$A$3:$C$500,MATCH(F51,[1]Gen_Vessels!$C$3:$C$500,0),1)),"")</f>
        <v/>
      </c>
    </row>
    <row r="52" spans="3:7" x14ac:dyDescent="0.25">
      <c r="C52" s="2"/>
      <c r="E52" s="2" t="str">
        <f>IFERROR(IF(ISBLANK(D52),"",INDEX([1]Gen_Vessels!$A$3:$C$500,MATCH(D52,[1]Gen_Vessels!$C$3:$C$500,0),1)),"")</f>
        <v/>
      </c>
      <c r="G52" s="2" t="str">
        <f>IFERROR(IF(ISBLANK(F52),"",INDEX([1]Gen_Vessels!$A$3:$C$500,MATCH(F52,[1]Gen_Vessels!$C$3:$C$500,0),1)),"")</f>
        <v/>
      </c>
    </row>
    <row r="53" spans="3:7" x14ac:dyDescent="0.25">
      <c r="C53" s="2"/>
      <c r="E53" s="2" t="str">
        <f>IFERROR(IF(ISBLANK(D53),"",INDEX([1]Gen_Vessels!$A$3:$C$500,MATCH(D53,[1]Gen_Vessels!$C$3:$C$500,0),1)),"")</f>
        <v/>
      </c>
      <c r="G53" s="2" t="str">
        <f>IFERROR(IF(ISBLANK(F53),"",INDEX([1]Gen_Vessels!$A$3:$C$500,MATCH(F53,[1]Gen_Vessels!$C$3:$C$500,0),1)),"")</f>
        <v/>
      </c>
    </row>
    <row r="54" spans="3:7" x14ac:dyDescent="0.25">
      <c r="C54" s="2"/>
      <c r="E54" s="2" t="str">
        <f>IFERROR(IF(ISBLANK(D54),"",INDEX([1]Gen_Vessels!$A$3:$C$500,MATCH(D54,[1]Gen_Vessels!$C$3:$C$500,0),1)),"")</f>
        <v/>
      </c>
      <c r="G54" s="2" t="str">
        <f>IFERROR(IF(ISBLANK(F54),"",INDEX([1]Gen_Vessels!$A$3:$C$500,MATCH(F54,[1]Gen_Vessels!$C$3:$C$500,0),1)),"")</f>
        <v/>
      </c>
    </row>
    <row r="55" spans="3:7" x14ac:dyDescent="0.25">
      <c r="C55" s="2"/>
      <c r="E55" s="2" t="str">
        <f>IFERROR(IF(ISBLANK(D55),"",INDEX([1]Gen_Vessels!$A$3:$C$500,MATCH(D55,[1]Gen_Vessels!$C$3:$C$500,0),1)),"")</f>
        <v/>
      </c>
      <c r="G55" s="2" t="str">
        <f>IFERROR(IF(ISBLANK(F55),"",INDEX([1]Gen_Vessels!$A$3:$C$500,MATCH(F55,[1]Gen_Vessels!$C$3:$C$500,0),1)),"")</f>
        <v/>
      </c>
    </row>
    <row r="56" spans="3:7" x14ac:dyDescent="0.25">
      <c r="C56" s="2"/>
      <c r="E56" s="2" t="str">
        <f>IFERROR(IF(ISBLANK(D56),"",INDEX([1]Gen_Vessels!$A$3:$C$500,MATCH(D56,[1]Gen_Vessels!$C$3:$C$500,0),1)),"")</f>
        <v/>
      </c>
      <c r="G56" s="2" t="str">
        <f>IFERROR(IF(ISBLANK(F56),"",INDEX([1]Gen_Vessels!$A$3:$C$500,MATCH(F56,[1]Gen_Vessels!$C$3:$C$500,0),1)),"")</f>
        <v/>
      </c>
    </row>
    <row r="57" spans="3:7" x14ac:dyDescent="0.25">
      <c r="C57" s="2"/>
      <c r="E57" s="2" t="str">
        <f>IFERROR(IF(ISBLANK(D57),"",INDEX([1]Gen_Vessels!$A$3:$C$500,MATCH(D57,[1]Gen_Vessels!$C$3:$C$500,0),1)),"")</f>
        <v/>
      </c>
      <c r="G57" s="2" t="str">
        <f>IFERROR(IF(ISBLANK(F57),"",INDEX([1]Gen_Vessels!$A$3:$C$500,MATCH(F57,[1]Gen_Vessels!$C$3:$C$500,0),1)),"")</f>
        <v/>
      </c>
    </row>
    <row r="58" spans="3:7" x14ac:dyDescent="0.25">
      <c r="C58" s="2"/>
      <c r="E58" s="2" t="str">
        <f>IFERROR(IF(ISBLANK(D58),"",INDEX([1]Gen_Vessels!$A$3:$C$500,MATCH(D58,[1]Gen_Vessels!$C$3:$C$500,0),1)),"")</f>
        <v/>
      </c>
      <c r="G58" s="2" t="str">
        <f>IFERROR(IF(ISBLANK(F58),"",INDEX([1]Gen_Vessels!$A$3:$C$500,MATCH(F58,[1]Gen_Vessels!$C$3:$C$500,0),1)),"")</f>
        <v/>
      </c>
    </row>
    <row r="59" spans="3:7" x14ac:dyDescent="0.25">
      <c r="C59" s="2"/>
      <c r="E59" s="2" t="str">
        <f>IFERROR(IF(ISBLANK(D59),"",INDEX([1]Gen_Vessels!$A$3:$C$500,MATCH(D59,[1]Gen_Vessels!$C$3:$C$500,0),1)),"")</f>
        <v/>
      </c>
      <c r="G59" s="2" t="str">
        <f>IFERROR(IF(ISBLANK(F59),"",INDEX([1]Gen_Vessels!$A$3:$C$500,MATCH(F59,[1]Gen_Vessels!$C$3:$C$500,0),1)),"")</f>
        <v/>
      </c>
    </row>
    <row r="60" spans="3:7" x14ac:dyDescent="0.25">
      <c r="C60" s="2"/>
      <c r="E60" s="2" t="str">
        <f>IFERROR(IF(ISBLANK(D60),"",INDEX([1]Gen_Vessels!$A$3:$C$500,MATCH(D60,[1]Gen_Vessels!$C$3:$C$500,0),1)),"")</f>
        <v/>
      </c>
      <c r="G60" s="2" t="str">
        <f>IFERROR(IF(ISBLANK(F60),"",INDEX([1]Gen_Vessels!$A$3:$C$500,MATCH(F60,[1]Gen_Vessels!$C$3:$C$500,0),1)),"")</f>
        <v/>
      </c>
    </row>
    <row r="61" spans="3:7" x14ac:dyDescent="0.25">
      <c r="C61" s="2"/>
      <c r="E61" s="2" t="str">
        <f>IFERROR(IF(ISBLANK(D61),"",INDEX([1]Gen_Vessels!$A$3:$C$500,MATCH(D61,[1]Gen_Vessels!$C$3:$C$500,0),1)),"")</f>
        <v/>
      </c>
      <c r="G61" s="2" t="str">
        <f>IFERROR(IF(ISBLANK(F61),"",INDEX([1]Gen_Vessels!$A$3:$C$500,MATCH(F61,[1]Gen_Vessels!$C$3:$C$500,0),1)),"")</f>
        <v/>
      </c>
    </row>
    <row r="62" spans="3:7" x14ac:dyDescent="0.25">
      <c r="C62" s="2"/>
      <c r="E62" s="2" t="str">
        <f>IFERROR(IF(ISBLANK(D62),"",INDEX([1]Gen_Vessels!$A$3:$C$500,MATCH(D62,[1]Gen_Vessels!$C$3:$C$500,0),1)),"")</f>
        <v/>
      </c>
      <c r="G62" s="2" t="str">
        <f>IFERROR(IF(ISBLANK(F62),"",INDEX([1]Gen_Vessels!$A$3:$C$500,MATCH(F62,[1]Gen_Vessels!$C$3:$C$500,0),1)),"")</f>
        <v/>
      </c>
    </row>
    <row r="63" spans="3:7" x14ac:dyDescent="0.25">
      <c r="C63" s="2"/>
      <c r="E63" s="2" t="str">
        <f>IFERROR(IF(ISBLANK(D63),"",INDEX([1]Gen_Vessels!$A$3:$C$500,MATCH(D63,[1]Gen_Vessels!$C$3:$C$500,0),1)),"")</f>
        <v/>
      </c>
      <c r="G63" s="2" t="str">
        <f>IFERROR(IF(ISBLANK(F63),"",INDEX([1]Gen_Vessels!$A$3:$C$500,MATCH(F63,[1]Gen_Vessels!$C$3:$C$500,0),1)),"")</f>
        <v/>
      </c>
    </row>
    <row r="64" spans="3:7" x14ac:dyDescent="0.25">
      <c r="C64" s="2"/>
      <c r="E64" s="2" t="str">
        <f>IFERROR(IF(ISBLANK(D64),"",INDEX([1]Gen_Vessels!$A$3:$C$500,MATCH(D64,[1]Gen_Vessels!$C$3:$C$500,0),1)),"")</f>
        <v/>
      </c>
      <c r="G64" s="2" t="str">
        <f>IFERROR(IF(ISBLANK(F64),"",INDEX([1]Gen_Vessels!$A$3:$C$500,MATCH(F64,[1]Gen_Vessels!$C$3:$C$500,0),1)),"")</f>
        <v/>
      </c>
    </row>
    <row r="65" spans="3:7" x14ac:dyDescent="0.25">
      <c r="C65" s="2"/>
      <c r="E65" s="2" t="str">
        <f>IFERROR(IF(ISBLANK(D65),"",INDEX([1]Gen_Vessels!$A$3:$C$500,MATCH(D65,[1]Gen_Vessels!$C$3:$C$500,0),1)),"")</f>
        <v/>
      </c>
      <c r="G65" s="2" t="str">
        <f>IFERROR(IF(ISBLANK(F65),"",INDEX([1]Gen_Vessels!$A$3:$C$500,MATCH(F65,[1]Gen_Vessels!$C$3:$C$500,0),1)),"")</f>
        <v/>
      </c>
    </row>
    <row r="66" spans="3:7" x14ac:dyDescent="0.25">
      <c r="C66" s="2"/>
      <c r="E66" s="2" t="str">
        <f>IFERROR(IF(ISBLANK(D66),"",INDEX([1]Gen_Vessels!$A$3:$C$500,MATCH(D66,[1]Gen_Vessels!$C$3:$C$500,0),1)),"")</f>
        <v/>
      </c>
      <c r="G66" s="2" t="str">
        <f>IFERROR(IF(ISBLANK(F66),"",INDEX([1]Gen_Vessels!$A$3:$C$500,MATCH(F66,[1]Gen_Vessels!$C$3:$C$500,0),1)),"")</f>
        <v/>
      </c>
    </row>
    <row r="67" spans="3:7" x14ac:dyDescent="0.25">
      <c r="C67" s="2"/>
      <c r="E67" s="2" t="str">
        <f>IFERROR(IF(ISBLANK(D67),"",INDEX([1]Gen_Vessels!$A$3:$C$500,MATCH(D67,[1]Gen_Vessels!$C$3:$C$500,0),1)),"")</f>
        <v/>
      </c>
      <c r="G67" s="2" t="str">
        <f>IFERROR(IF(ISBLANK(F67),"",INDEX([1]Gen_Vessels!$A$3:$C$500,MATCH(F67,[1]Gen_Vessels!$C$3:$C$500,0),1)),"")</f>
        <v/>
      </c>
    </row>
    <row r="68" spans="3:7" x14ac:dyDescent="0.25">
      <c r="C68" s="2"/>
      <c r="E68" s="2" t="str">
        <f>IFERROR(IF(ISBLANK(D68),"",INDEX([1]Gen_Vessels!$A$3:$C$500,MATCH(D68,[1]Gen_Vessels!$C$3:$C$500,0),1)),"")</f>
        <v/>
      </c>
      <c r="G68" s="2" t="str">
        <f>IFERROR(IF(ISBLANK(F68),"",INDEX([1]Gen_Vessels!$A$3:$C$500,MATCH(F68,[1]Gen_Vessels!$C$3:$C$500,0),1)),"")</f>
        <v/>
      </c>
    </row>
    <row r="69" spans="3:7" x14ac:dyDescent="0.25">
      <c r="C69" s="2"/>
      <c r="E69" s="2" t="str">
        <f>IFERROR(IF(ISBLANK(D69),"",INDEX([1]Gen_Vessels!$A$3:$C$500,MATCH(D69,[1]Gen_Vessels!$C$3:$C$500,0),1)),"")</f>
        <v/>
      </c>
      <c r="G69" s="2" t="str">
        <f>IFERROR(IF(ISBLANK(F69),"",INDEX([1]Gen_Vessels!$A$3:$C$500,MATCH(F69,[1]Gen_Vessels!$C$3:$C$500,0),1)),"")</f>
        <v/>
      </c>
    </row>
    <row r="70" spans="3:7" x14ac:dyDescent="0.25">
      <c r="C70" s="2"/>
      <c r="E70" s="2" t="str">
        <f>IFERROR(IF(ISBLANK(D70),"",INDEX([1]Gen_Vessels!$A$3:$C$500,MATCH(D70,[1]Gen_Vessels!$C$3:$C$500,0),1)),"")</f>
        <v/>
      </c>
      <c r="G70" s="2" t="str">
        <f>IFERROR(IF(ISBLANK(F70),"",INDEX([1]Gen_Vessels!$A$3:$C$500,MATCH(F70,[1]Gen_Vessels!$C$3:$C$500,0),1)),"")</f>
        <v/>
      </c>
    </row>
    <row r="71" spans="3:7" x14ac:dyDescent="0.25">
      <c r="C71" s="2"/>
      <c r="E71" s="2" t="str">
        <f>IFERROR(IF(ISBLANK(D71),"",INDEX([1]Gen_Vessels!$A$3:$C$500,MATCH(D71,[1]Gen_Vessels!$C$3:$C$500,0),1)),"")</f>
        <v/>
      </c>
      <c r="G71" s="2" t="str">
        <f>IFERROR(IF(ISBLANK(F71),"",INDEX([1]Gen_Vessels!$A$3:$C$500,MATCH(F71,[1]Gen_Vessels!$C$3:$C$500,0),1)),"")</f>
        <v/>
      </c>
    </row>
    <row r="72" spans="3:7" x14ac:dyDescent="0.25">
      <c r="C72" s="2"/>
      <c r="E72" s="2" t="str">
        <f>IFERROR(IF(ISBLANK(D72),"",INDEX([1]Gen_Vessels!$A$3:$C$500,MATCH(D72,[1]Gen_Vessels!$C$3:$C$500,0),1)),"")</f>
        <v/>
      </c>
      <c r="G72" s="2" t="str">
        <f>IFERROR(IF(ISBLANK(F72),"",INDEX([1]Gen_Vessels!$A$3:$C$500,MATCH(F72,[1]Gen_Vessels!$C$3:$C$500,0),1)),"")</f>
        <v/>
      </c>
    </row>
    <row r="73" spans="3:7" x14ac:dyDescent="0.25">
      <c r="C73" s="2"/>
      <c r="E73" s="2" t="str">
        <f>IFERROR(IF(ISBLANK(D73),"",INDEX([1]Gen_Vessels!$A$3:$C$500,MATCH(D73,[1]Gen_Vessels!$C$3:$C$500,0),1)),"")</f>
        <v/>
      </c>
      <c r="G73" s="2" t="str">
        <f>IFERROR(IF(ISBLANK(F73),"",INDEX([1]Gen_Vessels!$A$3:$C$500,MATCH(F73,[1]Gen_Vessels!$C$3:$C$500,0),1)),"")</f>
        <v/>
      </c>
    </row>
    <row r="74" spans="3:7" x14ac:dyDescent="0.25">
      <c r="C74" s="2"/>
      <c r="E74" s="2" t="str">
        <f>IFERROR(IF(ISBLANK(D74),"",INDEX([1]Gen_Vessels!$A$3:$C$500,MATCH(D74,[1]Gen_Vessels!$C$3:$C$500,0),1)),"")</f>
        <v/>
      </c>
      <c r="G74" s="2" t="str">
        <f>IFERROR(IF(ISBLANK(F74),"",INDEX([1]Gen_Vessels!$A$3:$C$500,MATCH(F74,[1]Gen_Vessels!$C$3:$C$500,0),1)),"")</f>
        <v/>
      </c>
    </row>
    <row r="75" spans="3:7" x14ac:dyDescent="0.25">
      <c r="C75" s="2"/>
      <c r="E75" s="2" t="str">
        <f>IFERROR(IF(ISBLANK(D75),"",INDEX([1]Gen_Vessels!$A$3:$C$500,MATCH(D75,[1]Gen_Vessels!$C$3:$C$500,0),1)),"")</f>
        <v/>
      </c>
      <c r="G75" s="2" t="str">
        <f>IFERROR(IF(ISBLANK(F75),"",INDEX([1]Gen_Vessels!$A$3:$C$500,MATCH(F75,[1]Gen_Vessels!$C$3:$C$500,0),1)),"")</f>
        <v/>
      </c>
    </row>
    <row r="76" spans="3:7" x14ac:dyDescent="0.25">
      <c r="C76" s="2"/>
      <c r="E76" s="2" t="str">
        <f>IFERROR(IF(ISBLANK(D76),"",INDEX([1]Gen_Vessels!$A$3:$C$500,MATCH(D76,[1]Gen_Vessels!$C$3:$C$500,0),1)),"")</f>
        <v/>
      </c>
      <c r="G76" s="2" t="str">
        <f>IFERROR(IF(ISBLANK(F76),"",INDEX([1]Gen_Vessels!$A$3:$C$500,MATCH(F76,[1]Gen_Vessels!$C$3:$C$500,0),1)),"")</f>
        <v/>
      </c>
    </row>
    <row r="77" spans="3:7" x14ac:dyDescent="0.25">
      <c r="C77" s="2"/>
      <c r="E77" s="2" t="str">
        <f>IFERROR(IF(ISBLANK(D77),"",INDEX([1]Gen_Vessels!$A$3:$C$500,MATCH(D77,[1]Gen_Vessels!$C$3:$C$500,0),1)),"")</f>
        <v/>
      </c>
      <c r="G77" s="2" t="str">
        <f>IFERROR(IF(ISBLANK(F77),"",INDEX([1]Gen_Vessels!$A$3:$C$500,MATCH(F77,[1]Gen_Vessels!$C$3:$C$500,0),1)),"")</f>
        <v/>
      </c>
    </row>
    <row r="78" spans="3:7" x14ac:dyDescent="0.25">
      <c r="C78" s="2"/>
      <c r="E78" s="2" t="str">
        <f>IFERROR(IF(ISBLANK(D78),"",INDEX([1]Gen_Vessels!$A$3:$C$500,MATCH(D78,[1]Gen_Vessels!$C$3:$C$500,0),1)),"")</f>
        <v/>
      </c>
      <c r="G78" s="2" t="str">
        <f>IFERROR(IF(ISBLANK(F78),"",INDEX([1]Gen_Vessels!$A$3:$C$500,MATCH(F78,[1]Gen_Vessels!$C$3:$C$500,0),1)),"")</f>
        <v/>
      </c>
    </row>
    <row r="79" spans="3:7" x14ac:dyDescent="0.25">
      <c r="C79" s="2"/>
      <c r="E79" s="2" t="str">
        <f>IFERROR(IF(ISBLANK(D79),"",INDEX([1]Gen_Vessels!$A$3:$C$500,MATCH(D79,[1]Gen_Vessels!$C$3:$C$500,0),1)),"")</f>
        <v/>
      </c>
      <c r="G79" s="2" t="str">
        <f>IFERROR(IF(ISBLANK(F79),"",INDEX([1]Gen_Vessels!$A$3:$C$500,MATCH(F79,[1]Gen_Vessels!$C$3:$C$500,0),1)),"")</f>
        <v/>
      </c>
    </row>
    <row r="80" spans="3:7" x14ac:dyDescent="0.25">
      <c r="C80" s="2"/>
      <c r="E80" s="2" t="str">
        <f>IFERROR(IF(ISBLANK(D80),"",INDEX([1]Gen_Vessels!$A$3:$C$500,MATCH(D80,[1]Gen_Vessels!$C$3:$C$500,0),1)),"")</f>
        <v/>
      </c>
      <c r="G80" s="2" t="str">
        <f>IFERROR(IF(ISBLANK(F80),"",INDEX([1]Gen_Vessels!$A$3:$C$500,MATCH(F80,[1]Gen_Vessels!$C$3:$C$500,0),1)),"")</f>
        <v/>
      </c>
    </row>
    <row r="81" spans="3:7" x14ac:dyDescent="0.25">
      <c r="C81" s="2"/>
      <c r="E81" s="2" t="str">
        <f>IFERROR(IF(ISBLANK(D81),"",INDEX([1]Gen_Vessels!$A$3:$C$500,MATCH(D81,[1]Gen_Vessels!$C$3:$C$500,0),1)),"")</f>
        <v/>
      </c>
      <c r="G81" s="2" t="str">
        <f>IFERROR(IF(ISBLANK(F81),"",INDEX([1]Gen_Vessels!$A$3:$C$500,MATCH(F81,[1]Gen_Vessels!$C$3:$C$500,0),1)),"")</f>
        <v/>
      </c>
    </row>
    <row r="82" spans="3:7" x14ac:dyDescent="0.25">
      <c r="C82" s="2"/>
      <c r="E82" s="2" t="str">
        <f>IFERROR(IF(ISBLANK(D82),"",INDEX([1]Gen_Vessels!$A$3:$C$500,MATCH(D82,[1]Gen_Vessels!$C$3:$C$500,0),1)),"")</f>
        <v/>
      </c>
      <c r="G82" s="2" t="str">
        <f>IFERROR(IF(ISBLANK(F82),"",INDEX([1]Gen_Vessels!$A$3:$C$500,MATCH(F82,[1]Gen_Vessels!$C$3:$C$500,0),1)),"")</f>
        <v/>
      </c>
    </row>
    <row r="83" spans="3:7" x14ac:dyDescent="0.25">
      <c r="C83" s="2"/>
      <c r="E83" s="2" t="str">
        <f>IFERROR(IF(ISBLANK(D83),"",INDEX([1]Gen_Vessels!$A$3:$C$500,MATCH(D83,[1]Gen_Vessels!$C$3:$C$500,0),1)),"")</f>
        <v/>
      </c>
      <c r="G83" s="2" t="str">
        <f>IFERROR(IF(ISBLANK(F83),"",INDEX([1]Gen_Vessels!$A$3:$C$500,MATCH(F83,[1]Gen_Vessels!$C$3:$C$500,0),1)),"")</f>
        <v/>
      </c>
    </row>
    <row r="84" spans="3:7" x14ac:dyDescent="0.25">
      <c r="C84" s="2"/>
      <c r="E84" s="2" t="str">
        <f>IFERROR(IF(ISBLANK(D84),"",INDEX([1]Gen_Vessels!$A$3:$C$500,MATCH(D84,[1]Gen_Vessels!$C$3:$C$500,0),1)),"")</f>
        <v/>
      </c>
      <c r="G84" s="2" t="str">
        <f>IFERROR(IF(ISBLANK(F84),"",INDEX([1]Gen_Vessels!$A$3:$C$500,MATCH(F84,[1]Gen_Vessels!$C$3:$C$500,0),1)),"")</f>
        <v/>
      </c>
    </row>
    <row r="85" spans="3:7" x14ac:dyDescent="0.25">
      <c r="C85" s="2"/>
      <c r="E85" s="2" t="str">
        <f>IFERROR(IF(ISBLANK(D85),"",INDEX([1]Gen_Vessels!$A$3:$C$500,MATCH(D85,[1]Gen_Vessels!$C$3:$C$500,0),1)),"")</f>
        <v/>
      </c>
      <c r="G85" s="2" t="str">
        <f>IFERROR(IF(ISBLANK(F85),"",INDEX([1]Gen_Vessels!$A$3:$C$500,MATCH(F85,[1]Gen_Vessels!$C$3:$C$500,0),1)),"")</f>
        <v/>
      </c>
    </row>
    <row r="86" spans="3:7" x14ac:dyDescent="0.25">
      <c r="C86" s="2"/>
      <c r="E86" s="2" t="str">
        <f>IFERROR(IF(ISBLANK(D86),"",INDEX([1]Gen_Vessels!$A$3:$C$500,MATCH(D86,[1]Gen_Vessels!$C$3:$C$500,0),1)),"")</f>
        <v/>
      </c>
      <c r="G86" s="2" t="str">
        <f>IFERROR(IF(ISBLANK(F86),"",INDEX([1]Gen_Vessels!$A$3:$C$500,MATCH(F86,[1]Gen_Vessels!$C$3:$C$500,0),1)),"")</f>
        <v/>
      </c>
    </row>
    <row r="87" spans="3:7" x14ac:dyDescent="0.25">
      <c r="C87" s="2"/>
      <c r="E87" s="2" t="str">
        <f>IFERROR(IF(ISBLANK(D87),"",INDEX([1]Gen_Vessels!$A$3:$C$500,MATCH(D87,[1]Gen_Vessels!$C$3:$C$500,0),1)),"")</f>
        <v/>
      </c>
      <c r="G87" s="2" t="str">
        <f>IFERROR(IF(ISBLANK(F87),"",INDEX([1]Gen_Vessels!$A$3:$C$500,MATCH(F87,[1]Gen_Vessels!$C$3:$C$500,0),1)),"")</f>
        <v/>
      </c>
    </row>
    <row r="88" spans="3:7" x14ac:dyDescent="0.25">
      <c r="C88" s="2"/>
      <c r="E88" s="2" t="str">
        <f>IFERROR(IF(ISBLANK(D88),"",INDEX([1]Gen_Vessels!$A$3:$C$500,MATCH(D88,[1]Gen_Vessels!$C$3:$C$500,0),1)),"")</f>
        <v/>
      </c>
      <c r="G88" s="2" t="str">
        <f>IFERROR(IF(ISBLANK(F88),"",INDEX([1]Gen_Vessels!$A$3:$C$500,MATCH(F88,[1]Gen_Vessels!$C$3:$C$500,0),1)),"")</f>
        <v/>
      </c>
    </row>
    <row r="89" spans="3:7" x14ac:dyDescent="0.25">
      <c r="C89" s="2"/>
      <c r="E89" s="2" t="str">
        <f>IFERROR(IF(ISBLANK(D89),"",INDEX([1]Gen_Vessels!$A$3:$C$500,MATCH(D89,[1]Gen_Vessels!$C$3:$C$500,0),1)),"")</f>
        <v/>
      </c>
      <c r="G89" s="2" t="str">
        <f>IFERROR(IF(ISBLANK(F89),"",INDEX([1]Gen_Vessels!$A$3:$C$500,MATCH(F89,[1]Gen_Vessels!$C$3:$C$500,0),1)),"")</f>
        <v/>
      </c>
    </row>
    <row r="90" spans="3:7" x14ac:dyDescent="0.25">
      <c r="C90" s="2"/>
      <c r="E90" s="2" t="str">
        <f>IFERROR(IF(ISBLANK(D90),"",INDEX([1]Gen_Vessels!$A$3:$C$500,MATCH(D90,[1]Gen_Vessels!$C$3:$C$500,0),1)),"")</f>
        <v/>
      </c>
      <c r="G90" s="2" t="str">
        <f>IFERROR(IF(ISBLANK(F90),"",INDEX([1]Gen_Vessels!$A$3:$C$500,MATCH(F90,[1]Gen_Vessels!$C$3:$C$500,0),1)),"")</f>
        <v/>
      </c>
    </row>
    <row r="91" spans="3:7" x14ac:dyDescent="0.25">
      <c r="C91" s="2"/>
      <c r="E91" s="2" t="str">
        <f>IFERROR(IF(ISBLANK(D91),"",INDEX([1]Gen_Vessels!$A$3:$C$500,MATCH(D91,[1]Gen_Vessels!$C$3:$C$500,0),1)),"")</f>
        <v/>
      </c>
      <c r="G91" s="2" t="str">
        <f>IFERROR(IF(ISBLANK(F91),"",INDEX([1]Gen_Vessels!$A$3:$C$500,MATCH(F91,[1]Gen_Vessels!$C$3:$C$500,0),1)),"")</f>
        <v/>
      </c>
    </row>
    <row r="92" spans="3:7" x14ac:dyDescent="0.25">
      <c r="C92" s="2"/>
      <c r="E92" s="2" t="str">
        <f>IFERROR(IF(ISBLANK(D92),"",INDEX([1]Gen_Vessels!$A$3:$C$500,MATCH(D92,[1]Gen_Vessels!$C$3:$C$500,0),1)),"")</f>
        <v/>
      </c>
      <c r="G92" s="2" t="str">
        <f>IFERROR(IF(ISBLANK(F92),"",INDEX([1]Gen_Vessels!$A$3:$C$500,MATCH(F92,[1]Gen_Vessels!$C$3:$C$500,0),1)),"")</f>
        <v/>
      </c>
    </row>
    <row r="93" spans="3:7" x14ac:dyDescent="0.25">
      <c r="C93" s="2"/>
      <c r="E93" s="2" t="str">
        <f>IFERROR(IF(ISBLANK(D93),"",INDEX([1]Gen_Vessels!$A$3:$C$500,MATCH(D93,[1]Gen_Vessels!$C$3:$C$500,0),1)),"")</f>
        <v/>
      </c>
      <c r="G93" s="2" t="str">
        <f>IFERROR(IF(ISBLANK(F93),"",INDEX([1]Gen_Vessels!$A$3:$C$500,MATCH(F93,[1]Gen_Vessels!$C$3:$C$500,0),1)),"")</f>
        <v/>
      </c>
    </row>
    <row r="94" spans="3:7" x14ac:dyDescent="0.25">
      <c r="C94" s="2"/>
      <c r="E94" s="2" t="str">
        <f>IFERROR(IF(ISBLANK(D94),"",INDEX([1]Gen_Vessels!$A$3:$C$500,MATCH(D94,[1]Gen_Vessels!$C$3:$C$500,0),1)),"")</f>
        <v/>
      </c>
      <c r="G94" s="2" t="str">
        <f>IFERROR(IF(ISBLANK(F94),"",INDEX([1]Gen_Vessels!$A$3:$C$500,MATCH(F94,[1]Gen_Vessels!$C$3:$C$500,0),1)),"")</f>
        <v/>
      </c>
    </row>
    <row r="95" spans="3:7" x14ac:dyDescent="0.25">
      <c r="C95" s="2"/>
      <c r="E95" s="2" t="str">
        <f>IFERROR(IF(ISBLANK(D95),"",INDEX([1]Gen_Vessels!$A$3:$C$500,MATCH(D95,[1]Gen_Vessels!$C$3:$C$500,0),1)),"")</f>
        <v/>
      </c>
      <c r="G95" s="2" t="str">
        <f>IFERROR(IF(ISBLANK(F95),"",INDEX([1]Gen_Vessels!$A$3:$C$500,MATCH(F95,[1]Gen_Vessels!$C$3:$C$500,0),1)),"")</f>
        <v/>
      </c>
    </row>
    <row r="96" spans="3:7" x14ac:dyDescent="0.25">
      <c r="C96" s="2"/>
      <c r="E96" s="2" t="str">
        <f>IFERROR(IF(ISBLANK(D96),"",INDEX([1]Gen_Vessels!$A$3:$C$500,MATCH(D96,[1]Gen_Vessels!$C$3:$C$500,0),1)),"")</f>
        <v/>
      </c>
      <c r="G96" s="2" t="str">
        <f>IFERROR(IF(ISBLANK(F96),"",INDEX([1]Gen_Vessels!$A$3:$C$500,MATCH(F96,[1]Gen_Vessels!$C$3:$C$500,0),1)),"")</f>
        <v/>
      </c>
    </row>
    <row r="97" spans="3:7" x14ac:dyDescent="0.25">
      <c r="C97" s="2"/>
      <c r="E97" s="2" t="str">
        <f>IFERROR(IF(ISBLANK(D97),"",INDEX([1]Gen_Vessels!$A$3:$C$500,MATCH(D97,[1]Gen_Vessels!$C$3:$C$500,0),1)),"")</f>
        <v/>
      </c>
      <c r="G97" s="2" t="str">
        <f>IFERROR(IF(ISBLANK(F97),"",INDEX([1]Gen_Vessels!$A$3:$C$500,MATCH(F97,[1]Gen_Vessels!$C$3:$C$500,0),1)),"")</f>
        <v/>
      </c>
    </row>
    <row r="98" spans="3:7" x14ac:dyDescent="0.25">
      <c r="C98" s="2"/>
      <c r="E98" s="2" t="str">
        <f>IFERROR(IF(ISBLANK(D98),"",INDEX([1]Gen_Vessels!$A$3:$C$500,MATCH(D98,[1]Gen_Vessels!$C$3:$C$500,0),1)),"")</f>
        <v/>
      </c>
      <c r="G98" s="2" t="str">
        <f>IFERROR(IF(ISBLANK(F98),"",INDEX([1]Gen_Vessels!$A$3:$C$500,MATCH(F98,[1]Gen_Vessels!$C$3:$C$500,0),1)),"")</f>
        <v/>
      </c>
    </row>
    <row r="99" spans="3:7" x14ac:dyDescent="0.25">
      <c r="C99" s="2"/>
      <c r="E99" s="2" t="str">
        <f>IFERROR(IF(ISBLANK(D99),"",INDEX([1]Gen_Vessels!$A$3:$C$500,MATCH(D99,[1]Gen_Vessels!$C$3:$C$500,0),1)),"")</f>
        <v/>
      </c>
      <c r="G99" s="2" t="str">
        <f>IFERROR(IF(ISBLANK(F99),"",INDEX([1]Gen_Vessels!$A$3:$C$500,MATCH(F99,[1]Gen_Vessels!$C$3:$C$500,0),1)),"")</f>
        <v/>
      </c>
    </row>
    <row r="100" spans="3:7" x14ac:dyDescent="0.25">
      <c r="C100" s="2"/>
      <c r="E100" s="2" t="str">
        <f>IFERROR(IF(ISBLANK(D100),"",INDEX([1]Gen_Vessels!$A$3:$C$500,MATCH(D100,[1]Gen_Vessels!$C$3:$C$500,0),1)),"")</f>
        <v/>
      </c>
      <c r="G100" s="2" t="str">
        <f>IFERROR(IF(ISBLANK(F100),"",INDEX([1]Gen_Vessels!$A$3:$C$500,MATCH(F100,[1]Gen_Vessels!$C$3:$C$500,0),1)),"")</f>
        <v/>
      </c>
    </row>
    <row r="101" spans="3:7" x14ac:dyDescent="0.25">
      <c r="C101" s="2"/>
      <c r="E101" s="2" t="str">
        <f>IFERROR(IF(ISBLANK(D101),"",INDEX([1]Gen_Vessels!$A$3:$C$500,MATCH(D101,[1]Gen_Vessels!$C$3:$C$500,0),1)),"")</f>
        <v/>
      </c>
      <c r="G101" s="2" t="str">
        <f>IFERROR(IF(ISBLANK(F101),"",INDEX([1]Gen_Vessels!$A$3:$C$500,MATCH(F101,[1]Gen_Vessels!$C$3:$C$500,0),1)),"")</f>
        <v/>
      </c>
    </row>
    <row r="102" spans="3:7" x14ac:dyDescent="0.25">
      <c r="C102" s="2"/>
      <c r="E102" s="2" t="str">
        <f>IFERROR(IF(ISBLANK(D102),"",INDEX([1]Gen_Vessels!$A$3:$C$500,MATCH(D102,[1]Gen_Vessels!$C$3:$C$500,0),1)),"")</f>
        <v/>
      </c>
      <c r="G102" s="2" t="str">
        <f>IFERROR(IF(ISBLANK(F102),"",INDEX([1]Gen_Vessels!$A$3:$C$500,MATCH(F102,[1]Gen_Vessels!$C$3:$C$500,0),1)),"")</f>
        <v/>
      </c>
    </row>
    <row r="103" spans="3:7" x14ac:dyDescent="0.25">
      <c r="C103" s="2"/>
      <c r="E103" s="2" t="str">
        <f>IFERROR(IF(ISBLANK(D103),"",INDEX([1]Gen_Vessels!$A$3:$C$500,MATCH(D103,[1]Gen_Vessels!$C$3:$C$500,0),1)),"")</f>
        <v/>
      </c>
      <c r="G103" s="2" t="str">
        <f>IFERROR(IF(ISBLANK(F103),"",INDEX([1]Gen_Vessels!$A$3:$C$500,MATCH(F103,[1]Gen_Vessels!$C$3:$C$500,0),1)),"")</f>
        <v/>
      </c>
    </row>
    <row r="104" spans="3:7" x14ac:dyDescent="0.25">
      <c r="C104" s="2"/>
      <c r="E104" s="2" t="str">
        <f>IFERROR(IF(ISBLANK(D104),"",INDEX([1]Gen_Vessels!$A$3:$C$500,MATCH(D104,[1]Gen_Vessels!$C$3:$C$500,0),1)),"")</f>
        <v/>
      </c>
      <c r="G104" s="2" t="str">
        <f>IFERROR(IF(ISBLANK(F104),"",INDEX([1]Gen_Vessels!$A$3:$C$500,MATCH(F104,[1]Gen_Vessels!$C$3:$C$500,0),1)),"")</f>
        <v/>
      </c>
    </row>
    <row r="105" spans="3:7" x14ac:dyDescent="0.25">
      <c r="C105" s="2"/>
      <c r="E105" s="2" t="str">
        <f>IFERROR(IF(ISBLANK(D105),"",INDEX([1]Gen_Vessels!$A$3:$C$500,MATCH(D105,[1]Gen_Vessels!$C$3:$C$500,0),1)),"")</f>
        <v/>
      </c>
      <c r="G105" s="2" t="str">
        <f>IFERROR(IF(ISBLANK(F105),"",INDEX([1]Gen_Vessels!$A$3:$C$500,MATCH(F105,[1]Gen_Vessels!$C$3:$C$500,0),1)),"")</f>
        <v/>
      </c>
    </row>
    <row r="106" spans="3:7" x14ac:dyDescent="0.25">
      <c r="C106" s="2"/>
      <c r="E106" s="2" t="str">
        <f>IFERROR(IF(ISBLANK(D106),"",INDEX([1]Gen_Vessels!$A$3:$C$500,MATCH(D106,[1]Gen_Vessels!$C$3:$C$500,0),1)),"")</f>
        <v/>
      </c>
      <c r="G106" s="2" t="str">
        <f>IFERROR(IF(ISBLANK(F106),"",INDEX([1]Gen_Vessels!$A$3:$C$500,MATCH(F106,[1]Gen_Vessels!$C$3:$C$500,0),1)),"")</f>
        <v/>
      </c>
    </row>
    <row r="107" spans="3:7" x14ac:dyDescent="0.25">
      <c r="C107" s="2"/>
      <c r="E107" s="2" t="str">
        <f>IFERROR(IF(ISBLANK(D107),"",INDEX([1]Gen_Vessels!$A$3:$C$500,MATCH(D107,[1]Gen_Vessels!$C$3:$C$500,0),1)),"")</f>
        <v/>
      </c>
      <c r="G107" s="2" t="str">
        <f>IFERROR(IF(ISBLANK(F107),"",INDEX([1]Gen_Vessels!$A$3:$C$500,MATCH(F107,[1]Gen_Vessels!$C$3:$C$500,0),1)),"")</f>
        <v/>
      </c>
    </row>
    <row r="108" spans="3:7" x14ac:dyDescent="0.25">
      <c r="C108" s="2"/>
      <c r="E108" s="2" t="str">
        <f>IFERROR(IF(ISBLANK(D108),"",INDEX([1]Gen_Vessels!$A$3:$C$500,MATCH(D108,[1]Gen_Vessels!$C$3:$C$500,0),1)),"")</f>
        <v/>
      </c>
      <c r="G108" s="2" t="str">
        <f>IFERROR(IF(ISBLANK(F108),"",INDEX([1]Gen_Vessels!$A$3:$C$500,MATCH(F108,[1]Gen_Vessels!$C$3:$C$500,0),1)),"")</f>
        <v/>
      </c>
    </row>
    <row r="109" spans="3:7" x14ac:dyDescent="0.25">
      <c r="C109" s="2"/>
      <c r="E109" s="2" t="str">
        <f>IFERROR(IF(ISBLANK(D109),"",INDEX([1]Gen_Vessels!$A$3:$C$500,MATCH(D109,[1]Gen_Vessels!$C$3:$C$500,0),1)),"")</f>
        <v/>
      </c>
      <c r="G109" s="2" t="str">
        <f>IFERROR(IF(ISBLANK(F109),"",INDEX([1]Gen_Vessels!$A$3:$C$500,MATCH(F109,[1]Gen_Vessels!$C$3:$C$500,0),1)),"")</f>
        <v/>
      </c>
    </row>
    <row r="110" spans="3:7" x14ac:dyDescent="0.25">
      <c r="C110" s="2"/>
      <c r="E110" s="2" t="str">
        <f>IFERROR(IF(ISBLANK(D110),"",INDEX([1]Gen_Vessels!$A$3:$C$500,MATCH(D110,[1]Gen_Vessels!$C$3:$C$500,0),1)),"")</f>
        <v/>
      </c>
      <c r="G110" s="2" t="str">
        <f>IFERROR(IF(ISBLANK(F110),"",INDEX([1]Gen_Vessels!$A$3:$C$500,MATCH(F110,[1]Gen_Vessels!$C$3:$C$500,0),1)),"")</f>
        <v/>
      </c>
    </row>
    <row r="111" spans="3:7" x14ac:dyDescent="0.25">
      <c r="C111" s="2"/>
      <c r="E111" s="2" t="str">
        <f>IFERROR(IF(ISBLANK(D111),"",INDEX([1]Gen_Vessels!$A$3:$C$500,MATCH(D111,[1]Gen_Vessels!$C$3:$C$500,0),1)),"")</f>
        <v/>
      </c>
      <c r="G111" s="2" t="str">
        <f>IFERROR(IF(ISBLANK(F111),"",INDEX([1]Gen_Vessels!$A$3:$C$500,MATCH(F111,[1]Gen_Vessels!$C$3:$C$500,0),1)),"")</f>
        <v/>
      </c>
    </row>
    <row r="112" spans="3:7" x14ac:dyDescent="0.25">
      <c r="C112" s="2"/>
      <c r="E112" s="2" t="str">
        <f>IFERROR(IF(ISBLANK(D112),"",INDEX([1]Gen_Vessels!$A$3:$C$500,MATCH(D112,[1]Gen_Vessels!$C$3:$C$500,0),1)),"")</f>
        <v/>
      </c>
      <c r="G112" s="2" t="str">
        <f>IFERROR(IF(ISBLANK(F112),"",INDEX([1]Gen_Vessels!$A$3:$C$500,MATCH(F112,[1]Gen_Vessels!$C$3:$C$500,0),1)),"")</f>
        <v/>
      </c>
    </row>
    <row r="113" spans="3:7" x14ac:dyDescent="0.25">
      <c r="C113" s="2"/>
      <c r="E113" s="2" t="str">
        <f>IFERROR(IF(ISBLANK(D113),"",INDEX([1]Gen_Vessels!$A$3:$C$500,MATCH(D113,[1]Gen_Vessels!$C$3:$C$500,0),1)),"")</f>
        <v/>
      </c>
      <c r="G113" s="2" t="str">
        <f>IFERROR(IF(ISBLANK(F113),"",INDEX([1]Gen_Vessels!$A$3:$C$500,MATCH(F113,[1]Gen_Vessels!$C$3:$C$500,0),1)),"")</f>
        <v/>
      </c>
    </row>
    <row r="114" spans="3:7" x14ac:dyDescent="0.25">
      <c r="C114" s="2"/>
      <c r="E114" s="2" t="str">
        <f>IFERROR(IF(ISBLANK(D114),"",INDEX([1]Gen_Vessels!$A$3:$C$500,MATCH(D114,[1]Gen_Vessels!$C$3:$C$500,0),1)),"")</f>
        <v/>
      </c>
      <c r="G114" s="2" t="str">
        <f>IFERROR(IF(ISBLANK(F114),"",INDEX([1]Gen_Vessels!$A$3:$C$500,MATCH(F114,[1]Gen_Vessels!$C$3:$C$500,0),1)),"")</f>
        <v/>
      </c>
    </row>
    <row r="115" spans="3:7" x14ac:dyDescent="0.25">
      <c r="C115" s="2"/>
      <c r="E115" s="2" t="str">
        <f>IFERROR(IF(ISBLANK(D115),"",INDEX([1]Gen_Vessels!$A$3:$C$500,MATCH(D115,[1]Gen_Vessels!$C$3:$C$500,0),1)),"")</f>
        <v/>
      </c>
      <c r="G115" s="2" t="str">
        <f>IFERROR(IF(ISBLANK(F115),"",INDEX([1]Gen_Vessels!$A$3:$C$500,MATCH(F115,[1]Gen_Vessels!$C$3:$C$500,0),1)),"")</f>
        <v/>
      </c>
    </row>
    <row r="116" spans="3:7" x14ac:dyDescent="0.25">
      <c r="C116" s="2"/>
      <c r="E116" s="2" t="str">
        <f>IFERROR(IF(ISBLANK(D116),"",INDEX([1]Gen_Vessels!$A$3:$C$500,MATCH(D116,[1]Gen_Vessels!$C$3:$C$500,0),1)),"")</f>
        <v/>
      </c>
      <c r="G116" s="2" t="str">
        <f>IFERROR(IF(ISBLANK(F116),"",INDEX([1]Gen_Vessels!$A$3:$C$500,MATCH(F116,[1]Gen_Vessels!$C$3:$C$500,0),1)),"")</f>
        <v/>
      </c>
    </row>
    <row r="117" spans="3:7" x14ac:dyDescent="0.25">
      <c r="C117" s="2"/>
      <c r="E117" s="2" t="str">
        <f>IFERROR(IF(ISBLANK(D117),"",INDEX([1]Gen_Vessels!$A$3:$C$500,MATCH(D117,[1]Gen_Vessels!$C$3:$C$500,0),1)),"")</f>
        <v/>
      </c>
      <c r="G117" s="2" t="str">
        <f>IFERROR(IF(ISBLANK(F117),"",INDEX([1]Gen_Vessels!$A$3:$C$500,MATCH(F117,[1]Gen_Vessels!$C$3:$C$500,0),1)),"")</f>
        <v/>
      </c>
    </row>
    <row r="118" spans="3:7" x14ac:dyDescent="0.25">
      <c r="C118" s="2"/>
      <c r="E118" s="2" t="str">
        <f>IFERROR(IF(ISBLANK(D118),"",INDEX([1]Gen_Vessels!$A$3:$C$500,MATCH(D118,[1]Gen_Vessels!$C$3:$C$500,0),1)),"")</f>
        <v/>
      </c>
      <c r="G118" s="2" t="str">
        <f>IFERROR(IF(ISBLANK(F118),"",INDEX([1]Gen_Vessels!$A$3:$C$500,MATCH(F118,[1]Gen_Vessels!$C$3:$C$500,0),1)),"")</f>
        <v/>
      </c>
    </row>
    <row r="119" spans="3:7" x14ac:dyDescent="0.25">
      <c r="C119" s="2"/>
      <c r="E119" s="2" t="str">
        <f>IFERROR(IF(ISBLANK(D119),"",INDEX([1]Gen_Vessels!$A$3:$C$500,MATCH(D119,[1]Gen_Vessels!$C$3:$C$500,0),1)),"")</f>
        <v/>
      </c>
      <c r="G119" s="2" t="str">
        <f>IFERROR(IF(ISBLANK(F119),"",INDEX([1]Gen_Vessels!$A$3:$C$500,MATCH(F119,[1]Gen_Vessels!$C$3:$C$500,0),1)),"")</f>
        <v/>
      </c>
    </row>
    <row r="120" spans="3:7" x14ac:dyDescent="0.25">
      <c r="C120" s="2"/>
      <c r="E120" s="2" t="str">
        <f>IFERROR(IF(ISBLANK(D120),"",INDEX([1]Gen_Vessels!$A$3:$C$500,MATCH(D120,[1]Gen_Vessels!$C$3:$C$500,0),1)),"")</f>
        <v/>
      </c>
      <c r="G120" s="2" t="str">
        <f>IFERROR(IF(ISBLANK(F120),"",INDEX([1]Gen_Vessels!$A$3:$C$500,MATCH(F120,[1]Gen_Vessels!$C$3:$C$500,0),1)),"")</f>
        <v/>
      </c>
    </row>
    <row r="121" spans="3:7" x14ac:dyDescent="0.25">
      <c r="C121" s="2"/>
      <c r="E121" s="2" t="str">
        <f>IFERROR(IF(ISBLANK(D121),"",INDEX([1]Gen_Vessels!$A$3:$C$500,MATCH(D121,[1]Gen_Vessels!$C$3:$C$500,0),1)),"")</f>
        <v/>
      </c>
      <c r="G121" s="2" t="str">
        <f>IFERROR(IF(ISBLANK(F121),"",INDEX([1]Gen_Vessels!$A$3:$C$500,MATCH(F121,[1]Gen_Vessels!$C$3:$C$500,0),1)),"")</f>
        <v/>
      </c>
    </row>
    <row r="122" spans="3:7" x14ac:dyDescent="0.25">
      <c r="C122" s="2"/>
      <c r="E122" s="2" t="str">
        <f>IFERROR(IF(ISBLANK(D122),"",INDEX([1]Gen_Vessels!$A$3:$C$500,MATCH(D122,[1]Gen_Vessels!$C$3:$C$500,0),1)),"")</f>
        <v/>
      </c>
      <c r="G122" s="2" t="str">
        <f>IFERROR(IF(ISBLANK(F122),"",INDEX([1]Gen_Vessels!$A$3:$C$500,MATCH(F122,[1]Gen_Vessels!$C$3:$C$500,0),1)),"")</f>
        <v/>
      </c>
    </row>
    <row r="123" spans="3:7" x14ac:dyDescent="0.25">
      <c r="C123" s="2"/>
      <c r="E123" s="2" t="str">
        <f>IFERROR(IF(ISBLANK(D123),"",INDEX([1]Gen_Vessels!$A$3:$C$500,MATCH(D123,[1]Gen_Vessels!$C$3:$C$500,0),1)),"")</f>
        <v/>
      </c>
      <c r="G123" s="2" t="str">
        <f>IFERROR(IF(ISBLANK(F123),"",INDEX([1]Gen_Vessels!$A$3:$C$500,MATCH(F123,[1]Gen_Vessels!$C$3:$C$500,0),1)),"")</f>
        <v/>
      </c>
    </row>
    <row r="124" spans="3:7" x14ac:dyDescent="0.25">
      <c r="C124" s="2"/>
      <c r="E124" s="2" t="str">
        <f>IFERROR(IF(ISBLANK(D124),"",INDEX([1]Gen_Vessels!$A$3:$C$500,MATCH(D124,[1]Gen_Vessels!$C$3:$C$500,0),1)),"")</f>
        <v/>
      </c>
      <c r="G124" s="2" t="str">
        <f>IFERROR(IF(ISBLANK(F124),"",INDEX([1]Gen_Vessels!$A$3:$C$500,MATCH(F124,[1]Gen_Vessels!$C$3:$C$500,0),1)),"")</f>
        <v/>
      </c>
    </row>
    <row r="125" spans="3:7" x14ac:dyDescent="0.25">
      <c r="C125" s="2"/>
      <c r="E125" s="2" t="str">
        <f>IFERROR(IF(ISBLANK(D125),"",INDEX([1]Gen_Vessels!$A$3:$C$500,MATCH(D125,[1]Gen_Vessels!$C$3:$C$500,0),1)),"")</f>
        <v/>
      </c>
      <c r="G125" s="2" t="str">
        <f>IFERROR(IF(ISBLANK(F125),"",INDEX([1]Gen_Vessels!$A$3:$C$500,MATCH(F125,[1]Gen_Vessels!$C$3:$C$500,0),1)),"")</f>
        <v/>
      </c>
    </row>
    <row r="126" spans="3:7" x14ac:dyDescent="0.25">
      <c r="C126" s="2"/>
      <c r="E126" s="2" t="str">
        <f>IFERROR(IF(ISBLANK(D126),"",INDEX([1]Gen_Vessels!$A$3:$C$500,MATCH(D126,[1]Gen_Vessels!$C$3:$C$500,0),1)),"")</f>
        <v/>
      </c>
      <c r="G126" s="2" t="str">
        <f>IFERROR(IF(ISBLANK(F126),"",INDEX([1]Gen_Vessels!$A$3:$C$500,MATCH(F126,[1]Gen_Vessels!$C$3:$C$500,0),1)),"")</f>
        <v/>
      </c>
    </row>
    <row r="127" spans="3:7" x14ac:dyDescent="0.25">
      <c r="C127" s="2"/>
      <c r="E127" s="2" t="str">
        <f>IFERROR(IF(ISBLANK(D127),"",INDEX([1]Gen_Vessels!$A$3:$C$500,MATCH(D127,[1]Gen_Vessels!$C$3:$C$500,0),1)),"")</f>
        <v/>
      </c>
      <c r="G127" s="2" t="str">
        <f>IFERROR(IF(ISBLANK(F127),"",INDEX([1]Gen_Vessels!$A$3:$C$500,MATCH(F127,[1]Gen_Vessels!$C$3:$C$500,0),1)),"")</f>
        <v/>
      </c>
    </row>
    <row r="128" spans="3:7" x14ac:dyDescent="0.25">
      <c r="C128" s="2"/>
      <c r="E128" s="2" t="str">
        <f>IFERROR(IF(ISBLANK(D128),"",INDEX([1]Gen_Vessels!$A$3:$C$500,MATCH(D128,[1]Gen_Vessels!$C$3:$C$500,0),1)),"")</f>
        <v/>
      </c>
      <c r="G128" s="2" t="str">
        <f>IFERROR(IF(ISBLANK(F128),"",INDEX([1]Gen_Vessels!$A$3:$C$500,MATCH(F128,[1]Gen_Vessels!$C$3:$C$500,0),1)),"")</f>
        <v/>
      </c>
    </row>
    <row r="129" spans="3:7" x14ac:dyDescent="0.25">
      <c r="C129" s="2"/>
      <c r="E129" s="2" t="str">
        <f>IFERROR(IF(ISBLANK(D129),"",INDEX([1]Gen_Vessels!$A$3:$C$500,MATCH(D129,[1]Gen_Vessels!$C$3:$C$500,0),1)),"")</f>
        <v/>
      </c>
      <c r="G129" s="2" t="str">
        <f>IFERROR(IF(ISBLANK(F129),"",INDEX([1]Gen_Vessels!$A$3:$C$500,MATCH(F129,[1]Gen_Vessels!$C$3:$C$500,0),1)),"")</f>
        <v/>
      </c>
    </row>
    <row r="130" spans="3:7" x14ac:dyDescent="0.25">
      <c r="C130" s="2"/>
      <c r="E130" s="2" t="str">
        <f>IFERROR(IF(ISBLANK(D130),"",INDEX([1]Gen_Vessels!$A$3:$C$500,MATCH(D130,[1]Gen_Vessels!$C$3:$C$500,0),1)),"")</f>
        <v/>
      </c>
      <c r="G130" s="2" t="str">
        <f>IFERROR(IF(ISBLANK(F130),"",INDEX([1]Gen_Vessels!$A$3:$C$500,MATCH(F130,[1]Gen_Vessels!$C$3:$C$500,0),1)),"")</f>
        <v/>
      </c>
    </row>
    <row r="131" spans="3:7" x14ac:dyDescent="0.25">
      <c r="C131" s="2"/>
      <c r="E131" s="2" t="str">
        <f>IFERROR(IF(ISBLANK(D131),"",INDEX([1]Gen_Vessels!$A$3:$C$500,MATCH(D131,[1]Gen_Vessels!$C$3:$C$500,0),1)),"")</f>
        <v/>
      </c>
      <c r="G131" s="2" t="str">
        <f>IFERROR(IF(ISBLANK(F131),"",INDEX([1]Gen_Vessels!$A$3:$C$500,MATCH(F131,[1]Gen_Vessels!$C$3:$C$500,0),1)),"")</f>
        <v/>
      </c>
    </row>
    <row r="132" spans="3:7" x14ac:dyDescent="0.25">
      <c r="C132" s="2"/>
      <c r="E132" s="2" t="str">
        <f>IFERROR(IF(ISBLANK(D132),"",INDEX([1]Gen_Vessels!$A$3:$C$500,MATCH(D132,[1]Gen_Vessels!$C$3:$C$500,0),1)),"")</f>
        <v/>
      </c>
      <c r="G132" s="2" t="str">
        <f>IFERROR(IF(ISBLANK(F132),"",INDEX([1]Gen_Vessels!$A$3:$C$500,MATCH(F132,[1]Gen_Vessels!$C$3:$C$500,0),1)),"")</f>
        <v/>
      </c>
    </row>
    <row r="133" spans="3:7" x14ac:dyDescent="0.25">
      <c r="C133" s="2"/>
      <c r="E133" s="2" t="str">
        <f>IFERROR(IF(ISBLANK(D133),"",INDEX([1]Gen_Vessels!$A$3:$C$500,MATCH(D133,[1]Gen_Vessels!$C$3:$C$500,0),1)),"")</f>
        <v/>
      </c>
      <c r="G133" s="2" t="str">
        <f>IFERROR(IF(ISBLANK(F133),"",INDEX([1]Gen_Vessels!$A$3:$C$500,MATCH(F133,[1]Gen_Vessels!$C$3:$C$500,0),1)),"")</f>
        <v/>
      </c>
    </row>
    <row r="134" spans="3:7" x14ac:dyDescent="0.25">
      <c r="C134" s="2"/>
      <c r="E134" s="2" t="str">
        <f>IFERROR(IF(ISBLANK(D134),"",INDEX([1]Gen_Vessels!$A$3:$C$500,MATCH(D134,[1]Gen_Vessels!$C$3:$C$500,0),1)),"")</f>
        <v/>
      </c>
      <c r="G134" s="2" t="str">
        <f>IFERROR(IF(ISBLANK(F134),"",INDEX([1]Gen_Vessels!$A$3:$C$500,MATCH(F134,[1]Gen_Vessels!$C$3:$C$500,0),1)),"")</f>
        <v/>
      </c>
    </row>
    <row r="135" spans="3:7" x14ac:dyDescent="0.25">
      <c r="C135" s="2"/>
      <c r="E135" s="2" t="str">
        <f>IFERROR(IF(ISBLANK(D135),"",INDEX([1]Gen_Vessels!$A$3:$C$500,MATCH(D135,[1]Gen_Vessels!$C$3:$C$500,0),1)),"")</f>
        <v/>
      </c>
      <c r="G135" s="2" t="str">
        <f>IFERROR(IF(ISBLANK(F135),"",INDEX([1]Gen_Vessels!$A$3:$C$500,MATCH(F135,[1]Gen_Vessels!$C$3:$C$500,0),1)),"")</f>
        <v/>
      </c>
    </row>
    <row r="136" spans="3:7" x14ac:dyDescent="0.25">
      <c r="C136" s="2"/>
      <c r="E136" s="2" t="str">
        <f>IFERROR(IF(ISBLANK(D136),"",INDEX([1]Gen_Vessels!$A$3:$C$500,MATCH(D136,[1]Gen_Vessels!$C$3:$C$500,0),1)),"")</f>
        <v/>
      </c>
      <c r="G136" s="2" t="str">
        <f>IFERROR(IF(ISBLANK(F136),"",INDEX([1]Gen_Vessels!$A$3:$C$500,MATCH(F136,[1]Gen_Vessels!$C$3:$C$500,0),1)),"")</f>
        <v/>
      </c>
    </row>
    <row r="137" spans="3:7" x14ac:dyDescent="0.25">
      <c r="C137" s="2"/>
      <c r="E137" s="2" t="str">
        <f>IFERROR(IF(ISBLANK(D137),"",INDEX([1]Gen_Vessels!$A$3:$C$500,MATCH(D137,[1]Gen_Vessels!$C$3:$C$500,0),1)),"")</f>
        <v/>
      </c>
      <c r="G137" s="2" t="str">
        <f>IFERROR(IF(ISBLANK(F137),"",INDEX([1]Gen_Vessels!$A$3:$C$500,MATCH(F137,[1]Gen_Vessels!$C$3:$C$500,0),1)),"")</f>
        <v/>
      </c>
    </row>
    <row r="138" spans="3:7" x14ac:dyDescent="0.25">
      <c r="C138" s="2"/>
      <c r="E138" s="2" t="str">
        <f>IFERROR(IF(ISBLANK(D138),"",INDEX([1]Gen_Vessels!$A$3:$C$500,MATCH(D138,[1]Gen_Vessels!$C$3:$C$500,0),1)),"")</f>
        <v/>
      </c>
      <c r="G138" s="2" t="str">
        <f>IFERROR(IF(ISBLANK(F138),"",INDEX([1]Gen_Vessels!$A$3:$C$500,MATCH(F138,[1]Gen_Vessels!$C$3:$C$500,0),1)),"")</f>
        <v/>
      </c>
    </row>
    <row r="139" spans="3:7" x14ac:dyDescent="0.25">
      <c r="C139" s="2"/>
      <c r="E139" s="2" t="str">
        <f>IFERROR(IF(ISBLANK(D139),"",INDEX([1]Gen_Vessels!$A$3:$C$500,MATCH(D139,[1]Gen_Vessels!$C$3:$C$500,0),1)),"")</f>
        <v/>
      </c>
      <c r="G139" s="2" t="str">
        <f>IFERROR(IF(ISBLANK(F139),"",INDEX([1]Gen_Vessels!$A$3:$C$500,MATCH(F139,[1]Gen_Vessels!$C$3:$C$500,0),1)),"")</f>
        <v/>
      </c>
    </row>
    <row r="140" spans="3:7" x14ac:dyDescent="0.25">
      <c r="C140" s="2"/>
      <c r="E140" s="2" t="str">
        <f>IFERROR(IF(ISBLANK(D140),"",INDEX([1]Gen_Vessels!$A$3:$C$500,MATCH(D140,[1]Gen_Vessels!$C$3:$C$500,0),1)),"")</f>
        <v/>
      </c>
      <c r="G140" s="2" t="str">
        <f>IFERROR(IF(ISBLANK(F140),"",INDEX([1]Gen_Vessels!$A$3:$C$500,MATCH(F140,[1]Gen_Vessels!$C$3:$C$500,0),1)),"")</f>
        <v/>
      </c>
    </row>
    <row r="141" spans="3:7" x14ac:dyDescent="0.25">
      <c r="C141" s="2"/>
      <c r="E141" s="2" t="str">
        <f>IFERROR(IF(ISBLANK(D141),"",INDEX([1]Gen_Vessels!$A$3:$C$500,MATCH(D141,[1]Gen_Vessels!$C$3:$C$500,0),1)),"")</f>
        <v/>
      </c>
      <c r="G141" s="2" t="str">
        <f>IFERROR(IF(ISBLANK(F141),"",INDEX([1]Gen_Vessels!$A$3:$C$500,MATCH(F141,[1]Gen_Vessels!$C$3:$C$500,0),1)),"")</f>
        <v/>
      </c>
    </row>
    <row r="142" spans="3:7" x14ac:dyDescent="0.25">
      <c r="C142" s="2"/>
      <c r="E142" s="2" t="str">
        <f>IFERROR(IF(ISBLANK(D142),"",INDEX([1]Gen_Vessels!$A$3:$C$500,MATCH(D142,[1]Gen_Vessels!$C$3:$C$500,0),1)),"")</f>
        <v/>
      </c>
      <c r="G142" s="2" t="str">
        <f>IFERROR(IF(ISBLANK(F142),"",INDEX([1]Gen_Vessels!$A$3:$C$500,MATCH(F142,[1]Gen_Vessels!$C$3:$C$500,0),1)),"")</f>
        <v/>
      </c>
    </row>
    <row r="143" spans="3:7" x14ac:dyDescent="0.25">
      <c r="C143" s="2"/>
      <c r="E143" s="2" t="str">
        <f>IFERROR(IF(ISBLANK(D143),"",INDEX([1]Gen_Vessels!$A$3:$C$500,MATCH(D143,[1]Gen_Vessels!$C$3:$C$500,0),1)),"")</f>
        <v/>
      </c>
      <c r="G143" s="2" t="str">
        <f>IFERROR(IF(ISBLANK(F143),"",INDEX([1]Gen_Vessels!$A$3:$C$500,MATCH(F143,[1]Gen_Vessels!$C$3:$C$500,0),1)),"")</f>
        <v/>
      </c>
    </row>
    <row r="144" spans="3:7" x14ac:dyDescent="0.25">
      <c r="C144" s="2"/>
      <c r="E144" s="2" t="str">
        <f>IFERROR(IF(ISBLANK(D144),"",INDEX([1]Gen_Vessels!$A$3:$C$500,MATCH(D144,[1]Gen_Vessels!$C$3:$C$500,0),1)),"")</f>
        <v/>
      </c>
      <c r="G144" s="2" t="str">
        <f>IFERROR(IF(ISBLANK(F144),"",INDEX([1]Gen_Vessels!$A$3:$C$500,MATCH(F144,[1]Gen_Vessels!$C$3:$C$500,0),1)),"")</f>
        <v/>
      </c>
    </row>
    <row r="145" spans="3:7" x14ac:dyDescent="0.25">
      <c r="C145" s="2"/>
      <c r="E145" s="2" t="str">
        <f>IFERROR(IF(ISBLANK(D145),"",INDEX([1]Gen_Vessels!$A$3:$C$500,MATCH(D145,[1]Gen_Vessels!$C$3:$C$500,0),1)),"")</f>
        <v/>
      </c>
      <c r="G145" s="2" t="str">
        <f>IFERROR(IF(ISBLANK(F145),"",INDEX([1]Gen_Vessels!$A$3:$C$500,MATCH(F145,[1]Gen_Vessels!$C$3:$C$500,0),1)),"")</f>
        <v/>
      </c>
    </row>
    <row r="146" spans="3:7" x14ac:dyDescent="0.25">
      <c r="C146" s="2"/>
      <c r="E146" s="2" t="str">
        <f>IFERROR(IF(ISBLANK(D146),"",INDEX([1]Gen_Vessels!$A$3:$C$500,MATCH(D146,[1]Gen_Vessels!$C$3:$C$500,0),1)),"")</f>
        <v/>
      </c>
      <c r="G146" s="2" t="str">
        <f>IFERROR(IF(ISBLANK(F146),"",INDEX([1]Gen_Vessels!$A$3:$C$500,MATCH(F146,[1]Gen_Vessels!$C$3:$C$500,0),1)),"")</f>
        <v/>
      </c>
    </row>
    <row r="147" spans="3:7" x14ac:dyDescent="0.25">
      <c r="C147" s="2"/>
      <c r="E147" s="2" t="str">
        <f>IFERROR(IF(ISBLANK(D147),"",INDEX([1]Gen_Vessels!$A$3:$C$500,MATCH(D147,[1]Gen_Vessels!$C$3:$C$500,0),1)),"")</f>
        <v/>
      </c>
      <c r="G147" s="2" t="str">
        <f>IFERROR(IF(ISBLANK(F147),"",INDEX([1]Gen_Vessels!$A$3:$C$500,MATCH(F147,[1]Gen_Vessels!$C$3:$C$500,0),1)),"")</f>
        <v/>
      </c>
    </row>
    <row r="148" spans="3:7" x14ac:dyDescent="0.25">
      <c r="C148" s="2"/>
      <c r="E148" s="2" t="str">
        <f>IFERROR(IF(ISBLANK(D148),"",INDEX([1]Gen_Vessels!$A$3:$C$500,MATCH(D148,[1]Gen_Vessels!$C$3:$C$500,0),1)),"")</f>
        <v/>
      </c>
      <c r="G148" s="2" t="str">
        <f>IFERROR(IF(ISBLANK(F148),"",INDEX([1]Gen_Vessels!$A$3:$C$500,MATCH(F148,[1]Gen_Vessels!$C$3:$C$500,0),1)),"")</f>
        <v/>
      </c>
    </row>
    <row r="149" spans="3:7" x14ac:dyDescent="0.25">
      <c r="C149" s="2"/>
      <c r="E149" s="2" t="str">
        <f>IFERROR(IF(ISBLANK(D149),"",INDEX([1]Gen_Vessels!$A$3:$C$500,MATCH(D149,[1]Gen_Vessels!$C$3:$C$500,0),1)),"")</f>
        <v/>
      </c>
      <c r="G149" s="2" t="str">
        <f>IFERROR(IF(ISBLANK(F149),"",INDEX([1]Gen_Vessels!$A$3:$C$500,MATCH(F149,[1]Gen_Vessels!$C$3:$C$500,0),1)),"")</f>
        <v/>
      </c>
    </row>
    <row r="150" spans="3:7" x14ac:dyDescent="0.25">
      <c r="C150" s="2"/>
      <c r="E150" s="2" t="str">
        <f>IFERROR(IF(ISBLANK(D150),"",INDEX([1]Gen_Vessels!$A$3:$C$500,MATCH(D150,[1]Gen_Vessels!$C$3:$C$500,0),1)),"")</f>
        <v/>
      </c>
      <c r="G150" s="2" t="str">
        <f>IFERROR(IF(ISBLANK(F150),"",INDEX([1]Gen_Vessels!$A$3:$C$500,MATCH(F150,[1]Gen_Vessels!$C$3:$C$500,0),1)),"")</f>
        <v/>
      </c>
    </row>
    <row r="151" spans="3:7" x14ac:dyDescent="0.25">
      <c r="C151" s="2"/>
      <c r="E151" s="2" t="str">
        <f>IFERROR(IF(ISBLANK(D151),"",INDEX([1]Gen_Vessels!$A$3:$C$500,MATCH(D151,[1]Gen_Vessels!$C$3:$C$500,0),1)),"")</f>
        <v/>
      </c>
      <c r="G151" s="2" t="str">
        <f>IFERROR(IF(ISBLANK(F151),"",INDEX([1]Gen_Vessels!$A$3:$C$500,MATCH(F151,[1]Gen_Vessels!$C$3:$C$500,0),1)),"")</f>
        <v/>
      </c>
    </row>
    <row r="152" spans="3:7" x14ac:dyDescent="0.25">
      <c r="C152" s="2"/>
      <c r="E152" s="2" t="str">
        <f>IFERROR(IF(ISBLANK(D152),"",INDEX([1]Gen_Vessels!$A$3:$C$500,MATCH(D152,[1]Gen_Vessels!$C$3:$C$500,0),1)),"")</f>
        <v/>
      </c>
      <c r="G152" s="2" t="str">
        <f>IFERROR(IF(ISBLANK(F152),"",INDEX([1]Gen_Vessels!$A$3:$C$500,MATCH(F152,[1]Gen_Vessels!$C$3:$C$500,0),1)),"")</f>
        <v/>
      </c>
    </row>
    <row r="153" spans="3:7" x14ac:dyDescent="0.25">
      <c r="C153" s="2"/>
      <c r="E153" s="2" t="str">
        <f>IFERROR(IF(ISBLANK(D153),"",INDEX([1]Gen_Vessels!$A$3:$C$500,MATCH(D153,[1]Gen_Vessels!$C$3:$C$500,0),1)),"")</f>
        <v/>
      </c>
      <c r="G153" s="2" t="str">
        <f>IFERROR(IF(ISBLANK(F153),"",INDEX([1]Gen_Vessels!$A$3:$C$500,MATCH(F153,[1]Gen_Vessels!$C$3:$C$500,0),1)),"")</f>
        <v/>
      </c>
    </row>
    <row r="154" spans="3:7" x14ac:dyDescent="0.25">
      <c r="C154" s="2"/>
      <c r="E154" s="2" t="str">
        <f>IFERROR(IF(ISBLANK(D154),"",INDEX([1]Gen_Vessels!$A$3:$C$500,MATCH(D154,[1]Gen_Vessels!$C$3:$C$500,0),1)),"")</f>
        <v/>
      </c>
      <c r="G154" s="2" t="str">
        <f>IFERROR(IF(ISBLANK(F154),"",INDEX([1]Gen_Vessels!$A$3:$C$500,MATCH(F154,[1]Gen_Vessels!$C$3:$C$500,0),1)),"")</f>
        <v/>
      </c>
    </row>
    <row r="155" spans="3:7" x14ac:dyDescent="0.25">
      <c r="C155" s="2"/>
      <c r="E155" s="2" t="str">
        <f>IFERROR(IF(ISBLANK(D155),"",INDEX([1]Gen_Vessels!$A$3:$C$500,MATCH(D155,[1]Gen_Vessels!$C$3:$C$500,0),1)),"")</f>
        <v/>
      </c>
      <c r="G155" s="2" t="str">
        <f>IFERROR(IF(ISBLANK(F155),"",INDEX([1]Gen_Vessels!$A$3:$C$500,MATCH(F155,[1]Gen_Vessels!$C$3:$C$500,0),1)),"")</f>
        <v/>
      </c>
    </row>
    <row r="156" spans="3:7" x14ac:dyDescent="0.25">
      <c r="C156" s="2"/>
      <c r="E156" s="2" t="str">
        <f>IFERROR(IF(ISBLANK(D156),"",INDEX([1]Gen_Vessels!$A$3:$C$500,MATCH(D156,[1]Gen_Vessels!$C$3:$C$500,0),1)),"")</f>
        <v/>
      </c>
      <c r="G156" s="2" t="str">
        <f>IFERROR(IF(ISBLANK(F156),"",INDEX([1]Gen_Vessels!$A$3:$C$500,MATCH(F156,[1]Gen_Vessels!$C$3:$C$500,0),1)),"")</f>
        <v/>
      </c>
    </row>
    <row r="157" spans="3:7" x14ac:dyDescent="0.25">
      <c r="C157" s="2"/>
      <c r="E157" s="2" t="str">
        <f>IFERROR(IF(ISBLANK(D157),"",INDEX([1]Gen_Vessels!$A$3:$C$500,MATCH(D157,[1]Gen_Vessels!$C$3:$C$500,0),1)),"")</f>
        <v/>
      </c>
      <c r="G157" s="2" t="str">
        <f>IFERROR(IF(ISBLANK(F157),"",INDEX([1]Gen_Vessels!$A$3:$C$500,MATCH(F157,[1]Gen_Vessels!$C$3:$C$500,0),1)),"")</f>
        <v/>
      </c>
    </row>
    <row r="158" spans="3:7" x14ac:dyDescent="0.25">
      <c r="C158" s="2"/>
      <c r="E158" s="2" t="str">
        <f>IFERROR(IF(ISBLANK(D158),"",INDEX([1]Gen_Vessels!$A$3:$C$500,MATCH(D158,[1]Gen_Vessels!$C$3:$C$500,0),1)),"")</f>
        <v/>
      </c>
      <c r="G158" s="2" t="str">
        <f>IFERROR(IF(ISBLANK(F158),"",INDEX([1]Gen_Vessels!$A$3:$C$500,MATCH(F158,[1]Gen_Vessels!$C$3:$C$500,0),1)),"")</f>
        <v/>
      </c>
    </row>
    <row r="159" spans="3:7" x14ac:dyDescent="0.25">
      <c r="C159" s="2"/>
      <c r="E159" s="2" t="str">
        <f>IFERROR(IF(ISBLANK(D159),"",INDEX([1]Gen_Vessels!$A$3:$C$500,MATCH(D159,[1]Gen_Vessels!$C$3:$C$500,0),1)),"")</f>
        <v/>
      </c>
      <c r="G159" s="2" t="str">
        <f>IFERROR(IF(ISBLANK(F159),"",INDEX([1]Gen_Vessels!$A$3:$C$500,MATCH(F159,[1]Gen_Vessels!$C$3:$C$500,0),1)),"")</f>
        <v/>
      </c>
    </row>
    <row r="160" spans="3:7" x14ac:dyDescent="0.25">
      <c r="C160" s="2"/>
      <c r="E160" s="2" t="str">
        <f>IFERROR(IF(ISBLANK(D160),"",INDEX([1]Gen_Vessels!$A$3:$C$500,MATCH(D160,[1]Gen_Vessels!$C$3:$C$500,0),1)),"")</f>
        <v/>
      </c>
      <c r="G160" s="2" t="str">
        <f>IFERROR(IF(ISBLANK(F160),"",INDEX([1]Gen_Vessels!$A$3:$C$500,MATCH(F160,[1]Gen_Vessels!$C$3:$C$500,0),1)),"")</f>
        <v/>
      </c>
    </row>
    <row r="161" spans="3:7" x14ac:dyDescent="0.25">
      <c r="C161" s="2"/>
      <c r="E161" s="2" t="str">
        <f>IFERROR(IF(ISBLANK(D161),"",INDEX([1]Gen_Vessels!$A$3:$C$500,MATCH(D161,[1]Gen_Vessels!$C$3:$C$500,0),1)),"")</f>
        <v/>
      </c>
      <c r="G161" s="2" t="str">
        <f>IFERROR(IF(ISBLANK(F161),"",INDEX([1]Gen_Vessels!$A$3:$C$500,MATCH(F161,[1]Gen_Vessels!$C$3:$C$500,0),1)),"")</f>
        <v/>
      </c>
    </row>
    <row r="162" spans="3:7" x14ac:dyDescent="0.25">
      <c r="C162" s="2"/>
      <c r="E162" s="2" t="str">
        <f>IFERROR(IF(ISBLANK(D162),"",INDEX([1]Gen_Vessels!$A$3:$C$500,MATCH(D162,[1]Gen_Vessels!$C$3:$C$500,0),1)),"")</f>
        <v/>
      </c>
      <c r="G162" s="2" t="str">
        <f>IFERROR(IF(ISBLANK(F162),"",INDEX([1]Gen_Vessels!$A$3:$C$500,MATCH(F162,[1]Gen_Vessels!$C$3:$C$500,0),1)),"")</f>
        <v/>
      </c>
    </row>
    <row r="163" spans="3:7" x14ac:dyDescent="0.25">
      <c r="C163" s="2"/>
      <c r="E163" s="2" t="str">
        <f>IFERROR(IF(ISBLANK(D163),"",INDEX([1]Gen_Vessels!$A$3:$C$500,MATCH(D163,[1]Gen_Vessels!$C$3:$C$500,0),1)),"")</f>
        <v/>
      </c>
      <c r="G163" s="2" t="str">
        <f>IFERROR(IF(ISBLANK(F163),"",INDEX([1]Gen_Vessels!$A$3:$C$500,MATCH(F163,[1]Gen_Vessels!$C$3:$C$500,0),1)),"")</f>
        <v/>
      </c>
    </row>
    <row r="164" spans="3:7" x14ac:dyDescent="0.25">
      <c r="C164" s="2"/>
      <c r="E164" s="2" t="str">
        <f>IFERROR(IF(ISBLANK(D164),"",INDEX([1]Gen_Vessels!$A$3:$C$500,MATCH(D164,[1]Gen_Vessels!$C$3:$C$500,0),1)),"")</f>
        <v/>
      </c>
      <c r="G164" s="2" t="str">
        <f>IFERROR(IF(ISBLANK(F164),"",INDEX([1]Gen_Vessels!$A$3:$C$500,MATCH(F164,[1]Gen_Vessels!$C$3:$C$500,0),1)),"")</f>
        <v/>
      </c>
    </row>
    <row r="165" spans="3:7" x14ac:dyDescent="0.25">
      <c r="C165" s="2"/>
      <c r="E165" s="2" t="str">
        <f>IFERROR(IF(ISBLANK(D165),"",INDEX([1]Gen_Vessels!$A$3:$C$500,MATCH(D165,[1]Gen_Vessels!$C$3:$C$500,0),1)),"")</f>
        <v/>
      </c>
      <c r="G165" s="2" t="str">
        <f>IFERROR(IF(ISBLANK(F165),"",INDEX([1]Gen_Vessels!$A$3:$C$500,MATCH(F165,[1]Gen_Vessels!$C$3:$C$500,0),1)),"")</f>
        <v/>
      </c>
    </row>
    <row r="166" spans="3:7" x14ac:dyDescent="0.25">
      <c r="C166" s="2"/>
      <c r="E166" s="2" t="str">
        <f>IFERROR(IF(ISBLANK(D166),"",INDEX([1]Gen_Vessels!$A$3:$C$500,MATCH(D166,[1]Gen_Vessels!$C$3:$C$500,0),1)),"")</f>
        <v/>
      </c>
      <c r="G166" s="2" t="str">
        <f>IFERROR(IF(ISBLANK(F166),"",INDEX([1]Gen_Vessels!$A$3:$C$500,MATCH(F166,[1]Gen_Vessels!$C$3:$C$500,0),1)),"")</f>
        <v/>
      </c>
    </row>
    <row r="167" spans="3:7" x14ac:dyDescent="0.25">
      <c r="C167" s="2"/>
      <c r="E167" s="2" t="str">
        <f>IFERROR(IF(ISBLANK(D167),"",INDEX([1]Gen_Vessels!$A$3:$C$500,MATCH(D167,[1]Gen_Vessels!$C$3:$C$500,0),1)),"")</f>
        <v/>
      </c>
      <c r="G167" s="2" t="str">
        <f>IFERROR(IF(ISBLANK(F167),"",INDEX([1]Gen_Vessels!$A$3:$C$500,MATCH(F167,[1]Gen_Vessels!$C$3:$C$500,0),1)),"")</f>
        <v/>
      </c>
    </row>
    <row r="168" spans="3:7" x14ac:dyDescent="0.25">
      <c r="C168" s="2"/>
      <c r="E168" s="2" t="str">
        <f>IFERROR(IF(ISBLANK(D168),"",INDEX([1]Gen_Vessels!$A$3:$C$500,MATCH(D168,[1]Gen_Vessels!$C$3:$C$500,0),1)),"")</f>
        <v/>
      </c>
      <c r="G168" s="2" t="str">
        <f>IFERROR(IF(ISBLANK(F168),"",INDEX([1]Gen_Vessels!$A$3:$C$500,MATCH(F168,[1]Gen_Vessels!$C$3:$C$500,0),1)),"")</f>
        <v/>
      </c>
    </row>
    <row r="169" spans="3:7" x14ac:dyDescent="0.25">
      <c r="C169" s="2"/>
      <c r="E169" s="2" t="str">
        <f>IFERROR(IF(ISBLANK(D169),"",INDEX([1]Gen_Vessels!$A$3:$C$500,MATCH(D169,[1]Gen_Vessels!$C$3:$C$500,0),1)),"")</f>
        <v/>
      </c>
      <c r="G169" s="2" t="str">
        <f>IFERROR(IF(ISBLANK(F169),"",INDEX([1]Gen_Vessels!$A$3:$C$500,MATCH(F169,[1]Gen_Vessels!$C$3:$C$500,0),1)),"")</f>
        <v/>
      </c>
    </row>
    <row r="170" spans="3:7" x14ac:dyDescent="0.25">
      <c r="C170" s="2"/>
      <c r="E170" s="2" t="str">
        <f>IFERROR(IF(ISBLANK(D170),"",INDEX([1]Gen_Vessels!$A$3:$C$500,MATCH(D170,[1]Gen_Vessels!$C$3:$C$500,0),1)),"")</f>
        <v/>
      </c>
      <c r="G170" s="2" t="str">
        <f>IFERROR(IF(ISBLANK(F170),"",INDEX([1]Gen_Vessels!$A$3:$C$500,MATCH(F170,[1]Gen_Vessels!$C$3:$C$500,0),1)),"")</f>
        <v/>
      </c>
    </row>
    <row r="171" spans="3:7" x14ac:dyDescent="0.25">
      <c r="C171" s="2"/>
      <c r="E171" s="2" t="str">
        <f>IFERROR(IF(ISBLANK(D171),"",INDEX([1]Gen_Vessels!$A$3:$C$500,MATCH(D171,[1]Gen_Vessels!$C$3:$C$500,0),1)),"")</f>
        <v/>
      </c>
      <c r="G171" s="2" t="str">
        <f>IFERROR(IF(ISBLANK(F171),"",INDEX([1]Gen_Vessels!$A$3:$C$500,MATCH(F171,[1]Gen_Vessels!$C$3:$C$500,0),1)),"")</f>
        <v/>
      </c>
    </row>
    <row r="172" spans="3:7" x14ac:dyDescent="0.25">
      <c r="C172" s="2"/>
      <c r="E172" s="2" t="str">
        <f>IFERROR(IF(ISBLANK(D172),"",INDEX([1]Gen_Vessels!$A$3:$C$500,MATCH(D172,[1]Gen_Vessels!$C$3:$C$500,0),1)),"")</f>
        <v/>
      </c>
      <c r="G172" s="2" t="str">
        <f>IFERROR(IF(ISBLANK(F172),"",INDEX([1]Gen_Vessels!$A$3:$C$500,MATCH(F172,[1]Gen_Vessels!$C$3:$C$500,0),1)),"")</f>
        <v/>
      </c>
    </row>
    <row r="173" spans="3:7" x14ac:dyDescent="0.25">
      <c r="C173" s="2"/>
      <c r="E173" s="2" t="str">
        <f>IFERROR(IF(ISBLANK(D173),"",INDEX([1]Gen_Vessels!$A$3:$C$500,MATCH(D173,[1]Gen_Vessels!$C$3:$C$500,0),1)),"")</f>
        <v/>
      </c>
      <c r="G173" s="2" t="str">
        <f>IFERROR(IF(ISBLANK(F173),"",INDEX([1]Gen_Vessels!$A$3:$C$500,MATCH(F173,[1]Gen_Vessels!$C$3:$C$500,0),1)),"")</f>
        <v/>
      </c>
    </row>
    <row r="174" spans="3:7" x14ac:dyDescent="0.25">
      <c r="C174" s="2"/>
      <c r="E174" s="2" t="str">
        <f>IFERROR(IF(ISBLANK(D174),"",INDEX([1]Gen_Vessels!$A$3:$C$500,MATCH(D174,[1]Gen_Vessels!$C$3:$C$500,0),1)),"")</f>
        <v/>
      </c>
      <c r="G174" s="2" t="str">
        <f>IFERROR(IF(ISBLANK(F174),"",INDEX([1]Gen_Vessels!$A$3:$C$500,MATCH(F174,[1]Gen_Vessels!$C$3:$C$500,0),1)),"")</f>
        <v/>
      </c>
    </row>
    <row r="175" spans="3:7" x14ac:dyDescent="0.25">
      <c r="C175" s="2"/>
      <c r="E175" s="2" t="str">
        <f>IFERROR(IF(ISBLANK(D175),"",INDEX([1]Gen_Vessels!$A$3:$C$500,MATCH(D175,[1]Gen_Vessels!$C$3:$C$500,0),1)),"")</f>
        <v/>
      </c>
      <c r="G175" s="2" t="str">
        <f>IFERROR(IF(ISBLANK(F175),"",INDEX([1]Gen_Vessels!$A$3:$C$500,MATCH(F175,[1]Gen_Vessels!$C$3:$C$500,0),1)),"")</f>
        <v/>
      </c>
    </row>
    <row r="176" spans="3:7" x14ac:dyDescent="0.25">
      <c r="C176" s="2"/>
      <c r="E176" s="2" t="str">
        <f>IFERROR(IF(ISBLANK(D176),"",INDEX([1]Gen_Vessels!$A$3:$C$500,MATCH(D176,[1]Gen_Vessels!$C$3:$C$500,0),1)),"")</f>
        <v/>
      </c>
      <c r="G176" s="2" t="str">
        <f>IFERROR(IF(ISBLANK(F176),"",INDEX([1]Gen_Vessels!$A$3:$C$500,MATCH(F176,[1]Gen_Vessels!$C$3:$C$500,0),1)),"")</f>
        <v/>
      </c>
    </row>
    <row r="177" spans="3:7" x14ac:dyDescent="0.25">
      <c r="C177" s="2"/>
      <c r="E177" s="2" t="str">
        <f>IFERROR(IF(ISBLANK(D177),"",INDEX([1]Gen_Vessels!$A$3:$C$500,MATCH(D177,[1]Gen_Vessels!$C$3:$C$500,0),1)),"")</f>
        <v/>
      </c>
      <c r="G177" s="2" t="str">
        <f>IFERROR(IF(ISBLANK(F177),"",INDEX([1]Gen_Vessels!$A$3:$C$500,MATCH(F177,[1]Gen_Vessels!$C$3:$C$500,0),1)),"")</f>
        <v/>
      </c>
    </row>
    <row r="178" spans="3:7" x14ac:dyDescent="0.25">
      <c r="C178" s="2"/>
      <c r="E178" s="2" t="str">
        <f>IFERROR(IF(ISBLANK(D178),"",INDEX([1]Gen_Vessels!$A$3:$C$500,MATCH(D178,[1]Gen_Vessels!$C$3:$C$500,0),1)),"")</f>
        <v/>
      </c>
      <c r="G178" s="2" t="str">
        <f>IFERROR(IF(ISBLANK(F178),"",INDEX([1]Gen_Vessels!$A$3:$C$500,MATCH(F178,[1]Gen_Vessels!$C$3:$C$500,0),1)),"")</f>
        <v/>
      </c>
    </row>
    <row r="179" spans="3:7" x14ac:dyDescent="0.25">
      <c r="C179" s="2"/>
      <c r="E179" s="2" t="str">
        <f>IFERROR(IF(ISBLANK(D179),"",INDEX([1]Gen_Vessels!$A$3:$C$500,MATCH(D179,[1]Gen_Vessels!$C$3:$C$500,0),1)),"")</f>
        <v/>
      </c>
      <c r="G179" s="2" t="str">
        <f>IFERROR(IF(ISBLANK(F179),"",INDEX([1]Gen_Vessels!$A$3:$C$500,MATCH(F179,[1]Gen_Vessels!$C$3:$C$500,0),1)),"")</f>
        <v/>
      </c>
    </row>
    <row r="180" spans="3:7" x14ac:dyDescent="0.25">
      <c r="C180" s="2"/>
      <c r="E180" s="2" t="str">
        <f>IFERROR(IF(ISBLANK(D180),"",INDEX([1]Gen_Vessels!$A$3:$C$500,MATCH(D180,[1]Gen_Vessels!$C$3:$C$500,0),1)),"")</f>
        <v/>
      </c>
      <c r="G180" s="2" t="str">
        <f>IFERROR(IF(ISBLANK(F180),"",INDEX([1]Gen_Vessels!$A$3:$C$500,MATCH(F180,[1]Gen_Vessels!$C$3:$C$500,0),1)),"")</f>
        <v/>
      </c>
    </row>
    <row r="181" spans="3:7" x14ac:dyDescent="0.25">
      <c r="C181" s="2"/>
      <c r="E181" s="2" t="str">
        <f>IFERROR(IF(ISBLANK(D181),"",INDEX([1]Gen_Vessels!$A$3:$C$500,MATCH(D181,[1]Gen_Vessels!$C$3:$C$500,0),1)),"")</f>
        <v/>
      </c>
      <c r="G181" s="2" t="str">
        <f>IFERROR(IF(ISBLANK(F181),"",INDEX([1]Gen_Vessels!$A$3:$C$500,MATCH(F181,[1]Gen_Vessels!$C$3:$C$500,0),1)),"")</f>
        <v/>
      </c>
    </row>
    <row r="182" spans="3:7" x14ac:dyDescent="0.25">
      <c r="C182" s="2"/>
      <c r="E182" s="2" t="str">
        <f>IFERROR(IF(ISBLANK(D182),"",INDEX([1]Gen_Vessels!$A$3:$C$500,MATCH(D182,[1]Gen_Vessels!$C$3:$C$500,0),1)),"")</f>
        <v/>
      </c>
      <c r="G182" s="2" t="str">
        <f>IFERROR(IF(ISBLANK(F182),"",INDEX([1]Gen_Vessels!$A$3:$C$500,MATCH(F182,[1]Gen_Vessels!$C$3:$C$500,0),1)),"")</f>
        <v/>
      </c>
    </row>
    <row r="183" spans="3:7" x14ac:dyDescent="0.25">
      <c r="C183" s="2"/>
      <c r="E183" s="2" t="str">
        <f>IFERROR(IF(ISBLANK(D183),"",INDEX([1]Gen_Vessels!$A$3:$C$500,MATCH(D183,[1]Gen_Vessels!$C$3:$C$500,0),1)),"")</f>
        <v/>
      </c>
      <c r="G183" s="2" t="str">
        <f>IFERROR(IF(ISBLANK(F183),"",INDEX([1]Gen_Vessels!$A$3:$C$500,MATCH(F183,[1]Gen_Vessels!$C$3:$C$500,0),1)),"")</f>
        <v/>
      </c>
    </row>
    <row r="184" spans="3:7" x14ac:dyDescent="0.25">
      <c r="C184" s="2"/>
      <c r="E184" s="2" t="str">
        <f>IFERROR(IF(ISBLANK(D184),"",INDEX([1]Gen_Vessels!$A$3:$C$500,MATCH(D184,[1]Gen_Vessels!$C$3:$C$500,0),1)),"")</f>
        <v/>
      </c>
      <c r="G184" s="2" t="str">
        <f>IFERROR(IF(ISBLANK(F184),"",INDEX([1]Gen_Vessels!$A$3:$C$500,MATCH(F184,[1]Gen_Vessels!$C$3:$C$500,0),1)),"")</f>
        <v/>
      </c>
    </row>
    <row r="185" spans="3:7" x14ac:dyDescent="0.25">
      <c r="C185" s="2"/>
      <c r="E185" s="2" t="str">
        <f>IFERROR(IF(ISBLANK(D185),"",INDEX([1]Gen_Vessels!$A$3:$C$500,MATCH(D185,[1]Gen_Vessels!$C$3:$C$500,0),1)),"")</f>
        <v/>
      </c>
      <c r="G185" s="2" t="str">
        <f>IFERROR(IF(ISBLANK(F185),"",INDEX([1]Gen_Vessels!$A$3:$C$500,MATCH(F185,[1]Gen_Vessels!$C$3:$C$500,0),1)),"")</f>
        <v/>
      </c>
    </row>
    <row r="186" spans="3:7" x14ac:dyDescent="0.25">
      <c r="C186" s="2"/>
      <c r="E186" s="2" t="str">
        <f>IFERROR(IF(ISBLANK(D186),"",INDEX([1]Gen_Vessels!$A$3:$C$500,MATCH(D186,[1]Gen_Vessels!$C$3:$C$500,0),1)),"")</f>
        <v/>
      </c>
      <c r="G186" s="2" t="str">
        <f>IFERROR(IF(ISBLANK(F186),"",INDEX([1]Gen_Vessels!$A$3:$C$500,MATCH(F186,[1]Gen_Vessels!$C$3:$C$500,0),1)),"")</f>
        <v/>
      </c>
    </row>
    <row r="187" spans="3:7" x14ac:dyDescent="0.25">
      <c r="C187" s="2"/>
      <c r="E187" s="2" t="str">
        <f>IFERROR(IF(ISBLANK(D187),"",INDEX([1]Gen_Vessels!$A$3:$C$500,MATCH(D187,[1]Gen_Vessels!$C$3:$C$500,0),1)),"")</f>
        <v/>
      </c>
      <c r="G187" s="2" t="str">
        <f>IFERROR(IF(ISBLANK(F187),"",INDEX([1]Gen_Vessels!$A$3:$C$500,MATCH(F187,[1]Gen_Vessels!$C$3:$C$500,0),1)),"")</f>
        <v/>
      </c>
    </row>
    <row r="188" spans="3:7" x14ac:dyDescent="0.25">
      <c r="C188" s="2"/>
      <c r="E188" s="2" t="str">
        <f>IFERROR(IF(ISBLANK(D188),"",INDEX([1]Gen_Vessels!$A$3:$C$500,MATCH(D188,[1]Gen_Vessels!$C$3:$C$500,0),1)),"")</f>
        <v/>
      </c>
      <c r="G188" s="2" t="str">
        <f>IFERROR(IF(ISBLANK(F188),"",INDEX([1]Gen_Vessels!$A$3:$C$500,MATCH(F188,[1]Gen_Vessels!$C$3:$C$500,0),1)),"")</f>
        <v/>
      </c>
    </row>
    <row r="189" spans="3:7" x14ac:dyDescent="0.25">
      <c r="C189" s="2"/>
      <c r="E189" s="2" t="str">
        <f>IFERROR(IF(ISBLANK(D189),"",INDEX([1]Gen_Vessels!$A$3:$C$500,MATCH(D189,[1]Gen_Vessels!$C$3:$C$500,0),1)),"")</f>
        <v/>
      </c>
      <c r="G189" s="2" t="str">
        <f>IFERROR(IF(ISBLANK(F189),"",INDEX([1]Gen_Vessels!$A$3:$C$500,MATCH(F189,[1]Gen_Vessels!$C$3:$C$500,0),1)),"")</f>
        <v/>
      </c>
    </row>
    <row r="190" spans="3:7" x14ac:dyDescent="0.25">
      <c r="C190" s="2"/>
      <c r="E190" s="2" t="str">
        <f>IFERROR(IF(ISBLANK(D190),"",INDEX([1]Gen_Vessels!$A$3:$C$500,MATCH(D190,[1]Gen_Vessels!$C$3:$C$500,0),1)),"")</f>
        <v/>
      </c>
      <c r="G190" s="2" t="str">
        <f>IFERROR(IF(ISBLANK(F190),"",INDEX([1]Gen_Vessels!$A$3:$C$500,MATCH(F190,[1]Gen_Vessels!$C$3:$C$500,0),1)),"")</f>
        <v/>
      </c>
    </row>
    <row r="191" spans="3:7" x14ac:dyDescent="0.25">
      <c r="C191" s="2"/>
      <c r="E191" s="2" t="str">
        <f>IFERROR(IF(ISBLANK(D191),"",INDEX([1]Gen_Vessels!$A$3:$C$500,MATCH(D191,[1]Gen_Vessels!$C$3:$C$500,0),1)),"")</f>
        <v/>
      </c>
      <c r="G191" s="2" t="str">
        <f>IFERROR(IF(ISBLANK(F191),"",INDEX([1]Gen_Vessels!$A$3:$C$500,MATCH(F191,[1]Gen_Vessels!$C$3:$C$500,0),1)),"")</f>
        <v/>
      </c>
    </row>
    <row r="192" spans="3:7" x14ac:dyDescent="0.25">
      <c r="C192" s="2"/>
      <c r="E192" s="2" t="str">
        <f>IFERROR(IF(ISBLANK(D192),"",INDEX([1]Gen_Vessels!$A$3:$C$500,MATCH(D192,[1]Gen_Vessels!$C$3:$C$500,0),1)),"")</f>
        <v/>
      </c>
      <c r="G192" s="2" t="str">
        <f>IFERROR(IF(ISBLANK(F192),"",INDEX([1]Gen_Vessels!$A$3:$C$500,MATCH(F192,[1]Gen_Vessels!$C$3:$C$500,0),1)),"")</f>
        <v/>
      </c>
    </row>
    <row r="193" spans="3:7" x14ac:dyDescent="0.25">
      <c r="C193" s="2"/>
      <c r="E193" s="2" t="str">
        <f>IFERROR(IF(ISBLANK(D193),"",INDEX([1]Gen_Vessels!$A$3:$C$500,MATCH(D193,[1]Gen_Vessels!$C$3:$C$500,0),1)),"")</f>
        <v/>
      </c>
      <c r="G193" s="2" t="str">
        <f>IFERROR(IF(ISBLANK(F193),"",INDEX([1]Gen_Vessels!$A$3:$C$500,MATCH(F193,[1]Gen_Vessels!$C$3:$C$500,0),1)),"")</f>
        <v/>
      </c>
    </row>
    <row r="194" spans="3:7" x14ac:dyDescent="0.25">
      <c r="C194" s="2"/>
      <c r="E194" s="2" t="str">
        <f>IFERROR(IF(ISBLANK(D194),"",INDEX([1]Gen_Vessels!$A$3:$C$500,MATCH(D194,[1]Gen_Vessels!$C$3:$C$500,0),1)),"")</f>
        <v/>
      </c>
      <c r="G194" s="2" t="str">
        <f>IFERROR(IF(ISBLANK(F194),"",INDEX([1]Gen_Vessels!$A$3:$C$500,MATCH(F194,[1]Gen_Vessels!$C$3:$C$500,0),1)),"")</f>
        <v/>
      </c>
    </row>
    <row r="195" spans="3:7" x14ac:dyDescent="0.25">
      <c r="C195" s="2"/>
      <c r="E195" s="2" t="str">
        <f>IFERROR(IF(ISBLANK(D195),"",INDEX([1]Gen_Vessels!$A$3:$C$500,MATCH(D195,[1]Gen_Vessels!$C$3:$C$500,0),1)),"")</f>
        <v/>
      </c>
      <c r="G195" s="2" t="str">
        <f>IFERROR(IF(ISBLANK(F195),"",INDEX([1]Gen_Vessels!$A$3:$C$500,MATCH(F195,[1]Gen_Vessels!$C$3:$C$500,0),1)),"")</f>
        <v/>
      </c>
    </row>
    <row r="196" spans="3:7" x14ac:dyDescent="0.25">
      <c r="C196" s="2"/>
      <c r="E196" s="2" t="str">
        <f>IFERROR(IF(ISBLANK(D196),"",INDEX([1]Gen_Vessels!$A$3:$C$500,MATCH(D196,[1]Gen_Vessels!$C$3:$C$500,0),1)),"")</f>
        <v/>
      </c>
      <c r="G196" s="2" t="str">
        <f>IFERROR(IF(ISBLANK(F196),"",INDEX([1]Gen_Vessels!$A$3:$C$500,MATCH(F196,[1]Gen_Vessels!$C$3:$C$500,0),1)),"")</f>
        <v/>
      </c>
    </row>
    <row r="197" spans="3:7" x14ac:dyDescent="0.25">
      <c r="C197" s="2"/>
      <c r="E197" s="2" t="str">
        <f>IFERROR(IF(ISBLANK(D197),"",INDEX([1]Gen_Vessels!$A$3:$C$500,MATCH(D197,[1]Gen_Vessels!$C$3:$C$500,0),1)),"")</f>
        <v/>
      </c>
      <c r="G197" s="2" t="str">
        <f>IFERROR(IF(ISBLANK(F197),"",INDEX([1]Gen_Vessels!$A$3:$C$500,MATCH(F197,[1]Gen_Vessels!$C$3:$C$500,0),1)),"")</f>
        <v/>
      </c>
    </row>
    <row r="198" spans="3:7" x14ac:dyDescent="0.25">
      <c r="C198" s="2"/>
      <c r="E198" s="2" t="str">
        <f>IFERROR(IF(ISBLANK(D198),"",INDEX([1]Gen_Vessels!$A$3:$C$500,MATCH(D198,[1]Gen_Vessels!$C$3:$C$500,0),1)),"")</f>
        <v/>
      </c>
      <c r="G198" s="2" t="str">
        <f>IFERROR(IF(ISBLANK(F198),"",INDEX([1]Gen_Vessels!$A$3:$C$500,MATCH(F198,[1]Gen_Vessels!$C$3:$C$500,0),1)),"")</f>
        <v/>
      </c>
    </row>
    <row r="199" spans="3:7" x14ac:dyDescent="0.25">
      <c r="C199" s="2"/>
      <c r="E199" s="2" t="str">
        <f>IFERROR(IF(ISBLANK(D199),"",INDEX([1]Gen_Vessels!$A$3:$C$500,MATCH(D199,[1]Gen_Vessels!$C$3:$C$500,0),1)),"")</f>
        <v/>
      </c>
      <c r="G199" s="2" t="str">
        <f>IFERROR(IF(ISBLANK(F199),"",INDEX([1]Gen_Vessels!$A$3:$C$500,MATCH(F199,[1]Gen_Vessels!$C$3:$C$500,0),1)),"")</f>
        <v/>
      </c>
    </row>
    <row r="200" spans="3:7" x14ac:dyDescent="0.25">
      <c r="C200" s="2"/>
      <c r="E200" s="2" t="str">
        <f>IFERROR(IF(ISBLANK(D200),"",INDEX([1]Gen_Vessels!$A$3:$C$500,MATCH(D200,[1]Gen_Vessels!$C$3:$C$500,0),1)),"")</f>
        <v/>
      </c>
      <c r="G200" s="2" t="str">
        <f>IFERROR(IF(ISBLANK(F200),"",INDEX([1]Gen_Vessels!$A$3:$C$500,MATCH(F200,[1]Gen_Vessels!$C$3:$C$500,0),1)),"")</f>
        <v/>
      </c>
    </row>
    <row r="201" spans="3:7" x14ac:dyDescent="0.25">
      <c r="C201" s="2"/>
      <c r="E201" s="2" t="str">
        <f>IFERROR(IF(ISBLANK(D201),"",INDEX([1]Gen_Vessels!$A$3:$C$500,MATCH(D201,[1]Gen_Vessels!$C$3:$C$500,0),1)),"")</f>
        <v/>
      </c>
      <c r="G201" s="2" t="str">
        <f>IFERROR(IF(ISBLANK(F201),"",INDEX([1]Gen_Vessels!$A$3:$C$500,MATCH(F201,[1]Gen_Vessels!$C$3:$C$500,0),1)),"")</f>
        <v/>
      </c>
    </row>
    <row r="202" spans="3:7" x14ac:dyDescent="0.25">
      <c r="C202" s="2"/>
      <c r="E202" s="2" t="str">
        <f>IFERROR(IF(ISBLANK(D202),"",INDEX([1]Gen_Vessels!$A$3:$C$500,MATCH(D202,[1]Gen_Vessels!$C$3:$C$500,0),1)),"")</f>
        <v/>
      </c>
      <c r="G202" s="2" t="str">
        <f>IFERROR(IF(ISBLANK(F202),"",INDEX([1]Gen_Vessels!$A$3:$C$500,MATCH(F202,[1]Gen_Vessels!$C$3:$C$500,0),1)),"")</f>
        <v/>
      </c>
    </row>
    <row r="203" spans="3:7" x14ac:dyDescent="0.25">
      <c r="C203" s="2"/>
      <c r="E203" s="2" t="str">
        <f>IFERROR(IF(ISBLANK(D203),"",INDEX([1]Gen_Vessels!$A$3:$C$500,MATCH(D203,[1]Gen_Vessels!$C$3:$C$500,0),1)),"")</f>
        <v/>
      </c>
      <c r="G203" s="2" t="str">
        <f>IFERROR(IF(ISBLANK(F203),"",INDEX([1]Gen_Vessels!$A$3:$C$500,MATCH(F203,[1]Gen_Vessels!$C$3:$C$500,0),1)),"")</f>
        <v/>
      </c>
    </row>
    <row r="204" spans="3:7" x14ac:dyDescent="0.25">
      <c r="C204" s="2"/>
      <c r="E204" s="2" t="str">
        <f>IFERROR(IF(ISBLANK(D204),"",INDEX([1]Gen_Vessels!$A$3:$C$500,MATCH(D204,[1]Gen_Vessels!$C$3:$C$500,0),1)),"")</f>
        <v/>
      </c>
      <c r="G204" s="2" t="str">
        <f>IFERROR(IF(ISBLANK(F204),"",INDEX([1]Gen_Vessels!$A$3:$C$500,MATCH(F204,[1]Gen_Vessels!$C$3:$C$500,0),1)),"")</f>
        <v/>
      </c>
    </row>
    <row r="205" spans="3:7" x14ac:dyDescent="0.25">
      <c r="C205" s="2"/>
      <c r="E205" s="2" t="str">
        <f>IFERROR(IF(ISBLANK(D205),"",INDEX([1]Gen_Vessels!$A$3:$C$500,MATCH(D205,[1]Gen_Vessels!$C$3:$C$500,0),1)),"")</f>
        <v/>
      </c>
      <c r="G205" s="2" t="str">
        <f>IFERROR(IF(ISBLANK(F205),"",INDEX([1]Gen_Vessels!$A$3:$C$500,MATCH(F205,[1]Gen_Vessels!$C$3:$C$500,0),1)),"")</f>
        <v/>
      </c>
    </row>
    <row r="206" spans="3:7" x14ac:dyDescent="0.25">
      <c r="C206" s="2"/>
      <c r="E206" s="2" t="str">
        <f>IFERROR(IF(ISBLANK(D206),"",INDEX([1]Gen_Vessels!$A$3:$C$500,MATCH(D206,[1]Gen_Vessels!$C$3:$C$500,0),1)),"")</f>
        <v/>
      </c>
      <c r="G206" s="2" t="str">
        <f>IFERROR(IF(ISBLANK(F206),"",INDEX([1]Gen_Vessels!$A$3:$C$500,MATCH(F206,[1]Gen_Vessels!$C$3:$C$500,0),1)),"")</f>
        <v/>
      </c>
    </row>
    <row r="207" spans="3:7" x14ac:dyDescent="0.25">
      <c r="C207" s="2"/>
      <c r="E207" s="2" t="str">
        <f>IFERROR(IF(ISBLANK(D207),"",INDEX([1]Gen_Vessels!$A$3:$C$500,MATCH(D207,[1]Gen_Vessels!$C$3:$C$500,0),1)),"")</f>
        <v/>
      </c>
      <c r="G207" s="2" t="str">
        <f>IFERROR(IF(ISBLANK(F207),"",INDEX([1]Gen_Vessels!$A$3:$C$500,MATCH(F207,[1]Gen_Vessels!$C$3:$C$500,0),1)),"")</f>
        <v/>
      </c>
    </row>
    <row r="208" spans="3:7" x14ac:dyDescent="0.25">
      <c r="C208" s="2"/>
      <c r="E208" s="2" t="str">
        <f>IFERROR(IF(ISBLANK(D208),"",INDEX([1]Gen_Vessels!$A$3:$C$500,MATCH(D208,[1]Gen_Vessels!$C$3:$C$500,0),1)),"")</f>
        <v/>
      </c>
      <c r="G208" s="2" t="str">
        <f>IFERROR(IF(ISBLANK(F208),"",INDEX([1]Gen_Vessels!$A$3:$C$500,MATCH(F208,[1]Gen_Vessels!$C$3:$C$500,0),1)),"")</f>
        <v/>
      </c>
    </row>
    <row r="209" spans="3:7" x14ac:dyDescent="0.25">
      <c r="C209" s="2"/>
      <c r="E209" s="2" t="str">
        <f>IFERROR(IF(ISBLANK(D209),"",INDEX([1]Gen_Vessels!$A$3:$C$500,MATCH(D209,[1]Gen_Vessels!$C$3:$C$500,0),1)),"")</f>
        <v/>
      </c>
      <c r="G209" s="2" t="str">
        <f>IFERROR(IF(ISBLANK(F209),"",INDEX([1]Gen_Vessels!$A$3:$C$500,MATCH(F209,[1]Gen_Vessels!$C$3:$C$500,0),1)),"")</f>
        <v/>
      </c>
    </row>
    <row r="210" spans="3:7" x14ac:dyDescent="0.25">
      <c r="C210" s="2"/>
      <c r="E210" s="2" t="str">
        <f>IFERROR(IF(ISBLANK(D210),"",INDEX([1]Gen_Vessels!$A$3:$C$500,MATCH(D210,[1]Gen_Vessels!$C$3:$C$500,0),1)),"")</f>
        <v/>
      </c>
      <c r="G210" s="2" t="str">
        <f>IFERROR(IF(ISBLANK(F210),"",INDEX([1]Gen_Vessels!$A$3:$C$500,MATCH(F210,[1]Gen_Vessels!$C$3:$C$500,0),1)),"")</f>
        <v/>
      </c>
    </row>
    <row r="211" spans="3:7" x14ac:dyDescent="0.25">
      <c r="C211" s="2"/>
      <c r="E211" s="2" t="str">
        <f>IFERROR(IF(ISBLANK(D211),"",INDEX([1]Gen_Vessels!$A$3:$C$500,MATCH(D211,[1]Gen_Vessels!$C$3:$C$500,0),1)),"")</f>
        <v/>
      </c>
      <c r="G211" s="2" t="str">
        <f>IFERROR(IF(ISBLANK(F211),"",INDEX([1]Gen_Vessels!$A$3:$C$500,MATCH(F211,[1]Gen_Vessels!$C$3:$C$500,0),1)),"")</f>
        <v/>
      </c>
    </row>
    <row r="212" spans="3:7" x14ac:dyDescent="0.25">
      <c r="C212" s="2"/>
      <c r="E212" s="2" t="str">
        <f>IFERROR(IF(ISBLANK(D212),"",INDEX([1]Gen_Vessels!$A$3:$C$500,MATCH(D212,[1]Gen_Vessels!$C$3:$C$500,0),1)),"")</f>
        <v/>
      </c>
      <c r="G212" s="2" t="str">
        <f>IFERROR(IF(ISBLANK(F212),"",INDEX([1]Gen_Vessels!$A$3:$C$500,MATCH(F212,[1]Gen_Vessels!$C$3:$C$500,0),1)),"")</f>
        <v/>
      </c>
    </row>
    <row r="213" spans="3:7" x14ac:dyDescent="0.25">
      <c r="C213" s="2"/>
      <c r="E213" s="2" t="str">
        <f>IFERROR(IF(ISBLANK(D213),"",INDEX([1]Gen_Vessels!$A$3:$C$500,MATCH(D213,[1]Gen_Vessels!$C$3:$C$500,0),1)),"")</f>
        <v/>
      </c>
      <c r="G213" s="2" t="str">
        <f>IFERROR(IF(ISBLANK(F213),"",INDEX([1]Gen_Vessels!$A$3:$C$500,MATCH(F213,[1]Gen_Vessels!$C$3:$C$500,0),1)),"")</f>
        <v/>
      </c>
    </row>
    <row r="214" spans="3:7" x14ac:dyDescent="0.25">
      <c r="C214" s="2"/>
      <c r="E214" s="2" t="str">
        <f>IFERROR(IF(ISBLANK(D214),"",INDEX([1]Gen_Vessels!$A$3:$C$500,MATCH(D214,[1]Gen_Vessels!$C$3:$C$500,0),1)),"")</f>
        <v/>
      </c>
      <c r="G214" s="2" t="str">
        <f>IFERROR(IF(ISBLANK(F214),"",INDEX([1]Gen_Vessels!$A$3:$C$500,MATCH(F214,[1]Gen_Vessels!$C$3:$C$500,0),1)),"")</f>
        <v/>
      </c>
    </row>
    <row r="215" spans="3:7" x14ac:dyDescent="0.25">
      <c r="C215" s="2"/>
      <c r="E215" s="2" t="str">
        <f>IFERROR(IF(ISBLANK(D215),"",INDEX([1]Gen_Vessels!$A$3:$C$500,MATCH(D215,[1]Gen_Vessels!$C$3:$C$500,0),1)),"")</f>
        <v/>
      </c>
      <c r="G215" s="2" t="str">
        <f>IFERROR(IF(ISBLANK(F215),"",INDEX([1]Gen_Vessels!$A$3:$C$500,MATCH(F215,[1]Gen_Vessels!$C$3:$C$500,0),1)),"")</f>
        <v/>
      </c>
    </row>
    <row r="216" spans="3:7" x14ac:dyDescent="0.25">
      <c r="C216" s="2"/>
      <c r="E216" s="2" t="str">
        <f>IFERROR(IF(ISBLANK(D216),"",INDEX([1]Gen_Vessels!$A$3:$C$500,MATCH(D216,[1]Gen_Vessels!$C$3:$C$500,0),1)),"")</f>
        <v/>
      </c>
      <c r="G216" s="2" t="str">
        <f>IFERROR(IF(ISBLANK(F216),"",INDEX([1]Gen_Vessels!$A$3:$C$500,MATCH(F216,[1]Gen_Vessels!$C$3:$C$500,0),1)),"")</f>
        <v/>
      </c>
    </row>
    <row r="217" spans="3:7" x14ac:dyDescent="0.25">
      <c r="C217" s="2"/>
      <c r="E217" s="2" t="str">
        <f>IFERROR(IF(ISBLANK(D217),"",INDEX([1]Gen_Vessels!$A$3:$C$500,MATCH(D217,[1]Gen_Vessels!$C$3:$C$500,0),1)),"")</f>
        <v/>
      </c>
      <c r="G217" s="2" t="str">
        <f>IFERROR(IF(ISBLANK(F217),"",INDEX([1]Gen_Vessels!$A$3:$C$500,MATCH(F217,[1]Gen_Vessels!$C$3:$C$500,0),1)),"")</f>
        <v/>
      </c>
    </row>
    <row r="218" spans="3:7" x14ac:dyDescent="0.25">
      <c r="C218" s="2"/>
      <c r="E218" s="2" t="str">
        <f>IFERROR(IF(ISBLANK(D218),"",INDEX([1]Gen_Vessels!$A$3:$C$500,MATCH(D218,[1]Gen_Vessels!$C$3:$C$500,0),1)),"")</f>
        <v/>
      </c>
      <c r="G218" s="2" t="str">
        <f>IFERROR(IF(ISBLANK(F218),"",INDEX([1]Gen_Vessels!$A$3:$C$500,MATCH(F218,[1]Gen_Vessels!$C$3:$C$500,0),1)),"")</f>
        <v/>
      </c>
    </row>
    <row r="219" spans="3:7" x14ac:dyDescent="0.25">
      <c r="C219" s="2"/>
      <c r="E219" s="2" t="str">
        <f>IFERROR(IF(ISBLANK(D219),"",INDEX([1]Gen_Vessels!$A$3:$C$500,MATCH(D219,[1]Gen_Vessels!$C$3:$C$500,0),1)),"")</f>
        <v/>
      </c>
      <c r="G219" s="2" t="str">
        <f>IFERROR(IF(ISBLANK(F219),"",INDEX([1]Gen_Vessels!$A$3:$C$500,MATCH(F219,[1]Gen_Vessels!$C$3:$C$500,0),1)),"")</f>
        <v/>
      </c>
    </row>
    <row r="220" spans="3:7" x14ac:dyDescent="0.25">
      <c r="C220" s="2"/>
      <c r="E220" s="2" t="str">
        <f>IFERROR(IF(ISBLANK(D220),"",INDEX([1]Gen_Vessels!$A$3:$C$500,MATCH(D220,[1]Gen_Vessels!$C$3:$C$500,0),1)),"")</f>
        <v/>
      </c>
      <c r="G220" s="2" t="str">
        <f>IFERROR(IF(ISBLANK(F220),"",INDEX([1]Gen_Vessels!$A$3:$C$500,MATCH(F220,[1]Gen_Vessels!$C$3:$C$500,0),1)),"")</f>
        <v/>
      </c>
    </row>
    <row r="221" spans="3:7" x14ac:dyDescent="0.25">
      <c r="C221" s="2"/>
      <c r="E221" s="2" t="str">
        <f>IFERROR(IF(ISBLANK(D221),"",INDEX([1]Gen_Vessels!$A$3:$C$500,MATCH(D221,[1]Gen_Vessels!$C$3:$C$500,0),1)),"")</f>
        <v/>
      </c>
      <c r="G221" s="2" t="str">
        <f>IFERROR(IF(ISBLANK(F221),"",INDEX([1]Gen_Vessels!$A$3:$C$500,MATCH(F221,[1]Gen_Vessels!$C$3:$C$500,0),1)),"")</f>
        <v/>
      </c>
    </row>
    <row r="222" spans="3:7" x14ac:dyDescent="0.25">
      <c r="C222" s="2"/>
      <c r="E222" s="2" t="str">
        <f>IFERROR(IF(ISBLANK(D222),"",INDEX([1]Gen_Vessels!$A$3:$C$500,MATCH(D222,[1]Gen_Vessels!$C$3:$C$500,0),1)),"")</f>
        <v/>
      </c>
      <c r="G222" s="2" t="str">
        <f>IFERROR(IF(ISBLANK(F222),"",INDEX([1]Gen_Vessels!$A$3:$C$500,MATCH(F222,[1]Gen_Vessels!$C$3:$C$500,0),1)),"")</f>
        <v/>
      </c>
    </row>
    <row r="223" spans="3:7" x14ac:dyDescent="0.25">
      <c r="C223" s="2"/>
      <c r="E223" s="2" t="str">
        <f>IFERROR(IF(ISBLANK(D223),"",INDEX([1]Gen_Vessels!$A$3:$C$500,MATCH(D223,[1]Gen_Vessels!$C$3:$C$500,0),1)),"")</f>
        <v/>
      </c>
      <c r="G223" s="2" t="str">
        <f>IFERROR(IF(ISBLANK(F223),"",INDEX([1]Gen_Vessels!$A$3:$C$500,MATCH(F223,[1]Gen_Vessels!$C$3:$C$500,0),1)),"")</f>
        <v/>
      </c>
    </row>
    <row r="224" spans="3:7" x14ac:dyDescent="0.25">
      <c r="C224" s="2"/>
      <c r="E224" s="2" t="str">
        <f>IFERROR(IF(ISBLANK(D224),"",INDEX([1]Gen_Vessels!$A$3:$C$500,MATCH(D224,[1]Gen_Vessels!$C$3:$C$500,0),1)),"")</f>
        <v/>
      </c>
      <c r="G224" s="2" t="str">
        <f>IFERROR(IF(ISBLANK(F224),"",INDEX([1]Gen_Vessels!$A$3:$C$500,MATCH(F224,[1]Gen_Vessels!$C$3:$C$500,0),1)),"")</f>
        <v/>
      </c>
    </row>
    <row r="225" spans="3:7" x14ac:dyDescent="0.25">
      <c r="C225" s="2"/>
      <c r="E225" s="2" t="str">
        <f>IFERROR(IF(ISBLANK(D225),"",INDEX([1]Gen_Vessels!$A$3:$C$500,MATCH(D225,[1]Gen_Vessels!$C$3:$C$500,0),1)),"")</f>
        <v/>
      </c>
      <c r="G225" s="2" t="str">
        <f>IFERROR(IF(ISBLANK(F225),"",INDEX([1]Gen_Vessels!$A$3:$C$500,MATCH(F225,[1]Gen_Vessels!$C$3:$C$500,0),1)),"")</f>
        <v/>
      </c>
    </row>
    <row r="226" spans="3:7" x14ac:dyDescent="0.25">
      <c r="C226" s="2"/>
      <c r="E226" s="2" t="str">
        <f>IFERROR(IF(ISBLANK(D226),"",INDEX([1]Gen_Vessels!$A$3:$C$500,MATCH(D226,[1]Gen_Vessels!$C$3:$C$500,0),1)),"")</f>
        <v/>
      </c>
      <c r="G226" s="2" t="str">
        <f>IFERROR(IF(ISBLANK(F226),"",INDEX([1]Gen_Vessels!$A$3:$C$500,MATCH(F226,[1]Gen_Vessels!$C$3:$C$500,0),1)),"")</f>
        <v/>
      </c>
    </row>
    <row r="227" spans="3:7" x14ac:dyDescent="0.25">
      <c r="C227" s="2"/>
      <c r="E227" s="2" t="str">
        <f>IFERROR(IF(ISBLANK(D227),"",INDEX([1]Gen_Vessels!$A$3:$C$500,MATCH(D227,[1]Gen_Vessels!$C$3:$C$500,0),1)),"")</f>
        <v/>
      </c>
      <c r="G227" s="2" t="str">
        <f>IFERROR(IF(ISBLANK(F227),"",INDEX([1]Gen_Vessels!$A$3:$C$500,MATCH(F227,[1]Gen_Vessels!$C$3:$C$500,0),1)),"")</f>
        <v/>
      </c>
    </row>
    <row r="228" spans="3:7" x14ac:dyDescent="0.25">
      <c r="C228" s="2"/>
      <c r="E228" s="2" t="str">
        <f>IFERROR(IF(ISBLANK(D228),"",INDEX([1]Gen_Vessels!$A$3:$C$500,MATCH(D228,[1]Gen_Vessels!$C$3:$C$500,0),1)),"")</f>
        <v/>
      </c>
      <c r="G228" s="2" t="str">
        <f>IFERROR(IF(ISBLANK(F228),"",INDEX([1]Gen_Vessels!$A$3:$C$500,MATCH(F228,[1]Gen_Vessels!$C$3:$C$500,0),1)),"")</f>
        <v/>
      </c>
    </row>
    <row r="229" spans="3:7" x14ac:dyDescent="0.25">
      <c r="C229" s="2"/>
      <c r="E229" s="2" t="str">
        <f>IFERROR(IF(ISBLANK(D229),"",INDEX([1]Gen_Vessels!$A$3:$C$500,MATCH(D229,[1]Gen_Vessels!$C$3:$C$500,0),1)),"")</f>
        <v/>
      </c>
      <c r="G229" s="2" t="str">
        <f>IFERROR(IF(ISBLANK(F229),"",INDEX([1]Gen_Vessels!$A$3:$C$500,MATCH(F229,[1]Gen_Vessels!$C$3:$C$500,0),1)),"")</f>
        <v/>
      </c>
    </row>
    <row r="230" spans="3:7" x14ac:dyDescent="0.25">
      <c r="C230" s="2"/>
      <c r="E230" s="2" t="str">
        <f>IFERROR(IF(ISBLANK(D230),"",INDEX([1]Gen_Vessels!$A$3:$C$500,MATCH(D230,[1]Gen_Vessels!$C$3:$C$500,0),1)),"")</f>
        <v/>
      </c>
      <c r="G230" s="2" t="str">
        <f>IFERROR(IF(ISBLANK(F230),"",INDEX([1]Gen_Vessels!$A$3:$C$500,MATCH(F230,[1]Gen_Vessels!$C$3:$C$500,0),1)),"")</f>
        <v/>
      </c>
    </row>
    <row r="231" spans="3:7" x14ac:dyDescent="0.25">
      <c r="C231" s="2"/>
      <c r="E231" s="2" t="str">
        <f>IFERROR(IF(ISBLANK(D231),"",INDEX([1]Gen_Vessels!$A$3:$C$500,MATCH(D231,[1]Gen_Vessels!$C$3:$C$500,0),1)),"")</f>
        <v/>
      </c>
      <c r="G231" s="2" t="str">
        <f>IFERROR(IF(ISBLANK(F231),"",INDEX([1]Gen_Vessels!$A$3:$C$500,MATCH(F231,[1]Gen_Vessels!$C$3:$C$500,0),1)),"")</f>
        <v/>
      </c>
    </row>
    <row r="232" spans="3:7" x14ac:dyDescent="0.25">
      <c r="C232" s="2"/>
      <c r="E232" s="2" t="str">
        <f>IFERROR(IF(ISBLANK(D232),"",INDEX([1]Gen_Vessels!$A$3:$C$500,MATCH(D232,[1]Gen_Vessels!$C$3:$C$500,0),1)),"")</f>
        <v/>
      </c>
      <c r="G232" s="2" t="str">
        <f>IFERROR(IF(ISBLANK(F232),"",INDEX([1]Gen_Vessels!$A$3:$C$500,MATCH(F232,[1]Gen_Vessels!$C$3:$C$500,0),1)),"")</f>
        <v/>
      </c>
    </row>
    <row r="233" spans="3:7" x14ac:dyDescent="0.25">
      <c r="C233" s="2"/>
      <c r="E233" s="2" t="str">
        <f>IFERROR(IF(ISBLANK(D233),"",INDEX([1]Gen_Vessels!$A$3:$C$500,MATCH(D233,[1]Gen_Vessels!$C$3:$C$500,0),1)),"")</f>
        <v/>
      </c>
      <c r="G233" s="2" t="str">
        <f>IFERROR(IF(ISBLANK(F233),"",INDEX([1]Gen_Vessels!$A$3:$C$500,MATCH(F233,[1]Gen_Vessels!$C$3:$C$500,0),1)),"")</f>
        <v/>
      </c>
    </row>
    <row r="234" spans="3:7" x14ac:dyDescent="0.25">
      <c r="C234" s="2"/>
      <c r="E234" s="2" t="str">
        <f>IFERROR(IF(ISBLANK(D234),"",INDEX([1]Gen_Vessels!$A$3:$C$500,MATCH(D234,[1]Gen_Vessels!$C$3:$C$500,0),1)),"")</f>
        <v/>
      </c>
      <c r="G234" s="2" t="str">
        <f>IFERROR(IF(ISBLANK(F234),"",INDEX([1]Gen_Vessels!$A$3:$C$500,MATCH(F234,[1]Gen_Vessels!$C$3:$C$500,0),1)),"")</f>
        <v/>
      </c>
    </row>
    <row r="235" spans="3:7" x14ac:dyDescent="0.25">
      <c r="C235" s="2"/>
      <c r="E235" s="2" t="str">
        <f>IFERROR(IF(ISBLANK(D235),"",INDEX([1]Gen_Vessels!$A$3:$C$500,MATCH(D235,[1]Gen_Vessels!$C$3:$C$500,0),1)),"")</f>
        <v/>
      </c>
      <c r="G235" s="2" t="str">
        <f>IFERROR(IF(ISBLANK(F235),"",INDEX([1]Gen_Vessels!$A$3:$C$500,MATCH(F235,[1]Gen_Vessels!$C$3:$C$500,0),1)),"")</f>
        <v/>
      </c>
    </row>
    <row r="236" spans="3:7" x14ac:dyDescent="0.25">
      <c r="C236" s="2"/>
      <c r="E236" s="2" t="str">
        <f>IFERROR(IF(ISBLANK(D236),"",INDEX([1]Gen_Vessels!$A$3:$C$500,MATCH(D236,[1]Gen_Vessels!$C$3:$C$500,0),1)),"")</f>
        <v/>
      </c>
      <c r="G236" s="2" t="str">
        <f>IFERROR(IF(ISBLANK(F236),"",INDEX([1]Gen_Vessels!$A$3:$C$500,MATCH(F236,[1]Gen_Vessels!$C$3:$C$500,0),1)),"")</f>
        <v/>
      </c>
    </row>
    <row r="237" spans="3:7" x14ac:dyDescent="0.25">
      <c r="C237" s="2"/>
      <c r="E237" s="2" t="str">
        <f>IFERROR(IF(ISBLANK(D237),"",INDEX([1]Gen_Vessels!$A$3:$C$500,MATCH(D237,[1]Gen_Vessels!$C$3:$C$500,0),1)),"")</f>
        <v/>
      </c>
      <c r="G237" s="2" t="str">
        <f>IFERROR(IF(ISBLANK(F237),"",INDEX([1]Gen_Vessels!$A$3:$C$500,MATCH(F237,[1]Gen_Vessels!$C$3:$C$500,0),1)),"")</f>
        <v/>
      </c>
    </row>
    <row r="238" spans="3:7" x14ac:dyDescent="0.25">
      <c r="C238" s="2"/>
      <c r="E238" s="2" t="str">
        <f>IFERROR(IF(ISBLANK(D238),"",INDEX([1]Gen_Vessels!$A$3:$C$500,MATCH(D238,[1]Gen_Vessels!$C$3:$C$500,0),1)),"")</f>
        <v/>
      </c>
      <c r="G238" s="2" t="str">
        <f>IFERROR(IF(ISBLANK(F238),"",INDEX([1]Gen_Vessels!$A$3:$C$500,MATCH(F238,[1]Gen_Vessels!$C$3:$C$500,0),1)),"")</f>
        <v/>
      </c>
    </row>
    <row r="239" spans="3:7" x14ac:dyDescent="0.25">
      <c r="C239" s="2"/>
      <c r="E239" s="2" t="str">
        <f>IFERROR(IF(ISBLANK(D239),"",INDEX([1]Gen_Vessels!$A$3:$C$500,MATCH(D239,[1]Gen_Vessels!$C$3:$C$500,0),1)),"")</f>
        <v/>
      </c>
      <c r="G239" s="2" t="str">
        <f>IFERROR(IF(ISBLANK(F239),"",INDEX([1]Gen_Vessels!$A$3:$C$500,MATCH(F239,[1]Gen_Vessels!$C$3:$C$500,0),1)),"")</f>
        <v/>
      </c>
    </row>
    <row r="240" spans="3:7" x14ac:dyDescent="0.25">
      <c r="C240" s="2"/>
      <c r="E240" s="2" t="str">
        <f>IFERROR(IF(ISBLANK(D240),"",INDEX([1]Gen_Vessels!$A$3:$C$500,MATCH(D240,[1]Gen_Vessels!$C$3:$C$500,0),1)),"")</f>
        <v/>
      </c>
      <c r="G240" s="2" t="str">
        <f>IFERROR(IF(ISBLANK(F240),"",INDEX([1]Gen_Vessels!$A$3:$C$500,MATCH(F240,[1]Gen_Vessels!$C$3:$C$500,0),1)),"")</f>
        <v/>
      </c>
    </row>
    <row r="241" spans="3:7" x14ac:dyDescent="0.25">
      <c r="C241" s="2"/>
      <c r="E241" s="2" t="str">
        <f>IFERROR(IF(ISBLANK(D241),"",INDEX([1]Gen_Vessels!$A$3:$C$500,MATCH(D241,[1]Gen_Vessels!$C$3:$C$500,0),1)),"")</f>
        <v/>
      </c>
      <c r="G241" s="2" t="str">
        <f>IFERROR(IF(ISBLANK(F241),"",INDEX([1]Gen_Vessels!$A$3:$C$500,MATCH(F241,[1]Gen_Vessels!$C$3:$C$500,0),1)),"")</f>
        <v/>
      </c>
    </row>
    <row r="242" spans="3:7" x14ac:dyDescent="0.25">
      <c r="C242" s="2"/>
      <c r="E242" s="2" t="str">
        <f>IFERROR(IF(ISBLANK(D242),"",INDEX([1]Gen_Vessels!$A$3:$C$500,MATCH(D242,[1]Gen_Vessels!$C$3:$C$500,0),1)),"")</f>
        <v/>
      </c>
      <c r="G242" s="2" t="str">
        <f>IFERROR(IF(ISBLANK(F242),"",INDEX([1]Gen_Vessels!$A$3:$C$500,MATCH(F242,[1]Gen_Vessels!$C$3:$C$500,0),1)),"")</f>
        <v/>
      </c>
    </row>
    <row r="243" spans="3:7" x14ac:dyDescent="0.25">
      <c r="C243" s="2"/>
      <c r="E243" s="2" t="str">
        <f>IFERROR(IF(ISBLANK(D243),"",INDEX([1]Gen_Vessels!$A$3:$C$500,MATCH(D243,[1]Gen_Vessels!$C$3:$C$500,0),1)),"")</f>
        <v/>
      </c>
      <c r="G243" s="2" t="str">
        <f>IFERROR(IF(ISBLANK(F243),"",INDEX([1]Gen_Vessels!$A$3:$C$500,MATCH(F243,[1]Gen_Vessels!$C$3:$C$500,0),1)),"")</f>
        <v/>
      </c>
    </row>
    <row r="244" spans="3:7" x14ac:dyDescent="0.25">
      <c r="C244" s="2"/>
      <c r="E244" s="2" t="str">
        <f>IFERROR(IF(ISBLANK(D244),"",INDEX([1]Gen_Vessels!$A$3:$C$500,MATCH(D244,[1]Gen_Vessels!$C$3:$C$500,0),1)),"")</f>
        <v/>
      </c>
      <c r="G244" s="2" t="str">
        <f>IFERROR(IF(ISBLANK(F244),"",INDEX([1]Gen_Vessels!$A$3:$C$500,MATCH(F244,[1]Gen_Vessels!$C$3:$C$500,0),1)),"")</f>
        <v/>
      </c>
    </row>
    <row r="245" spans="3:7" x14ac:dyDescent="0.25">
      <c r="C245" s="2"/>
      <c r="E245" s="2" t="str">
        <f>IFERROR(IF(ISBLANK(D245),"",INDEX([1]Gen_Vessels!$A$3:$C$500,MATCH(D245,[1]Gen_Vessels!$C$3:$C$500,0),1)),"")</f>
        <v/>
      </c>
      <c r="G245" s="2" t="str">
        <f>IFERROR(IF(ISBLANK(F245),"",INDEX([1]Gen_Vessels!$A$3:$C$500,MATCH(F245,[1]Gen_Vessels!$C$3:$C$500,0),1)),"")</f>
        <v/>
      </c>
    </row>
    <row r="246" spans="3:7" x14ac:dyDescent="0.25">
      <c r="C246" s="2"/>
      <c r="E246" s="2" t="str">
        <f>IFERROR(IF(ISBLANK(D246),"",INDEX([1]Gen_Vessels!$A$3:$C$500,MATCH(D246,[1]Gen_Vessels!$C$3:$C$500,0),1)),"")</f>
        <v/>
      </c>
      <c r="G246" s="2" t="str">
        <f>IFERROR(IF(ISBLANK(F246),"",INDEX([1]Gen_Vessels!$A$3:$C$500,MATCH(F246,[1]Gen_Vessels!$C$3:$C$500,0),1)),"")</f>
        <v/>
      </c>
    </row>
    <row r="247" spans="3:7" x14ac:dyDescent="0.25">
      <c r="C247" s="2"/>
      <c r="E247" s="2" t="str">
        <f>IFERROR(IF(ISBLANK(D247),"",INDEX([1]Gen_Vessels!$A$3:$C$500,MATCH(D247,[1]Gen_Vessels!$C$3:$C$500,0),1)),"")</f>
        <v/>
      </c>
      <c r="G247" s="2" t="str">
        <f>IFERROR(IF(ISBLANK(F247),"",INDEX([1]Gen_Vessels!$A$3:$C$500,MATCH(F247,[1]Gen_Vessels!$C$3:$C$500,0),1)),"")</f>
        <v/>
      </c>
    </row>
    <row r="248" spans="3:7" x14ac:dyDescent="0.25">
      <c r="C248" s="2"/>
      <c r="E248" s="2" t="str">
        <f>IFERROR(IF(ISBLANK(D248),"",INDEX([1]Gen_Vessels!$A$3:$C$500,MATCH(D248,[1]Gen_Vessels!$C$3:$C$500,0),1)),"")</f>
        <v/>
      </c>
      <c r="G248" s="2" t="str">
        <f>IFERROR(IF(ISBLANK(F248),"",INDEX([1]Gen_Vessels!$A$3:$C$500,MATCH(F248,[1]Gen_Vessels!$C$3:$C$500,0),1)),"")</f>
        <v/>
      </c>
    </row>
    <row r="249" spans="3:7" x14ac:dyDescent="0.25">
      <c r="C249" s="2"/>
      <c r="E249" s="2" t="str">
        <f>IFERROR(IF(ISBLANK(D249),"",INDEX([1]Gen_Vessels!$A$3:$C$500,MATCH(D249,[1]Gen_Vessels!$C$3:$C$500,0),1)),"")</f>
        <v/>
      </c>
      <c r="G249" s="2" t="str">
        <f>IFERROR(IF(ISBLANK(F249),"",INDEX([1]Gen_Vessels!$A$3:$C$500,MATCH(F249,[1]Gen_Vessels!$C$3:$C$500,0),1)),"")</f>
        <v/>
      </c>
    </row>
    <row r="250" spans="3:7" x14ac:dyDescent="0.25">
      <c r="C250" s="2"/>
      <c r="E250" s="2" t="str">
        <f>IFERROR(IF(ISBLANK(D250),"",INDEX([1]Gen_Vessels!$A$3:$C$500,MATCH(D250,[1]Gen_Vessels!$C$3:$C$500,0),1)),"")</f>
        <v/>
      </c>
      <c r="G250" s="2" t="str">
        <f>IFERROR(IF(ISBLANK(F250),"",INDEX([1]Gen_Vessels!$A$3:$C$500,MATCH(F250,[1]Gen_Vessels!$C$3:$C$500,0),1)),"")</f>
        <v/>
      </c>
    </row>
    <row r="251" spans="3:7" x14ac:dyDescent="0.25">
      <c r="C251" s="2"/>
      <c r="E251" s="2" t="str">
        <f>IFERROR(IF(ISBLANK(D251),"",INDEX([1]Gen_Vessels!$A$3:$C$500,MATCH(D251,[1]Gen_Vessels!$C$3:$C$500,0),1)),"")</f>
        <v/>
      </c>
      <c r="G251" s="2" t="str">
        <f>IFERROR(IF(ISBLANK(F251),"",INDEX([1]Gen_Vessels!$A$3:$C$500,MATCH(F251,[1]Gen_Vessels!$C$3:$C$500,0),1)),"")</f>
        <v/>
      </c>
    </row>
    <row r="252" spans="3:7" x14ac:dyDescent="0.25">
      <c r="C252" s="2"/>
      <c r="E252" s="2" t="str">
        <f>IFERROR(IF(ISBLANK(D252),"",INDEX([1]Gen_Vessels!$A$3:$C$500,MATCH(D252,[1]Gen_Vessels!$C$3:$C$500,0),1)),"")</f>
        <v/>
      </c>
      <c r="G252" s="2" t="str">
        <f>IFERROR(IF(ISBLANK(F252),"",INDEX([1]Gen_Vessels!$A$3:$C$500,MATCH(F252,[1]Gen_Vessels!$C$3:$C$500,0),1)),"")</f>
        <v/>
      </c>
    </row>
    <row r="253" spans="3:7" x14ac:dyDescent="0.25">
      <c r="C253" s="2"/>
      <c r="E253" s="2" t="str">
        <f>IFERROR(IF(ISBLANK(D253),"",INDEX([1]Gen_Vessels!$A$3:$C$500,MATCH(D253,[1]Gen_Vessels!$C$3:$C$500,0),1)),"")</f>
        <v/>
      </c>
      <c r="G253" s="2" t="str">
        <f>IFERROR(IF(ISBLANK(F253),"",INDEX([1]Gen_Vessels!$A$3:$C$500,MATCH(F253,[1]Gen_Vessels!$C$3:$C$500,0),1)),"")</f>
        <v/>
      </c>
    </row>
    <row r="254" spans="3:7" x14ac:dyDescent="0.25">
      <c r="C254" s="2"/>
      <c r="E254" s="2" t="str">
        <f>IFERROR(IF(ISBLANK(D254),"",INDEX([1]Gen_Vessels!$A$3:$C$500,MATCH(D254,[1]Gen_Vessels!$C$3:$C$500,0),1)),"")</f>
        <v/>
      </c>
      <c r="G254" s="2" t="str">
        <f>IFERROR(IF(ISBLANK(F254),"",INDEX([1]Gen_Vessels!$A$3:$C$500,MATCH(F254,[1]Gen_Vessels!$C$3:$C$500,0),1)),"")</f>
        <v/>
      </c>
    </row>
    <row r="255" spans="3:7" x14ac:dyDescent="0.25">
      <c r="C255" s="2"/>
      <c r="E255" s="2" t="str">
        <f>IFERROR(IF(ISBLANK(D255),"",INDEX([1]Gen_Vessels!$A$3:$C$500,MATCH(D255,[1]Gen_Vessels!$C$3:$C$500,0),1)),"")</f>
        <v/>
      </c>
      <c r="G255" s="2" t="str">
        <f>IFERROR(IF(ISBLANK(F255),"",INDEX([1]Gen_Vessels!$A$3:$C$500,MATCH(F255,[1]Gen_Vessels!$C$3:$C$500,0),1)),"")</f>
        <v/>
      </c>
    </row>
    <row r="256" spans="3:7" x14ac:dyDescent="0.25">
      <c r="C256" s="2"/>
      <c r="E256" s="2" t="str">
        <f>IFERROR(IF(ISBLANK(D256),"",INDEX([1]Gen_Vessels!$A$3:$C$500,MATCH(D256,[1]Gen_Vessels!$C$3:$C$500,0),1)),"")</f>
        <v/>
      </c>
      <c r="G256" s="2" t="str">
        <f>IFERROR(IF(ISBLANK(F256),"",INDEX([1]Gen_Vessels!$A$3:$C$500,MATCH(F256,[1]Gen_Vessels!$C$3:$C$500,0),1)),"")</f>
        <v/>
      </c>
    </row>
    <row r="257" spans="3:7" x14ac:dyDescent="0.25">
      <c r="C257" s="2"/>
      <c r="E257" s="2" t="str">
        <f>IFERROR(IF(ISBLANK(D257),"",INDEX([1]Gen_Vessels!$A$3:$C$500,MATCH(D257,[1]Gen_Vessels!$C$3:$C$500,0),1)),"")</f>
        <v/>
      </c>
      <c r="G257" s="2" t="str">
        <f>IFERROR(IF(ISBLANK(F257),"",INDEX([1]Gen_Vessels!$A$3:$C$500,MATCH(F257,[1]Gen_Vessels!$C$3:$C$500,0),1)),"")</f>
        <v/>
      </c>
    </row>
    <row r="258" spans="3:7" x14ac:dyDescent="0.25">
      <c r="C258" s="2"/>
      <c r="E258" s="2" t="str">
        <f>IFERROR(IF(ISBLANK(D258),"",INDEX([1]Gen_Vessels!$A$3:$C$500,MATCH(D258,[1]Gen_Vessels!$C$3:$C$500,0),1)),"")</f>
        <v/>
      </c>
      <c r="G258" s="2" t="str">
        <f>IFERROR(IF(ISBLANK(F258),"",INDEX([1]Gen_Vessels!$A$3:$C$500,MATCH(F258,[1]Gen_Vessels!$C$3:$C$500,0),1)),"")</f>
        <v/>
      </c>
    </row>
    <row r="259" spans="3:7" x14ac:dyDescent="0.25">
      <c r="C259" s="2"/>
      <c r="E259" s="2" t="str">
        <f>IFERROR(IF(ISBLANK(D259),"",INDEX([1]Gen_Vessels!$A$3:$C$500,MATCH(D259,[1]Gen_Vessels!$C$3:$C$500,0),1)),"")</f>
        <v/>
      </c>
      <c r="G259" s="2" t="str">
        <f>IFERROR(IF(ISBLANK(F259),"",INDEX([1]Gen_Vessels!$A$3:$C$500,MATCH(F259,[1]Gen_Vessels!$C$3:$C$500,0),1)),"")</f>
        <v/>
      </c>
    </row>
    <row r="260" spans="3:7" x14ac:dyDescent="0.25">
      <c r="C260" s="2"/>
      <c r="E260" s="2" t="str">
        <f>IFERROR(IF(ISBLANK(D260),"",INDEX([1]Gen_Vessels!$A$3:$C$500,MATCH(D260,[1]Gen_Vessels!$C$3:$C$500,0),1)),"")</f>
        <v/>
      </c>
      <c r="G260" s="2" t="str">
        <f>IFERROR(IF(ISBLANK(F260),"",INDEX([1]Gen_Vessels!$A$3:$C$500,MATCH(F260,[1]Gen_Vessels!$C$3:$C$500,0),1)),"")</f>
        <v/>
      </c>
    </row>
    <row r="261" spans="3:7" x14ac:dyDescent="0.25">
      <c r="C261" s="2"/>
      <c r="E261" s="2" t="str">
        <f>IFERROR(IF(ISBLANK(D261),"",INDEX([1]Gen_Vessels!$A$3:$C$500,MATCH(D261,[1]Gen_Vessels!$C$3:$C$500,0),1)),"")</f>
        <v/>
      </c>
      <c r="G261" s="2" t="str">
        <f>IFERROR(IF(ISBLANK(F261),"",INDEX([1]Gen_Vessels!$A$3:$C$500,MATCH(F261,[1]Gen_Vessels!$C$3:$C$500,0),1)),"")</f>
        <v/>
      </c>
    </row>
    <row r="262" spans="3:7" x14ac:dyDescent="0.25">
      <c r="C262" s="2"/>
      <c r="E262" s="2" t="str">
        <f>IFERROR(IF(ISBLANK(D262),"",INDEX([1]Gen_Vessels!$A$3:$C$500,MATCH(D262,[1]Gen_Vessels!$C$3:$C$500,0),1)),"")</f>
        <v/>
      </c>
      <c r="G262" s="2" t="str">
        <f>IFERROR(IF(ISBLANK(F262),"",INDEX([1]Gen_Vessels!$A$3:$C$500,MATCH(F262,[1]Gen_Vessels!$C$3:$C$500,0),1)),"")</f>
        <v/>
      </c>
    </row>
    <row r="263" spans="3:7" x14ac:dyDescent="0.25">
      <c r="C263" s="2"/>
      <c r="E263" s="2" t="str">
        <f>IFERROR(IF(ISBLANK(D263),"",INDEX([1]Gen_Vessels!$A$3:$C$500,MATCH(D263,[1]Gen_Vessels!$C$3:$C$500,0),1)),"")</f>
        <v/>
      </c>
      <c r="G263" s="2" t="str">
        <f>IFERROR(IF(ISBLANK(F263),"",INDEX([1]Gen_Vessels!$A$3:$C$500,MATCH(F263,[1]Gen_Vessels!$C$3:$C$500,0),1)),"")</f>
        <v/>
      </c>
    </row>
    <row r="264" spans="3:7" x14ac:dyDescent="0.25">
      <c r="C264" s="2"/>
      <c r="E264" s="2" t="str">
        <f>IFERROR(IF(ISBLANK(D264),"",INDEX([1]Gen_Vessels!$A$3:$C$500,MATCH(D264,[1]Gen_Vessels!$C$3:$C$500,0),1)),"")</f>
        <v/>
      </c>
      <c r="G264" s="2" t="str">
        <f>IFERROR(IF(ISBLANK(F264),"",INDEX([1]Gen_Vessels!$A$3:$C$500,MATCH(F264,[1]Gen_Vessels!$C$3:$C$500,0),1)),"")</f>
        <v/>
      </c>
    </row>
    <row r="265" spans="3:7" x14ac:dyDescent="0.25">
      <c r="C265" s="2"/>
      <c r="E265" s="2" t="str">
        <f>IFERROR(IF(ISBLANK(D265),"",INDEX([1]Gen_Vessels!$A$3:$C$500,MATCH(D265,[1]Gen_Vessels!$C$3:$C$500,0),1)),"")</f>
        <v/>
      </c>
      <c r="G265" s="2" t="str">
        <f>IFERROR(IF(ISBLANK(F265),"",INDEX([1]Gen_Vessels!$A$3:$C$500,MATCH(F265,[1]Gen_Vessels!$C$3:$C$500,0),1)),"")</f>
        <v/>
      </c>
    </row>
    <row r="266" spans="3:7" x14ac:dyDescent="0.25">
      <c r="C266" s="2"/>
      <c r="E266" s="2" t="str">
        <f>IFERROR(IF(ISBLANK(D266),"",INDEX([1]Gen_Vessels!$A$3:$C$500,MATCH(D266,[1]Gen_Vessels!$C$3:$C$500,0),1)),"")</f>
        <v/>
      </c>
      <c r="G266" s="2" t="str">
        <f>IFERROR(IF(ISBLANK(F266),"",INDEX([1]Gen_Vessels!$A$3:$C$500,MATCH(F266,[1]Gen_Vessels!$C$3:$C$500,0),1)),"")</f>
        <v/>
      </c>
    </row>
    <row r="267" spans="3:7" x14ac:dyDescent="0.25">
      <c r="C267" s="2"/>
      <c r="E267" s="2" t="str">
        <f>IFERROR(IF(ISBLANK(D267),"",INDEX([1]Gen_Vessels!$A$3:$C$500,MATCH(D267,[1]Gen_Vessels!$C$3:$C$500,0),1)),"")</f>
        <v/>
      </c>
      <c r="G267" s="2" t="str">
        <f>IFERROR(IF(ISBLANK(F267),"",INDEX([1]Gen_Vessels!$A$3:$C$500,MATCH(F267,[1]Gen_Vessels!$C$3:$C$500,0),1)),"")</f>
        <v/>
      </c>
    </row>
    <row r="268" spans="3:7" x14ac:dyDescent="0.25">
      <c r="C268" s="2"/>
      <c r="E268" s="2" t="str">
        <f>IFERROR(IF(ISBLANK(D268),"",INDEX([1]Gen_Vessels!$A$3:$C$500,MATCH(D268,[1]Gen_Vessels!$C$3:$C$500,0),1)),"")</f>
        <v/>
      </c>
      <c r="G268" s="2" t="str">
        <f>IFERROR(IF(ISBLANK(F268),"",INDEX([1]Gen_Vessels!$A$3:$C$500,MATCH(F268,[1]Gen_Vessels!$C$3:$C$500,0),1)),"")</f>
        <v/>
      </c>
    </row>
    <row r="269" spans="3:7" x14ac:dyDescent="0.25">
      <c r="C269" s="2"/>
      <c r="E269" s="2" t="str">
        <f>IFERROR(IF(ISBLANK(D269),"",INDEX([1]Gen_Vessels!$A$3:$C$500,MATCH(D269,[1]Gen_Vessels!$C$3:$C$500,0),1)),"")</f>
        <v/>
      </c>
      <c r="G269" s="2" t="str">
        <f>IFERROR(IF(ISBLANK(F269),"",INDEX([1]Gen_Vessels!$A$3:$C$500,MATCH(F269,[1]Gen_Vessels!$C$3:$C$500,0),1)),"")</f>
        <v/>
      </c>
    </row>
    <row r="270" spans="3:7" x14ac:dyDescent="0.25">
      <c r="C270" s="2"/>
      <c r="E270" s="2" t="str">
        <f>IFERROR(IF(ISBLANK(D270),"",INDEX([1]Gen_Vessels!$A$3:$C$500,MATCH(D270,[1]Gen_Vessels!$C$3:$C$500,0),1)),"")</f>
        <v/>
      </c>
      <c r="G270" s="2" t="str">
        <f>IFERROR(IF(ISBLANK(F270),"",INDEX([1]Gen_Vessels!$A$3:$C$500,MATCH(F270,[1]Gen_Vessels!$C$3:$C$500,0),1)),"")</f>
        <v/>
      </c>
    </row>
    <row r="271" spans="3:7" x14ac:dyDescent="0.25">
      <c r="C271" s="2"/>
      <c r="E271" s="2" t="str">
        <f>IFERROR(IF(ISBLANK(D271),"",INDEX([1]Gen_Vessels!$A$3:$C$500,MATCH(D271,[1]Gen_Vessels!$C$3:$C$500,0),1)),"")</f>
        <v/>
      </c>
      <c r="G271" s="2" t="str">
        <f>IFERROR(IF(ISBLANK(F271),"",INDEX([1]Gen_Vessels!$A$3:$C$500,MATCH(F271,[1]Gen_Vessels!$C$3:$C$500,0),1)),"")</f>
        <v/>
      </c>
    </row>
    <row r="272" spans="3:7" x14ac:dyDescent="0.25">
      <c r="C272" s="2"/>
      <c r="E272" s="2" t="str">
        <f>IFERROR(IF(ISBLANK(D272),"",INDEX([1]Gen_Vessels!$A$3:$C$500,MATCH(D272,[1]Gen_Vessels!$C$3:$C$500,0),1)),"")</f>
        <v/>
      </c>
      <c r="G272" s="2" t="str">
        <f>IFERROR(IF(ISBLANK(F272),"",INDEX([1]Gen_Vessels!$A$3:$C$500,MATCH(F272,[1]Gen_Vessels!$C$3:$C$500,0),1)),"")</f>
        <v/>
      </c>
    </row>
    <row r="273" spans="3:7" x14ac:dyDescent="0.25">
      <c r="C273" s="2"/>
      <c r="E273" s="2" t="str">
        <f>IFERROR(IF(ISBLANK(D273),"",INDEX([1]Gen_Vessels!$A$3:$C$500,MATCH(D273,[1]Gen_Vessels!$C$3:$C$500,0),1)),"")</f>
        <v/>
      </c>
      <c r="G273" s="2" t="str">
        <f>IFERROR(IF(ISBLANK(F273),"",INDEX([1]Gen_Vessels!$A$3:$C$500,MATCH(F273,[1]Gen_Vessels!$C$3:$C$500,0),1)),"")</f>
        <v/>
      </c>
    </row>
    <row r="274" spans="3:7" x14ac:dyDescent="0.25">
      <c r="C274" s="2"/>
      <c r="E274" s="2" t="str">
        <f>IFERROR(IF(ISBLANK(D274),"",INDEX([1]Gen_Vessels!$A$3:$C$500,MATCH(D274,[1]Gen_Vessels!$C$3:$C$500,0),1)),"")</f>
        <v/>
      </c>
      <c r="G274" s="2" t="str">
        <f>IFERROR(IF(ISBLANK(F274),"",INDEX([1]Gen_Vessels!$A$3:$C$500,MATCH(F274,[1]Gen_Vessels!$C$3:$C$500,0),1)),"")</f>
        <v/>
      </c>
    </row>
    <row r="275" spans="3:7" x14ac:dyDescent="0.25">
      <c r="C275" s="2"/>
      <c r="E275" s="2" t="str">
        <f>IFERROR(IF(ISBLANK(D275),"",INDEX([1]Gen_Vessels!$A$3:$C$500,MATCH(D275,[1]Gen_Vessels!$C$3:$C$500,0),1)),"")</f>
        <v/>
      </c>
      <c r="G275" s="2" t="str">
        <f>IFERROR(IF(ISBLANK(F275),"",INDEX([1]Gen_Vessels!$A$3:$C$500,MATCH(F275,[1]Gen_Vessels!$C$3:$C$500,0),1)),"")</f>
        <v/>
      </c>
    </row>
    <row r="276" spans="3:7" x14ac:dyDescent="0.25">
      <c r="C276" s="2"/>
      <c r="E276" s="2" t="str">
        <f>IFERROR(IF(ISBLANK(D276),"",INDEX([1]Gen_Vessels!$A$3:$C$500,MATCH(D276,[1]Gen_Vessels!$C$3:$C$500,0),1)),"")</f>
        <v/>
      </c>
      <c r="G276" s="2" t="str">
        <f>IFERROR(IF(ISBLANK(F276),"",INDEX([1]Gen_Vessels!$A$3:$C$500,MATCH(F276,[1]Gen_Vessels!$C$3:$C$500,0),1)),"")</f>
        <v/>
      </c>
    </row>
    <row r="277" spans="3:7" x14ac:dyDescent="0.25">
      <c r="C277" s="2"/>
      <c r="E277" s="2" t="str">
        <f>IFERROR(IF(ISBLANK(D277),"",INDEX([1]Gen_Vessels!$A$3:$C$500,MATCH(D277,[1]Gen_Vessels!$C$3:$C$500,0),1)),"")</f>
        <v/>
      </c>
      <c r="G277" s="2" t="str">
        <f>IFERROR(IF(ISBLANK(F277),"",INDEX([1]Gen_Vessels!$A$3:$C$500,MATCH(F277,[1]Gen_Vessels!$C$3:$C$500,0),1)),"")</f>
        <v/>
      </c>
    </row>
    <row r="278" spans="3:7" x14ac:dyDescent="0.25">
      <c r="C278" s="2"/>
      <c r="E278" s="2" t="str">
        <f>IFERROR(IF(ISBLANK(D278),"",INDEX([1]Gen_Vessels!$A$3:$C$500,MATCH(D278,[1]Gen_Vessels!$C$3:$C$500,0),1)),"")</f>
        <v/>
      </c>
      <c r="G278" s="2" t="str">
        <f>IFERROR(IF(ISBLANK(F278),"",INDEX([1]Gen_Vessels!$A$3:$C$500,MATCH(F278,[1]Gen_Vessels!$C$3:$C$500,0),1)),"")</f>
        <v/>
      </c>
    </row>
    <row r="279" spans="3:7" x14ac:dyDescent="0.25">
      <c r="C279" s="2"/>
      <c r="E279" s="2" t="str">
        <f>IFERROR(IF(ISBLANK(D279),"",INDEX([1]Gen_Vessels!$A$3:$C$500,MATCH(D279,[1]Gen_Vessels!$C$3:$C$500,0),1)),"")</f>
        <v/>
      </c>
      <c r="G279" s="2" t="str">
        <f>IFERROR(IF(ISBLANK(F279),"",INDEX([1]Gen_Vessels!$A$3:$C$500,MATCH(F279,[1]Gen_Vessels!$C$3:$C$500,0),1)),"")</f>
        <v/>
      </c>
    </row>
    <row r="280" spans="3:7" x14ac:dyDescent="0.25">
      <c r="C280" s="2"/>
      <c r="E280" s="2" t="str">
        <f>IFERROR(IF(ISBLANK(D280),"",INDEX([1]Gen_Vessels!$A$3:$C$500,MATCH(D280,[1]Gen_Vessels!$C$3:$C$500,0),1)),"")</f>
        <v/>
      </c>
      <c r="G280" s="2" t="str">
        <f>IFERROR(IF(ISBLANK(F280),"",INDEX([1]Gen_Vessels!$A$3:$C$500,MATCH(F280,[1]Gen_Vessels!$C$3:$C$500,0),1)),"")</f>
        <v/>
      </c>
    </row>
    <row r="281" spans="3:7" x14ac:dyDescent="0.25">
      <c r="C281" s="2"/>
      <c r="E281" s="2" t="str">
        <f>IFERROR(IF(ISBLANK(D281),"",INDEX([1]Gen_Vessels!$A$3:$C$500,MATCH(D281,[1]Gen_Vessels!$C$3:$C$500,0),1)),"")</f>
        <v/>
      </c>
      <c r="G281" s="2" t="str">
        <f>IFERROR(IF(ISBLANK(F281),"",INDEX([1]Gen_Vessels!$A$3:$C$500,MATCH(F281,[1]Gen_Vessels!$C$3:$C$500,0),1)),"")</f>
        <v/>
      </c>
    </row>
    <row r="282" spans="3:7" x14ac:dyDescent="0.25">
      <c r="C282" s="2"/>
      <c r="E282" s="2" t="str">
        <f>IFERROR(IF(ISBLANK(D282),"",INDEX([1]Gen_Vessels!$A$3:$C$500,MATCH(D282,[1]Gen_Vessels!$C$3:$C$500,0),1)),"")</f>
        <v/>
      </c>
      <c r="G282" s="2" t="str">
        <f>IFERROR(IF(ISBLANK(F282),"",INDEX([1]Gen_Vessels!$A$3:$C$500,MATCH(F282,[1]Gen_Vessels!$C$3:$C$500,0),1)),"")</f>
        <v/>
      </c>
    </row>
    <row r="283" spans="3:7" x14ac:dyDescent="0.25">
      <c r="C283" s="2"/>
      <c r="E283" s="2" t="str">
        <f>IFERROR(IF(ISBLANK(D283),"",INDEX([1]Gen_Vessels!$A$3:$C$500,MATCH(D283,[1]Gen_Vessels!$C$3:$C$500,0),1)),"")</f>
        <v/>
      </c>
      <c r="G283" s="2" t="str">
        <f>IFERROR(IF(ISBLANK(F283),"",INDEX([1]Gen_Vessels!$A$3:$C$500,MATCH(F283,[1]Gen_Vessels!$C$3:$C$500,0),1)),"")</f>
        <v/>
      </c>
    </row>
    <row r="284" spans="3:7" x14ac:dyDescent="0.25">
      <c r="C284" s="2"/>
      <c r="E284" s="2" t="str">
        <f>IFERROR(IF(ISBLANK(D284),"",INDEX([1]Gen_Vessels!$A$3:$C$500,MATCH(D284,[1]Gen_Vessels!$C$3:$C$500,0),1)),"")</f>
        <v/>
      </c>
      <c r="G284" s="2" t="str">
        <f>IFERROR(IF(ISBLANK(F284),"",INDEX([1]Gen_Vessels!$A$3:$C$500,MATCH(F284,[1]Gen_Vessels!$C$3:$C$500,0),1)),"")</f>
        <v/>
      </c>
    </row>
    <row r="285" spans="3:7" x14ac:dyDescent="0.25">
      <c r="C285" s="2"/>
      <c r="E285" s="2" t="str">
        <f>IFERROR(IF(ISBLANK(D285),"",INDEX([1]Gen_Vessels!$A$3:$C$500,MATCH(D285,[1]Gen_Vessels!$C$3:$C$500,0),1)),"")</f>
        <v/>
      </c>
      <c r="G285" s="2" t="str">
        <f>IFERROR(IF(ISBLANK(F285),"",INDEX([1]Gen_Vessels!$A$3:$C$500,MATCH(F285,[1]Gen_Vessels!$C$3:$C$500,0),1)),"")</f>
        <v/>
      </c>
    </row>
    <row r="286" spans="3:7" x14ac:dyDescent="0.25">
      <c r="C286" s="2"/>
      <c r="E286" s="2" t="str">
        <f>IFERROR(IF(ISBLANK(D286),"",INDEX([1]Gen_Vessels!$A$3:$C$500,MATCH(D286,[1]Gen_Vessels!$C$3:$C$500,0),1)),"")</f>
        <v/>
      </c>
      <c r="G286" s="2" t="str">
        <f>IFERROR(IF(ISBLANK(F286),"",INDEX([1]Gen_Vessels!$A$3:$C$500,MATCH(F286,[1]Gen_Vessels!$C$3:$C$500,0),1)),"")</f>
        <v/>
      </c>
    </row>
    <row r="287" spans="3:7" x14ac:dyDescent="0.25">
      <c r="C287" s="2"/>
      <c r="E287" s="2" t="str">
        <f>IFERROR(IF(ISBLANK(D287),"",INDEX([1]Gen_Vessels!$A$3:$C$500,MATCH(D287,[1]Gen_Vessels!$C$3:$C$500,0),1)),"")</f>
        <v/>
      </c>
      <c r="G287" s="2" t="str">
        <f>IFERROR(IF(ISBLANK(F287),"",INDEX([1]Gen_Vessels!$A$3:$C$500,MATCH(F287,[1]Gen_Vessels!$C$3:$C$500,0),1)),"")</f>
        <v/>
      </c>
    </row>
    <row r="288" spans="3:7" x14ac:dyDescent="0.25">
      <c r="C288" s="2"/>
      <c r="E288" s="2" t="str">
        <f>IFERROR(IF(ISBLANK(D288),"",INDEX([1]Gen_Vessels!$A$3:$C$500,MATCH(D288,[1]Gen_Vessels!$C$3:$C$500,0),1)),"")</f>
        <v/>
      </c>
      <c r="G288" s="2" t="str">
        <f>IFERROR(IF(ISBLANK(F288),"",INDEX([1]Gen_Vessels!$A$3:$C$500,MATCH(F288,[1]Gen_Vessels!$C$3:$C$500,0),1)),"")</f>
        <v/>
      </c>
    </row>
    <row r="289" spans="3:7" x14ac:dyDescent="0.25">
      <c r="C289" s="2"/>
      <c r="E289" s="2" t="str">
        <f>IFERROR(IF(ISBLANK(D289),"",INDEX([1]Gen_Vessels!$A$3:$C$500,MATCH(D289,[1]Gen_Vessels!$C$3:$C$500,0),1)),"")</f>
        <v/>
      </c>
      <c r="G289" s="2" t="str">
        <f>IFERROR(IF(ISBLANK(F289),"",INDEX([1]Gen_Vessels!$A$3:$C$500,MATCH(F289,[1]Gen_Vessels!$C$3:$C$500,0),1)),"")</f>
        <v/>
      </c>
    </row>
    <row r="290" spans="3:7" x14ac:dyDescent="0.25">
      <c r="C290" s="2"/>
      <c r="E290" s="2" t="str">
        <f>IFERROR(IF(ISBLANK(D290),"",INDEX([1]Gen_Vessels!$A$3:$C$500,MATCH(D290,[1]Gen_Vessels!$C$3:$C$500,0),1)),"")</f>
        <v/>
      </c>
      <c r="G290" s="2" t="str">
        <f>IFERROR(IF(ISBLANK(F290),"",INDEX([1]Gen_Vessels!$A$3:$C$500,MATCH(F290,[1]Gen_Vessels!$C$3:$C$500,0),1)),"")</f>
        <v/>
      </c>
    </row>
    <row r="291" spans="3:7" x14ac:dyDescent="0.25">
      <c r="C291" s="2"/>
      <c r="E291" s="2" t="str">
        <f>IFERROR(IF(ISBLANK(D291),"",INDEX([1]Gen_Vessels!$A$3:$C$500,MATCH(D291,[1]Gen_Vessels!$C$3:$C$500,0),1)),"")</f>
        <v/>
      </c>
      <c r="G291" s="2" t="str">
        <f>IFERROR(IF(ISBLANK(F291),"",INDEX([1]Gen_Vessels!$A$3:$C$500,MATCH(F291,[1]Gen_Vessels!$C$3:$C$500,0),1)),"")</f>
        <v/>
      </c>
    </row>
    <row r="292" spans="3:7" x14ac:dyDescent="0.25">
      <c r="C292" s="2"/>
      <c r="E292" s="2" t="str">
        <f>IFERROR(IF(ISBLANK(D292),"",INDEX([1]Gen_Vessels!$A$3:$C$500,MATCH(D292,[1]Gen_Vessels!$C$3:$C$500,0),1)),"")</f>
        <v/>
      </c>
      <c r="G292" s="2" t="str">
        <f>IFERROR(IF(ISBLANK(F292),"",INDEX([1]Gen_Vessels!$A$3:$C$500,MATCH(F292,[1]Gen_Vessels!$C$3:$C$500,0),1)),"")</f>
        <v/>
      </c>
    </row>
    <row r="293" spans="3:7" x14ac:dyDescent="0.25">
      <c r="C293" s="2"/>
      <c r="E293" s="2" t="str">
        <f>IFERROR(IF(ISBLANK(D293),"",INDEX([1]Gen_Vessels!$A$3:$C$500,MATCH(D293,[1]Gen_Vessels!$C$3:$C$500,0),1)),"")</f>
        <v/>
      </c>
      <c r="G293" s="2" t="str">
        <f>IFERROR(IF(ISBLANK(F293),"",INDEX([1]Gen_Vessels!$A$3:$C$500,MATCH(F293,[1]Gen_Vessels!$C$3:$C$500,0),1)),"")</f>
        <v/>
      </c>
    </row>
    <row r="294" spans="3:7" x14ac:dyDescent="0.25">
      <c r="C294" s="2"/>
      <c r="E294" s="2" t="str">
        <f>IFERROR(IF(ISBLANK(D294),"",INDEX([1]Gen_Vessels!$A$3:$C$500,MATCH(D294,[1]Gen_Vessels!$C$3:$C$500,0),1)),"")</f>
        <v/>
      </c>
      <c r="G294" s="2" t="str">
        <f>IFERROR(IF(ISBLANK(F294),"",INDEX([1]Gen_Vessels!$A$3:$C$500,MATCH(F294,[1]Gen_Vessels!$C$3:$C$500,0),1)),"")</f>
        <v/>
      </c>
    </row>
    <row r="295" spans="3:7" x14ac:dyDescent="0.25">
      <c r="C295" s="2"/>
      <c r="E295" s="2" t="str">
        <f>IFERROR(IF(ISBLANK(D295),"",INDEX([1]Gen_Vessels!$A$3:$C$500,MATCH(D295,[1]Gen_Vessels!$C$3:$C$500,0),1)),"")</f>
        <v/>
      </c>
      <c r="G295" s="2" t="str">
        <f>IFERROR(IF(ISBLANK(F295),"",INDEX([1]Gen_Vessels!$A$3:$C$500,MATCH(F295,[1]Gen_Vessels!$C$3:$C$500,0),1)),"")</f>
        <v/>
      </c>
    </row>
    <row r="296" spans="3:7" x14ac:dyDescent="0.25">
      <c r="C296" s="2"/>
      <c r="E296" s="2" t="str">
        <f>IFERROR(IF(ISBLANK(D296),"",INDEX([1]Gen_Vessels!$A$3:$C$500,MATCH(D296,[1]Gen_Vessels!$C$3:$C$500,0),1)),"")</f>
        <v/>
      </c>
      <c r="G296" s="2" t="str">
        <f>IFERROR(IF(ISBLANK(F296),"",INDEX([1]Gen_Vessels!$A$3:$C$500,MATCH(F296,[1]Gen_Vessels!$C$3:$C$500,0),1)),"")</f>
        <v/>
      </c>
    </row>
    <row r="297" spans="3:7" x14ac:dyDescent="0.25">
      <c r="C297" s="2"/>
      <c r="E297" s="2" t="str">
        <f>IFERROR(IF(ISBLANK(D297),"",INDEX([1]Gen_Vessels!$A$3:$C$500,MATCH(D297,[1]Gen_Vessels!$C$3:$C$500,0),1)),"")</f>
        <v/>
      </c>
      <c r="G297" s="2" t="str">
        <f>IFERROR(IF(ISBLANK(F297),"",INDEX([1]Gen_Vessels!$A$3:$C$500,MATCH(F297,[1]Gen_Vessels!$C$3:$C$500,0),1)),"")</f>
        <v/>
      </c>
    </row>
    <row r="298" spans="3:7" x14ac:dyDescent="0.25">
      <c r="C298" s="2"/>
      <c r="E298" s="2" t="str">
        <f>IFERROR(IF(ISBLANK(D298),"",INDEX([1]Gen_Vessels!$A$3:$C$500,MATCH(D298,[1]Gen_Vessels!$C$3:$C$500,0),1)),"")</f>
        <v/>
      </c>
      <c r="G298" s="2" t="str">
        <f>IFERROR(IF(ISBLANK(F298),"",INDEX([1]Gen_Vessels!$A$3:$C$500,MATCH(F298,[1]Gen_Vessels!$C$3:$C$500,0),1)),"")</f>
        <v/>
      </c>
    </row>
    <row r="299" spans="3:7" x14ac:dyDescent="0.25">
      <c r="C299" s="2"/>
      <c r="E299" s="2" t="str">
        <f>IFERROR(IF(ISBLANK(D299),"",INDEX([1]Gen_Vessels!$A$3:$C$500,MATCH(D299,[1]Gen_Vessels!$C$3:$C$500,0),1)),"")</f>
        <v/>
      </c>
      <c r="G299" s="2" t="str">
        <f>IFERROR(IF(ISBLANK(F299),"",INDEX([1]Gen_Vessels!$A$3:$C$500,MATCH(F299,[1]Gen_Vessels!$C$3:$C$500,0),1)),"")</f>
        <v/>
      </c>
    </row>
    <row r="300" spans="3:7" x14ac:dyDescent="0.25">
      <c r="C300" s="2"/>
      <c r="E300" s="2" t="str">
        <f>IFERROR(IF(ISBLANK(D300),"",INDEX([1]Gen_Vessels!$A$3:$C$500,MATCH(D300,[1]Gen_Vessels!$C$3:$C$500,0),1)),"")</f>
        <v/>
      </c>
      <c r="G300" s="2" t="str">
        <f>IFERROR(IF(ISBLANK(F300),"",INDEX([1]Gen_Vessels!$A$3:$C$500,MATCH(F300,[1]Gen_Vessels!$C$3:$C$500,0),1)),"")</f>
        <v/>
      </c>
    </row>
    <row r="301" spans="3:7" x14ac:dyDescent="0.25">
      <c r="C301" s="2"/>
      <c r="E301" s="2" t="str">
        <f>IFERROR(IF(ISBLANK(D301),"",INDEX([1]Gen_Vessels!$A$3:$C$500,MATCH(D301,[1]Gen_Vessels!$C$3:$C$500,0),1)),"")</f>
        <v/>
      </c>
      <c r="G301" s="2" t="str">
        <f>IFERROR(IF(ISBLANK(F301),"",INDEX([1]Gen_Vessels!$A$3:$C$500,MATCH(F301,[1]Gen_Vessels!$C$3:$C$500,0),1)),"")</f>
        <v/>
      </c>
    </row>
    <row r="302" spans="3:7" x14ac:dyDescent="0.25">
      <c r="C302" s="2"/>
      <c r="E302" s="2" t="str">
        <f>IFERROR(IF(ISBLANK(D302),"",INDEX([1]Gen_Vessels!$A$3:$C$500,MATCH(D302,[1]Gen_Vessels!$C$3:$C$500,0),1)),"")</f>
        <v/>
      </c>
      <c r="G302" s="2" t="str">
        <f>IFERROR(IF(ISBLANK(F302),"",INDEX([1]Gen_Vessels!$A$3:$C$500,MATCH(F302,[1]Gen_Vessels!$C$3:$C$500,0),1)),"")</f>
        <v/>
      </c>
    </row>
    <row r="303" spans="3:7" x14ac:dyDescent="0.25">
      <c r="C303" s="2"/>
      <c r="E303" s="2" t="str">
        <f>IFERROR(IF(ISBLANK(D303),"",INDEX([1]Gen_Vessels!$A$3:$C$500,MATCH(D303,[1]Gen_Vessels!$C$3:$C$500,0),1)),"")</f>
        <v/>
      </c>
      <c r="G303" s="2" t="str">
        <f>IFERROR(IF(ISBLANK(F303),"",INDEX([1]Gen_Vessels!$A$3:$C$500,MATCH(F303,[1]Gen_Vessels!$C$3:$C$500,0),1)),"")</f>
        <v/>
      </c>
    </row>
    <row r="304" spans="3:7" x14ac:dyDescent="0.25">
      <c r="C304" s="2"/>
      <c r="E304" s="2" t="str">
        <f>IFERROR(IF(ISBLANK(D304),"",INDEX([1]Gen_Vessels!$A$3:$C$500,MATCH(D304,[1]Gen_Vessels!$C$3:$C$500,0),1)),"")</f>
        <v/>
      </c>
      <c r="G304" s="2" t="str">
        <f>IFERROR(IF(ISBLANK(F304),"",INDEX([1]Gen_Vessels!$A$3:$C$500,MATCH(F304,[1]Gen_Vessels!$C$3:$C$500,0),1)),"")</f>
        <v/>
      </c>
    </row>
    <row r="305" spans="3:7" x14ac:dyDescent="0.25">
      <c r="C305" s="2"/>
      <c r="E305" s="2" t="str">
        <f>IFERROR(IF(ISBLANK(D305),"",INDEX([1]Gen_Vessels!$A$3:$C$500,MATCH(D305,[1]Gen_Vessels!$C$3:$C$500,0),1)),"")</f>
        <v/>
      </c>
      <c r="G305" s="2" t="str">
        <f>IFERROR(IF(ISBLANK(F305),"",INDEX([1]Gen_Vessels!$A$3:$C$500,MATCH(F305,[1]Gen_Vessels!$C$3:$C$500,0),1)),"")</f>
        <v/>
      </c>
    </row>
    <row r="306" spans="3:7" x14ac:dyDescent="0.25">
      <c r="C306" s="2"/>
      <c r="E306" s="2" t="str">
        <f>IFERROR(IF(ISBLANK(D306),"",INDEX([1]Gen_Vessels!$A$3:$C$500,MATCH(D306,[1]Gen_Vessels!$C$3:$C$500,0),1)),"")</f>
        <v/>
      </c>
      <c r="G306" s="2" t="str">
        <f>IFERROR(IF(ISBLANK(F306),"",INDEX([1]Gen_Vessels!$A$3:$C$500,MATCH(F306,[1]Gen_Vessels!$C$3:$C$500,0),1)),"")</f>
        <v/>
      </c>
    </row>
    <row r="307" spans="3:7" x14ac:dyDescent="0.25">
      <c r="C307" s="2"/>
      <c r="E307" s="2" t="str">
        <f>IFERROR(IF(ISBLANK(D307),"",INDEX([1]Gen_Vessels!$A$3:$C$500,MATCH(D307,[1]Gen_Vessels!$C$3:$C$500,0),1)),"")</f>
        <v/>
      </c>
      <c r="G307" s="2" t="str">
        <f>IFERROR(IF(ISBLANK(F307),"",INDEX([1]Gen_Vessels!$A$3:$C$500,MATCH(F307,[1]Gen_Vessels!$C$3:$C$500,0),1)),"")</f>
        <v/>
      </c>
    </row>
    <row r="308" spans="3:7" x14ac:dyDescent="0.25">
      <c r="C308" s="2"/>
      <c r="E308" s="2" t="str">
        <f>IFERROR(IF(ISBLANK(D308),"",INDEX([1]Gen_Vessels!$A$3:$C$500,MATCH(D308,[1]Gen_Vessels!$C$3:$C$500,0),1)),"")</f>
        <v/>
      </c>
      <c r="G308" s="2" t="str">
        <f>IFERROR(IF(ISBLANK(F308),"",INDEX([1]Gen_Vessels!$A$3:$C$500,MATCH(F308,[1]Gen_Vessels!$C$3:$C$500,0),1)),"")</f>
        <v/>
      </c>
    </row>
    <row r="309" spans="3:7" x14ac:dyDescent="0.25">
      <c r="C309" s="2"/>
      <c r="E309" s="2" t="str">
        <f>IFERROR(IF(ISBLANK(D309),"",INDEX([1]Gen_Vessels!$A$3:$C$500,MATCH(D309,[1]Gen_Vessels!$C$3:$C$500,0),1)),"")</f>
        <v/>
      </c>
      <c r="G309" s="2" t="str">
        <f>IFERROR(IF(ISBLANK(F309),"",INDEX([1]Gen_Vessels!$A$3:$C$500,MATCH(F309,[1]Gen_Vessels!$C$3:$C$500,0),1)),"")</f>
        <v/>
      </c>
    </row>
    <row r="310" spans="3:7" x14ac:dyDescent="0.25">
      <c r="C310" s="2"/>
      <c r="E310" s="2" t="str">
        <f>IFERROR(IF(ISBLANK(D310),"",INDEX([1]Gen_Vessels!$A$3:$C$500,MATCH(D310,[1]Gen_Vessels!$C$3:$C$500,0),1)),"")</f>
        <v/>
      </c>
      <c r="G310" s="2" t="str">
        <f>IFERROR(IF(ISBLANK(F310),"",INDEX([1]Gen_Vessels!$A$3:$C$500,MATCH(F310,[1]Gen_Vessels!$C$3:$C$500,0),1)),"")</f>
        <v/>
      </c>
    </row>
    <row r="311" spans="3:7" x14ac:dyDescent="0.25">
      <c r="C311" s="2"/>
      <c r="E311" s="2" t="str">
        <f>IFERROR(IF(ISBLANK(D311),"",INDEX([1]Gen_Vessels!$A$3:$C$500,MATCH(D311,[1]Gen_Vessels!$C$3:$C$500,0),1)),"")</f>
        <v/>
      </c>
      <c r="G311" s="2" t="str">
        <f>IFERROR(IF(ISBLANK(F311),"",INDEX([1]Gen_Vessels!$A$3:$C$500,MATCH(F311,[1]Gen_Vessels!$C$3:$C$500,0),1)),"")</f>
        <v/>
      </c>
    </row>
    <row r="312" spans="3:7" x14ac:dyDescent="0.25">
      <c r="C312" s="2"/>
      <c r="E312" s="2" t="str">
        <f>IFERROR(IF(ISBLANK(D312),"",INDEX([1]Gen_Vessels!$A$3:$C$500,MATCH(D312,[1]Gen_Vessels!$C$3:$C$500,0),1)),"")</f>
        <v/>
      </c>
      <c r="G312" s="2" t="str">
        <f>IFERROR(IF(ISBLANK(F312),"",INDEX([1]Gen_Vessels!$A$3:$C$500,MATCH(F312,[1]Gen_Vessels!$C$3:$C$500,0),1)),"")</f>
        <v/>
      </c>
    </row>
    <row r="313" spans="3:7" x14ac:dyDescent="0.25">
      <c r="C313" s="2"/>
      <c r="E313" s="2" t="str">
        <f>IFERROR(IF(ISBLANK(D313),"",INDEX([1]Gen_Vessels!$A$3:$C$500,MATCH(D313,[1]Gen_Vessels!$C$3:$C$500,0),1)),"")</f>
        <v/>
      </c>
      <c r="G313" s="2" t="str">
        <f>IFERROR(IF(ISBLANK(F313),"",INDEX([1]Gen_Vessels!$A$3:$C$500,MATCH(F313,[1]Gen_Vessels!$C$3:$C$500,0),1)),"")</f>
        <v/>
      </c>
    </row>
    <row r="314" spans="3:7" x14ac:dyDescent="0.25">
      <c r="C314" s="2"/>
      <c r="E314" s="2" t="str">
        <f>IFERROR(IF(ISBLANK(D314),"",INDEX([1]Gen_Vessels!$A$3:$C$500,MATCH(D314,[1]Gen_Vessels!$C$3:$C$500,0),1)),"")</f>
        <v/>
      </c>
      <c r="G314" s="2" t="str">
        <f>IFERROR(IF(ISBLANK(F314),"",INDEX([1]Gen_Vessels!$A$3:$C$500,MATCH(F314,[1]Gen_Vessels!$C$3:$C$500,0),1)),"")</f>
        <v/>
      </c>
    </row>
    <row r="315" spans="3:7" x14ac:dyDescent="0.25">
      <c r="C315" s="2"/>
      <c r="E315" s="2" t="str">
        <f>IFERROR(IF(ISBLANK(D315),"",INDEX([1]Gen_Vessels!$A$3:$C$500,MATCH(D315,[1]Gen_Vessels!$C$3:$C$500,0),1)),"")</f>
        <v/>
      </c>
      <c r="G315" s="2" t="str">
        <f>IFERROR(IF(ISBLANK(F315),"",INDEX([1]Gen_Vessels!$A$3:$C$500,MATCH(F315,[1]Gen_Vessels!$C$3:$C$500,0),1)),"")</f>
        <v/>
      </c>
    </row>
    <row r="316" spans="3:7" x14ac:dyDescent="0.25">
      <c r="C316" s="2"/>
      <c r="E316" s="2" t="str">
        <f>IFERROR(IF(ISBLANK(D316),"",INDEX([1]Gen_Vessels!$A$3:$C$500,MATCH(D316,[1]Gen_Vessels!$C$3:$C$500,0),1)),"")</f>
        <v/>
      </c>
      <c r="G316" s="2" t="str">
        <f>IFERROR(IF(ISBLANK(F316),"",INDEX([1]Gen_Vessels!$A$3:$C$500,MATCH(F316,[1]Gen_Vessels!$C$3:$C$500,0),1)),"")</f>
        <v/>
      </c>
    </row>
    <row r="317" spans="3:7" x14ac:dyDescent="0.25">
      <c r="C317" s="2"/>
      <c r="E317" s="2" t="str">
        <f>IFERROR(IF(ISBLANK(D317),"",INDEX([1]Gen_Vessels!$A$3:$C$500,MATCH(D317,[1]Gen_Vessels!$C$3:$C$500,0),1)),"")</f>
        <v/>
      </c>
      <c r="G317" s="2" t="str">
        <f>IFERROR(IF(ISBLANK(F317),"",INDEX([1]Gen_Vessels!$A$3:$C$500,MATCH(F317,[1]Gen_Vessels!$C$3:$C$500,0),1)),"")</f>
        <v/>
      </c>
    </row>
    <row r="318" spans="3:7" x14ac:dyDescent="0.25">
      <c r="C318" s="2"/>
      <c r="E318" s="2" t="str">
        <f>IFERROR(IF(ISBLANK(D318),"",INDEX([1]Gen_Vessels!$A$3:$C$500,MATCH(D318,[1]Gen_Vessels!$C$3:$C$500,0),1)),"")</f>
        <v/>
      </c>
      <c r="G318" s="2" t="str">
        <f>IFERROR(IF(ISBLANK(F318),"",INDEX([1]Gen_Vessels!$A$3:$C$500,MATCH(F318,[1]Gen_Vessels!$C$3:$C$500,0),1)),"")</f>
        <v/>
      </c>
    </row>
    <row r="319" spans="3:7" x14ac:dyDescent="0.25">
      <c r="C319" s="2"/>
      <c r="E319" s="2" t="str">
        <f>IFERROR(IF(ISBLANK(D319),"",INDEX([1]Gen_Vessels!$A$3:$C$500,MATCH(D319,[1]Gen_Vessels!$C$3:$C$500,0),1)),"")</f>
        <v/>
      </c>
      <c r="G319" s="2" t="str">
        <f>IFERROR(IF(ISBLANK(F319),"",INDEX([1]Gen_Vessels!$A$3:$C$500,MATCH(F319,[1]Gen_Vessels!$C$3:$C$500,0),1)),"")</f>
        <v/>
      </c>
    </row>
    <row r="320" spans="3:7" x14ac:dyDescent="0.25">
      <c r="C320" s="2"/>
      <c r="E320" s="2" t="str">
        <f>IFERROR(IF(ISBLANK(D320),"",INDEX([1]Gen_Vessels!$A$3:$C$500,MATCH(D320,[1]Gen_Vessels!$C$3:$C$500,0),1)),"")</f>
        <v/>
      </c>
      <c r="G320" s="2" t="str">
        <f>IFERROR(IF(ISBLANK(F320),"",INDEX([1]Gen_Vessels!$A$3:$C$500,MATCH(F320,[1]Gen_Vessels!$C$3:$C$500,0),1)),"")</f>
        <v/>
      </c>
    </row>
    <row r="321" spans="3:7" x14ac:dyDescent="0.25">
      <c r="C321" s="2"/>
      <c r="E321" s="2" t="str">
        <f>IFERROR(IF(ISBLANK(D321),"",INDEX([1]Gen_Vessels!$A$3:$C$500,MATCH(D321,[1]Gen_Vessels!$C$3:$C$500,0),1)),"")</f>
        <v/>
      </c>
      <c r="G321" s="2" t="str">
        <f>IFERROR(IF(ISBLANK(F321),"",INDEX([1]Gen_Vessels!$A$3:$C$500,MATCH(F321,[1]Gen_Vessels!$C$3:$C$500,0),1)),"")</f>
        <v/>
      </c>
    </row>
    <row r="322" spans="3:7" x14ac:dyDescent="0.25">
      <c r="C322" s="2"/>
      <c r="E322" s="2" t="str">
        <f>IFERROR(IF(ISBLANK(D322),"",INDEX([1]Gen_Vessels!$A$3:$C$500,MATCH(D322,[1]Gen_Vessels!$C$3:$C$500,0),1)),"")</f>
        <v/>
      </c>
      <c r="G322" s="2" t="str">
        <f>IFERROR(IF(ISBLANK(F322),"",INDEX([1]Gen_Vessels!$A$3:$C$500,MATCH(F322,[1]Gen_Vessels!$C$3:$C$500,0),1)),"")</f>
        <v/>
      </c>
    </row>
    <row r="323" spans="3:7" x14ac:dyDescent="0.25">
      <c r="C323" s="2"/>
      <c r="E323" s="2" t="str">
        <f>IFERROR(IF(ISBLANK(D323),"",INDEX([1]Gen_Vessels!$A$3:$C$500,MATCH(D323,[1]Gen_Vessels!$C$3:$C$500,0),1)),"")</f>
        <v/>
      </c>
      <c r="G323" s="2" t="str">
        <f>IFERROR(IF(ISBLANK(F323),"",INDEX([1]Gen_Vessels!$A$3:$C$500,MATCH(F323,[1]Gen_Vessels!$C$3:$C$500,0),1)),"")</f>
        <v/>
      </c>
    </row>
    <row r="324" spans="3:7" x14ac:dyDescent="0.25">
      <c r="C324" s="2"/>
      <c r="E324" s="2" t="str">
        <f>IFERROR(IF(ISBLANK(D324),"",INDEX([1]Gen_Vessels!$A$3:$C$500,MATCH(D324,[1]Gen_Vessels!$C$3:$C$500,0),1)),"")</f>
        <v/>
      </c>
      <c r="G324" s="2" t="str">
        <f>IFERROR(IF(ISBLANK(F324),"",INDEX([1]Gen_Vessels!$A$3:$C$500,MATCH(F324,[1]Gen_Vessels!$C$3:$C$500,0),1)),"")</f>
        <v/>
      </c>
    </row>
    <row r="325" spans="3:7" x14ac:dyDescent="0.25">
      <c r="C325" s="2"/>
      <c r="E325" s="2" t="str">
        <f>IFERROR(IF(ISBLANK(D325),"",INDEX([1]Gen_Vessels!$A$3:$C$500,MATCH(D325,[1]Gen_Vessels!$C$3:$C$500,0),1)),"")</f>
        <v/>
      </c>
      <c r="G325" s="2" t="str">
        <f>IFERROR(IF(ISBLANK(F325),"",INDEX([1]Gen_Vessels!$A$3:$C$500,MATCH(F325,[1]Gen_Vessels!$C$3:$C$500,0),1)),"")</f>
        <v/>
      </c>
    </row>
    <row r="326" spans="3:7" x14ac:dyDescent="0.25">
      <c r="C326" s="2"/>
      <c r="E326" s="2" t="str">
        <f>IFERROR(IF(ISBLANK(D326),"",INDEX([1]Gen_Vessels!$A$3:$C$500,MATCH(D326,[1]Gen_Vessels!$C$3:$C$500,0),1)),"")</f>
        <v/>
      </c>
      <c r="G326" s="2" t="str">
        <f>IFERROR(IF(ISBLANK(F326),"",INDEX([1]Gen_Vessels!$A$3:$C$500,MATCH(F326,[1]Gen_Vessels!$C$3:$C$500,0),1)),"")</f>
        <v/>
      </c>
    </row>
    <row r="327" spans="3:7" x14ac:dyDescent="0.25">
      <c r="C327" s="2"/>
      <c r="E327" s="2" t="str">
        <f>IFERROR(IF(ISBLANK(D327),"",INDEX([1]Gen_Vessels!$A$3:$C$500,MATCH(D327,[1]Gen_Vessels!$C$3:$C$500,0),1)),"")</f>
        <v/>
      </c>
      <c r="G327" s="2" t="str">
        <f>IFERROR(IF(ISBLANK(F327),"",INDEX([1]Gen_Vessels!$A$3:$C$500,MATCH(F327,[1]Gen_Vessels!$C$3:$C$500,0),1)),"")</f>
        <v/>
      </c>
    </row>
    <row r="328" spans="3:7" x14ac:dyDescent="0.25">
      <c r="C328" s="2"/>
      <c r="E328" s="2" t="str">
        <f>IFERROR(IF(ISBLANK(D328),"",INDEX([1]Gen_Vessels!$A$3:$C$500,MATCH(D328,[1]Gen_Vessels!$C$3:$C$500,0),1)),"")</f>
        <v/>
      </c>
      <c r="G328" s="2" t="str">
        <f>IFERROR(IF(ISBLANK(F328),"",INDEX([1]Gen_Vessels!$A$3:$C$500,MATCH(F328,[1]Gen_Vessels!$C$3:$C$500,0),1)),"")</f>
        <v/>
      </c>
    </row>
    <row r="329" spans="3:7" x14ac:dyDescent="0.25">
      <c r="C329" s="2"/>
      <c r="E329" s="2" t="str">
        <f>IFERROR(IF(ISBLANK(D329),"",INDEX([1]Gen_Vessels!$A$3:$C$500,MATCH(D329,[1]Gen_Vessels!$C$3:$C$500,0),1)),"")</f>
        <v/>
      </c>
      <c r="G329" s="2" t="str">
        <f>IFERROR(IF(ISBLANK(F329),"",INDEX([1]Gen_Vessels!$A$3:$C$500,MATCH(F329,[1]Gen_Vessels!$C$3:$C$500,0),1)),"")</f>
        <v/>
      </c>
    </row>
    <row r="330" spans="3:7" x14ac:dyDescent="0.25">
      <c r="C330" s="2"/>
      <c r="E330" s="2" t="str">
        <f>IFERROR(IF(ISBLANK(D330),"",INDEX([1]Gen_Vessels!$A$3:$C$500,MATCH(D330,[1]Gen_Vessels!$C$3:$C$500,0),1)),"")</f>
        <v/>
      </c>
      <c r="G330" s="2" t="str">
        <f>IFERROR(IF(ISBLANK(F330),"",INDEX([1]Gen_Vessels!$A$3:$C$500,MATCH(F330,[1]Gen_Vessels!$C$3:$C$500,0),1)),"")</f>
        <v/>
      </c>
    </row>
    <row r="331" spans="3:7" x14ac:dyDescent="0.25">
      <c r="C331" s="2"/>
      <c r="E331" s="2" t="str">
        <f>IFERROR(IF(ISBLANK(D331),"",INDEX([1]Gen_Vessels!$A$3:$C$500,MATCH(D331,[1]Gen_Vessels!$C$3:$C$500,0),1)),"")</f>
        <v/>
      </c>
      <c r="G331" s="2" t="str">
        <f>IFERROR(IF(ISBLANK(F331),"",INDEX([1]Gen_Vessels!$A$3:$C$500,MATCH(F331,[1]Gen_Vessels!$C$3:$C$500,0),1)),"")</f>
        <v/>
      </c>
    </row>
    <row r="332" spans="3:7" x14ac:dyDescent="0.25">
      <c r="C332" s="2"/>
      <c r="E332" s="2" t="str">
        <f>IFERROR(IF(ISBLANK(D332),"",INDEX([1]Gen_Vessels!$A$3:$C$500,MATCH(D332,[1]Gen_Vessels!$C$3:$C$500,0),1)),"")</f>
        <v/>
      </c>
      <c r="G332" s="2" t="str">
        <f>IFERROR(IF(ISBLANK(F332),"",INDEX([1]Gen_Vessels!$A$3:$C$500,MATCH(F332,[1]Gen_Vessels!$C$3:$C$500,0),1)),"")</f>
        <v/>
      </c>
    </row>
    <row r="333" spans="3:7" x14ac:dyDescent="0.25">
      <c r="C333" s="2"/>
      <c r="E333" s="2" t="str">
        <f>IFERROR(IF(ISBLANK(D333),"",INDEX([1]Gen_Vessels!$A$3:$C$500,MATCH(D333,[1]Gen_Vessels!$C$3:$C$500,0),1)),"")</f>
        <v/>
      </c>
      <c r="G333" s="2" t="str">
        <f>IFERROR(IF(ISBLANK(F333),"",INDEX([1]Gen_Vessels!$A$3:$C$500,MATCH(F333,[1]Gen_Vessels!$C$3:$C$500,0),1)),"")</f>
        <v/>
      </c>
    </row>
    <row r="334" spans="3:7" x14ac:dyDescent="0.25">
      <c r="C334" s="2"/>
      <c r="E334" s="2" t="str">
        <f>IFERROR(IF(ISBLANK(D334),"",INDEX([1]Gen_Vessels!$A$3:$C$500,MATCH(D334,[1]Gen_Vessels!$C$3:$C$500,0),1)),"")</f>
        <v/>
      </c>
      <c r="G334" s="2" t="str">
        <f>IFERROR(IF(ISBLANK(F334),"",INDEX([1]Gen_Vessels!$A$3:$C$500,MATCH(F334,[1]Gen_Vessels!$C$3:$C$500,0),1)),"")</f>
        <v/>
      </c>
    </row>
    <row r="335" spans="3:7" x14ac:dyDescent="0.25">
      <c r="C335" s="2"/>
      <c r="E335" s="2" t="str">
        <f>IFERROR(IF(ISBLANK(D335),"",INDEX([1]Gen_Vessels!$A$3:$C$500,MATCH(D335,[1]Gen_Vessels!$C$3:$C$500,0),1)),"")</f>
        <v/>
      </c>
      <c r="G335" s="2" t="str">
        <f>IFERROR(IF(ISBLANK(F335),"",INDEX([1]Gen_Vessels!$A$3:$C$500,MATCH(F335,[1]Gen_Vessels!$C$3:$C$500,0),1)),"")</f>
        <v/>
      </c>
    </row>
    <row r="336" spans="3:7" x14ac:dyDescent="0.25">
      <c r="C336" s="2"/>
      <c r="E336" s="2" t="str">
        <f>IFERROR(IF(ISBLANK(D336),"",INDEX([1]Gen_Vessels!$A$3:$C$500,MATCH(D336,[1]Gen_Vessels!$C$3:$C$500,0),1)),"")</f>
        <v/>
      </c>
      <c r="G336" s="2" t="str">
        <f>IFERROR(IF(ISBLANK(F336),"",INDEX([1]Gen_Vessels!$A$3:$C$500,MATCH(F336,[1]Gen_Vessels!$C$3:$C$500,0),1)),"")</f>
        <v/>
      </c>
    </row>
    <row r="337" spans="3:7" x14ac:dyDescent="0.25">
      <c r="C337" s="2"/>
      <c r="E337" s="2" t="str">
        <f>IFERROR(IF(ISBLANK(D337),"",INDEX([1]Gen_Vessels!$A$3:$C$500,MATCH(D337,[1]Gen_Vessels!$C$3:$C$500,0),1)),"")</f>
        <v/>
      </c>
      <c r="G337" s="2" t="str">
        <f>IFERROR(IF(ISBLANK(F337),"",INDEX([1]Gen_Vessels!$A$3:$C$500,MATCH(F337,[1]Gen_Vessels!$C$3:$C$500,0),1)),"")</f>
        <v/>
      </c>
    </row>
    <row r="338" spans="3:7" x14ac:dyDescent="0.25">
      <c r="C338" s="2"/>
      <c r="E338" s="2" t="str">
        <f>IFERROR(IF(ISBLANK(D338),"",INDEX([1]Gen_Vessels!$A$3:$C$500,MATCH(D338,[1]Gen_Vessels!$C$3:$C$500,0),1)),"")</f>
        <v/>
      </c>
      <c r="G338" s="2" t="str">
        <f>IFERROR(IF(ISBLANK(F338),"",INDEX([1]Gen_Vessels!$A$3:$C$500,MATCH(F338,[1]Gen_Vessels!$C$3:$C$500,0),1)),"")</f>
        <v/>
      </c>
    </row>
    <row r="339" spans="3:7" x14ac:dyDescent="0.25">
      <c r="C339" s="2"/>
      <c r="E339" s="2" t="str">
        <f>IFERROR(IF(ISBLANK(D339),"",INDEX([1]Gen_Vessels!$A$3:$C$500,MATCH(D339,[1]Gen_Vessels!$C$3:$C$500,0),1)),"")</f>
        <v/>
      </c>
      <c r="G339" s="2" t="str">
        <f>IFERROR(IF(ISBLANK(F339),"",INDEX([1]Gen_Vessels!$A$3:$C$500,MATCH(F339,[1]Gen_Vessels!$C$3:$C$500,0),1)),"")</f>
        <v/>
      </c>
    </row>
    <row r="340" spans="3:7" x14ac:dyDescent="0.25">
      <c r="C340" s="2"/>
      <c r="E340" s="2" t="str">
        <f>IFERROR(IF(ISBLANK(D340),"",INDEX([1]Gen_Vessels!$A$3:$C$500,MATCH(D340,[1]Gen_Vessels!$C$3:$C$500,0),1)),"")</f>
        <v/>
      </c>
      <c r="G340" s="2" t="str">
        <f>IFERROR(IF(ISBLANK(F340),"",INDEX([1]Gen_Vessels!$A$3:$C$500,MATCH(F340,[1]Gen_Vessels!$C$3:$C$500,0),1)),"")</f>
        <v/>
      </c>
    </row>
    <row r="341" spans="3:7" x14ac:dyDescent="0.25">
      <c r="C341" s="2"/>
      <c r="E341" s="2" t="str">
        <f>IFERROR(IF(ISBLANK(D341),"",INDEX([1]Gen_Vessels!$A$3:$C$500,MATCH(D341,[1]Gen_Vessels!$C$3:$C$500,0),1)),"")</f>
        <v/>
      </c>
      <c r="G341" s="2" t="str">
        <f>IFERROR(IF(ISBLANK(F341),"",INDEX([1]Gen_Vessels!$A$3:$C$500,MATCH(F341,[1]Gen_Vessels!$C$3:$C$500,0),1)),"")</f>
        <v/>
      </c>
    </row>
    <row r="342" spans="3:7" x14ac:dyDescent="0.25">
      <c r="C342" s="2"/>
      <c r="E342" s="2" t="str">
        <f>IFERROR(IF(ISBLANK(D342),"",INDEX([1]Gen_Vessels!$A$3:$C$500,MATCH(D342,[1]Gen_Vessels!$C$3:$C$500,0),1)),"")</f>
        <v/>
      </c>
      <c r="G342" s="2" t="str">
        <f>IFERROR(IF(ISBLANK(F342),"",INDEX([1]Gen_Vessels!$A$3:$C$500,MATCH(F342,[1]Gen_Vessels!$C$3:$C$500,0),1)),"")</f>
        <v/>
      </c>
    </row>
    <row r="343" spans="3:7" x14ac:dyDescent="0.25">
      <c r="C343" s="2"/>
      <c r="E343" s="2" t="str">
        <f>IFERROR(IF(ISBLANK(D343),"",INDEX([1]Gen_Vessels!$A$3:$C$500,MATCH(D343,[1]Gen_Vessels!$C$3:$C$500,0),1)),"")</f>
        <v/>
      </c>
      <c r="G343" s="2" t="str">
        <f>IFERROR(IF(ISBLANK(F343),"",INDEX([1]Gen_Vessels!$A$3:$C$500,MATCH(F343,[1]Gen_Vessels!$C$3:$C$500,0),1)),"")</f>
        <v/>
      </c>
    </row>
    <row r="344" spans="3:7" x14ac:dyDescent="0.25">
      <c r="C344" s="2"/>
      <c r="E344" s="2" t="str">
        <f>IFERROR(IF(ISBLANK(D344),"",INDEX([1]Gen_Vessels!$A$3:$C$500,MATCH(D344,[1]Gen_Vessels!$C$3:$C$500,0),1)),"")</f>
        <v/>
      </c>
      <c r="G344" s="2" t="str">
        <f>IFERROR(IF(ISBLANK(F344),"",INDEX([1]Gen_Vessels!$A$3:$C$500,MATCH(F344,[1]Gen_Vessels!$C$3:$C$500,0),1)),"")</f>
        <v/>
      </c>
    </row>
    <row r="345" spans="3:7" x14ac:dyDescent="0.25">
      <c r="C345" s="2"/>
      <c r="E345" s="2" t="str">
        <f>IFERROR(IF(ISBLANK(D345),"",INDEX([1]Gen_Vessels!$A$3:$C$500,MATCH(D345,[1]Gen_Vessels!$C$3:$C$500,0),1)),"")</f>
        <v/>
      </c>
      <c r="G345" s="2" t="str">
        <f>IFERROR(IF(ISBLANK(F345),"",INDEX([1]Gen_Vessels!$A$3:$C$500,MATCH(F345,[1]Gen_Vessels!$C$3:$C$500,0),1)),"")</f>
        <v/>
      </c>
    </row>
    <row r="346" spans="3:7" x14ac:dyDescent="0.25">
      <c r="C346" s="2"/>
      <c r="E346" s="2" t="str">
        <f>IFERROR(IF(ISBLANK(D346),"",INDEX([1]Gen_Vessels!$A$3:$C$500,MATCH(D346,[1]Gen_Vessels!$C$3:$C$500,0),1)),"")</f>
        <v/>
      </c>
      <c r="G346" s="2" t="str">
        <f>IFERROR(IF(ISBLANK(F346),"",INDEX([1]Gen_Vessels!$A$3:$C$500,MATCH(F346,[1]Gen_Vessels!$C$3:$C$500,0),1)),"")</f>
        <v/>
      </c>
    </row>
    <row r="347" spans="3:7" x14ac:dyDescent="0.25">
      <c r="C347" s="2"/>
      <c r="E347" s="2" t="str">
        <f>IFERROR(IF(ISBLANK(D347),"",INDEX([1]Gen_Vessels!$A$3:$C$500,MATCH(D347,[1]Gen_Vessels!$C$3:$C$500,0),1)),"")</f>
        <v/>
      </c>
      <c r="G347" s="2" t="str">
        <f>IFERROR(IF(ISBLANK(F347),"",INDEX([1]Gen_Vessels!$A$3:$C$500,MATCH(F347,[1]Gen_Vessels!$C$3:$C$500,0),1)),"")</f>
        <v/>
      </c>
    </row>
    <row r="348" spans="3:7" x14ac:dyDescent="0.25">
      <c r="C348" s="2"/>
      <c r="E348" s="2" t="str">
        <f>IFERROR(IF(ISBLANK(D348),"",INDEX([1]Gen_Vessels!$A$3:$C$500,MATCH(D348,[1]Gen_Vessels!$C$3:$C$500,0),1)),"")</f>
        <v/>
      </c>
      <c r="G348" s="2" t="str">
        <f>IFERROR(IF(ISBLANK(F348),"",INDEX([1]Gen_Vessels!$A$3:$C$500,MATCH(F348,[1]Gen_Vessels!$C$3:$C$500,0),1)),"")</f>
        <v/>
      </c>
    </row>
    <row r="349" spans="3:7" x14ac:dyDescent="0.25">
      <c r="C349" s="2"/>
      <c r="E349" s="2" t="str">
        <f>IFERROR(IF(ISBLANK(D349),"",INDEX([1]Gen_Vessels!$A$3:$C$500,MATCH(D349,[1]Gen_Vessels!$C$3:$C$500,0),1)),"")</f>
        <v/>
      </c>
      <c r="G349" s="2" t="str">
        <f>IFERROR(IF(ISBLANK(F349),"",INDEX([1]Gen_Vessels!$A$3:$C$500,MATCH(F349,[1]Gen_Vessels!$C$3:$C$500,0),1)),"")</f>
        <v/>
      </c>
    </row>
    <row r="350" spans="3:7" x14ac:dyDescent="0.25">
      <c r="C350" s="2"/>
      <c r="E350" s="2" t="str">
        <f>IFERROR(IF(ISBLANK(D350),"",INDEX([1]Gen_Vessels!$A$3:$C$500,MATCH(D350,[1]Gen_Vessels!$C$3:$C$500,0),1)),"")</f>
        <v/>
      </c>
      <c r="G350" s="2" t="str">
        <f>IFERROR(IF(ISBLANK(F350),"",INDEX([1]Gen_Vessels!$A$3:$C$500,MATCH(F350,[1]Gen_Vessels!$C$3:$C$500,0),1)),"")</f>
        <v/>
      </c>
    </row>
    <row r="351" spans="3:7" x14ac:dyDescent="0.25">
      <c r="C351" s="2"/>
      <c r="E351" s="2" t="str">
        <f>IFERROR(IF(ISBLANK(D351),"",INDEX([1]Gen_Vessels!$A$3:$C$500,MATCH(D351,[1]Gen_Vessels!$C$3:$C$500,0),1)),"")</f>
        <v/>
      </c>
      <c r="G351" s="2" t="str">
        <f>IFERROR(IF(ISBLANK(F351),"",INDEX([1]Gen_Vessels!$A$3:$C$500,MATCH(F351,[1]Gen_Vessels!$C$3:$C$500,0),1)),"")</f>
        <v/>
      </c>
    </row>
    <row r="352" spans="3:7" x14ac:dyDescent="0.25">
      <c r="C352" s="2"/>
      <c r="E352" s="2" t="str">
        <f>IFERROR(IF(ISBLANK(D352),"",INDEX([1]Gen_Vessels!$A$3:$C$500,MATCH(D352,[1]Gen_Vessels!$C$3:$C$500,0),1)),"")</f>
        <v/>
      </c>
      <c r="G352" s="2" t="str">
        <f>IFERROR(IF(ISBLANK(F352),"",INDEX([1]Gen_Vessels!$A$3:$C$500,MATCH(F352,[1]Gen_Vessels!$C$3:$C$500,0),1)),"")</f>
        <v/>
      </c>
    </row>
    <row r="353" spans="3:7" x14ac:dyDescent="0.25">
      <c r="C353" s="2"/>
      <c r="E353" s="2" t="str">
        <f>IFERROR(IF(ISBLANK(D353),"",INDEX([1]Gen_Vessels!$A$3:$C$500,MATCH(D353,[1]Gen_Vessels!$C$3:$C$500,0),1)),"")</f>
        <v/>
      </c>
      <c r="G353" s="2" t="str">
        <f>IFERROR(IF(ISBLANK(F353),"",INDEX([1]Gen_Vessels!$A$3:$C$500,MATCH(F353,[1]Gen_Vessels!$C$3:$C$500,0),1)),"")</f>
        <v/>
      </c>
    </row>
    <row r="354" spans="3:7" x14ac:dyDescent="0.25">
      <c r="C354" s="2"/>
      <c r="E354" s="2" t="str">
        <f>IFERROR(IF(ISBLANK(D354),"",INDEX([1]Gen_Vessels!$A$3:$C$500,MATCH(D354,[1]Gen_Vessels!$C$3:$C$500,0),1)),"")</f>
        <v/>
      </c>
      <c r="G354" s="2" t="str">
        <f>IFERROR(IF(ISBLANK(F354),"",INDEX([1]Gen_Vessels!$A$3:$C$500,MATCH(F354,[1]Gen_Vessels!$C$3:$C$500,0),1)),"")</f>
        <v/>
      </c>
    </row>
    <row r="355" spans="3:7" x14ac:dyDescent="0.25">
      <c r="C355" s="2"/>
      <c r="E355" s="2" t="str">
        <f>IFERROR(IF(ISBLANK(D355),"",INDEX([1]Gen_Vessels!$A$3:$C$500,MATCH(D355,[1]Gen_Vessels!$C$3:$C$500,0),1)),"")</f>
        <v/>
      </c>
      <c r="G355" s="2" t="str">
        <f>IFERROR(IF(ISBLANK(F355),"",INDEX([1]Gen_Vessels!$A$3:$C$500,MATCH(F355,[1]Gen_Vessels!$C$3:$C$500,0),1)),"")</f>
        <v/>
      </c>
    </row>
    <row r="356" spans="3:7" x14ac:dyDescent="0.25">
      <c r="C356" s="2"/>
      <c r="E356" s="2" t="str">
        <f>IFERROR(IF(ISBLANK(D356),"",INDEX([1]Gen_Vessels!$A$3:$C$500,MATCH(D356,[1]Gen_Vessels!$C$3:$C$500,0),1)),"")</f>
        <v/>
      </c>
      <c r="G356" s="2" t="str">
        <f>IFERROR(IF(ISBLANK(F356),"",INDEX([1]Gen_Vessels!$A$3:$C$500,MATCH(F356,[1]Gen_Vessels!$C$3:$C$500,0),1)),"")</f>
        <v/>
      </c>
    </row>
    <row r="357" spans="3:7" x14ac:dyDescent="0.25">
      <c r="C357" s="2"/>
      <c r="E357" s="2" t="str">
        <f>IFERROR(IF(ISBLANK(D357),"",INDEX([1]Gen_Vessels!$A$3:$C$500,MATCH(D357,[1]Gen_Vessels!$C$3:$C$500,0),1)),"")</f>
        <v/>
      </c>
      <c r="G357" s="2" t="str">
        <f>IFERROR(IF(ISBLANK(F357),"",INDEX([1]Gen_Vessels!$A$3:$C$500,MATCH(F357,[1]Gen_Vessels!$C$3:$C$500,0),1)),"")</f>
        <v/>
      </c>
    </row>
    <row r="358" spans="3:7" x14ac:dyDescent="0.25">
      <c r="C358" s="2"/>
      <c r="E358" s="2" t="str">
        <f>IFERROR(IF(ISBLANK(D358),"",INDEX([1]Gen_Vessels!$A$3:$C$500,MATCH(D358,[1]Gen_Vessels!$C$3:$C$500,0),1)),"")</f>
        <v/>
      </c>
      <c r="G358" s="2" t="str">
        <f>IFERROR(IF(ISBLANK(F358),"",INDEX([1]Gen_Vessels!$A$3:$C$500,MATCH(F358,[1]Gen_Vessels!$C$3:$C$500,0),1)),"")</f>
        <v/>
      </c>
    </row>
    <row r="359" spans="3:7" x14ac:dyDescent="0.25">
      <c r="C359" s="2"/>
      <c r="E359" s="2" t="str">
        <f>IFERROR(IF(ISBLANK(D359),"",INDEX([1]Gen_Vessels!$A$3:$C$500,MATCH(D359,[1]Gen_Vessels!$C$3:$C$500,0),1)),"")</f>
        <v/>
      </c>
      <c r="G359" s="2" t="str">
        <f>IFERROR(IF(ISBLANK(F359),"",INDEX([1]Gen_Vessels!$A$3:$C$500,MATCH(F359,[1]Gen_Vessels!$C$3:$C$500,0),1)),"")</f>
        <v/>
      </c>
    </row>
    <row r="360" spans="3:7" x14ac:dyDescent="0.25">
      <c r="C360" s="2"/>
      <c r="E360" s="2" t="str">
        <f>IFERROR(IF(ISBLANK(D360),"",INDEX([1]Gen_Vessels!$A$3:$C$500,MATCH(D360,[1]Gen_Vessels!$C$3:$C$500,0),1)),"")</f>
        <v/>
      </c>
      <c r="G360" s="2" t="str">
        <f>IFERROR(IF(ISBLANK(F360),"",INDEX([1]Gen_Vessels!$A$3:$C$500,MATCH(F360,[1]Gen_Vessels!$C$3:$C$500,0),1)),"")</f>
        <v/>
      </c>
    </row>
    <row r="361" spans="3:7" x14ac:dyDescent="0.25">
      <c r="C361" s="2"/>
      <c r="E361" s="2" t="str">
        <f>IFERROR(IF(ISBLANK(D361),"",INDEX([1]Gen_Vessels!$A$3:$C$500,MATCH(D361,[1]Gen_Vessels!$C$3:$C$500,0),1)),"")</f>
        <v/>
      </c>
      <c r="G361" s="2" t="str">
        <f>IFERROR(IF(ISBLANK(F361),"",INDEX([1]Gen_Vessels!$A$3:$C$500,MATCH(F361,[1]Gen_Vessels!$C$3:$C$500,0),1)),"")</f>
        <v/>
      </c>
    </row>
    <row r="362" spans="3:7" x14ac:dyDescent="0.25">
      <c r="C362" s="2"/>
      <c r="E362" s="2" t="str">
        <f>IFERROR(IF(ISBLANK(D362),"",INDEX([1]Gen_Vessels!$A$3:$C$500,MATCH(D362,[1]Gen_Vessels!$C$3:$C$500,0),1)),"")</f>
        <v/>
      </c>
      <c r="G362" s="2" t="str">
        <f>IFERROR(IF(ISBLANK(F362),"",INDEX([1]Gen_Vessels!$A$3:$C$500,MATCH(F362,[1]Gen_Vessels!$C$3:$C$500,0),1)),"")</f>
        <v/>
      </c>
    </row>
    <row r="363" spans="3:7" x14ac:dyDescent="0.25">
      <c r="C363" s="2"/>
      <c r="E363" s="2" t="str">
        <f>IFERROR(IF(ISBLANK(D363),"",INDEX([1]Gen_Vessels!$A$3:$C$500,MATCH(D363,[1]Gen_Vessels!$C$3:$C$500,0),1)),"")</f>
        <v/>
      </c>
      <c r="G363" s="2" t="str">
        <f>IFERROR(IF(ISBLANK(F363),"",INDEX([1]Gen_Vessels!$A$3:$C$500,MATCH(F363,[1]Gen_Vessels!$C$3:$C$500,0),1)),"")</f>
        <v/>
      </c>
    </row>
    <row r="364" spans="3:7" x14ac:dyDescent="0.25">
      <c r="C364" s="2"/>
      <c r="E364" s="2" t="str">
        <f>IFERROR(IF(ISBLANK(D364),"",INDEX([1]Gen_Vessels!$A$3:$C$500,MATCH(D364,[1]Gen_Vessels!$C$3:$C$500,0),1)),"")</f>
        <v/>
      </c>
      <c r="G364" s="2" t="str">
        <f>IFERROR(IF(ISBLANK(F364),"",INDEX([1]Gen_Vessels!$A$3:$C$500,MATCH(F364,[1]Gen_Vessels!$C$3:$C$500,0),1)),"")</f>
        <v/>
      </c>
    </row>
    <row r="365" spans="3:7" x14ac:dyDescent="0.25">
      <c r="C365" s="2"/>
      <c r="E365" s="2" t="str">
        <f>IFERROR(IF(ISBLANK(D365),"",INDEX([1]Gen_Vessels!$A$3:$C$500,MATCH(D365,[1]Gen_Vessels!$C$3:$C$500,0),1)),"")</f>
        <v/>
      </c>
      <c r="G365" s="2" t="str">
        <f>IFERROR(IF(ISBLANK(F365),"",INDEX([1]Gen_Vessels!$A$3:$C$500,MATCH(F365,[1]Gen_Vessels!$C$3:$C$500,0),1)),"")</f>
        <v/>
      </c>
    </row>
    <row r="366" spans="3:7" x14ac:dyDescent="0.25">
      <c r="C366" s="2"/>
      <c r="E366" s="2" t="str">
        <f>IFERROR(IF(ISBLANK(D366),"",INDEX([1]Gen_Vessels!$A$3:$C$500,MATCH(D366,[1]Gen_Vessels!$C$3:$C$500,0),1)),"")</f>
        <v/>
      </c>
      <c r="G366" s="2" t="str">
        <f>IFERROR(IF(ISBLANK(F366),"",INDEX([1]Gen_Vessels!$A$3:$C$500,MATCH(F366,[1]Gen_Vessels!$C$3:$C$500,0),1)),"")</f>
        <v/>
      </c>
    </row>
    <row r="367" spans="3:7" x14ac:dyDescent="0.25">
      <c r="C367" s="2"/>
      <c r="E367" s="2" t="str">
        <f>IFERROR(IF(ISBLANK(D367),"",INDEX([1]Gen_Vessels!$A$3:$C$500,MATCH(D367,[1]Gen_Vessels!$C$3:$C$500,0),1)),"")</f>
        <v/>
      </c>
      <c r="G367" s="2" t="str">
        <f>IFERROR(IF(ISBLANK(F367),"",INDEX([1]Gen_Vessels!$A$3:$C$500,MATCH(F367,[1]Gen_Vessels!$C$3:$C$500,0),1)),"")</f>
        <v/>
      </c>
    </row>
    <row r="368" spans="3:7" x14ac:dyDescent="0.25">
      <c r="C368" s="2"/>
      <c r="E368" s="2" t="str">
        <f>IFERROR(IF(ISBLANK(D368),"",INDEX([1]Gen_Vessels!$A$3:$C$500,MATCH(D368,[1]Gen_Vessels!$C$3:$C$500,0),1)),"")</f>
        <v/>
      </c>
      <c r="G368" s="2" t="str">
        <f>IFERROR(IF(ISBLANK(F368),"",INDEX([1]Gen_Vessels!$A$3:$C$500,MATCH(F368,[1]Gen_Vessels!$C$3:$C$500,0),1)),"")</f>
        <v/>
      </c>
    </row>
    <row r="369" spans="3:7" x14ac:dyDescent="0.25">
      <c r="C369" s="2"/>
      <c r="E369" s="2" t="str">
        <f>IFERROR(IF(ISBLANK(D369),"",INDEX([1]Gen_Vessels!$A$3:$C$500,MATCH(D369,[1]Gen_Vessels!$C$3:$C$500,0),1)),"")</f>
        <v/>
      </c>
      <c r="G369" s="2" t="str">
        <f>IFERROR(IF(ISBLANK(F369),"",INDEX([1]Gen_Vessels!$A$3:$C$500,MATCH(F369,[1]Gen_Vessels!$C$3:$C$500,0),1)),"")</f>
        <v/>
      </c>
    </row>
    <row r="370" spans="3:7" x14ac:dyDescent="0.25">
      <c r="C370" s="2"/>
      <c r="E370" s="2" t="str">
        <f>IFERROR(IF(ISBLANK(D370),"",INDEX([1]Gen_Vessels!$A$3:$C$500,MATCH(D370,[1]Gen_Vessels!$C$3:$C$500,0),1)),"")</f>
        <v/>
      </c>
      <c r="G370" s="2" t="str">
        <f>IFERROR(IF(ISBLANK(F370),"",INDEX([1]Gen_Vessels!$A$3:$C$500,MATCH(F370,[1]Gen_Vessels!$C$3:$C$500,0),1)),"")</f>
        <v/>
      </c>
    </row>
    <row r="371" spans="3:7" x14ac:dyDescent="0.25">
      <c r="C371" s="2"/>
      <c r="E371" s="2" t="str">
        <f>IFERROR(IF(ISBLANK(D371),"",INDEX([1]Gen_Vessels!$A$3:$C$500,MATCH(D371,[1]Gen_Vessels!$C$3:$C$500,0),1)),"")</f>
        <v/>
      </c>
      <c r="G371" s="2" t="str">
        <f>IFERROR(IF(ISBLANK(F371),"",INDEX([1]Gen_Vessels!$A$3:$C$500,MATCH(F371,[1]Gen_Vessels!$C$3:$C$500,0),1)),"")</f>
        <v/>
      </c>
    </row>
    <row r="372" spans="3:7" x14ac:dyDescent="0.25">
      <c r="C372" s="2"/>
      <c r="E372" s="2" t="str">
        <f>IFERROR(IF(ISBLANK(D372),"",INDEX([1]Gen_Vessels!$A$3:$C$500,MATCH(D372,[1]Gen_Vessels!$C$3:$C$500,0),1)),"")</f>
        <v/>
      </c>
      <c r="G372" s="2" t="str">
        <f>IFERROR(IF(ISBLANK(F372),"",INDEX([1]Gen_Vessels!$A$3:$C$500,MATCH(F372,[1]Gen_Vessels!$C$3:$C$500,0),1)),"")</f>
        <v/>
      </c>
    </row>
    <row r="373" spans="3:7" x14ac:dyDescent="0.25">
      <c r="C373" s="2"/>
      <c r="E373" s="2" t="str">
        <f>IFERROR(IF(ISBLANK(D373),"",INDEX([1]Gen_Vessels!$A$3:$C$500,MATCH(D373,[1]Gen_Vessels!$C$3:$C$500,0),1)),"")</f>
        <v/>
      </c>
      <c r="G373" s="2" t="str">
        <f>IFERROR(IF(ISBLANK(F373),"",INDEX([1]Gen_Vessels!$A$3:$C$500,MATCH(F373,[1]Gen_Vessels!$C$3:$C$500,0),1)),"")</f>
        <v/>
      </c>
    </row>
    <row r="374" spans="3:7" x14ac:dyDescent="0.25">
      <c r="C374" s="2"/>
      <c r="E374" s="2" t="str">
        <f>IFERROR(IF(ISBLANK(D374),"",INDEX([1]Gen_Vessels!$A$3:$C$500,MATCH(D374,[1]Gen_Vessels!$C$3:$C$500,0),1)),"")</f>
        <v/>
      </c>
      <c r="G374" s="2" t="str">
        <f>IFERROR(IF(ISBLANK(F374),"",INDEX([1]Gen_Vessels!$A$3:$C$500,MATCH(F374,[1]Gen_Vessels!$C$3:$C$500,0),1)),"")</f>
        <v/>
      </c>
    </row>
    <row r="375" spans="3:7" x14ac:dyDescent="0.25">
      <c r="C375" s="2"/>
      <c r="E375" s="2" t="str">
        <f>IFERROR(IF(ISBLANK(D375),"",INDEX([1]Gen_Vessels!$A$3:$C$500,MATCH(D375,[1]Gen_Vessels!$C$3:$C$500,0),1)),"")</f>
        <v/>
      </c>
      <c r="G375" s="2" t="str">
        <f>IFERROR(IF(ISBLANK(F375),"",INDEX([1]Gen_Vessels!$A$3:$C$500,MATCH(F375,[1]Gen_Vessels!$C$3:$C$500,0),1)),"")</f>
        <v/>
      </c>
    </row>
    <row r="376" spans="3:7" x14ac:dyDescent="0.25">
      <c r="C376" s="2"/>
      <c r="E376" s="2" t="str">
        <f>IFERROR(IF(ISBLANK(D376),"",INDEX([1]Gen_Vessels!$A$3:$C$500,MATCH(D376,[1]Gen_Vessels!$C$3:$C$500,0),1)),"")</f>
        <v/>
      </c>
      <c r="G376" s="2" t="str">
        <f>IFERROR(IF(ISBLANK(F376),"",INDEX([1]Gen_Vessels!$A$3:$C$500,MATCH(F376,[1]Gen_Vessels!$C$3:$C$500,0),1)),"")</f>
        <v/>
      </c>
    </row>
    <row r="377" spans="3:7" x14ac:dyDescent="0.25">
      <c r="C377" s="2"/>
      <c r="E377" s="2" t="str">
        <f>IFERROR(IF(ISBLANK(D377),"",INDEX([1]Gen_Vessels!$A$3:$C$500,MATCH(D377,[1]Gen_Vessels!$C$3:$C$500,0),1)),"")</f>
        <v/>
      </c>
      <c r="G377" s="2" t="str">
        <f>IFERROR(IF(ISBLANK(F377),"",INDEX([1]Gen_Vessels!$A$3:$C$500,MATCH(F377,[1]Gen_Vessels!$C$3:$C$500,0),1)),"")</f>
        <v/>
      </c>
    </row>
    <row r="378" spans="3:7" x14ac:dyDescent="0.25">
      <c r="C378" s="2"/>
      <c r="E378" s="2" t="str">
        <f>IFERROR(IF(ISBLANK(D378),"",INDEX([1]Gen_Vessels!$A$3:$C$500,MATCH(D378,[1]Gen_Vessels!$C$3:$C$500,0),1)),"")</f>
        <v/>
      </c>
      <c r="G378" s="2" t="str">
        <f>IFERROR(IF(ISBLANK(F378),"",INDEX([1]Gen_Vessels!$A$3:$C$500,MATCH(F378,[1]Gen_Vessels!$C$3:$C$500,0),1)),"")</f>
        <v/>
      </c>
    </row>
    <row r="379" spans="3:7" x14ac:dyDescent="0.25">
      <c r="C379" s="2"/>
      <c r="E379" s="2" t="str">
        <f>IFERROR(IF(ISBLANK(D379),"",INDEX([1]Gen_Vessels!$A$3:$C$500,MATCH(D379,[1]Gen_Vessels!$C$3:$C$500,0),1)),"")</f>
        <v/>
      </c>
      <c r="G379" s="2" t="str">
        <f>IFERROR(IF(ISBLANK(F379),"",INDEX([1]Gen_Vessels!$A$3:$C$500,MATCH(F379,[1]Gen_Vessels!$C$3:$C$500,0),1)),"")</f>
        <v/>
      </c>
    </row>
    <row r="380" spans="3:7" x14ac:dyDescent="0.25">
      <c r="C380" s="2"/>
      <c r="E380" s="2" t="str">
        <f>IFERROR(IF(ISBLANK(D380),"",INDEX([1]Gen_Vessels!$A$3:$C$500,MATCH(D380,[1]Gen_Vessels!$C$3:$C$500,0),1)),"")</f>
        <v/>
      </c>
      <c r="G380" s="2" t="str">
        <f>IFERROR(IF(ISBLANK(F380),"",INDEX([1]Gen_Vessels!$A$3:$C$500,MATCH(F380,[1]Gen_Vessels!$C$3:$C$500,0),1)),"")</f>
        <v/>
      </c>
    </row>
    <row r="381" spans="3:7" x14ac:dyDescent="0.25">
      <c r="C381" s="2"/>
      <c r="E381" s="2" t="str">
        <f>IFERROR(IF(ISBLANK(D381),"",INDEX([1]Gen_Vessels!$A$3:$C$500,MATCH(D381,[1]Gen_Vessels!$C$3:$C$500,0),1)),"")</f>
        <v/>
      </c>
      <c r="G381" s="2" t="str">
        <f>IFERROR(IF(ISBLANK(F381),"",INDEX([1]Gen_Vessels!$A$3:$C$500,MATCH(F381,[1]Gen_Vessels!$C$3:$C$500,0),1)),"")</f>
        <v/>
      </c>
    </row>
    <row r="382" spans="3:7" x14ac:dyDescent="0.25">
      <c r="C382" s="2"/>
      <c r="E382" s="2" t="str">
        <f>IFERROR(IF(ISBLANK(D382),"",INDEX([1]Gen_Vessels!$A$3:$C$500,MATCH(D382,[1]Gen_Vessels!$C$3:$C$500,0),1)),"")</f>
        <v/>
      </c>
      <c r="G382" s="2" t="str">
        <f>IFERROR(IF(ISBLANK(F382),"",INDEX([1]Gen_Vessels!$A$3:$C$500,MATCH(F382,[1]Gen_Vessels!$C$3:$C$500,0),1)),"")</f>
        <v/>
      </c>
    </row>
    <row r="383" spans="3:7" x14ac:dyDescent="0.25">
      <c r="C383" s="2"/>
      <c r="E383" s="2" t="str">
        <f>IFERROR(IF(ISBLANK(D383),"",INDEX([1]Gen_Vessels!$A$3:$C$500,MATCH(D383,[1]Gen_Vessels!$C$3:$C$500,0),1)),"")</f>
        <v/>
      </c>
      <c r="G383" s="2" t="str">
        <f>IFERROR(IF(ISBLANK(F383),"",INDEX([1]Gen_Vessels!$A$3:$C$500,MATCH(F383,[1]Gen_Vessels!$C$3:$C$500,0),1)),"")</f>
        <v/>
      </c>
    </row>
    <row r="384" spans="3:7" x14ac:dyDescent="0.25">
      <c r="C384" s="2"/>
      <c r="E384" s="2" t="str">
        <f>IFERROR(IF(ISBLANK(D384),"",INDEX([1]Gen_Vessels!$A$3:$C$500,MATCH(D384,[1]Gen_Vessels!$C$3:$C$500,0),1)),"")</f>
        <v/>
      </c>
      <c r="G384" s="2" t="str">
        <f>IFERROR(IF(ISBLANK(F384),"",INDEX([1]Gen_Vessels!$A$3:$C$500,MATCH(F384,[1]Gen_Vessels!$C$3:$C$500,0),1)),"")</f>
        <v/>
      </c>
    </row>
    <row r="385" spans="3:7" x14ac:dyDescent="0.25">
      <c r="C385" s="2"/>
      <c r="E385" s="2" t="str">
        <f>IFERROR(IF(ISBLANK(D385),"",INDEX([1]Gen_Vessels!$A$3:$C$500,MATCH(D385,[1]Gen_Vessels!$C$3:$C$500,0),1)),"")</f>
        <v/>
      </c>
      <c r="G385" s="2" t="str">
        <f>IFERROR(IF(ISBLANK(F385),"",INDEX([1]Gen_Vessels!$A$3:$C$500,MATCH(F385,[1]Gen_Vessels!$C$3:$C$500,0),1)),"")</f>
        <v/>
      </c>
    </row>
    <row r="386" spans="3:7" x14ac:dyDescent="0.25">
      <c r="C386" s="2"/>
      <c r="E386" s="2" t="str">
        <f>IFERROR(IF(ISBLANK(D386),"",INDEX([1]Gen_Vessels!$A$3:$C$500,MATCH(D386,[1]Gen_Vessels!$C$3:$C$500,0),1)),"")</f>
        <v/>
      </c>
      <c r="G386" s="2" t="str">
        <f>IFERROR(IF(ISBLANK(F386),"",INDEX([1]Gen_Vessels!$A$3:$C$500,MATCH(F386,[1]Gen_Vessels!$C$3:$C$500,0),1)),"")</f>
        <v/>
      </c>
    </row>
    <row r="387" spans="3:7" x14ac:dyDescent="0.25">
      <c r="C387" s="2"/>
      <c r="E387" s="2" t="str">
        <f>IFERROR(IF(ISBLANK(D387),"",INDEX([1]Gen_Vessels!$A$3:$C$500,MATCH(D387,[1]Gen_Vessels!$C$3:$C$500,0),1)),"")</f>
        <v/>
      </c>
      <c r="G387" s="2" t="str">
        <f>IFERROR(IF(ISBLANK(F387),"",INDEX([1]Gen_Vessels!$A$3:$C$500,MATCH(F387,[1]Gen_Vessels!$C$3:$C$500,0),1)),"")</f>
        <v/>
      </c>
    </row>
    <row r="388" spans="3:7" x14ac:dyDescent="0.25">
      <c r="C388" s="2"/>
      <c r="E388" s="2" t="str">
        <f>IFERROR(IF(ISBLANK(D388),"",INDEX([1]Gen_Vessels!$A$3:$C$500,MATCH(D388,[1]Gen_Vessels!$C$3:$C$500,0),1)),"")</f>
        <v/>
      </c>
      <c r="G388" s="2" t="str">
        <f>IFERROR(IF(ISBLANK(F388),"",INDEX([1]Gen_Vessels!$A$3:$C$500,MATCH(F388,[1]Gen_Vessels!$C$3:$C$500,0),1)),"")</f>
        <v/>
      </c>
    </row>
    <row r="389" spans="3:7" x14ac:dyDescent="0.25">
      <c r="C389" s="2"/>
      <c r="E389" s="2" t="str">
        <f>IFERROR(IF(ISBLANK(D389),"",INDEX([1]Gen_Vessels!$A$3:$C$500,MATCH(D389,[1]Gen_Vessels!$C$3:$C$500,0),1)),"")</f>
        <v/>
      </c>
      <c r="G389" s="2" t="str">
        <f>IFERROR(IF(ISBLANK(F389),"",INDEX([1]Gen_Vessels!$A$3:$C$500,MATCH(F389,[1]Gen_Vessels!$C$3:$C$500,0),1)),"")</f>
        <v/>
      </c>
    </row>
    <row r="390" spans="3:7" x14ac:dyDescent="0.25">
      <c r="C390" s="2"/>
      <c r="E390" s="2" t="str">
        <f>IFERROR(IF(ISBLANK(D390),"",INDEX([1]Gen_Vessels!$A$3:$C$500,MATCH(D390,[1]Gen_Vessels!$C$3:$C$500,0),1)),"")</f>
        <v/>
      </c>
      <c r="G390" s="2" t="str">
        <f>IFERROR(IF(ISBLANK(F390),"",INDEX([1]Gen_Vessels!$A$3:$C$500,MATCH(F390,[1]Gen_Vessels!$C$3:$C$500,0),1)),"")</f>
        <v/>
      </c>
    </row>
    <row r="391" spans="3:7" x14ac:dyDescent="0.25">
      <c r="C391" s="2"/>
      <c r="E391" s="2" t="str">
        <f>IFERROR(IF(ISBLANK(D391),"",INDEX([1]Gen_Vessels!$A$3:$C$500,MATCH(D391,[1]Gen_Vessels!$C$3:$C$500,0),1)),"")</f>
        <v/>
      </c>
      <c r="G391" s="2" t="str">
        <f>IFERROR(IF(ISBLANK(F391),"",INDEX([1]Gen_Vessels!$A$3:$C$500,MATCH(F391,[1]Gen_Vessels!$C$3:$C$500,0),1)),"")</f>
        <v/>
      </c>
    </row>
    <row r="392" spans="3:7" x14ac:dyDescent="0.25">
      <c r="C392" s="2"/>
      <c r="E392" s="2" t="str">
        <f>IFERROR(IF(ISBLANK(D392),"",INDEX([1]Gen_Vessels!$A$3:$C$500,MATCH(D392,[1]Gen_Vessels!$C$3:$C$500,0),1)),"")</f>
        <v/>
      </c>
      <c r="G392" s="2" t="str">
        <f>IFERROR(IF(ISBLANK(F392),"",INDEX([1]Gen_Vessels!$A$3:$C$500,MATCH(F392,[1]Gen_Vessels!$C$3:$C$500,0),1)),"")</f>
        <v/>
      </c>
    </row>
    <row r="393" spans="3:7" x14ac:dyDescent="0.25">
      <c r="C393" s="2"/>
      <c r="E393" s="2" t="str">
        <f>IFERROR(IF(ISBLANK(D393),"",INDEX([1]Gen_Vessels!$A$3:$C$500,MATCH(D393,[1]Gen_Vessels!$C$3:$C$500,0),1)),"")</f>
        <v/>
      </c>
      <c r="G393" s="2" t="str">
        <f>IFERROR(IF(ISBLANK(F393),"",INDEX([1]Gen_Vessels!$A$3:$C$500,MATCH(F393,[1]Gen_Vessels!$C$3:$C$500,0),1)),"")</f>
        <v/>
      </c>
    </row>
    <row r="394" spans="3:7" x14ac:dyDescent="0.25">
      <c r="C394" s="2"/>
      <c r="E394" s="2" t="str">
        <f>IFERROR(IF(ISBLANK(D394),"",INDEX([1]Gen_Vessels!$A$3:$C$500,MATCH(D394,[1]Gen_Vessels!$C$3:$C$500,0),1)),"")</f>
        <v/>
      </c>
      <c r="G394" s="2" t="str">
        <f>IFERROR(IF(ISBLANK(F394),"",INDEX([1]Gen_Vessels!$A$3:$C$500,MATCH(F394,[1]Gen_Vessels!$C$3:$C$500,0),1)),"")</f>
        <v/>
      </c>
    </row>
    <row r="395" spans="3:7" x14ac:dyDescent="0.25">
      <c r="C395" s="2"/>
      <c r="E395" s="2" t="str">
        <f>IFERROR(IF(ISBLANK(D395),"",INDEX([1]Gen_Vessels!$A$3:$C$500,MATCH(D395,[1]Gen_Vessels!$C$3:$C$500,0),1)),"")</f>
        <v/>
      </c>
      <c r="G395" s="2" t="str">
        <f>IFERROR(IF(ISBLANK(F395),"",INDEX([1]Gen_Vessels!$A$3:$C$500,MATCH(F395,[1]Gen_Vessels!$C$3:$C$500,0),1)),"")</f>
        <v/>
      </c>
    </row>
    <row r="396" spans="3:7" x14ac:dyDescent="0.25">
      <c r="C396" s="2"/>
      <c r="E396" s="2" t="str">
        <f>IFERROR(IF(ISBLANK(D396),"",INDEX([1]Gen_Vessels!$A$3:$C$500,MATCH(D396,[1]Gen_Vessels!$C$3:$C$500,0),1)),"")</f>
        <v/>
      </c>
      <c r="G396" s="2" t="str">
        <f>IFERROR(IF(ISBLANK(F396),"",INDEX([1]Gen_Vessels!$A$3:$C$500,MATCH(F396,[1]Gen_Vessels!$C$3:$C$500,0),1)),"")</f>
        <v/>
      </c>
    </row>
    <row r="397" spans="3:7" x14ac:dyDescent="0.25">
      <c r="C397" s="2"/>
      <c r="E397" s="2" t="str">
        <f>IFERROR(IF(ISBLANK(D397),"",INDEX([1]Gen_Vessels!$A$3:$C$500,MATCH(D397,[1]Gen_Vessels!$C$3:$C$500,0),1)),"")</f>
        <v/>
      </c>
      <c r="G397" s="2" t="str">
        <f>IFERROR(IF(ISBLANK(F397),"",INDEX([1]Gen_Vessels!$A$3:$C$500,MATCH(F397,[1]Gen_Vessels!$C$3:$C$500,0),1)),"")</f>
        <v/>
      </c>
    </row>
    <row r="398" spans="3:7" x14ac:dyDescent="0.25">
      <c r="C398" s="2"/>
      <c r="E398" s="2" t="str">
        <f>IFERROR(IF(ISBLANK(D398),"",INDEX([1]Gen_Vessels!$A$3:$C$500,MATCH(D398,[1]Gen_Vessels!$C$3:$C$500,0),1)),"")</f>
        <v/>
      </c>
      <c r="G398" s="2" t="str">
        <f>IFERROR(IF(ISBLANK(F398),"",INDEX([1]Gen_Vessels!$A$3:$C$500,MATCH(F398,[1]Gen_Vessels!$C$3:$C$500,0),1)),"")</f>
        <v/>
      </c>
    </row>
    <row r="399" spans="3:7" x14ac:dyDescent="0.25">
      <c r="C399" s="2"/>
      <c r="E399" s="2" t="str">
        <f>IFERROR(IF(ISBLANK(D399),"",INDEX([1]Gen_Vessels!$A$3:$C$500,MATCH(D399,[1]Gen_Vessels!$C$3:$C$500,0),1)),"")</f>
        <v/>
      </c>
      <c r="G399" s="2" t="str">
        <f>IFERROR(IF(ISBLANK(F399),"",INDEX([1]Gen_Vessels!$A$3:$C$500,MATCH(F399,[1]Gen_Vessels!$C$3:$C$500,0),1)),"")</f>
        <v/>
      </c>
    </row>
    <row r="400" spans="3:7" x14ac:dyDescent="0.25">
      <c r="C400" s="2"/>
      <c r="E400" s="2" t="str">
        <f>IFERROR(IF(ISBLANK(D400),"",INDEX([1]Gen_Vessels!$A$3:$C$500,MATCH(D400,[1]Gen_Vessels!$C$3:$C$500,0),1)),"")</f>
        <v/>
      </c>
      <c r="G400" s="2" t="str">
        <f>IFERROR(IF(ISBLANK(F400),"",INDEX([1]Gen_Vessels!$A$3:$C$500,MATCH(F400,[1]Gen_Vessels!$C$3:$C$500,0),1)),"")</f>
        <v/>
      </c>
    </row>
    <row r="401" spans="3:7" x14ac:dyDescent="0.25">
      <c r="C401" s="2"/>
      <c r="E401" s="2" t="str">
        <f>IFERROR(IF(ISBLANK(D401),"",INDEX([1]Gen_Vessels!$A$3:$C$500,MATCH(D401,[1]Gen_Vessels!$C$3:$C$500,0),1)),"")</f>
        <v/>
      </c>
      <c r="G401" s="2" t="str">
        <f>IFERROR(IF(ISBLANK(F401),"",INDEX([1]Gen_Vessels!$A$3:$C$500,MATCH(F401,[1]Gen_Vessels!$C$3:$C$500,0),1)),"")</f>
        <v/>
      </c>
    </row>
    <row r="402" spans="3:7" x14ac:dyDescent="0.25">
      <c r="C402" s="2"/>
      <c r="E402" s="2" t="str">
        <f>IFERROR(IF(ISBLANK(D402),"",INDEX([1]Gen_Vessels!$A$3:$C$500,MATCH(D402,[1]Gen_Vessels!$C$3:$C$500,0),1)),"")</f>
        <v/>
      </c>
      <c r="G402" s="2" t="str">
        <f>IFERROR(IF(ISBLANK(F402),"",INDEX([1]Gen_Vessels!$A$3:$C$500,MATCH(F402,[1]Gen_Vessels!$C$3:$C$500,0),1)),"")</f>
        <v/>
      </c>
    </row>
    <row r="403" spans="3:7" x14ac:dyDescent="0.25">
      <c r="C403" s="2"/>
      <c r="E403" s="2" t="str">
        <f>IFERROR(IF(ISBLANK(D403),"",INDEX([1]Gen_Vessels!$A$3:$C$500,MATCH(D403,[1]Gen_Vessels!$C$3:$C$500,0),1)),"")</f>
        <v/>
      </c>
      <c r="G403" s="2" t="str">
        <f>IFERROR(IF(ISBLANK(F403),"",INDEX([1]Gen_Vessels!$A$3:$C$500,MATCH(F403,[1]Gen_Vessels!$C$3:$C$500,0),1)),"")</f>
        <v/>
      </c>
    </row>
    <row r="404" spans="3:7" x14ac:dyDescent="0.25">
      <c r="C404" s="2"/>
      <c r="E404" s="2" t="str">
        <f>IFERROR(IF(ISBLANK(D404),"",INDEX([1]Gen_Vessels!$A$3:$C$500,MATCH(D404,[1]Gen_Vessels!$C$3:$C$500,0),1)),"")</f>
        <v/>
      </c>
      <c r="G404" s="2" t="str">
        <f>IFERROR(IF(ISBLANK(F404),"",INDEX([1]Gen_Vessels!$A$3:$C$500,MATCH(F404,[1]Gen_Vessels!$C$3:$C$500,0),1)),"")</f>
        <v/>
      </c>
    </row>
    <row r="405" spans="3:7" x14ac:dyDescent="0.25">
      <c r="C405" s="2"/>
      <c r="E405" s="2" t="str">
        <f>IFERROR(IF(ISBLANK(D405),"",INDEX([1]Gen_Vessels!$A$3:$C$500,MATCH(D405,[1]Gen_Vessels!$C$3:$C$500,0),1)),"")</f>
        <v/>
      </c>
      <c r="G405" s="2" t="str">
        <f>IFERROR(IF(ISBLANK(F405),"",INDEX([1]Gen_Vessels!$A$3:$C$500,MATCH(F405,[1]Gen_Vessels!$C$3:$C$500,0),1)),"")</f>
        <v/>
      </c>
    </row>
    <row r="406" spans="3:7" x14ac:dyDescent="0.25">
      <c r="C406" s="2"/>
      <c r="E406" s="2" t="str">
        <f>IFERROR(IF(ISBLANK(D406),"",INDEX([1]Gen_Vessels!$A$3:$C$500,MATCH(D406,[1]Gen_Vessels!$C$3:$C$500,0),1)),"")</f>
        <v/>
      </c>
      <c r="G406" s="2" t="str">
        <f>IFERROR(IF(ISBLANK(F406),"",INDEX([1]Gen_Vessels!$A$3:$C$500,MATCH(F406,[1]Gen_Vessels!$C$3:$C$500,0),1)),"")</f>
        <v/>
      </c>
    </row>
    <row r="407" spans="3:7" x14ac:dyDescent="0.25">
      <c r="C407" s="2"/>
      <c r="E407" s="2" t="str">
        <f>IFERROR(IF(ISBLANK(D407),"",INDEX([1]Gen_Vessels!$A$3:$C$500,MATCH(D407,[1]Gen_Vessels!$C$3:$C$500,0),1)),"")</f>
        <v/>
      </c>
      <c r="G407" s="2" t="str">
        <f>IFERROR(IF(ISBLANK(F407),"",INDEX([1]Gen_Vessels!$A$3:$C$500,MATCH(F407,[1]Gen_Vessels!$C$3:$C$500,0),1)),"")</f>
        <v/>
      </c>
    </row>
    <row r="408" spans="3:7" x14ac:dyDescent="0.25">
      <c r="C408" s="2"/>
      <c r="E408" s="2" t="str">
        <f>IFERROR(IF(ISBLANK(D408),"",INDEX([1]Gen_Vessels!$A$3:$C$500,MATCH(D408,[1]Gen_Vessels!$C$3:$C$500,0),1)),"")</f>
        <v/>
      </c>
      <c r="G408" s="2" t="str">
        <f>IFERROR(IF(ISBLANK(F408),"",INDEX([1]Gen_Vessels!$A$3:$C$500,MATCH(F408,[1]Gen_Vessels!$C$3:$C$500,0),1)),"")</f>
        <v/>
      </c>
    </row>
    <row r="409" spans="3:7" x14ac:dyDescent="0.25">
      <c r="C409" s="2"/>
      <c r="E409" s="2" t="str">
        <f>IFERROR(IF(ISBLANK(D409),"",INDEX([1]Gen_Vessels!$A$3:$C$500,MATCH(D409,[1]Gen_Vessels!$C$3:$C$500,0),1)),"")</f>
        <v/>
      </c>
      <c r="G409" s="2" t="str">
        <f>IFERROR(IF(ISBLANK(F409),"",INDEX([1]Gen_Vessels!$A$3:$C$500,MATCH(F409,[1]Gen_Vessels!$C$3:$C$500,0),1)),"")</f>
        <v/>
      </c>
    </row>
    <row r="410" spans="3:7" x14ac:dyDescent="0.25">
      <c r="C410" s="2"/>
      <c r="E410" s="2" t="str">
        <f>IFERROR(IF(ISBLANK(D410),"",INDEX([1]Gen_Vessels!$A$3:$C$500,MATCH(D410,[1]Gen_Vessels!$C$3:$C$500,0),1)),"")</f>
        <v/>
      </c>
      <c r="G410" s="2" t="str">
        <f>IFERROR(IF(ISBLANK(F410),"",INDEX([1]Gen_Vessels!$A$3:$C$500,MATCH(F410,[1]Gen_Vessels!$C$3:$C$500,0),1)),"")</f>
        <v/>
      </c>
    </row>
    <row r="411" spans="3:7" x14ac:dyDescent="0.25">
      <c r="C411" s="2"/>
      <c r="E411" s="2" t="str">
        <f>IFERROR(IF(ISBLANK(D411),"",INDEX([1]Gen_Vessels!$A$3:$C$500,MATCH(D411,[1]Gen_Vessels!$C$3:$C$500,0),1)),"")</f>
        <v/>
      </c>
      <c r="G411" s="2" t="str">
        <f>IFERROR(IF(ISBLANK(F411),"",INDEX([1]Gen_Vessels!$A$3:$C$500,MATCH(F411,[1]Gen_Vessels!$C$3:$C$500,0),1)),"")</f>
        <v/>
      </c>
    </row>
    <row r="412" spans="3:7" x14ac:dyDescent="0.25">
      <c r="C412" s="2"/>
      <c r="E412" s="2" t="str">
        <f>IFERROR(IF(ISBLANK(D412),"",INDEX([1]Gen_Vessels!$A$3:$C$500,MATCH(D412,[1]Gen_Vessels!$C$3:$C$500,0),1)),"")</f>
        <v/>
      </c>
      <c r="G412" s="2" t="str">
        <f>IFERROR(IF(ISBLANK(F412),"",INDEX([1]Gen_Vessels!$A$3:$C$500,MATCH(F412,[1]Gen_Vessels!$C$3:$C$500,0),1)),"")</f>
        <v/>
      </c>
    </row>
    <row r="413" spans="3:7" x14ac:dyDescent="0.25">
      <c r="C413" s="2"/>
      <c r="E413" s="2" t="str">
        <f>IFERROR(IF(ISBLANK(D413),"",INDEX([1]Gen_Vessels!$A$3:$C$500,MATCH(D413,[1]Gen_Vessels!$C$3:$C$500,0),1)),"")</f>
        <v/>
      </c>
      <c r="G413" s="2" t="str">
        <f>IFERROR(IF(ISBLANK(F413),"",INDEX([1]Gen_Vessels!$A$3:$C$500,MATCH(F413,[1]Gen_Vessels!$C$3:$C$500,0),1)),"")</f>
        <v/>
      </c>
    </row>
    <row r="414" spans="3:7" x14ac:dyDescent="0.25">
      <c r="C414" s="2"/>
      <c r="E414" s="2" t="str">
        <f>IFERROR(IF(ISBLANK(D414),"",INDEX([1]Gen_Vessels!$A$3:$C$500,MATCH(D414,[1]Gen_Vessels!$C$3:$C$500,0),1)),"")</f>
        <v/>
      </c>
      <c r="G414" s="2" t="str">
        <f>IFERROR(IF(ISBLANK(F414),"",INDEX([1]Gen_Vessels!$A$3:$C$500,MATCH(F414,[1]Gen_Vessels!$C$3:$C$500,0),1)),"")</f>
        <v/>
      </c>
    </row>
    <row r="415" spans="3:7" x14ac:dyDescent="0.25">
      <c r="C415" s="2"/>
      <c r="E415" s="2" t="str">
        <f>IFERROR(IF(ISBLANK(D415),"",INDEX([1]Gen_Vessels!$A$3:$C$500,MATCH(D415,[1]Gen_Vessels!$C$3:$C$500,0),1)),"")</f>
        <v/>
      </c>
      <c r="G415" s="2" t="str">
        <f>IFERROR(IF(ISBLANK(F415),"",INDEX([1]Gen_Vessels!$A$3:$C$500,MATCH(F415,[1]Gen_Vessels!$C$3:$C$500,0),1)),"")</f>
        <v/>
      </c>
    </row>
    <row r="416" spans="3:7" x14ac:dyDescent="0.25">
      <c r="C416" s="2"/>
      <c r="E416" s="2" t="str">
        <f>IFERROR(IF(ISBLANK(D416),"",INDEX([1]Gen_Vessels!$A$3:$C$500,MATCH(D416,[1]Gen_Vessels!$C$3:$C$500,0),1)),"")</f>
        <v/>
      </c>
      <c r="G416" s="2" t="str">
        <f>IFERROR(IF(ISBLANK(F416),"",INDEX([1]Gen_Vessels!$A$3:$C$500,MATCH(F416,[1]Gen_Vessels!$C$3:$C$500,0),1)),"")</f>
        <v/>
      </c>
    </row>
    <row r="417" spans="3:7" x14ac:dyDescent="0.25">
      <c r="C417" s="2"/>
      <c r="E417" s="2" t="str">
        <f>IFERROR(IF(ISBLANK(D417),"",INDEX([1]Gen_Vessels!$A$3:$C$500,MATCH(D417,[1]Gen_Vessels!$C$3:$C$500,0),1)),"")</f>
        <v/>
      </c>
      <c r="G417" s="2" t="str">
        <f>IFERROR(IF(ISBLANK(F417),"",INDEX([1]Gen_Vessels!$A$3:$C$500,MATCH(F417,[1]Gen_Vessels!$C$3:$C$500,0),1)),"")</f>
        <v/>
      </c>
    </row>
    <row r="418" spans="3:7" x14ac:dyDescent="0.25">
      <c r="C418" s="2"/>
      <c r="E418" s="2" t="str">
        <f>IFERROR(IF(ISBLANK(D418),"",INDEX([1]Gen_Vessels!$A$3:$C$500,MATCH(D418,[1]Gen_Vessels!$C$3:$C$500,0),1)),"")</f>
        <v/>
      </c>
      <c r="G418" s="2" t="str">
        <f>IFERROR(IF(ISBLANK(F418),"",INDEX([1]Gen_Vessels!$A$3:$C$500,MATCH(F418,[1]Gen_Vessels!$C$3:$C$500,0),1)),"")</f>
        <v/>
      </c>
    </row>
    <row r="419" spans="3:7" x14ac:dyDescent="0.25">
      <c r="C419" s="2"/>
      <c r="E419" s="2" t="str">
        <f>IFERROR(IF(ISBLANK(D419),"",INDEX([1]Gen_Vessels!$A$3:$C$500,MATCH(D419,[1]Gen_Vessels!$C$3:$C$500,0),1)),"")</f>
        <v/>
      </c>
      <c r="G419" s="2" t="str">
        <f>IFERROR(IF(ISBLANK(F419),"",INDEX([1]Gen_Vessels!$A$3:$C$500,MATCH(F419,[1]Gen_Vessels!$C$3:$C$500,0),1)),"")</f>
        <v/>
      </c>
    </row>
    <row r="420" spans="3:7" x14ac:dyDescent="0.25">
      <c r="C420" s="2"/>
      <c r="E420" s="2" t="str">
        <f>IFERROR(IF(ISBLANK(D420),"",INDEX([1]Gen_Vessels!$A$3:$C$500,MATCH(D420,[1]Gen_Vessels!$C$3:$C$500,0),1)),"")</f>
        <v/>
      </c>
      <c r="G420" s="2" t="str">
        <f>IFERROR(IF(ISBLANK(F420),"",INDEX([1]Gen_Vessels!$A$3:$C$500,MATCH(F420,[1]Gen_Vessels!$C$3:$C$500,0),1)),"")</f>
        <v/>
      </c>
    </row>
    <row r="421" spans="3:7" x14ac:dyDescent="0.25">
      <c r="C421" s="2"/>
      <c r="E421" s="2" t="str">
        <f>IFERROR(IF(ISBLANK(D421),"",INDEX([1]Gen_Vessels!$A$3:$C$500,MATCH(D421,[1]Gen_Vessels!$C$3:$C$500,0),1)),"")</f>
        <v/>
      </c>
      <c r="G421" s="2" t="str">
        <f>IFERROR(IF(ISBLANK(F421),"",INDEX([1]Gen_Vessels!$A$3:$C$500,MATCH(F421,[1]Gen_Vessels!$C$3:$C$500,0),1)),"")</f>
        <v/>
      </c>
    </row>
    <row r="422" spans="3:7" x14ac:dyDescent="0.25">
      <c r="C422" s="2"/>
      <c r="E422" s="2" t="str">
        <f>IFERROR(IF(ISBLANK(D422),"",INDEX([1]Gen_Vessels!$A$3:$C$500,MATCH(D422,[1]Gen_Vessels!$C$3:$C$500,0),1)),"")</f>
        <v/>
      </c>
      <c r="G422" s="2" t="str">
        <f>IFERROR(IF(ISBLANK(F422),"",INDEX([1]Gen_Vessels!$A$3:$C$500,MATCH(F422,[1]Gen_Vessels!$C$3:$C$500,0),1)),"")</f>
        <v/>
      </c>
    </row>
    <row r="423" spans="3:7" x14ac:dyDescent="0.25">
      <c r="C423" s="2"/>
      <c r="E423" s="2" t="str">
        <f>IFERROR(IF(ISBLANK(D423),"",INDEX([1]Gen_Vessels!$A$3:$C$500,MATCH(D423,[1]Gen_Vessels!$C$3:$C$500,0),1)),"")</f>
        <v/>
      </c>
      <c r="G423" s="2" t="str">
        <f>IFERROR(IF(ISBLANK(F423),"",INDEX([1]Gen_Vessels!$A$3:$C$500,MATCH(F423,[1]Gen_Vessels!$C$3:$C$500,0),1)),"")</f>
        <v/>
      </c>
    </row>
    <row r="424" spans="3:7" x14ac:dyDescent="0.25">
      <c r="C424" s="2"/>
      <c r="E424" s="2" t="str">
        <f>IFERROR(IF(ISBLANK(D424),"",INDEX([1]Gen_Vessels!$A$3:$C$500,MATCH(D424,[1]Gen_Vessels!$C$3:$C$500,0),1)),"")</f>
        <v/>
      </c>
      <c r="G424" s="2" t="str">
        <f>IFERROR(IF(ISBLANK(F424),"",INDEX([1]Gen_Vessels!$A$3:$C$500,MATCH(F424,[1]Gen_Vessels!$C$3:$C$500,0),1)),"")</f>
        <v/>
      </c>
    </row>
    <row r="425" spans="3:7" x14ac:dyDescent="0.25">
      <c r="C425" s="2"/>
      <c r="E425" s="2" t="str">
        <f>IFERROR(IF(ISBLANK(D425),"",INDEX([1]Gen_Vessels!$A$3:$C$500,MATCH(D425,[1]Gen_Vessels!$C$3:$C$500,0),1)),"")</f>
        <v/>
      </c>
      <c r="G425" s="2" t="str">
        <f>IFERROR(IF(ISBLANK(F425),"",INDEX([1]Gen_Vessels!$A$3:$C$500,MATCH(F425,[1]Gen_Vessels!$C$3:$C$500,0),1)),"")</f>
        <v/>
      </c>
    </row>
    <row r="426" spans="3:7" x14ac:dyDescent="0.25">
      <c r="C426" s="2"/>
      <c r="E426" s="2" t="str">
        <f>IFERROR(IF(ISBLANK(D426),"",INDEX([1]Gen_Vessels!$A$3:$C$500,MATCH(D426,[1]Gen_Vessels!$C$3:$C$500,0),1)),"")</f>
        <v/>
      </c>
      <c r="G426" s="2" t="str">
        <f>IFERROR(IF(ISBLANK(F426),"",INDEX([1]Gen_Vessels!$A$3:$C$500,MATCH(F426,[1]Gen_Vessels!$C$3:$C$500,0),1)),"")</f>
        <v/>
      </c>
    </row>
    <row r="427" spans="3:7" x14ac:dyDescent="0.25">
      <c r="C427" s="2"/>
      <c r="E427" s="2" t="str">
        <f>IFERROR(IF(ISBLANK(D427),"",INDEX([1]Gen_Vessels!$A$3:$C$500,MATCH(D427,[1]Gen_Vessels!$C$3:$C$500,0),1)),"")</f>
        <v/>
      </c>
      <c r="G427" s="2" t="str">
        <f>IFERROR(IF(ISBLANK(F427),"",INDEX([1]Gen_Vessels!$A$3:$C$500,MATCH(F427,[1]Gen_Vessels!$C$3:$C$500,0),1)),"")</f>
        <v/>
      </c>
    </row>
    <row r="428" spans="3:7" x14ac:dyDescent="0.25">
      <c r="C428" s="2"/>
      <c r="E428" s="2" t="str">
        <f>IFERROR(IF(ISBLANK(D428),"",INDEX([1]Gen_Vessels!$A$3:$C$500,MATCH(D428,[1]Gen_Vessels!$C$3:$C$500,0),1)),"")</f>
        <v/>
      </c>
      <c r="G428" s="2" t="str">
        <f>IFERROR(IF(ISBLANK(F428),"",INDEX([1]Gen_Vessels!$A$3:$C$500,MATCH(F428,[1]Gen_Vessels!$C$3:$C$500,0),1)),"")</f>
        <v/>
      </c>
    </row>
    <row r="429" spans="3:7" x14ac:dyDescent="0.25">
      <c r="C429" s="2"/>
      <c r="E429" s="2" t="str">
        <f>IFERROR(IF(ISBLANK(D429),"",INDEX([1]Gen_Vessels!$A$3:$C$500,MATCH(D429,[1]Gen_Vessels!$C$3:$C$500,0),1)),"")</f>
        <v/>
      </c>
      <c r="G429" s="2" t="str">
        <f>IFERROR(IF(ISBLANK(F429),"",INDEX([1]Gen_Vessels!$A$3:$C$500,MATCH(F429,[1]Gen_Vessels!$C$3:$C$500,0),1)),"")</f>
        <v/>
      </c>
    </row>
    <row r="430" spans="3:7" x14ac:dyDescent="0.25">
      <c r="C430" s="2"/>
      <c r="E430" s="2" t="str">
        <f>IFERROR(IF(ISBLANK(D430),"",INDEX([1]Gen_Vessels!$A$3:$C$500,MATCH(D430,[1]Gen_Vessels!$C$3:$C$500,0),1)),"")</f>
        <v/>
      </c>
      <c r="G430" s="2" t="str">
        <f>IFERROR(IF(ISBLANK(F430),"",INDEX([1]Gen_Vessels!$A$3:$C$500,MATCH(F430,[1]Gen_Vessels!$C$3:$C$500,0),1)),"")</f>
        <v/>
      </c>
    </row>
    <row r="431" spans="3:7" x14ac:dyDescent="0.25">
      <c r="C431" s="2"/>
      <c r="E431" s="2" t="str">
        <f>IFERROR(IF(ISBLANK(D431),"",INDEX([1]Gen_Vessels!$A$3:$C$500,MATCH(D431,[1]Gen_Vessels!$C$3:$C$500,0),1)),"")</f>
        <v/>
      </c>
      <c r="G431" s="2" t="str">
        <f>IFERROR(IF(ISBLANK(F431),"",INDEX([1]Gen_Vessels!$A$3:$C$500,MATCH(F431,[1]Gen_Vessels!$C$3:$C$500,0),1)),"")</f>
        <v/>
      </c>
    </row>
    <row r="432" spans="3:7" x14ac:dyDescent="0.25">
      <c r="C432" s="2"/>
      <c r="E432" s="2" t="str">
        <f>IFERROR(IF(ISBLANK(D432),"",INDEX([1]Gen_Vessels!$A$3:$C$500,MATCH(D432,[1]Gen_Vessels!$C$3:$C$500,0),1)),"")</f>
        <v/>
      </c>
      <c r="G432" s="2" t="str">
        <f>IFERROR(IF(ISBLANK(F432),"",INDEX([1]Gen_Vessels!$A$3:$C$500,MATCH(F432,[1]Gen_Vessels!$C$3:$C$500,0),1)),"")</f>
        <v/>
      </c>
    </row>
    <row r="433" spans="3:7" x14ac:dyDescent="0.25">
      <c r="C433" s="2"/>
      <c r="E433" s="2" t="str">
        <f>IFERROR(IF(ISBLANK(D433),"",INDEX([1]Gen_Vessels!$A$3:$C$500,MATCH(D433,[1]Gen_Vessels!$C$3:$C$500,0),1)),"")</f>
        <v/>
      </c>
      <c r="G433" s="2" t="str">
        <f>IFERROR(IF(ISBLANK(F433),"",INDEX([1]Gen_Vessels!$A$3:$C$500,MATCH(F433,[1]Gen_Vessels!$C$3:$C$500,0),1)),"")</f>
        <v/>
      </c>
    </row>
    <row r="434" spans="3:7" x14ac:dyDescent="0.25">
      <c r="C434" s="2"/>
      <c r="E434" s="2" t="str">
        <f>IFERROR(IF(ISBLANK(D434),"",INDEX([1]Gen_Vessels!$A$3:$C$500,MATCH(D434,[1]Gen_Vessels!$C$3:$C$500,0),1)),"")</f>
        <v/>
      </c>
      <c r="G434" s="2" t="str">
        <f>IFERROR(IF(ISBLANK(F434),"",INDEX([1]Gen_Vessels!$A$3:$C$500,MATCH(F434,[1]Gen_Vessels!$C$3:$C$500,0),1)),"")</f>
        <v/>
      </c>
    </row>
    <row r="435" spans="3:7" x14ac:dyDescent="0.25">
      <c r="C435" s="2"/>
      <c r="E435" s="2" t="str">
        <f>IFERROR(IF(ISBLANK(D435),"",INDEX([1]Gen_Vessels!$A$3:$C$500,MATCH(D435,[1]Gen_Vessels!$C$3:$C$500,0),1)),"")</f>
        <v/>
      </c>
      <c r="G435" s="2" t="str">
        <f>IFERROR(IF(ISBLANK(F435),"",INDEX([1]Gen_Vessels!$A$3:$C$500,MATCH(F435,[1]Gen_Vessels!$C$3:$C$500,0),1)),"")</f>
        <v/>
      </c>
    </row>
    <row r="436" spans="3:7" x14ac:dyDescent="0.25">
      <c r="C436" s="2"/>
      <c r="E436" s="2" t="str">
        <f>IFERROR(IF(ISBLANK(D436),"",INDEX([1]Gen_Vessels!$A$3:$C$500,MATCH(D436,[1]Gen_Vessels!$C$3:$C$500,0),1)),"")</f>
        <v/>
      </c>
      <c r="G436" s="2" t="str">
        <f>IFERROR(IF(ISBLANK(F436),"",INDEX([1]Gen_Vessels!$A$3:$C$500,MATCH(F436,[1]Gen_Vessels!$C$3:$C$500,0),1)),"")</f>
        <v/>
      </c>
    </row>
    <row r="437" spans="3:7" x14ac:dyDescent="0.25">
      <c r="C437" s="2"/>
      <c r="E437" s="2" t="str">
        <f>IFERROR(IF(ISBLANK(D437),"",INDEX([1]Gen_Vessels!$A$3:$C$500,MATCH(D437,[1]Gen_Vessels!$C$3:$C$500,0),1)),"")</f>
        <v/>
      </c>
      <c r="G437" s="2" t="str">
        <f>IFERROR(IF(ISBLANK(F437),"",INDEX([1]Gen_Vessels!$A$3:$C$500,MATCH(F437,[1]Gen_Vessels!$C$3:$C$500,0),1)),"")</f>
        <v/>
      </c>
    </row>
    <row r="438" spans="3:7" x14ac:dyDescent="0.25">
      <c r="C438" s="2"/>
      <c r="E438" s="2" t="str">
        <f>IFERROR(IF(ISBLANK(D438),"",INDEX([1]Gen_Vessels!$A$3:$C$500,MATCH(D438,[1]Gen_Vessels!$C$3:$C$500,0),1)),"")</f>
        <v/>
      </c>
      <c r="G438" s="2" t="str">
        <f>IFERROR(IF(ISBLANK(F438),"",INDEX([1]Gen_Vessels!$A$3:$C$500,MATCH(F438,[1]Gen_Vessels!$C$3:$C$500,0),1)),"")</f>
        <v/>
      </c>
    </row>
    <row r="439" spans="3:7" x14ac:dyDescent="0.25">
      <c r="C439" s="2"/>
      <c r="E439" s="2" t="str">
        <f>IFERROR(IF(ISBLANK(D439),"",INDEX([1]Gen_Vessels!$A$3:$C$500,MATCH(D439,[1]Gen_Vessels!$C$3:$C$500,0),1)),"")</f>
        <v/>
      </c>
      <c r="G439" s="2" t="str">
        <f>IFERROR(IF(ISBLANK(F439),"",INDEX([1]Gen_Vessels!$A$3:$C$500,MATCH(F439,[1]Gen_Vessels!$C$3:$C$500,0),1)),"")</f>
        <v/>
      </c>
    </row>
    <row r="440" spans="3:7" x14ac:dyDescent="0.25">
      <c r="C440" s="2"/>
      <c r="E440" s="2" t="str">
        <f>IFERROR(IF(ISBLANK(D440),"",INDEX([1]Gen_Vessels!$A$3:$C$500,MATCH(D440,[1]Gen_Vessels!$C$3:$C$500,0),1)),"")</f>
        <v/>
      </c>
      <c r="G440" s="2" t="str">
        <f>IFERROR(IF(ISBLANK(F440),"",INDEX([1]Gen_Vessels!$A$3:$C$500,MATCH(F440,[1]Gen_Vessels!$C$3:$C$500,0),1)),"")</f>
        <v/>
      </c>
    </row>
    <row r="441" spans="3:7" x14ac:dyDescent="0.25">
      <c r="C441" s="2"/>
      <c r="E441" s="2" t="str">
        <f>IFERROR(IF(ISBLANK(D441),"",INDEX([1]Gen_Vessels!$A$3:$C$500,MATCH(D441,[1]Gen_Vessels!$C$3:$C$500,0),1)),"")</f>
        <v/>
      </c>
      <c r="G441" s="2" t="str">
        <f>IFERROR(IF(ISBLANK(F441),"",INDEX([1]Gen_Vessels!$A$3:$C$500,MATCH(F441,[1]Gen_Vessels!$C$3:$C$500,0),1)),"")</f>
        <v/>
      </c>
    </row>
    <row r="442" spans="3:7" x14ac:dyDescent="0.25">
      <c r="C442" s="2"/>
      <c r="E442" s="2" t="str">
        <f>IFERROR(IF(ISBLANK(D442),"",INDEX([1]Gen_Vessels!$A$3:$C$500,MATCH(D442,[1]Gen_Vessels!$C$3:$C$500,0),1)),"")</f>
        <v/>
      </c>
      <c r="G442" s="2" t="str">
        <f>IFERROR(IF(ISBLANK(F442),"",INDEX([1]Gen_Vessels!$A$3:$C$500,MATCH(F442,[1]Gen_Vessels!$C$3:$C$500,0),1)),"")</f>
        <v/>
      </c>
    </row>
    <row r="443" spans="3:7" x14ac:dyDescent="0.25">
      <c r="C443" s="2"/>
      <c r="E443" s="2" t="str">
        <f>IFERROR(IF(ISBLANK(D443),"",INDEX([1]Gen_Vessels!$A$3:$C$500,MATCH(D443,[1]Gen_Vessels!$C$3:$C$500,0),1)),"")</f>
        <v/>
      </c>
      <c r="G443" s="2" t="str">
        <f>IFERROR(IF(ISBLANK(F443),"",INDEX([1]Gen_Vessels!$A$3:$C$500,MATCH(F443,[1]Gen_Vessels!$C$3:$C$500,0),1)),"")</f>
        <v/>
      </c>
    </row>
    <row r="444" spans="3:7" x14ac:dyDescent="0.25">
      <c r="C444" s="2"/>
      <c r="E444" s="2" t="str">
        <f>IFERROR(IF(ISBLANK(D444),"",INDEX([1]Gen_Vessels!$A$3:$C$500,MATCH(D444,[1]Gen_Vessels!$C$3:$C$500,0),1)),"")</f>
        <v/>
      </c>
      <c r="G444" s="2" t="str">
        <f>IFERROR(IF(ISBLANK(F444),"",INDEX([1]Gen_Vessels!$A$3:$C$500,MATCH(F444,[1]Gen_Vessels!$C$3:$C$500,0),1)),"")</f>
        <v/>
      </c>
    </row>
    <row r="445" spans="3:7" x14ac:dyDescent="0.25">
      <c r="C445" s="2"/>
      <c r="E445" s="2" t="str">
        <f>IFERROR(IF(ISBLANK(D445),"",INDEX([1]Gen_Vessels!$A$3:$C$500,MATCH(D445,[1]Gen_Vessels!$C$3:$C$500,0),1)),"")</f>
        <v/>
      </c>
      <c r="G445" s="2" t="str">
        <f>IFERROR(IF(ISBLANK(F445),"",INDEX([1]Gen_Vessels!$A$3:$C$500,MATCH(F445,[1]Gen_Vessels!$C$3:$C$500,0),1)),"")</f>
        <v/>
      </c>
    </row>
    <row r="446" spans="3:7" x14ac:dyDescent="0.25">
      <c r="C446" s="2"/>
      <c r="E446" s="2" t="str">
        <f>IFERROR(IF(ISBLANK(D446),"",INDEX([1]Gen_Vessels!$A$3:$C$500,MATCH(D446,[1]Gen_Vessels!$C$3:$C$500,0),1)),"")</f>
        <v/>
      </c>
      <c r="G446" s="2" t="str">
        <f>IFERROR(IF(ISBLANK(F446),"",INDEX([1]Gen_Vessels!$A$3:$C$500,MATCH(F446,[1]Gen_Vessels!$C$3:$C$500,0),1)),"")</f>
        <v/>
      </c>
    </row>
    <row r="447" spans="3:7" x14ac:dyDescent="0.25">
      <c r="C447" s="2"/>
      <c r="E447" s="2" t="str">
        <f>IFERROR(IF(ISBLANK(D447),"",INDEX([1]Gen_Vessels!$A$3:$C$500,MATCH(D447,[1]Gen_Vessels!$C$3:$C$500,0),1)),"")</f>
        <v/>
      </c>
      <c r="G447" s="2" t="str">
        <f>IFERROR(IF(ISBLANK(F447),"",INDEX([1]Gen_Vessels!$A$3:$C$500,MATCH(F447,[1]Gen_Vessels!$C$3:$C$500,0),1)),"")</f>
        <v/>
      </c>
    </row>
    <row r="448" spans="3:7" x14ac:dyDescent="0.25">
      <c r="C448" s="2"/>
      <c r="E448" s="2" t="str">
        <f>IFERROR(IF(ISBLANK(D448),"",INDEX([1]Gen_Vessels!$A$3:$C$500,MATCH(D448,[1]Gen_Vessels!$C$3:$C$500,0),1)),"")</f>
        <v/>
      </c>
      <c r="G448" s="2" t="str">
        <f>IFERROR(IF(ISBLANK(F448),"",INDEX([1]Gen_Vessels!$A$3:$C$500,MATCH(F448,[1]Gen_Vessels!$C$3:$C$500,0),1)),"")</f>
        <v/>
      </c>
    </row>
    <row r="449" spans="3:7" x14ac:dyDescent="0.25">
      <c r="C449" s="2"/>
      <c r="E449" s="2" t="str">
        <f>IFERROR(IF(ISBLANK(D449),"",INDEX([1]Gen_Vessels!$A$3:$C$500,MATCH(D449,[1]Gen_Vessels!$C$3:$C$500,0),1)),"")</f>
        <v/>
      </c>
      <c r="G449" s="2" t="str">
        <f>IFERROR(IF(ISBLANK(F449),"",INDEX([1]Gen_Vessels!$A$3:$C$500,MATCH(F449,[1]Gen_Vessels!$C$3:$C$500,0),1)),"")</f>
        <v/>
      </c>
    </row>
    <row r="450" spans="3:7" x14ac:dyDescent="0.25">
      <c r="C450" s="2"/>
      <c r="E450" s="2" t="str">
        <f>IFERROR(IF(ISBLANK(D450),"",INDEX([1]Gen_Vessels!$A$3:$C$500,MATCH(D450,[1]Gen_Vessels!$C$3:$C$500,0),1)),"")</f>
        <v/>
      </c>
      <c r="G450" s="2" t="str">
        <f>IFERROR(IF(ISBLANK(F450),"",INDEX([1]Gen_Vessels!$A$3:$C$500,MATCH(F450,[1]Gen_Vessels!$C$3:$C$500,0),1)),"")</f>
        <v/>
      </c>
    </row>
    <row r="451" spans="3:7" x14ac:dyDescent="0.25">
      <c r="C451" s="2"/>
      <c r="E451" s="2" t="str">
        <f>IFERROR(IF(ISBLANK(D451),"",INDEX([1]Gen_Vessels!$A$3:$C$500,MATCH(D451,[1]Gen_Vessels!$C$3:$C$500,0),1)),"")</f>
        <v/>
      </c>
      <c r="G451" s="2" t="str">
        <f>IFERROR(IF(ISBLANK(F451),"",INDEX([1]Gen_Vessels!$A$3:$C$500,MATCH(F451,[1]Gen_Vessels!$C$3:$C$500,0),1)),"")</f>
        <v/>
      </c>
    </row>
    <row r="452" spans="3:7" x14ac:dyDescent="0.25">
      <c r="C452" s="2"/>
      <c r="E452" s="2" t="str">
        <f>IFERROR(IF(ISBLANK(D452),"",INDEX([1]Gen_Vessels!$A$3:$C$500,MATCH(D452,[1]Gen_Vessels!$C$3:$C$500,0),1)),"")</f>
        <v/>
      </c>
      <c r="G452" s="2" t="str">
        <f>IFERROR(IF(ISBLANK(F452),"",INDEX([1]Gen_Vessels!$A$3:$C$500,MATCH(F452,[1]Gen_Vessels!$C$3:$C$500,0),1)),"")</f>
        <v/>
      </c>
    </row>
    <row r="453" spans="3:7" x14ac:dyDescent="0.25">
      <c r="C453" s="2"/>
      <c r="E453" s="2" t="str">
        <f>IFERROR(IF(ISBLANK(D453),"",INDEX([1]Gen_Vessels!$A$3:$C$500,MATCH(D453,[1]Gen_Vessels!$C$3:$C$500,0),1)),"")</f>
        <v/>
      </c>
      <c r="G453" s="2" t="str">
        <f>IFERROR(IF(ISBLANK(F453),"",INDEX([1]Gen_Vessels!$A$3:$C$500,MATCH(F453,[1]Gen_Vessels!$C$3:$C$500,0),1)),"")</f>
        <v/>
      </c>
    </row>
    <row r="454" spans="3:7" x14ac:dyDescent="0.25">
      <c r="C454" s="2"/>
      <c r="E454" s="2" t="str">
        <f>IFERROR(IF(ISBLANK(D454),"",INDEX([1]Gen_Vessels!$A$3:$C$500,MATCH(D454,[1]Gen_Vessels!$C$3:$C$500,0),1)),"")</f>
        <v/>
      </c>
      <c r="G454" s="2" t="str">
        <f>IFERROR(IF(ISBLANK(F454),"",INDEX([1]Gen_Vessels!$A$3:$C$500,MATCH(F454,[1]Gen_Vessels!$C$3:$C$500,0),1)),"")</f>
        <v/>
      </c>
    </row>
    <row r="455" spans="3:7" x14ac:dyDescent="0.25">
      <c r="C455" s="2"/>
      <c r="E455" s="2" t="str">
        <f>IFERROR(IF(ISBLANK(D455),"",INDEX([1]Gen_Vessels!$A$3:$C$500,MATCH(D455,[1]Gen_Vessels!$C$3:$C$500,0),1)),"")</f>
        <v/>
      </c>
      <c r="G455" s="2" t="str">
        <f>IFERROR(IF(ISBLANK(F455),"",INDEX([1]Gen_Vessels!$A$3:$C$500,MATCH(F455,[1]Gen_Vessels!$C$3:$C$500,0),1)),"")</f>
        <v/>
      </c>
    </row>
    <row r="456" spans="3:7" x14ac:dyDescent="0.25">
      <c r="C456" s="2"/>
      <c r="E456" s="2" t="str">
        <f>IFERROR(IF(ISBLANK(D456),"",INDEX([1]Gen_Vessels!$A$3:$C$500,MATCH(D456,[1]Gen_Vessels!$C$3:$C$500,0),1)),"")</f>
        <v/>
      </c>
      <c r="G456" s="2" t="str">
        <f>IFERROR(IF(ISBLANK(F456),"",INDEX([1]Gen_Vessels!$A$3:$C$500,MATCH(F456,[1]Gen_Vessels!$C$3:$C$500,0),1)),"")</f>
        <v/>
      </c>
    </row>
    <row r="457" spans="3:7" x14ac:dyDescent="0.25">
      <c r="C457" s="2"/>
      <c r="E457" s="2" t="str">
        <f>IFERROR(IF(ISBLANK(D457),"",INDEX([1]Gen_Vessels!$A$3:$C$500,MATCH(D457,[1]Gen_Vessels!$C$3:$C$500,0),1)),"")</f>
        <v/>
      </c>
      <c r="G457" s="2" t="str">
        <f>IFERROR(IF(ISBLANK(F457),"",INDEX([1]Gen_Vessels!$A$3:$C$500,MATCH(F457,[1]Gen_Vessels!$C$3:$C$500,0),1)),"")</f>
        <v/>
      </c>
    </row>
    <row r="458" spans="3:7" x14ac:dyDescent="0.25">
      <c r="C458" s="2"/>
      <c r="E458" s="2" t="str">
        <f>IFERROR(IF(ISBLANK(D458),"",INDEX([1]Gen_Vessels!$A$3:$C$500,MATCH(D458,[1]Gen_Vessels!$C$3:$C$500,0),1)),"")</f>
        <v/>
      </c>
      <c r="G458" s="2" t="str">
        <f>IFERROR(IF(ISBLANK(F458),"",INDEX([1]Gen_Vessels!$A$3:$C$500,MATCH(F458,[1]Gen_Vessels!$C$3:$C$500,0),1)),"")</f>
        <v/>
      </c>
    </row>
    <row r="459" spans="3:7" x14ac:dyDescent="0.25">
      <c r="C459" s="2"/>
      <c r="E459" s="2" t="str">
        <f>IFERROR(IF(ISBLANK(D459),"",INDEX([1]Gen_Vessels!$A$3:$C$500,MATCH(D459,[1]Gen_Vessels!$C$3:$C$500,0),1)),"")</f>
        <v/>
      </c>
      <c r="G459" s="2" t="str">
        <f>IFERROR(IF(ISBLANK(F459),"",INDEX([1]Gen_Vessels!$A$3:$C$500,MATCH(F459,[1]Gen_Vessels!$C$3:$C$500,0),1)),"")</f>
        <v/>
      </c>
    </row>
    <row r="460" spans="3:7" x14ac:dyDescent="0.25">
      <c r="C460" s="2"/>
      <c r="E460" s="2" t="str">
        <f>IFERROR(IF(ISBLANK(D460),"",INDEX([1]Gen_Vessels!$A$3:$C$500,MATCH(D460,[1]Gen_Vessels!$C$3:$C$500,0),1)),"")</f>
        <v/>
      </c>
      <c r="G460" s="2" t="str">
        <f>IFERROR(IF(ISBLANK(F460),"",INDEX([1]Gen_Vessels!$A$3:$C$500,MATCH(F460,[1]Gen_Vessels!$C$3:$C$500,0),1)),"")</f>
        <v/>
      </c>
    </row>
    <row r="461" spans="3:7" x14ac:dyDescent="0.25">
      <c r="C461" s="2"/>
      <c r="E461" s="2" t="str">
        <f>IFERROR(IF(ISBLANK(D461),"",INDEX([1]Gen_Vessels!$A$3:$C$500,MATCH(D461,[1]Gen_Vessels!$C$3:$C$500,0),1)),"")</f>
        <v/>
      </c>
      <c r="G461" s="2" t="str">
        <f>IFERROR(IF(ISBLANK(F461),"",INDEX([1]Gen_Vessels!$A$3:$C$500,MATCH(F461,[1]Gen_Vessels!$C$3:$C$500,0),1)),"")</f>
        <v/>
      </c>
    </row>
    <row r="462" spans="3:7" x14ac:dyDescent="0.25">
      <c r="C462" s="2"/>
      <c r="E462" s="2" t="str">
        <f>IFERROR(IF(ISBLANK(D462),"",INDEX([1]Gen_Vessels!$A$3:$C$500,MATCH(D462,[1]Gen_Vessels!$C$3:$C$500,0),1)),"")</f>
        <v/>
      </c>
      <c r="G462" s="2" t="str">
        <f>IFERROR(IF(ISBLANK(F462),"",INDEX([1]Gen_Vessels!$A$3:$C$500,MATCH(F462,[1]Gen_Vessels!$C$3:$C$500,0),1)),"")</f>
        <v/>
      </c>
    </row>
    <row r="463" spans="3:7" x14ac:dyDescent="0.25">
      <c r="C463" s="2"/>
      <c r="E463" s="2" t="str">
        <f>IFERROR(IF(ISBLANK(D463),"",INDEX([1]Gen_Vessels!$A$3:$C$500,MATCH(D463,[1]Gen_Vessels!$C$3:$C$500,0),1)),"")</f>
        <v/>
      </c>
      <c r="G463" s="2" t="str">
        <f>IFERROR(IF(ISBLANK(F463),"",INDEX([1]Gen_Vessels!$A$3:$C$500,MATCH(F463,[1]Gen_Vessels!$C$3:$C$500,0),1)),"")</f>
        <v/>
      </c>
    </row>
    <row r="464" spans="3:7" x14ac:dyDescent="0.25">
      <c r="C464" s="2"/>
      <c r="E464" s="2" t="str">
        <f>IFERROR(IF(ISBLANK(D464),"",INDEX([1]Gen_Vessels!$A$3:$C$500,MATCH(D464,[1]Gen_Vessels!$C$3:$C$500,0),1)),"")</f>
        <v/>
      </c>
      <c r="G464" s="2" t="str">
        <f>IFERROR(IF(ISBLANK(F464),"",INDEX([1]Gen_Vessels!$A$3:$C$500,MATCH(F464,[1]Gen_Vessels!$C$3:$C$500,0),1)),"")</f>
        <v/>
      </c>
    </row>
    <row r="465" spans="3:7" x14ac:dyDescent="0.25">
      <c r="C465" s="2"/>
      <c r="E465" s="2" t="str">
        <f>IFERROR(IF(ISBLANK(D465),"",INDEX([1]Gen_Vessels!$A$3:$C$500,MATCH(D465,[1]Gen_Vessels!$C$3:$C$500,0),1)),"")</f>
        <v/>
      </c>
      <c r="G465" s="2" t="str">
        <f>IFERROR(IF(ISBLANK(F465),"",INDEX([1]Gen_Vessels!$A$3:$C$500,MATCH(F465,[1]Gen_Vessels!$C$3:$C$500,0),1)),"")</f>
        <v/>
      </c>
    </row>
    <row r="466" spans="3:7" x14ac:dyDescent="0.25">
      <c r="C466" s="2"/>
      <c r="E466" s="2" t="str">
        <f>IFERROR(IF(ISBLANK(D466),"",INDEX([1]Gen_Vessels!$A$3:$C$500,MATCH(D466,[1]Gen_Vessels!$C$3:$C$500,0),1)),"")</f>
        <v/>
      </c>
      <c r="G466" s="2" t="str">
        <f>IFERROR(IF(ISBLANK(F466),"",INDEX([1]Gen_Vessels!$A$3:$C$500,MATCH(F466,[1]Gen_Vessels!$C$3:$C$500,0),1)),"")</f>
        <v/>
      </c>
    </row>
    <row r="467" spans="3:7" x14ac:dyDescent="0.25">
      <c r="C467" s="2"/>
      <c r="E467" s="2" t="str">
        <f>IFERROR(IF(ISBLANK(D467),"",INDEX([1]Gen_Vessels!$A$3:$C$500,MATCH(D467,[1]Gen_Vessels!$C$3:$C$500,0),1)),"")</f>
        <v/>
      </c>
      <c r="G467" s="2" t="str">
        <f>IFERROR(IF(ISBLANK(F467),"",INDEX([1]Gen_Vessels!$A$3:$C$500,MATCH(F467,[1]Gen_Vessels!$C$3:$C$500,0),1)),"")</f>
        <v/>
      </c>
    </row>
    <row r="468" spans="3:7" x14ac:dyDescent="0.25">
      <c r="C468" s="2"/>
      <c r="E468" s="2" t="str">
        <f>IFERROR(IF(ISBLANK(D468),"",INDEX([1]Gen_Vessels!$A$3:$C$500,MATCH(D468,[1]Gen_Vessels!$C$3:$C$500,0),1)),"")</f>
        <v/>
      </c>
      <c r="G468" s="2" t="str">
        <f>IFERROR(IF(ISBLANK(F468),"",INDEX([1]Gen_Vessels!$A$3:$C$500,MATCH(F468,[1]Gen_Vessels!$C$3:$C$500,0),1)),"")</f>
        <v/>
      </c>
    </row>
    <row r="469" spans="3:7" x14ac:dyDescent="0.25">
      <c r="C469" s="2"/>
      <c r="E469" s="2" t="str">
        <f>IFERROR(IF(ISBLANK(D469),"",INDEX([1]Gen_Vessels!$A$3:$C$500,MATCH(D469,[1]Gen_Vessels!$C$3:$C$500,0),1)),"")</f>
        <v/>
      </c>
      <c r="G469" s="2" t="str">
        <f>IFERROR(IF(ISBLANK(F469),"",INDEX([1]Gen_Vessels!$A$3:$C$500,MATCH(F469,[1]Gen_Vessels!$C$3:$C$500,0),1)),"")</f>
        <v/>
      </c>
    </row>
    <row r="470" spans="3:7" x14ac:dyDescent="0.25">
      <c r="C470" s="2"/>
      <c r="E470" s="2" t="str">
        <f>IFERROR(IF(ISBLANK(D470),"",INDEX([1]Gen_Vessels!$A$3:$C$500,MATCH(D470,[1]Gen_Vessels!$C$3:$C$500,0),1)),"")</f>
        <v/>
      </c>
      <c r="G470" s="2" t="str">
        <f>IFERROR(IF(ISBLANK(F470),"",INDEX([1]Gen_Vessels!$A$3:$C$500,MATCH(F470,[1]Gen_Vessels!$C$3:$C$500,0),1)),"")</f>
        <v/>
      </c>
    </row>
    <row r="471" spans="3:7" x14ac:dyDescent="0.25">
      <c r="C471" s="2"/>
      <c r="E471" s="2" t="str">
        <f>IFERROR(IF(ISBLANK(D471),"",INDEX([1]Gen_Vessels!$A$3:$C$500,MATCH(D471,[1]Gen_Vessels!$C$3:$C$500,0),1)),"")</f>
        <v/>
      </c>
      <c r="G471" s="2" t="str">
        <f>IFERROR(IF(ISBLANK(F471),"",INDEX([1]Gen_Vessels!$A$3:$C$500,MATCH(F471,[1]Gen_Vessels!$C$3:$C$500,0),1)),"")</f>
        <v/>
      </c>
    </row>
    <row r="472" spans="3:7" x14ac:dyDescent="0.25">
      <c r="C472" s="2"/>
      <c r="E472" s="2" t="str">
        <f>IFERROR(IF(ISBLANK(D472),"",INDEX([1]Gen_Vessels!$A$3:$C$500,MATCH(D472,[1]Gen_Vessels!$C$3:$C$500,0),1)),"")</f>
        <v/>
      </c>
      <c r="G472" s="2" t="str">
        <f>IFERROR(IF(ISBLANK(F472),"",INDEX([1]Gen_Vessels!$A$3:$C$500,MATCH(F472,[1]Gen_Vessels!$C$3:$C$500,0),1)),"")</f>
        <v/>
      </c>
    </row>
    <row r="473" spans="3:7" x14ac:dyDescent="0.25">
      <c r="C473" s="2"/>
      <c r="E473" s="2" t="str">
        <f>IFERROR(IF(ISBLANK(D473),"",INDEX([1]Gen_Vessels!$A$3:$C$500,MATCH(D473,[1]Gen_Vessels!$C$3:$C$500,0),1)),"")</f>
        <v/>
      </c>
      <c r="G473" s="2" t="str">
        <f>IFERROR(IF(ISBLANK(F473),"",INDEX([1]Gen_Vessels!$A$3:$C$500,MATCH(F473,[1]Gen_Vessels!$C$3:$C$500,0),1)),"")</f>
        <v/>
      </c>
    </row>
    <row r="474" spans="3:7" x14ac:dyDescent="0.25">
      <c r="C474" s="2"/>
      <c r="E474" s="2" t="str">
        <f>IFERROR(IF(ISBLANK(D474),"",INDEX([1]Gen_Vessels!$A$3:$C$500,MATCH(D474,[1]Gen_Vessels!$C$3:$C$500,0),1)),"")</f>
        <v/>
      </c>
      <c r="G474" s="2" t="str">
        <f>IFERROR(IF(ISBLANK(F474),"",INDEX([1]Gen_Vessels!$A$3:$C$500,MATCH(F474,[1]Gen_Vessels!$C$3:$C$500,0),1)),"")</f>
        <v/>
      </c>
    </row>
    <row r="475" spans="3:7" x14ac:dyDescent="0.25">
      <c r="C475" s="2"/>
      <c r="E475" s="2" t="str">
        <f>IFERROR(IF(ISBLANK(D475),"",INDEX([1]Gen_Vessels!$A$3:$C$500,MATCH(D475,[1]Gen_Vessels!$C$3:$C$500,0),1)),"")</f>
        <v/>
      </c>
      <c r="G475" s="2" t="str">
        <f>IFERROR(IF(ISBLANK(F475),"",INDEX([1]Gen_Vessels!$A$3:$C$500,MATCH(F475,[1]Gen_Vessels!$C$3:$C$500,0),1)),"")</f>
        <v/>
      </c>
    </row>
    <row r="476" spans="3:7" x14ac:dyDescent="0.25">
      <c r="C476" s="2"/>
      <c r="E476" s="2" t="str">
        <f>IFERROR(IF(ISBLANK(D476),"",INDEX([1]Gen_Vessels!$A$3:$C$500,MATCH(D476,[1]Gen_Vessels!$C$3:$C$500,0),1)),"")</f>
        <v/>
      </c>
      <c r="G476" s="2" t="str">
        <f>IFERROR(IF(ISBLANK(F476),"",INDEX([1]Gen_Vessels!$A$3:$C$500,MATCH(F476,[1]Gen_Vessels!$C$3:$C$500,0),1)),"")</f>
        <v/>
      </c>
    </row>
    <row r="477" spans="3:7" x14ac:dyDescent="0.25">
      <c r="C477" s="2"/>
      <c r="E477" s="2" t="str">
        <f>IFERROR(IF(ISBLANK(D477),"",INDEX([1]Gen_Vessels!$A$3:$C$500,MATCH(D477,[1]Gen_Vessels!$C$3:$C$500,0),1)),"")</f>
        <v/>
      </c>
      <c r="G477" s="2" t="str">
        <f>IFERROR(IF(ISBLANK(F477),"",INDEX([1]Gen_Vessels!$A$3:$C$500,MATCH(F477,[1]Gen_Vessels!$C$3:$C$500,0),1)),"")</f>
        <v/>
      </c>
    </row>
    <row r="478" spans="3:7" x14ac:dyDescent="0.25">
      <c r="C478" s="2"/>
      <c r="E478" s="2" t="str">
        <f>IFERROR(IF(ISBLANK(D478),"",INDEX([1]Gen_Vessels!$A$3:$C$500,MATCH(D478,[1]Gen_Vessels!$C$3:$C$500,0),1)),"")</f>
        <v/>
      </c>
      <c r="G478" s="2" t="str">
        <f>IFERROR(IF(ISBLANK(F478),"",INDEX([1]Gen_Vessels!$A$3:$C$500,MATCH(F478,[1]Gen_Vessels!$C$3:$C$500,0),1)),"")</f>
        <v/>
      </c>
    </row>
    <row r="479" spans="3:7" x14ac:dyDescent="0.25">
      <c r="C479" s="2"/>
      <c r="E479" s="2" t="str">
        <f>IFERROR(IF(ISBLANK(D479),"",INDEX([1]Gen_Vessels!$A$3:$C$500,MATCH(D479,[1]Gen_Vessels!$C$3:$C$500,0),1)),"")</f>
        <v/>
      </c>
      <c r="G479" s="2" t="str">
        <f>IFERROR(IF(ISBLANK(F479),"",INDEX([1]Gen_Vessels!$A$3:$C$500,MATCH(F479,[1]Gen_Vessels!$C$3:$C$500,0),1)),"")</f>
        <v/>
      </c>
    </row>
    <row r="480" spans="3:7" x14ac:dyDescent="0.25">
      <c r="C480" s="2"/>
      <c r="E480" s="2" t="str">
        <f>IFERROR(IF(ISBLANK(D480),"",INDEX([1]Gen_Vessels!$A$3:$C$500,MATCH(D480,[1]Gen_Vessels!$C$3:$C$500,0),1)),"")</f>
        <v/>
      </c>
      <c r="G480" s="2" t="str">
        <f>IFERROR(IF(ISBLANK(F480),"",INDEX([1]Gen_Vessels!$A$3:$C$500,MATCH(F480,[1]Gen_Vessels!$C$3:$C$500,0),1)),"")</f>
        <v/>
      </c>
    </row>
    <row r="481" spans="3:7" x14ac:dyDescent="0.25">
      <c r="C481" s="2"/>
      <c r="E481" s="2" t="str">
        <f>IFERROR(IF(ISBLANK(D481),"",INDEX([1]Gen_Vessels!$A$3:$C$500,MATCH(D481,[1]Gen_Vessels!$C$3:$C$500,0),1)),"")</f>
        <v/>
      </c>
      <c r="G481" s="2" t="str">
        <f>IFERROR(IF(ISBLANK(F481),"",INDEX([1]Gen_Vessels!$A$3:$C$500,MATCH(F481,[1]Gen_Vessels!$C$3:$C$500,0),1)),"")</f>
        <v/>
      </c>
    </row>
    <row r="482" spans="3:7" x14ac:dyDescent="0.25">
      <c r="C482" s="2"/>
      <c r="E482" s="2" t="str">
        <f>IFERROR(IF(ISBLANK(D482),"",INDEX([1]Gen_Vessels!$A$3:$C$500,MATCH(D482,[1]Gen_Vessels!$C$3:$C$500,0),1)),"")</f>
        <v/>
      </c>
      <c r="G482" s="2" t="str">
        <f>IFERROR(IF(ISBLANK(F482),"",INDEX([1]Gen_Vessels!$A$3:$C$500,MATCH(F482,[1]Gen_Vessels!$C$3:$C$500,0),1)),"")</f>
        <v/>
      </c>
    </row>
    <row r="483" spans="3:7" x14ac:dyDescent="0.25">
      <c r="C483" s="2"/>
      <c r="E483" s="2" t="str">
        <f>IFERROR(IF(ISBLANK(D483),"",INDEX([1]Gen_Vessels!$A$3:$C$500,MATCH(D483,[1]Gen_Vessels!$C$3:$C$500,0),1)),"")</f>
        <v/>
      </c>
      <c r="G483" s="2" t="str">
        <f>IFERROR(IF(ISBLANK(F483),"",INDEX([1]Gen_Vessels!$A$3:$C$500,MATCH(F483,[1]Gen_Vessels!$C$3:$C$500,0),1)),"")</f>
        <v/>
      </c>
    </row>
    <row r="484" spans="3:7" x14ac:dyDescent="0.25">
      <c r="C484" s="2"/>
      <c r="E484" s="2" t="str">
        <f>IFERROR(IF(ISBLANK(D484),"",INDEX([1]Gen_Vessels!$A$3:$C$500,MATCH(D484,[1]Gen_Vessels!$C$3:$C$500,0),1)),"")</f>
        <v/>
      </c>
      <c r="G484" s="2" t="str">
        <f>IFERROR(IF(ISBLANK(F484),"",INDEX([1]Gen_Vessels!$A$3:$C$500,MATCH(F484,[1]Gen_Vessels!$C$3:$C$500,0),1)),"")</f>
        <v/>
      </c>
    </row>
    <row r="485" spans="3:7" x14ac:dyDescent="0.25">
      <c r="C485" s="2"/>
      <c r="E485" s="2" t="str">
        <f>IFERROR(IF(ISBLANK(D485),"",INDEX([1]Gen_Vessels!$A$3:$C$500,MATCH(D485,[1]Gen_Vessels!$C$3:$C$500,0),1)),"")</f>
        <v/>
      </c>
      <c r="G485" s="2" t="str">
        <f>IFERROR(IF(ISBLANK(F485),"",INDEX([1]Gen_Vessels!$A$3:$C$500,MATCH(F485,[1]Gen_Vessels!$C$3:$C$500,0),1)),"")</f>
        <v/>
      </c>
    </row>
    <row r="486" spans="3:7" x14ac:dyDescent="0.25">
      <c r="C486" s="2"/>
      <c r="E486" s="2" t="str">
        <f>IFERROR(IF(ISBLANK(D486),"",INDEX([1]Gen_Vessels!$A$3:$C$500,MATCH(D486,[1]Gen_Vessels!$C$3:$C$500,0),1)),"")</f>
        <v/>
      </c>
      <c r="G486" s="2" t="str">
        <f>IFERROR(IF(ISBLANK(F486),"",INDEX([1]Gen_Vessels!$A$3:$C$500,MATCH(F486,[1]Gen_Vessels!$C$3:$C$500,0),1)),"")</f>
        <v/>
      </c>
    </row>
    <row r="487" spans="3:7" x14ac:dyDescent="0.25">
      <c r="C487" s="2"/>
      <c r="E487" s="2" t="str">
        <f>IFERROR(IF(ISBLANK(D487),"",INDEX([1]Gen_Vessels!$A$3:$C$500,MATCH(D487,[1]Gen_Vessels!$C$3:$C$500,0),1)),"")</f>
        <v/>
      </c>
      <c r="G487" s="2" t="str">
        <f>IFERROR(IF(ISBLANK(F487),"",INDEX([1]Gen_Vessels!$A$3:$C$500,MATCH(F487,[1]Gen_Vessels!$C$3:$C$500,0),1)),"")</f>
        <v/>
      </c>
    </row>
    <row r="488" spans="3:7" x14ac:dyDescent="0.25">
      <c r="C488" s="2"/>
      <c r="E488" s="2" t="str">
        <f>IFERROR(IF(ISBLANK(D488),"",INDEX([1]Gen_Vessels!$A$3:$C$500,MATCH(D488,[1]Gen_Vessels!$C$3:$C$500,0),1)),"")</f>
        <v/>
      </c>
      <c r="G488" s="2" t="str">
        <f>IFERROR(IF(ISBLANK(F488),"",INDEX([1]Gen_Vessels!$A$3:$C$500,MATCH(F488,[1]Gen_Vessels!$C$3:$C$500,0),1)),"")</f>
        <v/>
      </c>
    </row>
    <row r="489" spans="3:7" x14ac:dyDescent="0.25">
      <c r="C489" s="2"/>
      <c r="E489" s="2" t="str">
        <f>IFERROR(IF(ISBLANK(D489),"",INDEX([1]Gen_Vessels!$A$3:$C$500,MATCH(D489,[1]Gen_Vessels!$C$3:$C$500,0),1)),"")</f>
        <v/>
      </c>
      <c r="G489" s="2" t="str">
        <f>IFERROR(IF(ISBLANK(F489),"",INDEX([1]Gen_Vessels!$A$3:$C$500,MATCH(F489,[1]Gen_Vessels!$C$3:$C$500,0),1)),"")</f>
        <v/>
      </c>
    </row>
    <row r="490" spans="3:7" x14ac:dyDescent="0.25">
      <c r="C490" s="2"/>
      <c r="E490" s="2" t="str">
        <f>IFERROR(IF(ISBLANK(D490),"",INDEX([1]Gen_Vessels!$A$3:$C$500,MATCH(D490,[1]Gen_Vessels!$C$3:$C$500,0),1)),"")</f>
        <v/>
      </c>
      <c r="G490" s="2" t="str">
        <f>IFERROR(IF(ISBLANK(F490),"",INDEX([1]Gen_Vessels!$A$3:$C$500,MATCH(F490,[1]Gen_Vessels!$C$3:$C$500,0),1)),"")</f>
        <v/>
      </c>
    </row>
    <row r="491" spans="3:7" x14ac:dyDescent="0.25">
      <c r="C491" s="2"/>
      <c r="E491" s="2" t="str">
        <f>IFERROR(IF(ISBLANK(D491),"",INDEX([1]Gen_Vessels!$A$3:$C$500,MATCH(D491,[1]Gen_Vessels!$C$3:$C$500,0),1)),"")</f>
        <v/>
      </c>
      <c r="G491" s="2" t="str">
        <f>IFERROR(IF(ISBLANK(F491),"",INDEX([1]Gen_Vessels!$A$3:$C$500,MATCH(F491,[1]Gen_Vessels!$C$3:$C$500,0),1)),"")</f>
        <v/>
      </c>
    </row>
    <row r="492" spans="3:7" x14ac:dyDescent="0.25">
      <c r="C492" s="2"/>
      <c r="E492" s="2" t="str">
        <f>IFERROR(IF(ISBLANK(D492),"",INDEX([1]Gen_Vessels!$A$3:$C$500,MATCH(D492,[1]Gen_Vessels!$C$3:$C$500,0),1)),"")</f>
        <v/>
      </c>
      <c r="G492" s="2" t="str">
        <f>IFERROR(IF(ISBLANK(F492),"",INDEX([1]Gen_Vessels!$A$3:$C$500,MATCH(F492,[1]Gen_Vessels!$C$3:$C$500,0),1)),"")</f>
        <v/>
      </c>
    </row>
    <row r="493" spans="3:7" x14ac:dyDescent="0.25">
      <c r="E493" s="2" t="str">
        <f>IFERROR(IF(ISBLANK(D493),"",INDEX([1]Gen_Vessels!$A$3:$C$500,MATCH(D493,[1]Gen_Vessels!$C$3:$C$500,0),1)),"")</f>
        <v/>
      </c>
      <c r="G493" s="2" t="str">
        <f>IFERROR(IF(ISBLANK(F493),"",INDEX([1]Gen_Vessels!$A$3:$C$500,MATCH(F493,[1]Gen_Vessels!$C$3:$C$500,0),1)),"")</f>
        <v/>
      </c>
    </row>
    <row r="494" spans="3:7" x14ac:dyDescent="0.25">
      <c r="E494" s="2" t="str">
        <f>IFERROR(IF(ISBLANK(D494),"",INDEX([1]Gen_Vessels!$A$3:$C$500,MATCH(D494,[1]Gen_Vessels!$C$3:$C$500,0),1)),"")</f>
        <v/>
      </c>
      <c r="G494" s="2" t="str">
        <f>IFERROR(IF(ISBLANK(F494),"",INDEX([1]Gen_Vessels!$A$3:$C$500,MATCH(F494,[1]Gen_Vessels!$C$3:$C$500,0),1)),"")</f>
        <v/>
      </c>
    </row>
    <row r="495" spans="3:7" x14ac:dyDescent="0.25">
      <c r="E495" s="2" t="str">
        <f>IFERROR(IF(ISBLANK(D495),"",INDEX([1]Gen_Vessels!$A$3:$C$500,MATCH(D495,[1]Gen_Vessels!$C$3:$C$500,0),1)),"")</f>
        <v/>
      </c>
      <c r="G495" s="2" t="str">
        <f>IFERROR(IF(ISBLANK(F495),"",INDEX([1]Gen_Vessels!$A$3:$C$500,MATCH(F495,[1]Gen_Vessels!$C$3:$C$500,0),1)),"")</f>
        <v/>
      </c>
    </row>
    <row r="496" spans="3:7" x14ac:dyDescent="0.25">
      <c r="E496" s="2" t="str">
        <f>IFERROR(IF(ISBLANK(D496),"",INDEX([1]Gen_Vessels!$A$3:$C$500,MATCH(D496,[1]Gen_Vessels!$C$3:$C$500,0),1)),"")</f>
        <v/>
      </c>
      <c r="G496" s="2" t="str">
        <f>IFERROR(IF(ISBLANK(F496),"",INDEX([1]Gen_Vessels!$A$3:$C$500,MATCH(F496,[1]Gen_Vessels!$C$3:$C$500,0),1)),"")</f>
        <v/>
      </c>
    </row>
    <row r="497" spans="5:7" x14ac:dyDescent="0.25">
      <c r="E497" s="2" t="str">
        <f>IFERROR(IF(ISBLANK(D497),"",INDEX([1]Gen_Vessels!$A$3:$C$500,MATCH(D497,[1]Gen_Vessels!$C$3:$C$500,0),1)),"")</f>
        <v/>
      </c>
      <c r="G497" s="2" t="str">
        <f>IFERROR(IF(ISBLANK(F497),"",INDEX([1]Gen_Vessels!$A$3:$C$500,MATCH(F497,[1]Gen_Vessels!$C$3:$C$500,0),1)),"")</f>
        <v/>
      </c>
    </row>
    <row r="498" spans="5:7" x14ac:dyDescent="0.25">
      <c r="E498" s="2" t="str">
        <f>IFERROR(IF(ISBLANK(D498),"",INDEX([1]Gen_Vessels!$A$3:$C$500,MATCH(D498,[1]Gen_Vessels!$C$3:$C$500,0),1)),"")</f>
        <v/>
      </c>
      <c r="G498" s="2" t="str">
        <f>IFERROR(IF(ISBLANK(F498),"",INDEX([1]Gen_Vessels!$A$3:$C$500,MATCH(F498,[1]Gen_Vessels!$C$3:$C$500,0),1)),"")</f>
        <v/>
      </c>
    </row>
  </sheetData>
  <conditionalFormatting sqref="A1:A1048576">
    <cfRule type="expression" dxfId="6" priority="2">
      <formula>COUNTIF(A:A,$A1)&gt;1</formula>
    </cfRule>
  </conditionalFormatting>
  <conditionalFormatting sqref="A3:A498">
    <cfRule type="expression" dxfId="5" priority="1">
      <formula>FIND("-",$A3)&gt;1</formula>
    </cfRule>
  </conditionalFormatting>
  <dataValidations count="3">
    <dataValidation type="list" allowBlank="1" showInputMessage="1" showErrorMessage="1" sqref="C3:C17" xr:uid="{0ED74A3A-EB64-4B1C-B2F5-DE77114DF0B1}">
      <formula1>"False,True"</formula1>
    </dataValidation>
    <dataValidation type="decimal" operator="greaterThanOrEqual" allowBlank="1" showInputMessage="1" showErrorMessage="1" sqref="J3:L491" xr:uid="{6267135E-C906-4E74-BD57-AB9C09C9847D}">
      <formula1>0</formula1>
    </dataValidation>
    <dataValidation type="whole" operator="greaterThanOrEqual" allowBlank="1" showInputMessage="1" showErrorMessage="1" sqref="I3:I491" xr:uid="{E328254B-7CDD-47EB-A509-809D8A55E092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D8B4-522D-457A-8090-FF563DE7DDD3}">
  <sheetPr>
    <tabColor theme="4" tint="0.39997558519241921"/>
  </sheetPr>
  <dimension ref="A1:AC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G11" sqref="G11"/>
    </sheetView>
  </sheetViews>
  <sheetFormatPr defaultColWidth="9.28515625" defaultRowHeight="15" x14ac:dyDescent="0.25"/>
  <cols>
    <col min="1" max="1" width="18.7109375" style="1" customWidth="1"/>
    <col min="2" max="2" width="16.7109375" style="1" customWidth="1"/>
    <col min="3" max="3" width="40.7109375" style="1" customWidth="1"/>
    <col min="4" max="4" width="6.7109375" style="16" customWidth="1"/>
    <col min="5" max="5" width="6.7109375" style="17" customWidth="1"/>
    <col min="6" max="6" width="6.7109375" style="18" customWidth="1"/>
    <col min="7" max="7" width="13.7109375" style="1" customWidth="1"/>
    <col min="8" max="8" width="6.7109375" style="4" customWidth="1"/>
    <col min="9" max="11" width="6.7109375" style="1" customWidth="1"/>
    <col min="12" max="12" width="6.7109375" style="5" customWidth="1"/>
    <col min="13" max="13" width="15.5703125" style="1" customWidth="1"/>
    <col min="14" max="14" width="15.5703125" style="1" hidden="1" customWidth="1"/>
    <col min="15" max="15" width="15.5703125" style="1" customWidth="1"/>
    <col min="16" max="16" width="15.5703125" style="1" hidden="1" customWidth="1"/>
    <col min="17" max="17" width="15.5703125" style="1" customWidth="1"/>
    <col min="18" max="19" width="21.42578125" style="1" customWidth="1"/>
    <col min="20" max="20" width="13.5703125" style="1" customWidth="1"/>
    <col min="21" max="21" width="12.7109375" style="1" customWidth="1"/>
    <col min="22" max="22" width="15.42578125" bestFit="1" customWidth="1"/>
    <col min="23" max="16384" width="9.28515625" style="1"/>
  </cols>
  <sheetData>
    <row r="1" spans="1:29" x14ac:dyDescent="0.25">
      <c r="A1" s="1" t="s">
        <v>0</v>
      </c>
      <c r="B1" s="1" t="s">
        <v>27</v>
      </c>
      <c r="C1" s="1" t="s">
        <v>1</v>
      </c>
      <c r="D1" s="4" t="s">
        <v>93</v>
      </c>
      <c r="E1" s="1" t="s">
        <v>94</v>
      </c>
      <c r="F1" s="5" t="s">
        <v>95</v>
      </c>
      <c r="G1" s="1" t="s">
        <v>96</v>
      </c>
      <c r="H1" s="4" t="s">
        <v>60</v>
      </c>
      <c r="I1" s="1" t="s">
        <v>61</v>
      </c>
      <c r="J1" s="1" t="s">
        <v>62</v>
      </c>
      <c r="K1" s="1" t="s">
        <v>118</v>
      </c>
      <c r="L1" s="5" t="s">
        <v>63</v>
      </c>
      <c r="M1" s="1" t="s">
        <v>64</v>
      </c>
      <c r="N1" s="1" t="s">
        <v>55</v>
      </c>
      <c r="O1" s="1" t="s">
        <v>65</v>
      </c>
      <c r="P1" s="1" t="s">
        <v>56</v>
      </c>
      <c r="Q1" s="1" t="s">
        <v>18</v>
      </c>
      <c r="R1" s="1" t="s">
        <v>97</v>
      </c>
      <c r="S1" s="1" t="s">
        <v>12</v>
      </c>
      <c r="T1" s="1" t="s">
        <v>13</v>
      </c>
      <c r="U1" s="1" t="s">
        <v>14</v>
      </c>
      <c r="V1" s="1" t="s">
        <v>80</v>
      </c>
    </row>
    <row r="2" spans="1:29" x14ac:dyDescent="0.25">
      <c r="A2" s="1" t="s">
        <v>3</v>
      </c>
      <c r="B2" s="1" t="s">
        <v>3</v>
      </c>
      <c r="C2" s="1" t="s">
        <v>3</v>
      </c>
      <c r="D2" s="4" t="s">
        <v>3</v>
      </c>
      <c r="E2" s="1" t="s">
        <v>3</v>
      </c>
      <c r="F2" s="5" t="s">
        <v>3</v>
      </c>
      <c r="G2" s="1" t="s">
        <v>67</v>
      </c>
      <c r="H2" s="4" t="s">
        <v>68</v>
      </c>
      <c r="I2" s="1" t="s">
        <v>69</v>
      </c>
      <c r="J2" s="1" t="s">
        <v>70</v>
      </c>
      <c r="K2" s="1" t="s">
        <v>70</v>
      </c>
      <c r="L2" s="5" t="s">
        <v>70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5</v>
      </c>
      <c r="T2" s="1" t="s">
        <v>4</v>
      </c>
      <c r="U2" s="1" t="s">
        <v>4</v>
      </c>
      <c r="V2" s="1" t="s">
        <v>3</v>
      </c>
    </row>
    <row r="3" spans="1:29" x14ac:dyDescent="0.25">
      <c r="A3" s="1" t="str">
        <f t="shared" ref="A3:A66" si="0">IF(ISBLANK($B3)=FALSE,IF(AND($D3&gt;0,$E3&lt;=0,$F3&lt;=0),_xlfn.CONCAT("ofw_",$B3),IF(AND($D3&lt;=0,$E3&gt;0,$F3&lt;=0),_xlfn.CONCAT("owc_",$B3),IF(AND($D3&lt;=0,$E3&lt;=0,$F3&gt;0),_xlfn.CONCAT("opv_",$B3),_xlfn.CONCAT("oce_",$B3)))),"")</f>
        <v>ofw_OPm001</v>
      </c>
      <c r="B3" s="2" t="s">
        <v>107</v>
      </c>
      <c r="C3" s="2" t="s">
        <v>98</v>
      </c>
      <c r="D3" s="13" t="s">
        <v>99</v>
      </c>
      <c r="E3" s="14"/>
      <c r="F3" s="15"/>
      <c r="G3" s="8">
        <v>4</v>
      </c>
      <c r="H3" s="4">
        <v>1.5</v>
      </c>
      <c r="L3" s="9"/>
      <c r="M3" s="2" t="s">
        <v>100</v>
      </c>
      <c r="N3" s="2" t="str">
        <f>IFERROR(IF(ISBLANK(M3),"",INDEX([1]Gen_Vessels!$A$3:$C$500,MATCH(CorrectiveMinor!$M3,[1]Gen_Vessels!$C$3:$C$500,0),1)),"")</f>
        <v>V201</v>
      </c>
      <c r="O3" s="2"/>
      <c r="P3" s="2" t="str">
        <f>IFERROR(IF(ISBLANK(O3),"",INDEX([1]Gen_Vessels!$A$3:$C$500,MATCH(CorrectiveMinor!$O3,[1]Gen_Vessels!$C$3:$C$500,0),1)),"")</f>
        <v/>
      </c>
      <c r="Q3" s="2"/>
      <c r="R3" s="2">
        <v>2</v>
      </c>
      <c r="S3" s="2">
        <v>500</v>
      </c>
      <c r="T3" s="2">
        <v>4200</v>
      </c>
      <c r="U3" s="2"/>
      <c r="V3" s="12" t="s">
        <v>81</v>
      </c>
      <c r="W3" s="2"/>
      <c r="X3" s="2"/>
      <c r="Y3" s="2"/>
      <c r="Z3" s="2"/>
      <c r="AA3" s="2"/>
      <c r="AB3" s="2"/>
      <c r="AC3" s="2"/>
    </row>
    <row r="4" spans="1:29" x14ac:dyDescent="0.25">
      <c r="A4" s="1" t="str">
        <f t="shared" si="0"/>
        <v>ofw_OPm002</v>
      </c>
      <c r="B4" s="2" t="s">
        <v>108</v>
      </c>
      <c r="C4" s="2" t="s">
        <v>101</v>
      </c>
      <c r="D4" s="13" t="s">
        <v>99</v>
      </c>
      <c r="E4" s="14"/>
      <c r="F4" s="15"/>
      <c r="G4" s="8">
        <v>6</v>
      </c>
      <c r="H4" s="4">
        <v>1.5</v>
      </c>
      <c r="L4" s="9"/>
      <c r="M4" s="2" t="s">
        <v>100</v>
      </c>
      <c r="N4" s="2" t="str">
        <f>IFERROR(IF(ISBLANK(M4),"",INDEX([1]Gen_Vessels!$A$3:$C$500,MATCH(CorrectiveMinor!$M4,[1]Gen_Vessels!$C$3:$C$500,0),1)),"")</f>
        <v>V201</v>
      </c>
      <c r="O4" s="2"/>
      <c r="P4" s="2" t="str">
        <f>IFERROR(IF(ISBLANK(O4),"",INDEX([1]Gen_Vessels!$A$3:$C$500,MATCH(CorrectiveMinor!$O4,[1]Gen_Vessels!$C$3:$C$500,0),1)),"")</f>
        <v/>
      </c>
      <c r="Q4" s="2"/>
      <c r="R4" s="2">
        <v>4</v>
      </c>
      <c r="S4" s="2">
        <v>500</v>
      </c>
      <c r="T4" s="2">
        <v>77700</v>
      </c>
      <c r="U4" s="2"/>
      <c r="V4" s="12" t="s">
        <v>81</v>
      </c>
      <c r="W4" s="2"/>
      <c r="X4" s="2"/>
      <c r="Y4" s="2"/>
      <c r="Z4" s="2"/>
      <c r="AA4" s="2"/>
      <c r="AB4" s="2"/>
      <c r="AC4" s="2"/>
    </row>
    <row r="5" spans="1:29" x14ac:dyDescent="0.25">
      <c r="A5" s="1" t="str">
        <f t="shared" si="0"/>
        <v>ofw_OPm003</v>
      </c>
      <c r="B5" s="2" t="s">
        <v>109</v>
      </c>
      <c r="C5" s="2" t="s">
        <v>102</v>
      </c>
      <c r="D5" s="13" t="s">
        <v>99</v>
      </c>
      <c r="E5" s="14"/>
      <c r="F5" s="15"/>
      <c r="G5" s="8">
        <v>8</v>
      </c>
      <c r="H5" s="4">
        <v>1.5</v>
      </c>
      <c r="L5" s="9"/>
      <c r="M5" s="2" t="s">
        <v>100</v>
      </c>
      <c r="N5" s="2" t="str">
        <f>IFERROR(IF(ISBLANK(M5),"",INDEX([1]Gen_Vessels!$A$3:$C$500,MATCH(CorrectiveMinor!$M5,[1]Gen_Vessels!$C$3:$C$500,0),1)),"")</f>
        <v>V201</v>
      </c>
      <c r="O5" s="2"/>
      <c r="P5" s="2" t="str">
        <f>IFERROR(IF(ISBLANK(O5),"",INDEX([1]Gen_Vessels!$A$3:$C$500,MATCH(CorrectiveMinor!$O5,[1]Gen_Vessels!$C$3:$C$500,0),1)),"")</f>
        <v/>
      </c>
      <c r="Q5" s="2"/>
      <c r="R5" s="2">
        <v>4</v>
      </c>
      <c r="S5" s="2">
        <v>500</v>
      </c>
      <c r="T5" s="2">
        <v>77700</v>
      </c>
      <c r="U5" s="2"/>
      <c r="V5" s="12" t="s">
        <v>81</v>
      </c>
      <c r="W5" s="2"/>
      <c r="X5" s="2"/>
      <c r="Y5" s="2"/>
      <c r="Z5" s="2"/>
      <c r="AA5" s="2"/>
      <c r="AB5" s="2"/>
      <c r="AC5" s="2"/>
    </row>
    <row r="6" spans="1:29" x14ac:dyDescent="0.25">
      <c r="A6" s="1" t="str">
        <f t="shared" si="0"/>
        <v>ofw_OPm004</v>
      </c>
      <c r="B6" s="2" t="s">
        <v>117</v>
      </c>
      <c r="C6" s="2" t="s">
        <v>103</v>
      </c>
      <c r="D6" s="13" t="s">
        <v>99</v>
      </c>
      <c r="E6" s="14"/>
      <c r="F6" s="15"/>
      <c r="G6" s="8">
        <v>6</v>
      </c>
      <c r="H6" s="4">
        <v>1.5</v>
      </c>
      <c r="L6" s="9"/>
      <c r="M6" s="2" t="s">
        <v>100</v>
      </c>
      <c r="N6" s="2" t="str">
        <f>IFERROR(IF(ISBLANK(M6),"",INDEX([1]Gen_Vessels!$A$3:$C$500,MATCH(CorrectiveMinor!$M6,[1]Gen_Vessels!$C$3:$C$500,0),1)),"")</f>
        <v>V201</v>
      </c>
      <c r="O6" s="2"/>
      <c r="P6" s="2" t="str">
        <f>IFERROR(IF(ISBLANK(O6),"",INDEX([1]Gen_Vessels!$A$3:$C$500,MATCH(CorrectiveMinor!$O6,[1]Gen_Vessels!$C$3:$C$500,0),1)),"")</f>
        <v/>
      </c>
      <c r="Q6" s="2"/>
      <c r="R6" s="2">
        <v>4</v>
      </c>
      <c r="S6" s="2">
        <v>500</v>
      </c>
      <c r="T6" s="2">
        <v>77700</v>
      </c>
      <c r="U6" s="2"/>
      <c r="V6" s="12" t="s">
        <v>81</v>
      </c>
      <c r="W6" s="2"/>
      <c r="X6" s="2"/>
      <c r="Y6" s="2"/>
      <c r="Z6" s="2"/>
      <c r="AA6" s="2"/>
      <c r="AB6" s="2"/>
      <c r="AC6" s="2"/>
    </row>
    <row r="7" spans="1:29" x14ac:dyDescent="0.25">
      <c r="A7" s="1" t="str">
        <f t="shared" si="0"/>
        <v>ofw_OPm005</v>
      </c>
      <c r="B7" s="2" t="s">
        <v>110</v>
      </c>
      <c r="C7" s="2" t="s">
        <v>104</v>
      </c>
      <c r="D7" s="13" t="s">
        <v>99</v>
      </c>
      <c r="E7" s="14"/>
      <c r="F7" s="15"/>
      <c r="G7" s="8">
        <v>5</v>
      </c>
      <c r="H7" s="4">
        <v>1.5</v>
      </c>
      <c r="L7" s="9"/>
      <c r="M7" s="2" t="s">
        <v>100</v>
      </c>
      <c r="N7" s="2" t="str">
        <f>IFERROR(IF(ISBLANK(M7),"",INDEX([1]Gen_Vessels!$A$3:$C$500,MATCH(CorrectiveMinor!$M7,[1]Gen_Vessels!$C$3:$C$500,0),1)),"")</f>
        <v>V201</v>
      </c>
      <c r="O7" s="2"/>
      <c r="P7" s="2" t="str">
        <f>IFERROR(IF(ISBLANK(O7),"",INDEX([1]Gen_Vessels!$A$3:$C$500,MATCH(CorrectiveMinor!$O7,[1]Gen_Vessels!$C$3:$C$500,0),1)),"")</f>
        <v/>
      </c>
      <c r="Q7" s="2"/>
      <c r="R7" s="2">
        <v>4</v>
      </c>
      <c r="S7" s="2">
        <v>500</v>
      </c>
      <c r="T7" s="2">
        <v>77700</v>
      </c>
      <c r="U7" s="2"/>
      <c r="V7" s="12" t="s">
        <v>81</v>
      </c>
      <c r="W7" s="2"/>
      <c r="X7" s="2"/>
      <c r="Y7" s="2"/>
      <c r="Z7" s="2"/>
      <c r="AA7" s="2"/>
      <c r="AB7" s="2"/>
      <c r="AC7" s="2"/>
    </row>
    <row r="8" spans="1:29" x14ac:dyDescent="0.25">
      <c r="A8" s="1" t="str">
        <f t="shared" si="0"/>
        <v>ofw_OPm006</v>
      </c>
      <c r="B8" s="2" t="s">
        <v>111</v>
      </c>
      <c r="C8" s="2" t="s">
        <v>105</v>
      </c>
      <c r="D8" s="13" t="s">
        <v>99</v>
      </c>
      <c r="E8" s="14"/>
      <c r="F8" s="15"/>
      <c r="G8" s="8">
        <v>6</v>
      </c>
      <c r="H8" s="4">
        <v>1.5</v>
      </c>
      <c r="L8" s="9"/>
      <c r="M8" s="2" t="s">
        <v>100</v>
      </c>
      <c r="N8" s="2" t="str">
        <f>IFERROR(IF(ISBLANK(M8),"",INDEX([1]Gen_Vessels!$A$3:$C$500,MATCH(CorrectiveMinor!$M8,[1]Gen_Vessels!$C$3:$C$500,0),1)),"")</f>
        <v>V201</v>
      </c>
      <c r="O8" s="2"/>
      <c r="P8" s="2" t="str">
        <f>IFERROR(IF(ISBLANK(O8),"",INDEX([1]Gen_Vessels!$A$3:$C$500,MATCH(CorrectiveMinor!$O8,[1]Gen_Vessels!$C$3:$C$500,0),1)),"")</f>
        <v/>
      </c>
      <c r="Q8" s="2"/>
      <c r="R8" s="2">
        <v>4</v>
      </c>
      <c r="S8" s="2">
        <v>500</v>
      </c>
      <c r="T8" s="2">
        <v>77700</v>
      </c>
      <c r="U8" s="2"/>
      <c r="V8" s="12" t="s">
        <v>81</v>
      </c>
      <c r="W8" s="2"/>
      <c r="X8" s="2"/>
      <c r="Y8" s="2"/>
      <c r="Z8" s="2"/>
      <c r="AA8" s="2"/>
      <c r="AB8" s="2"/>
      <c r="AC8" s="2"/>
    </row>
    <row r="9" spans="1:29" x14ac:dyDescent="0.25">
      <c r="A9" s="1" t="str">
        <f t="shared" si="0"/>
        <v/>
      </c>
      <c r="B9" s="2"/>
      <c r="C9" s="2"/>
      <c r="D9" s="13"/>
      <c r="E9" s="14"/>
      <c r="F9" s="15"/>
      <c r="G9" s="8"/>
      <c r="M9" s="2"/>
      <c r="N9" s="2" t="str">
        <f>IFERROR(IF(ISBLANK(M9),"",INDEX([1]Gen_Vessels!$A$3:$C$500,MATCH(CorrectiveMinor!$M9,[1]Gen_Vessels!$C$3:$C$500,0),1)),"")</f>
        <v/>
      </c>
      <c r="O9" s="2"/>
      <c r="P9" s="2" t="str">
        <f>IFERROR(IF(ISBLANK(O9),"",INDEX([1]Gen_Vessels!$A$3:$C$500,MATCH(CorrectiveMinor!$O9,[1]Gen_Vessels!$C$3:$C$500,0),1)),"")</f>
        <v/>
      </c>
      <c r="Q9" s="2"/>
      <c r="R9" s="2"/>
      <c r="S9" s="2"/>
      <c r="T9" s="2"/>
      <c r="U9" s="2"/>
      <c r="V9" s="12"/>
      <c r="W9" s="2"/>
      <c r="X9" s="2"/>
      <c r="Y9" s="2"/>
      <c r="Z9" s="2"/>
      <c r="AA9" s="2"/>
      <c r="AB9" s="2"/>
      <c r="AC9" s="2"/>
    </row>
    <row r="10" spans="1:29" x14ac:dyDescent="0.25">
      <c r="A10" s="1" t="str">
        <f t="shared" si="0"/>
        <v/>
      </c>
      <c r="B10" s="2"/>
      <c r="C10" s="2"/>
      <c r="D10" s="13"/>
      <c r="E10" s="14"/>
      <c r="F10" s="15"/>
      <c r="G10" s="8"/>
      <c r="M10" s="2"/>
      <c r="N10" s="2" t="str">
        <f>IFERROR(IF(ISBLANK(M10),"",INDEX([1]Gen_Vessels!$A$3:$C$500,MATCH(CorrectiveMinor!$M10,[1]Gen_Vessels!$C$3:$C$500,0),1)),"")</f>
        <v/>
      </c>
      <c r="O10" s="2"/>
      <c r="P10" s="2" t="str">
        <f>IFERROR(IF(ISBLANK(O10),"",INDEX([1]Gen_Vessels!$A$3:$C$500,MATCH(CorrectiveMinor!$O10,[1]Gen_Vessels!$C$3:$C$500,0),1)),"")</f>
        <v/>
      </c>
      <c r="Q10" s="2"/>
      <c r="R10" s="2"/>
      <c r="S10" s="2"/>
      <c r="T10" s="2"/>
      <c r="U10" s="2"/>
      <c r="V10" s="12"/>
      <c r="W10" s="2"/>
      <c r="X10" s="2"/>
      <c r="Y10" s="2"/>
      <c r="Z10" s="2"/>
      <c r="AA10" s="2"/>
      <c r="AB10" s="2"/>
      <c r="AC10" s="2"/>
    </row>
    <row r="11" spans="1:29" x14ac:dyDescent="0.25">
      <c r="A11" s="1" t="str">
        <f t="shared" si="0"/>
        <v/>
      </c>
      <c r="B11" s="2"/>
      <c r="C11" s="2"/>
      <c r="D11" s="13"/>
      <c r="E11" s="14"/>
      <c r="F11" s="15"/>
      <c r="G11" s="8"/>
      <c r="M11" s="2"/>
      <c r="N11" s="2" t="str">
        <f>IFERROR(IF(ISBLANK(M11),"",INDEX([1]Gen_Vessels!$A$3:$C$500,MATCH(CorrectiveMinor!$M11,[1]Gen_Vessels!$C$3:$C$500,0),1)),"")</f>
        <v/>
      </c>
      <c r="O11" s="2"/>
      <c r="P11" s="2" t="str">
        <f>IFERROR(IF(ISBLANK(O11),"",INDEX([1]Gen_Vessels!$A$3:$C$500,MATCH(CorrectiveMinor!$O11,[1]Gen_Vessels!$C$3:$C$500,0),1)),"")</f>
        <v/>
      </c>
      <c r="Q11" s="2"/>
      <c r="R11" s="2"/>
      <c r="S11" s="2"/>
      <c r="T11" s="2"/>
      <c r="U11" s="2"/>
      <c r="V11" s="12"/>
      <c r="W11" s="2"/>
      <c r="X11" s="2"/>
      <c r="Y11" s="2"/>
      <c r="Z11" s="2"/>
      <c r="AA11" s="2"/>
      <c r="AB11" s="2"/>
      <c r="AC11" s="2"/>
    </row>
    <row r="12" spans="1:29" x14ac:dyDescent="0.25">
      <c r="A12" s="1" t="str">
        <f t="shared" si="0"/>
        <v/>
      </c>
      <c r="B12" s="2"/>
      <c r="C12" s="2"/>
      <c r="D12" s="13"/>
      <c r="E12" s="14"/>
      <c r="F12" s="15"/>
      <c r="G12" s="8"/>
      <c r="M12" s="2"/>
      <c r="N12" s="2" t="str">
        <f>IFERROR(IF(ISBLANK(M12),"",INDEX([1]Gen_Vessels!$A$3:$C$500,MATCH(CorrectiveMinor!$M12,[1]Gen_Vessels!$C$3:$C$500,0),1)),"")</f>
        <v/>
      </c>
      <c r="O12" s="2"/>
      <c r="P12" s="2" t="str">
        <f>IFERROR(IF(ISBLANK(O12),"",INDEX([1]Gen_Vessels!$A$3:$C$500,MATCH(CorrectiveMinor!$O12,[1]Gen_Vessels!$C$3:$C$500,0),1)),"")</f>
        <v/>
      </c>
      <c r="Q12" s="2"/>
      <c r="R12" s="2"/>
      <c r="S12" s="2"/>
      <c r="T12" s="2"/>
      <c r="U12" s="2"/>
      <c r="V12" s="12"/>
      <c r="W12" s="2"/>
      <c r="X12" s="2"/>
      <c r="Y12" s="2"/>
      <c r="Z12" s="2"/>
      <c r="AA12" s="2"/>
      <c r="AB12" s="2"/>
      <c r="AC12" s="2"/>
    </row>
    <row r="13" spans="1:29" x14ac:dyDescent="0.25">
      <c r="A13" s="1" t="str">
        <f t="shared" si="0"/>
        <v/>
      </c>
      <c r="B13" s="2"/>
      <c r="C13" s="2"/>
      <c r="D13" s="13"/>
      <c r="E13" s="14"/>
      <c r="F13" s="15"/>
      <c r="G13" s="8"/>
      <c r="M13" s="2"/>
      <c r="N13" s="2" t="str">
        <f>IFERROR(IF(ISBLANK(M13),"",INDEX([1]Gen_Vessels!$A$3:$C$500,MATCH(CorrectiveMinor!$M13,[1]Gen_Vessels!$C$3:$C$500,0),1)),"")</f>
        <v/>
      </c>
      <c r="O13" s="2"/>
      <c r="P13" s="2" t="str">
        <f>IFERROR(IF(ISBLANK(O13),"",INDEX([1]Gen_Vessels!$A$3:$C$500,MATCH(CorrectiveMinor!$O13,[1]Gen_Vessels!$C$3:$C$500,0),1)),"")</f>
        <v/>
      </c>
      <c r="Q13" s="2"/>
      <c r="R13" s="2"/>
      <c r="S13" s="2"/>
      <c r="T13" s="2"/>
      <c r="U13" s="2"/>
      <c r="V13" s="12"/>
      <c r="W13" s="2"/>
      <c r="X13" s="2"/>
      <c r="Y13" s="2"/>
      <c r="Z13" s="2"/>
      <c r="AA13" s="2"/>
      <c r="AB13" s="2"/>
      <c r="AC13" s="2"/>
    </row>
    <row r="14" spans="1:29" x14ac:dyDescent="0.25">
      <c r="A14" s="1" t="str">
        <f t="shared" si="0"/>
        <v/>
      </c>
      <c r="B14" s="2"/>
      <c r="C14" s="2"/>
      <c r="D14" s="13"/>
      <c r="E14" s="14"/>
      <c r="F14" s="15"/>
      <c r="G14" s="8"/>
      <c r="M14" s="2"/>
      <c r="N14" s="2" t="str">
        <f>IFERROR(IF(ISBLANK(M14),"",INDEX([1]Gen_Vessels!$A$3:$C$500,MATCH(CorrectiveMinor!$M14,[1]Gen_Vessels!$C$3:$C$500,0),1)),"")</f>
        <v/>
      </c>
      <c r="O14" s="2"/>
      <c r="P14" s="2" t="str">
        <f>IFERROR(IF(ISBLANK(O14),"",INDEX([1]Gen_Vessels!$A$3:$C$500,MATCH(CorrectiveMinor!$O14,[1]Gen_Vessels!$C$3:$C$500,0),1)),"")</f>
        <v/>
      </c>
      <c r="Q14" s="2"/>
      <c r="R14" s="2"/>
      <c r="S14" s="2"/>
      <c r="T14" s="2"/>
      <c r="U14" s="2"/>
      <c r="V14" s="12"/>
      <c r="W14" s="2"/>
      <c r="X14" s="2"/>
      <c r="Y14" s="2"/>
      <c r="Z14" s="2"/>
      <c r="AA14" s="2"/>
      <c r="AB14" s="2"/>
      <c r="AC14" s="2"/>
    </row>
    <row r="15" spans="1:29" x14ac:dyDescent="0.25">
      <c r="A15" s="1" t="str">
        <f t="shared" si="0"/>
        <v/>
      </c>
      <c r="B15" s="2"/>
      <c r="C15" s="2"/>
      <c r="D15" s="13"/>
      <c r="E15" s="14"/>
      <c r="F15" s="15"/>
      <c r="G15" s="8"/>
      <c r="M15" s="2"/>
      <c r="N15" s="2" t="str">
        <f>IFERROR(IF(ISBLANK(M15),"",INDEX([1]Gen_Vessels!$A$3:$C$500,MATCH(CorrectiveMinor!$M15,[1]Gen_Vessels!$C$3:$C$500,0),1)),"")</f>
        <v/>
      </c>
      <c r="O15" s="2"/>
      <c r="P15" s="2" t="str">
        <f>IFERROR(IF(ISBLANK(O15),"",INDEX([1]Gen_Vessels!$A$3:$C$500,MATCH(CorrectiveMinor!$O15,[1]Gen_Vessels!$C$3:$C$500,0),1)),"")</f>
        <v/>
      </c>
      <c r="Q15" s="2"/>
      <c r="R15" s="2"/>
      <c r="S15" s="2"/>
      <c r="T15" s="2"/>
      <c r="U15" s="2"/>
      <c r="V15" s="12"/>
      <c r="W15" s="2"/>
      <c r="X15" s="2"/>
      <c r="Y15" s="2"/>
      <c r="Z15" s="2"/>
      <c r="AA15" s="2"/>
      <c r="AB15" s="2"/>
      <c r="AC15" s="2"/>
    </row>
    <row r="16" spans="1:29" x14ac:dyDescent="0.25">
      <c r="A16" s="1" t="str">
        <f t="shared" si="0"/>
        <v/>
      </c>
      <c r="B16" s="2"/>
      <c r="C16" s="2"/>
      <c r="D16" s="13"/>
      <c r="E16" s="14"/>
      <c r="F16" s="15"/>
      <c r="G16" s="8"/>
      <c r="M16" s="2"/>
      <c r="N16" s="2" t="str">
        <f>IFERROR(IF(ISBLANK(M16),"",INDEX([1]Gen_Vessels!$A$3:$C$500,MATCH(CorrectiveMinor!$M16,[1]Gen_Vessels!$C$3:$C$500,0),1)),"")</f>
        <v/>
      </c>
      <c r="O16" s="2"/>
      <c r="P16" s="2" t="str">
        <f>IFERROR(IF(ISBLANK(O16),"",INDEX([1]Gen_Vessels!$A$3:$C$500,MATCH(CorrectiveMinor!$O16,[1]Gen_Vessels!$C$3:$C$500,0),1)),"")</f>
        <v/>
      </c>
      <c r="Q16" s="2"/>
      <c r="R16" s="2"/>
      <c r="S16" s="2"/>
      <c r="T16" s="2"/>
      <c r="U16" s="2"/>
      <c r="V16" s="12"/>
      <c r="W16" s="2"/>
      <c r="X16" s="2"/>
      <c r="Y16" s="2"/>
      <c r="Z16" s="2"/>
      <c r="AA16" s="2"/>
      <c r="AB16" s="2"/>
      <c r="AC16" s="2"/>
    </row>
    <row r="17" spans="1:29" x14ac:dyDescent="0.25">
      <c r="A17" s="1" t="str">
        <f t="shared" si="0"/>
        <v/>
      </c>
      <c r="B17" s="2"/>
      <c r="C17" s="2"/>
      <c r="D17" s="13"/>
      <c r="E17" s="14"/>
      <c r="F17" s="15"/>
      <c r="G17" s="8"/>
      <c r="M17" s="2"/>
      <c r="N17" s="2" t="str">
        <f>IFERROR(IF(ISBLANK(M17),"",INDEX([1]Gen_Vessels!$A$3:$C$500,MATCH(CorrectiveMinor!$M17,[1]Gen_Vessels!$C$3:$C$500,0),1)),"")</f>
        <v/>
      </c>
      <c r="O17" s="2"/>
      <c r="P17" s="2" t="str">
        <f>IFERROR(IF(ISBLANK(O17),"",INDEX([1]Gen_Vessels!$A$3:$C$500,MATCH(CorrectiveMinor!$O17,[1]Gen_Vessels!$C$3:$C$500,0),1)),"")</f>
        <v/>
      </c>
      <c r="Q17" s="2"/>
      <c r="R17" s="2"/>
      <c r="S17" s="2"/>
      <c r="T17" s="2"/>
      <c r="U17" s="2"/>
      <c r="V17" s="12"/>
      <c r="W17" s="2"/>
      <c r="X17" s="2"/>
      <c r="Y17" s="2"/>
      <c r="Z17" s="2"/>
      <c r="AA17" s="2"/>
      <c r="AB17" s="2"/>
      <c r="AC17" s="2"/>
    </row>
    <row r="18" spans="1:29" x14ac:dyDescent="0.25">
      <c r="A18" s="1" t="str">
        <f t="shared" si="0"/>
        <v/>
      </c>
      <c r="B18" s="2"/>
      <c r="C18" s="2"/>
      <c r="D18" s="13"/>
      <c r="E18" s="14"/>
      <c r="F18" s="15"/>
      <c r="G18" s="8"/>
      <c r="M18" s="2"/>
      <c r="N18" s="2" t="str">
        <f>IFERROR(IF(ISBLANK(M18),"",INDEX([1]Gen_Vessels!$A$3:$C$500,MATCH(CorrectiveMinor!$M18,[1]Gen_Vessels!$C$3:$C$500,0),1)),"")</f>
        <v/>
      </c>
      <c r="O18" s="2"/>
      <c r="P18" s="2" t="str">
        <f>IFERROR(IF(ISBLANK(O18),"",INDEX([1]Gen_Vessels!$A$3:$C$500,MATCH(CorrectiveMinor!$O18,[1]Gen_Vessels!$C$3:$C$500,0),1)),"")</f>
        <v/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1" t="str">
        <f t="shared" si="0"/>
        <v/>
      </c>
      <c r="B19" s="2"/>
      <c r="C19" s="2"/>
      <c r="D19" s="13"/>
      <c r="E19" s="14"/>
      <c r="F19" s="15"/>
      <c r="G19" s="8"/>
      <c r="M19" s="2"/>
      <c r="N19" s="2" t="str">
        <f>IFERROR(IF(ISBLANK(M19),"",INDEX([1]Gen_Vessels!$A$3:$C$500,MATCH(CorrectiveMinor!$M19,[1]Gen_Vessels!$C$3:$C$500,0),1)),"")</f>
        <v/>
      </c>
      <c r="O19" s="2"/>
      <c r="P19" s="2" t="str">
        <f>IFERROR(IF(ISBLANK(O19),"",INDEX([1]Gen_Vessels!$A$3:$C$500,MATCH(CorrectiveMinor!$O19,[1]Gen_Vessels!$C$3:$C$500,0),1)),"")</f>
        <v/>
      </c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</row>
    <row r="20" spans="1:29" x14ac:dyDescent="0.25">
      <c r="A20" s="1" t="str">
        <f t="shared" si="0"/>
        <v/>
      </c>
      <c r="B20" s="2"/>
      <c r="C20" s="2"/>
      <c r="D20" s="13"/>
      <c r="E20" s="14"/>
      <c r="F20" s="15"/>
      <c r="G20" s="8"/>
      <c r="M20" s="2"/>
      <c r="N20" s="2" t="str">
        <f>IFERROR(IF(ISBLANK(M20),"",INDEX([1]Gen_Vessels!$A$3:$C$500,MATCH(CorrectiveMinor!$M20,[1]Gen_Vessels!$C$3:$C$500,0),1)),"")</f>
        <v/>
      </c>
      <c r="O20" s="2"/>
      <c r="P20" s="2" t="str">
        <f>IFERROR(IF(ISBLANK(O20),"",INDEX([1]Gen_Vessels!$A$3:$C$500,MATCH(CorrectiveMinor!$O20,[1]Gen_Vessels!$C$3:$C$500,0),1)),"")</f>
        <v/>
      </c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</row>
    <row r="21" spans="1:29" x14ac:dyDescent="0.25">
      <c r="A21" s="1" t="str">
        <f t="shared" si="0"/>
        <v/>
      </c>
      <c r="B21" s="2"/>
      <c r="C21" s="2"/>
      <c r="D21" s="13"/>
      <c r="E21" s="14"/>
      <c r="F21" s="15"/>
      <c r="G21" s="8"/>
      <c r="M21" s="2"/>
      <c r="N21" s="2" t="str">
        <f>IFERROR(IF(ISBLANK(M21),"",INDEX([1]Gen_Vessels!$A$3:$C$500,MATCH(CorrectiveMinor!$M21,[1]Gen_Vessels!$C$3:$C$500,0),1)),"")</f>
        <v/>
      </c>
      <c r="O21" s="2"/>
      <c r="P21" s="2" t="str">
        <f>IFERROR(IF(ISBLANK(O21),"",INDEX([1]Gen_Vessels!$A$3:$C$500,MATCH(CorrectiveMinor!$O21,[1]Gen_Vessels!$C$3:$C$500,0),1)),"")</f>
        <v/>
      </c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</row>
    <row r="22" spans="1:29" x14ac:dyDescent="0.25">
      <c r="A22" s="1" t="str">
        <f t="shared" si="0"/>
        <v/>
      </c>
      <c r="B22" s="2"/>
      <c r="C22" s="2"/>
      <c r="D22" s="13"/>
      <c r="E22" s="14"/>
      <c r="F22" s="15"/>
      <c r="G22" s="8"/>
      <c r="M22" s="2"/>
      <c r="N22" s="2" t="str">
        <f>IFERROR(IF(ISBLANK(M22),"",INDEX([1]Gen_Vessels!$A$3:$C$500,MATCH(CorrectiveMinor!$M22,[1]Gen_Vessels!$C$3:$C$500,0),1)),"")</f>
        <v/>
      </c>
      <c r="O22" s="2"/>
      <c r="P22" s="2" t="str">
        <f>IFERROR(IF(ISBLANK(O22),"",INDEX([1]Gen_Vessels!$A$3:$C$500,MATCH(CorrectiveMinor!$O22,[1]Gen_Vessels!$C$3:$C$500,0),1)),"")</f>
        <v/>
      </c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</row>
    <row r="23" spans="1:29" x14ac:dyDescent="0.25">
      <c r="A23" s="1" t="str">
        <f t="shared" si="0"/>
        <v/>
      </c>
      <c r="B23" s="2"/>
      <c r="C23" s="2"/>
      <c r="D23" s="13"/>
      <c r="E23" s="14"/>
      <c r="F23" s="15"/>
      <c r="G23" s="8"/>
      <c r="M23" s="2"/>
      <c r="N23" s="2" t="str">
        <f>IFERROR(IF(ISBLANK(M23),"",INDEX([1]Gen_Vessels!$A$3:$C$500,MATCH(CorrectiveMinor!$M23,[1]Gen_Vessels!$C$3:$C$500,0),1)),"")</f>
        <v/>
      </c>
      <c r="O23" s="2"/>
      <c r="P23" s="2" t="str">
        <f>IFERROR(IF(ISBLANK(O23),"",INDEX([1]Gen_Vessels!$A$3:$C$500,MATCH(CorrectiveMinor!$O23,[1]Gen_Vessels!$C$3:$C$500,0),1)),"")</f>
        <v/>
      </c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</row>
    <row r="24" spans="1:29" x14ac:dyDescent="0.25">
      <c r="A24" s="1" t="str">
        <f t="shared" si="0"/>
        <v/>
      </c>
      <c r="B24" s="2"/>
      <c r="C24" s="2"/>
      <c r="D24" s="13"/>
      <c r="E24" s="14"/>
      <c r="F24" s="15"/>
      <c r="G24" s="8"/>
      <c r="M24" s="2"/>
      <c r="N24" s="2" t="str">
        <f>IFERROR(IF(ISBLANK(M24),"",INDEX([1]Gen_Vessels!$A$3:$C$500,MATCH(CorrectiveMinor!$M24,[1]Gen_Vessels!$C$3:$C$500,0),1)),"")</f>
        <v/>
      </c>
      <c r="O24" s="2"/>
      <c r="P24" s="2" t="str">
        <f>IFERROR(IF(ISBLANK(O24),"",INDEX([1]Gen_Vessels!$A$3:$C$500,MATCH(CorrectiveMinor!$O24,[1]Gen_Vessels!$C$3:$C$500,0),1)),"")</f>
        <v/>
      </c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</row>
    <row r="25" spans="1:29" x14ac:dyDescent="0.25">
      <c r="A25" s="1" t="str">
        <f t="shared" si="0"/>
        <v/>
      </c>
      <c r="B25" s="2"/>
      <c r="C25" s="2"/>
      <c r="D25" s="13"/>
      <c r="E25" s="14"/>
      <c r="F25" s="15"/>
      <c r="G25" s="8"/>
      <c r="M25" s="2"/>
      <c r="N25" s="2" t="str">
        <f>IFERROR(IF(ISBLANK(M25),"",INDEX([1]Gen_Vessels!$A$3:$C$500,MATCH(CorrectiveMinor!$M25,[1]Gen_Vessels!$C$3:$C$500,0),1)),"")</f>
        <v/>
      </c>
      <c r="O25" s="2"/>
      <c r="P25" s="2" t="str">
        <f>IFERROR(IF(ISBLANK(O25),"",INDEX([1]Gen_Vessels!$A$3:$C$500,MATCH(CorrectiveMinor!$O25,[1]Gen_Vessels!$C$3:$C$500,0),1)),"")</f>
        <v/>
      </c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</row>
    <row r="26" spans="1:29" x14ac:dyDescent="0.25">
      <c r="A26" s="1" t="str">
        <f t="shared" si="0"/>
        <v/>
      </c>
      <c r="B26" s="2"/>
      <c r="C26" s="2"/>
      <c r="D26" s="13"/>
      <c r="E26" s="14"/>
      <c r="F26" s="15"/>
      <c r="G26" s="8"/>
      <c r="M26" s="2"/>
      <c r="N26" s="2" t="str">
        <f>IFERROR(IF(ISBLANK(M26),"",INDEX([1]Gen_Vessels!$A$3:$C$500,MATCH(CorrectiveMinor!$M26,[1]Gen_Vessels!$C$3:$C$500,0),1)),"")</f>
        <v/>
      </c>
      <c r="O26" s="2"/>
      <c r="P26" s="2" t="str">
        <f>IFERROR(IF(ISBLANK(O26),"",INDEX([1]Gen_Vessels!$A$3:$C$500,MATCH(CorrectiveMinor!$O26,[1]Gen_Vessels!$C$3:$C$500,0),1)),"")</f>
        <v/>
      </c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</row>
    <row r="27" spans="1:29" x14ac:dyDescent="0.25">
      <c r="A27" s="1" t="str">
        <f t="shared" si="0"/>
        <v/>
      </c>
      <c r="B27" s="2"/>
      <c r="C27" s="2"/>
      <c r="D27" s="13"/>
      <c r="E27" s="14"/>
      <c r="F27" s="15"/>
      <c r="G27" s="8"/>
      <c r="M27" s="2"/>
      <c r="N27" s="2" t="str">
        <f>IFERROR(IF(ISBLANK(M27),"",INDEX([1]Gen_Vessels!$A$3:$C$500,MATCH(CorrectiveMinor!$M27,[1]Gen_Vessels!$C$3:$C$500,0),1)),"")</f>
        <v/>
      </c>
      <c r="O27" s="2"/>
      <c r="P27" s="2" t="str">
        <f>IFERROR(IF(ISBLANK(O27),"",INDEX([1]Gen_Vessels!$A$3:$C$500,MATCH(CorrectiveMinor!$O27,[1]Gen_Vessels!$C$3:$C$500,0),1)),"")</f>
        <v/>
      </c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</row>
    <row r="28" spans="1:29" x14ac:dyDescent="0.25">
      <c r="A28" s="1" t="str">
        <f t="shared" si="0"/>
        <v/>
      </c>
      <c r="B28" s="2"/>
      <c r="C28" s="2"/>
      <c r="D28" s="13"/>
      <c r="E28" s="14"/>
      <c r="F28" s="15"/>
      <c r="G28" s="8"/>
      <c r="M28" s="2"/>
      <c r="N28" s="2" t="str">
        <f>IFERROR(IF(ISBLANK(M28),"",INDEX([1]Gen_Vessels!$A$3:$C$500,MATCH(CorrectiveMinor!$M28,[1]Gen_Vessels!$C$3:$C$500,0),1)),"")</f>
        <v/>
      </c>
      <c r="O28" s="2"/>
      <c r="P28" s="2" t="str">
        <f>IFERROR(IF(ISBLANK(O28),"",INDEX([1]Gen_Vessels!$A$3:$C$500,MATCH(CorrectiveMinor!$O28,[1]Gen_Vessels!$C$3:$C$500,0),1)),"")</f>
        <v/>
      </c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</row>
    <row r="29" spans="1:29" x14ac:dyDescent="0.25">
      <c r="A29" s="1" t="str">
        <f t="shared" si="0"/>
        <v/>
      </c>
      <c r="B29" s="2"/>
      <c r="C29" s="2"/>
      <c r="D29" s="13"/>
      <c r="E29" s="14"/>
      <c r="F29" s="15"/>
      <c r="G29" s="8"/>
      <c r="M29" s="2"/>
      <c r="N29" s="2" t="str">
        <f>IFERROR(IF(ISBLANK(M29),"",INDEX([1]Gen_Vessels!$A$3:$C$500,MATCH(CorrectiveMinor!$M29,[1]Gen_Vessels!$C$3:$C$500,0),1)),"")</f>
        <v/>
      </c>
      <c r="O29" s="2"/>
      <c r="P29" s="2" t="str">
        <f>IFERROR(IF(ISBLANK(O29),"",INDEX([1]Gen_Vessels!$A$3:$C$500,MATCH(CorrectiveMinor!$O29,[1]Gen_Vessels!$C$3:$C$500,0),1)),"")</f>
        <v/>
      </c>
      <c r="Q29" s="2"/>
      <c r="R29" s="2"/>
      <c r="S29" s="2"/>
      <c r="T29" s="2"/>
      <c r="U29" s="2"/>
      <c r="W29" s="2"/>
      <c r="X29" s="2"/>
      <c r="Y29" s="2"/>
      <c r="Z29" s="2"/>
      <c r="AA29" s="2"/>
      <c r="AB29" s="2"/>
      <c r="AC29" s="2"/>
    </row>
    <row r="30" spans="1:29" x14ac:dyDescent="0.25">
      <c r="A30" s="1" t="str">
        <f t="shared" si="0"/>
        <v/>
      </c>
      <c r="B30" s="2"/>
      <c r="C30" s="2"/>
      <c r="D30" s="13"/>
      <c r="E30" s="14"/>
      <c r="F30" s="15"/>
      <c r="G30" s="8"/>
      <c r="M30" s="2"/>
      <c r="N30" s="2" t="str">
        <f>IFERROR(IF(ISBLANK(M30),"",INDEX([1]Gen_Vessels!$A$3:$C$500,MATCH(CorrectiveMinor!$M30,[1]Gen_Vessels!$C$3:$C$500,0),1)),"")</f>
        <v/>
      </c>
      <c r="O30" s="2"/>
      <c r="P30" s="2" t="str">
        <f>IFERROR(IF(ISBLANK(O30),"",INDEX([1]Gen_Vessels!$A$3:$C$500,MATCH(CorrectiveMinor!$O30,[1]Gen_Vessels!$C$3:$C$500,0),1)),"")</f>
        <v/>
      </c>
      <c r="Q30" s="2"/>
      <c r="R30" s="2"/>
      <c r="S30" s="2"/>
      <c r="T30" s="2"/>
      <c r="U30" s="2"/>
      <c r="W30" s="2"/>
      <c r="X30" s="2"/>
      <c r="Y30" s="2"/>
      <c r="Z30" s="2"/>
      <c r="AA30" s="2"/>
      <c r="AB30" s="2"/>
      <c r="AC30" s="2"/>
    </row>
    <row r="31" spans="1:29" x14ac:dyDescent="0.25">
      <c r="A31" s="1" t="str">
        <f t="shared" si="0"/>
        <v/>
      </c>
      <c r="B31" s="2"/>
      <c r="C31" s="2"/>
      <c r="D31" s="13"/>
      <c r="E31" s="14"/>
      <c r="F31" s="15"/>
      <c r="G31" s="8"/>
      <c r="M31" s="2"/>
      <c r="N31" s="2" t="str">
        <f>IFERROR(IF(ISBLANK(M31),"",INDEX([1]Gen_Vessels!$A$3:$C$500,MATCH(CorrectiveMinor!$M31,[1]Gen_Vessels!$C$3:$C$500,0),1)),"")</f>
        <v/>
      </c>
      <c r="O31" s="2"/>
      <c r="P31" s="2" t="str">
        <f>IFERROR(IF(ISBLANK(O31),"",INDEX([1]Gen_Vessels!$A$3:$C$500,MATCH(CorrectiveMinor!$O31,[1]Gen_Vessels!$C$3:$C$500,0),1)),"")</f>
        <v/>
      </c>
      <c r="Q31" s="2"/>
      <c r="R31" s="2"/>
      <c r="S31" s="2"/>
      <c r="T31" s="2"/>
      <c r="U31" s="2"/>
      <c r="W31" s="2"/>
      <c r="X31" s="2"/>
      <c r="Y31" s="2"/>
      <c r="Z31" s="2"/>
      <c r="AA31" s="2"/>
      <c r="AB31" s="2"/>
      <c r="AC31" s="2"/>
    </row>
    <row r="32" spans="1:29" x14ac:dyDescent="0.25">
      <c r="A32" s="1" t="str">
        <f t="shared" si="0"/>
        <v/>
      </c>
      <c r="B32" s="2"/>
      <c r="C32" s="2"/>
      <c r="D32" s="13"/>
      <c r="E32" s="14"/>
      <c r="F32" s="15"/>
      <c r="G32" s="8"/>
      <c r="M32" s="2"/>
      <c r="N32" s="2" t="str">
        <f>IFERROR(IF(ISBLANK(M32),"",INDEX([1]Gen_Vessels!$A$3:$C$500,MATCH(CorrectiveMinor!$M32,[1]Gen_Vessels!$C$3:$C$500,0),1)),"")</f>
        <v/>
      </c>
      <c r="O32" s="2"/>
      <c r="P32" s="2" t="str">
        <f>IFERROR(IF(ISBLANK(O32),"",INDEX([1]Gen_Vessels!$A$3:$C$500,MATCH(CorrectiveMinor!$O32,[1]Gen_Vessels!$C$3:$C$500,0),1)),"")</f>
        <v/>
      </c>
      <c r="Q32" s="2"/>
      <c r="R32" s="2"/>
      <c r="S32" s="2"/>
      <c r="T32" s="2"/>
      <c r="U32" s="2"/>
      <c r="W32" s="2"/>
      <c r="X32" s="2"/>
      <c r="Y32" s="2"/>
      <c r="Z32" s="2"/>
      <c r="AA32" s="2"/>
      <c r="AB32" s="2"/>
      <c r="AC32" s="2"/>
    </row>
    <row r="33" spans="1:29" x14ac:dyDescent="0.25">
      <c r="A33" s="1" t="str">
        <f t="shared" si="0"/>
        <v/>
      </c>
      <c r="B33" s="2"/>
      <c r="C33" s="2"/>
      <c r="D33" s="13"/>
      <c r="E33" s="14"/>
      <c r="F33" s="15"/>
      <c r="G33" s="8"/>
      <c r="M33" s="2"/>
      <c r="N33" s="2" t="str">
        <f>IFERROR(IF(ISBLANK(M33),"",INDEX([1]Gen_Vessels!$A$3:$C$500,MATCH(CorrectiveMinor!$M33,[1]Gen_Vessels!$C$3:$C$500,0),1)),"")</f>
        <v/>
      </c>
      <c r="O33" s="2"/>
      <c r="P33" s="2" t="str">
        <f>IFERROR(IF(ISBLANK(O33),"",INDEX([1]Gen_Vessels!$A$3:$C$500,MATCH(CorrectiveMinor!$O33,[1]Gen_Vessels!$C$3:$C$500,0),1)),"")</f>
        <v/>
      </c>
      <c r="Q33" s="2"/>
      <c r="R33" s="2"/>
      <c r="S33" s="2"/>
      <c r="T33" s="2"/>
      <c r="U33" s="2"/>
      <c r="W33" s="2"/>
      <c r="X33" s="2"/>
      <c r="Y33" s="2"/>
      <c r="Z33" s="2"/>
      <c r="AA33" s="2"/>
      <c r="AB33" s="2"/>
      <c r="AC33" s="2"/>
    </row>
    <row r="34" spans="1:29" x14ac:dyDescent="0.25">
      <c r="A34" s="1" t="str">
        <f t="shared" si="0"/>
        <v/>
      </c>
      <c r="B34" s="2"/>
      <c r="C34" s="2"/>
      <c r="D34" s="13"/>
      <c r="E34" s="14"/>
      <c r="F34" s="15"/>
      <c r="G34" s="8"/>
      <c r="M34" s="2"/>
      <c r="N34" s="2" t="str">
        <f>IFERROR(IF(ISBLANK(M34),"",INDEX([1]Gen_Vessels!$A$3:$C$500,MATCH(CorrectiveMinor!$M34,[1]Gen_Vessels!$C$3:$C$500,0),1)),"")</f>
        <v/>
      </c>
      <c r="O34" s="2"/>
      <c r="P34" s="2" t="str">
        <f>IFERROR(IF(ISBLANK(O34),"",INDEX([1]Gen_Vessels!$A$3:$C$500,MATCH(CorrectiveMinor!$O34,[1]Gen_Vessels!$C$3:$C$500,0),1)),"")</f>
        <v/>
      </c>
      <c r="Q34" s="2"/>
      <c r="R34" s="2"/>
      <c r="S34" s="2"/>
      <c r="T34" s="2"/>
      <c r="U34" s="2"/>
      <c r="W34" s="2"/>
      <c r="X34" s="2"/>
      <c r="Y34" s="2"/>
      <c r="Z34" s="2"/>
      <c r="AA34" s="2"/>
      <c r="AB34" s="2"/>
      <c r="AC34" s="2"/>
    </row>
    <row r="35" spans="1:29" x14ac:dyDescent="0.25">
      <c r="A35" s="1" t="str">
        <f t="shared" si="0"/>
        <v/>
      </c>
      <c r="B35" s="2"/>
      <c r="C35" s="2"/>
      <c r="D35" s="13"/>
      <c r="E35" s="14"/>
      <c r="F35" s="15"/>
      <c r="G35" s="8"/>
      <c r="M35" s="2"/>
      <c r="N35" s="2" t="str">
        <f>IFERROR(IF(ISBLANK(M35),"",INDEX([1]Gen_Vessels!$A$3:$C$500,MATCH(CorrectiveMinor!$M35,[1]Gen_Vessels!$C$3:$C$500,0),1)),"")</f>
        <v/>
      </c>
      <c r="O35" s="2"/>
      <c r="P35" s="2" t="str">
        <f>IFERROR(IF(ISBLANK(O35),"",INDEX([1]Gen_Vessels!$A$3:$C$500,MATCH(CorrectiveMinor!$O35,[1]Gen_Vessels!$C$3:$C$500,0),1)),"")</f>
        <v/>
      </c>
      <c r="Q35" s="2"/>
      <c r="R35" s="2"/>
      <c r="S35" s="2"/>
      <c r="T35" s="2"/>
      <c r="U35" s="2"/>
      <c r="W35" s="2"/>
      <c r="X35" s="2"/>
      <c r="Y35" s="2"/>
      <c r="Z35" s="2"/>
      <c r="AA35" s="2"/>
      <c r="AB35" s="2"/>
      <c r="AC35" s="2"/>
    </row>
    <row r="36" spans="1:29" x14ac:dyDescent="0.25">
      <c r="A36" s="1" t="str">
        <f t="shared" si="0"/>
        <v/>
      </c>
      <c r="B36" s="2"/>
      <c r="C36" s="2"/>
      <c r="D36" s="13"/>
      <c r="E36" s="14"/>
      <c r="F36" s="15"/>
      <c r="G36" s="8"/>
      <c r="M36" s="2"/>
      <c r="N36" s="2" t="str">
        <f>IFERROR(IF(ISBLANK(M36),"",INDEX([1]Gen_Vessels!$A$3:$C$500,MATCH(CorrectiveMinor!$M36,[1]Gen_Vessels!$C$3:$C$500,0),1)),"")</f>
        <v/>
      </c>
      <c r="O36" s="2"/>
      <c r="P36" s="2" t="str">
        <f>IFERROR(IF(ISBLANK(O36),"",INDEX([1]Gen_Vessels!$A$3:$C$500,MATCH(CorrectiveMinor!$O36,[1]Gen_Vessels!$C$3:$C$500,0),1)),"")</f>
        <v/>
      </c>
      <c r="Q36" s="2"/>
      <c r="R36" s="2"/>
      <c r="S36" s="2"/>
      <c r="T36" s="2"/>
      <c r="U36" s="2"/>
      <c r="W36" s="2"/>
      <c r="X36" s="2"/>
      <c r="Y36" s="2"/>
      <c r="Z36" s="2"/>
      <c r="AA36" s="2"/>
      <c r="AB36" s="2"/>
      <c r="AC36" s="2"/>
    </row>
    <row r="37" spans="1:29" x14ac:dyDescent="0.25">
      <c r="A37" s="1" t="str">
        <f t="shared" si="0"/>
        <v/>
      </c>
      <c r="B37" s="2"/>
      <c r="C37" s="2"/>
      <c r="D37" s="13"/>
      <c r="E37" s="14"/>
      <c r="F37" s="15"/>
      <c r="G37" s="8"/>
      <c r="M37" s="2"/>
      <c r="N37" s="2" t="str">
        <f>IFERROR(IF(ISBLANK(M37),"",INDEX([1]Gen_Vessels!$A$3:$C$500,MATCH(CorrectiveMinor!$M37,[1]Gen_Vessels!$C$3:$C$500,0),1)),"")</f>
        <v/>
      </c>
      <c r="O37" s="2"/>
      <c r="P37" s="2" t="str">
        <f>IFERROR(IF(ISBLANK(O37),"",INDEX([1]Gen_Vessels!$A$3:$C$500,MATCH(CorrectiveMinor!$O37,[1]Gen_Vessels!$C$3:$C$500,0),1)),"")</f>
        <v/>
      </c>
      <c r="Q37" s="2"/>
      <c r="R37" s="2"/>
      <c r="S37" s="2"/>
      <c r="T37" s="2"/>
      <c r="U37" s="2"/>
      <c r="W37" s="2"/>
      <c r="X37" s="2"/>
      <c r="Y37" s="2"/>
      <c r="Z37" s="2"/>
      <c r="AA37" s="2"/>
      <c r="AB37" s="2"/>
      <c r="AC37" s="2"/>
    </row>
    <row r="38" spans="1:29" x14ac:dyDescent="0.25">
      <c r="A38" s="1" t="str">
        <f t="shared" si="0"/>
        <v/>
      </c>
      <c r="B38" s="2"/>
      <c r="C38" s="2"/>
      <c r="D38" s="13"/>
      <c r="E38" s="14"/>
      <c r="F38" s="15"/>
      <c r="G38" s="8"/>
      <c r="M38" s="2"/>
      <c r="N38" s="2" t="str">
        <f>IFERROR(IF(ISBLANK(M38),"",INDEX([1]Gen_Vessels!$A$3:$C$500,MATCH(CorrectiveMinor!$M38,[1]Gen_Vessels!$C$3:$C$500,0),1)),"")</f>
        <v/>
      </c>
      <c r="O38" s="2"/>
      <c r="P38" s="2" t="str">
        <f>IFERROR(IF(ISBLANK(O38),"",INDEX([1]Gen_Vessels!$A$3:$C$500,MATCH(CorrectiveMinor!$O38,[1]Gen_Vessels!$C$3:$C$500,0),1)),"")</f>
        <v/>
      </c>
      <c r="Q38" s="2"/>
      <c r="R38" s="2"/>
      <c r="S38" s="2"/>
      <c r="T38" s="2"/>
      <c r="U38" s="2"/>
      <c r="W38" s="2"/>
      <c r="X38" s="2"/>
      <c r="Y38" s="2"/>
      <c r="Z38" s="2"/>
      <c r="AA38" s="2"/>
      <c r="AB38" s="2"/>
      <c r="AC38" s="2"/>
    </row>
    <row r="39" spans="1:29" x14ac:dyDescent="0.25">
      <c r="A39" s="1" t="str">
        <f t="shared" si="0"/>
        <v/>
      </c>
      <c r="B39" s="2"/>
      <c r="C39" s="2"/>
      <c r="D39" s="13"/>
      <c r="E39" s="14"/>
      <c r="F39" s="15"/>
      <c r="G39" s="8"/>
      <c r="M39" s="2"/>
      <c r="N39" s="2" t="str">
        <f>IFERROR(IF(ISBLANK(M39),"",INDEX([1]Gen_Vessels!$A$3:$C$500,MATCH(CorrectiveMinor!$M39,[1]Gen_Vessels!$C$3:$C$500,0),1)),"")</f>
        <v/>
      </c>
      <c r="O39" s="2"/>
      <c r="P39" s="2" t="str">
        <f>IFERROR(IF(ISBLANK(O39),"",INDEX([1]Gen_Vessels!$A$3:$C$500,MATCH(CorrectiveMinor!$O39,[1]Gen_Vessels!$C$3:$C$500,0),1)),"")</f>
        <v/>
      </c>
      <c r="Q39" s="2"/>
      <c r="R39" s="2"/>
      <c r="S39" s="2"/>
      <c r="T39" s="2"/>
      <c r="U39" s="2"/>
      <c r="W39" s="2"/>
      <c r="X39" s="2"/>
      <c r="Y39" s="2"/>
      <c r="Z39" s="2"/>
      <c r="AA39" s="2"/>
      <c r="AB39" s="2"/>
      <c r="AC39" s="2"/>
    </row>
    <row r="40" spans="1:29" x14ac:dyDescent="0.25">
      <c r="A40" s="1" t="str">
        <f t="shared" si="0"/>
        <v/>
      </c>
      <c r="B40" s="2"/>
      <c r="C40" s="2"/>
      <c r="D40" s="13"/>
      <c r="E40" s="14"/>
      <c r="F40" s="15"/>
      <c r="G40" s="8"/>
      <c r="M40" s="2"/>
      <c r="N40" s="2" t="str">
        <f>IFERROR(IF(ISBLANK(M40),"",INDEX([1]Gen_Vessels!$A$3:$C$500,MATCH(CorrectiveMinor!$M40,[1]Gen_Vessels!$C$3:$C$500,0),1)),"")</f>
        <v/>
      </c>
      <c r="O40" s="2"/>
      <c r="P40" s="2" t="str">
        <f>IFERROR(IF(ISBLANK(O40),"",INDEX([1]Gen_Vessels!$A$3:$C$500,MATCH(CorrectiveMinor!$O40,[1]Gen_Vessels!$C$3:$C$500,0),1)),"")</f>
        <v/>
      </c>
      <c r="Q40" s="2"/>
      <c r="R40" s="2"/>
      <c r="S40" s="2"/>
      <c r="T40" s="2"/>
      <c r="U40" s="2"/>
      <c r="W40" s="2"/>
      <c r="X40" s="2"/>
      <c r="Y40" s="2"/>
      <c r="Z40" s="2"/>
      <c r="AA40" s="2"/>
      <c r="AB40" s="2"/>
      <c r="AC40" s="2"/>
    </row>
    <row r="41" spans="1:29" x14ac:dyDescent="0.25">
      <c r="A41" s="1" t="str">
        <f t="shared" si="0"/>
        <v/>
      </c>
      <c r="B41" s="2"/>
      <c r="C41" s="2"/>
      <c r="D41" s="13"/>
      <c r="E41" s="14"/>
      <c r="F41" s="15"/>
      <c r="G41" s="8"/>
      <c r="M41" s="2"/>
      <c r="N41" s="2" t="str">
        <f>IFERROR(IF(ISBLANK(M41),"",INDEX([1]Gen_Vessels!$A$3:$C$500,MATCH(CorrectiveMinor!$M41,[1]Gen_Vessels!$C$3:$C$500,0),1)),"")</f>
        <v/>
      </c>
      <c r="O41" s="2"/>
      <c r="P41" s="2" t="str">
        <f>IFERROR(IF(ISBLANK(O41),"",INDEX([1]Gen_Vessels!$A$3:$C$500,MATCH(CorrectiveMinor!$O41,[1]Gen_Vessels!$C$3:$C$500,0),1)),"")</f>
        <v/>
      </c>
      <c r="Q41" s="2"/>
      <c r="R41" s="2"/>
      <c r="S41" s="2"/>
      <c r="T41" s="2"/>
      <c r="U41" s="2"/>
      <c r="W41" s="2"/>
      <c r="X41" s="2"/>
      <c r="Y41" s="2"/>
      <c r="Z41" s="2"/>
      <c r="AA41" s="2"/>
      <c r="AB41" s="2"/>
      <c r="AC41" s="2"/>
    </row>
    <row r="42" spans="1:29" x14ac:dyDescent="0.25">
      <c r="A42" s="1" t="str">
        <f t="shared" si="0"/>
        <v/>
      </c>
      <c r="B42" s="2"/>
      <c r="C42" s="2"/>
      <c r="D42" s="13"/>
      <c r="E42" s="14"/>
      <c r="F42" s="15"/>
      <c r="G42" s="8"/>
      <c r="M42" s="2"/>
      <c r="N42" s="2" t="str">
        <f>IFERROR(IF(ISBLANK(M42),"",INDEX([1]Gen_Vessels!$A$3:$C$500,MATCH(CorrectiveMinor!$M42,[1]Gen_Vessels!$C$3:$C$500,0),1)),"")</f>
        <v/>
      </c>
      <c r="O42" s="2"/>
      <c r="P42" s="2" t="str">
        <f>IFERROR(IF(ISBLANK(O42),"",INDEX([1]Gen_Vessels!$A$3:$C$500,MATCH(CorrectiveMinor!$O42,[1]Gen_Vessels!$C$3:$C$500,0),1)),"")</f>
        <v/>
      </c>
      <c r="Q42" s="2"/>
      <c r="R42" s="2"/>
      <c r="S42" s="2"/>
      <c r="T42" s="2"/>
      <c r="U42" s="2"/>
      <c r="W42" s="2"/>
      <c r="X42" s="2"/>
      <c r="Y42" s="2"/>
      <c r="Z42" s="2"/>
      <c r="AA42" s="2"/>
      <c r="AB42" s="2"/>
      <c r="AC42" s="2"/>
    </row>
    <row r="43" spans="1:29" x14ac:dyDescent="0.25">
      <c r="A43" s="1" t="str">
        <f t="shared" si="0"/>
        <v/>
      </c>
      <c r="B43" s="2"/>
      <c r="C43" s="2"/>
      <c r="D43" s="13"/>
      <c r="E43" s="14"/>
      <c r="F43" s="15"/>
      <c r="G43" s="8"/>
      <c r="M43" s="2"/>
      <c r="N43" s="2" t="str">
        <f>IFERROR(IF(ISBLANK(M43),"",INDEX([1]Gen_Vessels!$A$3:$C$500,MATCH(CorrectiveMinor!$M43,[1]Gen_Vessels!$C$3:$C$500,0),1)),"")</f>
        <v/>
      </c>
      <c r="O43" s="2"/>
      <c r="P43" s="2" t="str">
        <f>IFERROR(IF(ISBLANK(O43),"",INDEX([1]Gen_Vessels!$A$3:$C$500,MATCH(CorrectiveMinor!$O43,[1]Gen_Vessels!$C$3:$C$500,0),1)),"")</f>
        <v/>
      </c>
      <c r="Q43" s="2"/>
      <c r="R43" s="2"/>
      <c r="S43" s="2"/>
      <c r="T43" s="2"/>
      <c r="U43" s="2"/>
      <c r="W43" s="2"/>
      <c r="X43" s="2"/>
      <c r="Y43" s="2"/>
      <c r="Z43" s="2"/>
      <c r="AA43" s="2"/>
      <c r="AB43" s="2"/>
      <c r="AC43" s="2"/>
    </row>
    <row r="44" spans="1:29" x14ac:dyDescent="0.25">
      <c r="A44" s="1" t="str">
        <f t="shared" si="0"/>
        <v/>
      </c>
      <c r="B44" s="2"/>
      <c r="C44" s="2"/>
      <c r="D44" s="13"/>
      <c r="E44" s="14"/>
      <c r="F44" s="15"/>
      <c r="G44" s="8"/>
      <c r="M44" s="2"/>
      <c r="N44" s="2" t="str">
        <f>IFERROR(IF(ISBLANK(M44),"",INDEX([1]Gen_Vessels!$A$3:$C$500,MATCH(CorrectiveMinor!$M44,[1]Gen_Vessels!$C$3:$C$500,0),1)),"")</f>
        <v/>
      </c>
      <c r="O44" s="2"/>
      <c r="P44" s="2" t="str">
        <f>IFERROR(IF(ISBLANK(O44),"",INDEX([1]Gen_Vessels!$A$3:$C$500,MATCH(CorrectiveMinor!$O44,[1]Gen_Vessels!$C$3:$C$500,0),1)),"")</f>
        <v/>
      </c>
      <c r="Q44" s="2"/>
      <c r="R44" s="2"/>
      <c r="S44" s="2"/>
      <c r="T44" s="2"/>
      <c r="U44" s="2"/>
      <c r="W44" s="2"/>
      <c r="X44" s="2"/>
      <c r="Y44" s="2"/>
      <c r="Z44" s="2"/>
      <c r="AA44" s="2"/>
      <c r="AB44" s="2"/>
      <c r="AC44" s="2"/>
    </row>
    <row r="45" spans="1:29" x14ac:dyDescent="0.25">
      <c r="A45" s="1" t="str">
        <f t="shared" si="0"/>
        <v/>
      </c>
      <c r="B45" s="2"/>
      <c r="C45" s="2"/>
      <c r="D45" s="13"/>
      <c r="E45" s="14"/>
      <c r="F45" s="15"/>
      <c r="G45" s="8"/>
      <c r="M45" s="2"/>
      <c r="N45" s="2" t="str">
        <f>IFERROR(IF(ISBLANK(M45),"",INDEX([1]Gen_Vessels!$A$3:$C$500,MATCH(CorrectiveMinor!$M45,[1]Gen_Vessels!$C$3:$C$500,0),1)),"")</f>
        <v/>
      </c>
      <c r="O45" s="2"/>
      <c r="P45" s="2" t="str">
        <f>IFERROR(IF(ISBLANK(O45),"",INDEX([1]Gen_Vessels!$A$3:$C$500,MATCH(CorrectiveMinor!$O45,[1]Gen_Vessels!$C$3:$C$500,0),1)),"")</f>
        <v/>
      </c>
      <c r="Q45" s="2"/>
      <c r="R45" s="2"/>
      <c r="S45" s="2"/>
      <c r="T45" s="2"/>
      <c r="U45" s="2"/>
      <c r="W45" s="2"/>
      <c r="X45" s="2"/>
      <c r="Y45" s="2"/>
      <c r="Z45" s="2"/>
      <c r="AA45" s="2"/>
      <c r="AB45" s="2"/>
      <c r="AC45" s="2"/>
    </row>
    <row r="46" spans="1:29" x14ac:dyDescent="0.25">
      <c r="A46" s="1" t="str">
        <f t="shared" si="0"/>
        <v/>
      </c>
      <c r="B46" s="2"/>
      <c r="C46" s="2"/>
      <c r="D46" s="13"/>
      <c r="E46" s="14"/>
      <c r="F46" s="15"/>
      <c r="G46" s="8"/>
      <c r="M46" s="2"/>
      <c r="N46" s="2" t="str">
        <f>IFERROR(IF(ISBLANK(M46),"",INDEX([1]Gen_Vessels!$A$3:$C$500,MATCH(CorrectiveMinor!$M46,[1]Gen_Vessels!$C$3:$C$500,0),1)),"")</f>
        <v/>
      </c>
      <c r="O46" s="2"/>
      <c r="P46" s="2" t="str">
        <f>IFERROR(IF(ISBLANK(O46),"",INDEX([1]Gen_Vessels!$A$3:$C$500,MATCH(CorrectiveMinor!$O46,[1]Gen_Vessels!$C$3:$C$500,0),1)),"")</f>
        <v/>
      </c>
      <c r="Q46" s="2"/>
      <c r="R46" s="2"/>
      <c r="S46" s="2"/>
      <c r="T46" s="2"/>
      <c r="U46" s="2"/>
      <c r="W46" s="2"/>
      <c r="X46" s="2"/>
      <c r="Y46" s="2"/>
      <c r="Z46" s="2"/>
      <c r="AA46" s="2"/>
      <c r="AB46" s="2"/>
      <c r="AC46" s="2"/>
    </row>
    <row r="47" spans="1:29" x14ac:dyDescent="0.25">
      <c r="A47" s="1" t="str">
        <f t="shared" si="0"/>
        <v/>
      </c>
      <c r="B47" s="2"/>
      <c r="C47" s="2"/>
      <c r="D47" s="13"/>
      <c r="E47" s="14"/>
      <c r="F47" s="15"/>
      <c r="G47" s="8"/>
      <c r="M47" s="2"/>
      <c r="N47" s="2" t="str">
        <f>IFERROR(IF(ISBLANK(M47),"",INDEX([1]Gen_Vessels!$A$3:$C$500,MATCH(CorrectiveMinor!$M47,[1]Gen_Vessels!$C$3:$C$500,0),1)),"")</f>
        <v/>
      </c>
      <c r="O47" s="2"/>
      <c r="P47" s="2" t="str">
        <f>IFERROR(IF(ISBLANK(O47),"",INDEX([1]Gen_Vessels!$A$3:$C$500,MATCH(CorrectiveMinor!$O47,[1]Gen_Vessels!$C$3:$C$500,0),1)),"")</f>
        <v/>
      </c>
      <c r="Q47" s="2"/>
      <c r="R47" s="2"/>
      <c r="S47" s="2"/>
      <c r="T47" s="2"/>
      <c r="U47" s="2"/>
      <c r="W47" s="2"/>
      <c r="X47" s="2"/>
      <c r="Y47" s="2"/>
      <c r="Z47" s="2"/>
      <c r="AA47" s="2"/>
      <c r="AB47" s="2"/>
      <c r="AC47" s="2"/>
    </row>
    <row r="48" spans="1:29" x14ac:dyDescent="0.25">
      <c r="A48" s="1" t="str">
        <f t="shared" si="0"/>
        <v/>
      </c>
      <c r="B48" s="2"/>
      <c r="C48" s="2"/>
      <c r="D48" s="13"/>
      <c r="E48" s="14"/>
      <c r="F48" s="15"/>
      <c r="G48" s="8"/>
      <c r="M48" s="2"/>
      <c r="N48" s="2" t="str">
        <f>IFERROR(IF(ISBLANK(M48),"",INDEX([1]Gen_Vessels!$A$3:$C$500,MATCH(CorrectiveMinor!$M48,[1]Gen_Vessels!$C$3:$C$500,0),1)),"")</f>
        <v/>
      </c>
      <c r="O48" s="2"/>
      <c r="P48" s="2" t="str">
        <f>IFERROR(IF(ISBLANK(O48),"",INDEX([1]Gen_Vessels!$A$3:$C$500,MATCH(CorrectiveMinor!$O48,[1]Gen_Vessels!$C$3:$C$500,0),1)),"")</f>
        <v/>
      </c>
      <c r="Q48" s="2"/>
      <c r="R48" s="2"/>
      <c r="S48" s="2"/>
      <c r="T48" s="2"/>
      <c r="U48" s="2"/>
      <c r="W48" s="2"/>
      <c r="X48" s="2"/>
      <c r="Y48" s="2"/>
      <c r="Z48" s="2"/>
      <c r="AA48" s="2"/>
      <c r="AB48" s="2"/>
      <c r="AC48" s="2"/>
    </row>
    <row r="49" spans="1:29" x14ac:dyDescent="0.25">
      <c r="A49" s="1" t="str">
        <f t="shared" si="0"/>
        <v/>
      </c>
      <c r="B49" s="2"/>
      <c r="C49" s="2"/>
      <c r="D49" s="13"/>
      <c r="E49" s="14"/>
      <c r="F49" s="15"/>
      <c r="G49" s="8"/>
      <c r="M49" s="2"/>
      <c r="N49" s="2" t="str">
        <f>IFERROR(IF(ISBLANK(M49),"",INDEX([1]Gen_Vessels!$A$3:$C$500,MATCH(CorrectiveMinor!$M49,[1]Gen_Vessels!$C$3:$C$500,0),1)),"")</f>
        <v/>
      </c>
      <c r="O49" s="2"/>
      <c r="P49" s="2" t="str">
        <f>IFERROR(IF(ISBLANK(O49),"",INDEX([1]Gen_Vessels!$A$3:$C$500,MATCH(CorrectiveMinor!$O49,[1]Gen_Vessels!$C$3:$C$500,0),1)),"")</f>
        <v/>
      </c>
      <c r="Q49" s="2"/>
      <c r="R49" s="2"/>
      <c r="S49" s="2"/>
      <c r="T49" s="2"/>
      <c r="U49" s="2"/>
      <c r="W49" s="2"/>
      <c r="X49" s="2"/>
      <c r="Y49" s="2"/>
      <c r="Z49" s="2"/>
      <c r="AA49" s="2"/>
      <c r="AB49" s="2"/>
      <c r="AC49" s="2"/>
    </row>
    <row r="50" spans="1:29" x14ac:dyDescent="0.25">
      <c r="A50" s="1" t="str">
        <f t="shared" si="0"/>
        <v/>
      </c>
      <c r="B50" s="2"/>
      <c r="C50" s="2"/>
      <c r="D50" s="13"/>
      <c r="E50" s="14"/>
      <c r="F50" s="15"/>
      <c r="G50" s="8"/>
      <c r="M50" s="2"/>
      <c r="N50" s="2" t="str">
        <f>IFERROR(IF(ISBLANK(M50),"",INDEX([1]Gen_Vessels!$A$3:$C$500,MATCH(CorrectiveMinor!$M50,[1]Gen_Vessels!$C$3:$C$500,0),1)),"")</f>
        <v/>
      </c>
      <c r="O50" s="2"/>
      <c r="P50" s="2" t="str">
        <f>IFERROR(IF(ISBLANK(O50),"",INDEX([1]Gen_Vessels!$A$3:$C$500,MATCH(CorrectiveMinor!$O50,[1]Gen_Vessels!$C$3:$C$500,0),1)),"")</f>
        <v/>
      </c>
      <c r="Q50" s="2"/>
      <c r="R50" s="2"/>
      <c r="S50" s="2"/>
      <c r="T50" s="2"/>
      <c r="U50" s="2"/>
      <c r="W50" s="2"/>
      <c r="X50" s="2"/>
      <c r="Y50" s="2"/>
      <c r="Z50" s="2"/>
      <c r="AA50" s="2"/>
      <c r="AB50" s="2"/>
      <c r="AC50" s="2"/>
    </row>
    <row r="51" spans="1:29" x14ac:dyDescent="0.25">
      <c r="A51" s="1" t="str">
        <f t="shared" si="0"/>
        <v/>
      </c>
      <c r="B51" s="2"/>
      <c r="C51" s="2"/>
      <c r="D51" s="13"/>
      <c r="E51" s="14"/>
      <c r="F51" s="15"/>
      <c r="G51" s="8"/>
      <c r="M51" s="2"/>
      <c r="N51" s="2" t="str">
        <f>IFERROR(IF(ISBLANK(M51),"",INDEX([1]Gen_Vessels!$A$3:$C$500,MATCH(CorrectiveMinor!$M51,[1]Gen_Vessels!$C$3:$C$500,0),1)),"")</f>
        <v/>
      </c>
      <c r="O51" s="2"/>
      <c r="P51" s="2" t="str">
        <f>IFERROR(IF(ISBLANK(O51),"",INDEX([1]Gen_Vessels!$A$3:$C$500,MATCH(CorrectiveMinor!$O51,[1]Gen_Vessels!$C$3:$C$500,0),1)),"")</f>
        <v/>
      </c>
      <c r="Q51" s="2"/>
      <c r="R51" s="2"/>
      <c r="S51" s="2"/>
      <c r="T51" s="2"/>
      <c r="U51" s="2"/>
      <c r="W51" s="2"/>
      <c r="X51" s="2"/>
      <c r="Y51" s="2"/>
      <c r="Z51" s="2"/>
      <c r="AA51" s="2"/>
      <c r="AB51" s="2"/>
      <c r="AC51" s="2"/>
    </row>
    <row r="52" spans="1:29" x14ac:dyDescent="0.25">
      <c r="A52" s="1" t="str">
        <f t="shared" si="0"/>
        <v/>
      </c>
      <c r="B52" s="2"/>
      <c r="C52" s="2"/>
      <c r="D52" s="13"/>
      <c r="E52" s="14"/>
      <c r="F52" s="15"/>
      <c r="G52" s="8"/>
      <c r="M52" s="2"/>
      <c r="N52" s="2" t="str">
        <f>IFERROR(IF(ISBLANK(M52),"",INDEX([1]Gen_Vessels!$A$3:$C$500,MATCH(CorrectiveMinor!$M52,[1]Gen_Vessels!$C$3:$C$500,0),1)),"")</f>
        <v/>
      </c>
      <c r="O52" s="2"/>
      <c r="P52" s="2" t="str">
        <f>IFERROR(IF(ISBLANK(O52),"",INDEX([1]Gen_Vessels!$A$3:$C$500,MATCH(CorrectiveMinor!$O52,[1]Gen_Vessels!$C$3:$C$500,0),1)),"")</f>
        <v/>
      </c>
      <c r="Q52" s="2"/>
      <c r="R52" s="2"/>
      <c r="S52" s="2"/>
      <c r="T52" s="2"/>
      <c r="U52" s="2"/>
      <c r="W52" s="2"/>
      <c r="X52" s="2"/>
      <c r="Y52" s="2"/>
      <c r="Z52" s="2"/>
      <c r="AA52" s="2"/>
      <c r="AB52" s="2"/>
      <c r="AC52" s="2"/>
    </row>
    <row r="53" spans="1:29" x14ac:dyDescent="0.25">
      <c r="A53" s="1" t="str">
        <f t="shared" si="0"/>
        <v/>
      </c>
      <c r="B53" s="2"/>
      <c r="C53" s="2"/>
      <c r="D53" s="13"/>
      <c r="E53" s="14"/>
      <c r="F53" s="15"/>
      <c r="G53" s="8"/>
      <c r="M53" s="2"/>
      <c r="N53" s="2" t="str">
        <f>IFERROR(IF(ISBLANK(M53),"",INDEX([1]Gen_Vessels!$A$3:$C$500,MATCH(CorrectiveMinor!$M53,[1]Gen_Vessels!$C$3:$C$500,0),1)),"")</f>
        <v/>
      </c>
      <c r="O53" s="2"/>
      <c r="P53" s="2" t="str">
        <f>IFERROR(IF(ISBLANK(O53),"",INDEX([1]Gen_Vessels!$A$3:$C$500,MATCH(CorrectiveMinor!$O53,[1]Gen_Vessels!$C$3:$C$500,0),1)),"")</f>
        <v/>
      </c>
      <c r="Q53" s="2"/>
      <c r="R53" s="2"/>
      <c r="S53" s="2"/>
      <c r="T53" s="2"/>
      <c r="U53" s="2"/>
      <c r="W53" s="2"/>
      <c r="X53" s="2"/>
      <c r="Y53" s="2"/>
      <c r="Z53" s="2"/>
      <c r="AA53" s="2"/>
      <c r="AB53" s="2"/>
      <c r="AC53" s="2"/>
    </row>
    <row r="54" spans="1:29" x14ac:dyDescent="0.25">
      <c r="A54" s="1" t="str">
        <f t="shared" si="0"/>
        <v/>
      </c>
      <c r="B54" s="2"/>
      <c r="C54" s="2"/>
      <c r="D54" s="13"/>
      <c r="E54" s="14"/>
      <c r="F54" s="15"/>
      <c r="G54" s="8"/>
      <c r="M54" s="2"/>
      <c r="N54" s="2" t="str">
        <f>IFERROR(IF(ISBLANK(M54),"",INDEX([1]Gen_Vessels!$A$3:$C$500,MATCH(CorrectiveMinor!$M54,[1]Gen_Vessels!$C$3:$C$500,0),1)),"")</f>
        <v/>
      </c>
      <c r="O54" s="2"/>
      <c r="P54" s="2" t="str">
        <f>IFERROR(IF(ISBLANK(O54),"",INDEX([1]Gen_Vessels!$A$3:$C$500,MATCH(CorrectiveMinor!$O54,[1]Gen_Vessels!$C$3:$C$500,0),1)),"")</f>
        <v/>
      </c>
      <c r="Q54" s="2"/>
      <c r="R54" s="2"/>
      <c r="S54" s="2"/>
      <c r="T54" s="2"/>
      <c r="U54" s="2"/>
      <c r="W54" s="2"/>
      <c r="X54" s="2"/>
      <c r="Y54" s="2"/>
      <c r="Z54" s="2"/>
      <c r="AA54" s="2"/>
      <c r="AB54" s="2"/>
      <c r="AC54" s="2"/>
    </row>
    <row r="55" spans="1:29" x14ac:dyDescent="0.25">
      <c r="A55" s="1" t="str">
        <f t="shared" si="0"/>
        <v/>
      </c>
      <c r="B55" s="2"/>
      <c r="C55" s="2"/>
      <c r="D55" s="13"/>
      <c r="E55" s="14"/>
      <c r="F55" s="15"/>
      <c r="G55" s="8"/>
      <c r="M55" s="2"/>
      <c r="N55" s="2" t="str">
        <f>IFERROR(IF(ISBLANK(M55),"",INDEX([1]Gen_Vessels!$A$3:$C$500,MATCH(CorrectiveMinor!$M55,[1]Gen_Vessels!$C$3:$C$500,0),1)),"")</f>
        <v/>
      </c>
      <c r="O55" s="2"/>
      <c r="P55" s="2" t="str">
        <f>IFERROR(IF(ISBLANK(O55),"",INDEX([1]Gen_Vessels!$A$3:$C$500,MATCH(CorrectiveMinor!$O55,[1]Gen_Vessels!$C$3:$C$500,0),1)),"")</f>
        <v/>
      </c>
      <c r="Q55" s="2"/>
      <c r="R55" s="2"/>
      <c r="S55" s="2"/>
      <c r="T55" s="2"/>
      <c r="U55" s="2"/>
      <c r="W55" s="2"/>
      <c r="X55" s="2"/>
      <c r="Y55" s="2"/>
      <c r="Z55" s="2"/>
      <c r="AA55" s="2"/>
      <c r="AB55" s="2"/>
      <c r="AC55" s="2"/>
    </row>
    <row r="56" spans="1:29" x14ac:dyDescent="0.25">
      <c r="A56" s="1" t="str">
        <f t="shared" si="0"/>
        <v/>
      </c>
      <c r="B56" s="2"/>
      <c r="C56" s="2"/>
      <c r="D56" s="13"/>
      <c r="E56" s="14"/>
      <c r="F56" s="15"/>
      <c r="G56" s="8"/>
      <c r="M56" s="2"/>
      <c r="N56" s="2" t="str">
        <f>IFERROR(IF(ISBLANK(M56),"",INDEX([1]Gen_Vessels!$A$3:$C$500,MATCH(CorrectiveMinor!$M56,[1]Gen_Vessels!$C$3:$C$500,0),1)),"")</f>
        <v/>
      </c>
      <c r="O56" s="2"/>
      <c r="P56" s="2" t="str">
        <f>IFERROR(IF(ISBLANK(O56),"",INDEX([1]Gen_Vessels!$A$3:$C$500,MATCH(CorrectiveMinor!$O56,[1]Gen_Vessels!$C$3:$C$500,0),1)),"")</f>
        <v/>
      </c>
      <c r="Q56" s="2"/>
      <c r="R56" s="2"/>
      <c r="S56" s="2"/>
      <c r="T56" s="2"/>
      <c r="U56" s="2"/>
      <c r="W56" s="2"/>
      <c r="X56" s="2"/>
      <c r="Y56" s="2"/>
      <c r="Z56" s="2"/>
      <c r="AA56" s="2"/>
      <c r="AB56" s="2"/>
      <c r="AC56" s="2"/>
    </row>
    <row r="57" spans="1:29" x14ac:dyDescent="0.25">
      <c r="A57" s="1" t="str">
        <f t="shared" si="0"/>
        <v/>
      </c>
      <c r="B57" s="2"/>
      <c r="C57" s="2"/>
      <c r="D57" s="13"/>
      <c r="E57" s="14"/>
      <c r="F57" s="15"/>
      <c r="G57" s="8"/>
      <c r="M57" s="2"/>
      <c r="N57" s="2" t="str">
        <f>IFERROR(IF(ISBLANK(M57),"",INDEX([1]Gen_Vessels!$A$3:$C$500,MATCH(CorrectiveMinor!$M57,[1]Gen_Vessels!$C$3:$C$500,0),1)),"")</f>
        <v/>
      </c>
      <c r="O57" s="2"/>
      <c r="P57" s="2" t="str">
        <f>IFERROR(IF(ISBLANK(O57),"",INDEX([1]Gen_Vessels!$A$3:$C$500,MATCH(CorrectiveMinor!$O57,[1]Gen_Vessels!$C$3:$C$500,0),1)),"")</f>
        <v/>
      </c>
      <c r="Q57" s="2"/>
      <c r="R57" s="2"/>
      <c r="S57" s="2"/>
      <c r="T57" s="2"/>
      <c r="U57" s="2"/>
      <c r="W57" s="2"/>
      <c r="X57" s="2"/>
      <c r="Y57" s="2"/>
      <c r="Z57" s="2"/>
      <c r="AA57" s="2"/>
      <c r="AB57" s="2"/>
      <c r="AC57" s="2"/>
    </row>
    <row r="58" spans="1:29" x14ac:dyDescent="0.25">
      <c r="A58" s="1" t="str">
        <f t="shared" si="0"/>
        <v/>
      </c>
      <c r="B58" s="2"/>
      <c r="C58" s="2"/>
      <c r="D58" s="13"/>
      <c r="E58" s="14"/>
      <c r="F58" s="15"/>
      <c r="G58" s="8"/>
      <c r="M58" s="2"/>
      <c r="N58" s="2" t="str">
        <f>IFERROR(IF(ISBLANK(M58),"",INDEX([1]Gen_Vessels!$A$3:$C$500,MATCH(CorrectiveMinor!$M58,[1]Gen_Vessels!$C$3:$C$500,0),1)),"")</f>
        <v/>
      </c>
      <c r="O58" s="2"/>
      <c r="P58" s="2" t="str">
        <f>IFERROR(IF(ISBLANK(O58),"",INDEX([1]Gen_Vessels!$A$3:$C$500,MATCH(CorrectiveMinor!$O58,[1]Gen_Vessels!$C$3:$C$500,0),1)),"")</f>
        <v/>
      </c>
      <c r="Q58" s="2"/>
      <c r="R58" s="2"/>
      <c r="S58" s="2"/>
      <c r="T58" s="2"/>
      <c r="U58" s="2"/>
      <c r="W58" s="2"/>
      <c r="X58" s="2"/>
      <c r="Y58" s="2"/>
      <c r="Z58" s="2"/>
      <c r="AA58" s="2"/>
      <c r="AB58" s="2"/>
      <c r="AC58" s="2"/>
    </row>
    <row r="59" spans="1:29" x14ac:dyDescent="0.25">
      <c r="A59" s="1" t="str">
        <f t="shared" si="0"/>
        <v/>
      </c>
      <c r="B59" s="2"/>
      <c r="C59" s="2"/>
      <c r="D59" s="13"/>
      <c r="E59" s="14"/>
      <c r="F59" s="15"/>
      <c r="G59" s="8"/>
      <c r="M59" s="2"/>
      <c r="N59" s="2" t="str">
        <f>IFERROR(IF(ISBLANK(M59),"",INDEX([1]Gen_Vessels!$A$3:$C$500,MATCH(CorrectiveMinor!$M59,[1]Gen_Vessels!$C$3:$C$500,0),1)),"")</f>
        <v/>
      </c>
      <c r="O59" s="2"/>
      <c r="P59" s="2" t="str">
        <f>IFERROR(IF(ISBLANK(O59),"",INDEX([1]Gen_Vessels!$A$3:$C$500,MATCH(CorrectiveMinor!$O59,[1]Gen_Vessels!$C$3:$C$500,0),1)),"")</f>
        <v/>
      </c>
      <c r="Q59" s="2"/>
      <c r="R59" s="2"/>
      <c r="S59" s="2"/>
      <c r="T59" s="2"/>
      <c r="U59" s="2"/>
      <c r="W59" s="2"/>
      <c r="X59" s="2"/>
      <c r="Y59" s="2"/>
      <c r="Z59" s="2"/>
      <c r="AA59" s="2"/>
      <c r="AB59" s="2"/>
      <c r="AC59" s="2"/>
    </row>
    <row r="60" spans="1:29" x14ac:dyDescent="0.25">
      <c r="A60" s="1" t="str">
        <f t="shared" si="0"/>
        <v/>
      </c>
      <c r="B60" s="2"/>
      <c r="C60" s="2"/>
      <c r="D60" s="13"/>
      <c r="E60" s="14"/>
      <c r="F60" s="15"/>
      <c r="G60" s="8"/>
      <c r="M60" s="2"/>
      <c r="N60" s="2" t="str">
        <f>IFERROR(IF(ISBLANK(M60),"",INDEX([1]Gen_Vessels!$A$3:$C$500,MATCH(CorrectiveMinor!$M60,[1]Gen_Vessels!$C$3:$C$500,0),1)),"")</f>
        <v/>
      </c>
      <c r="O60" s="2"/>
      <c r="P60" s="2" t="str">
        <f>IFERROR(IF(ISBLANK(O60),"",INDEX([1]Gen_Vessels!$A$3:$C$500,MATCH(CorrectiveMinor!$O60,[1]Gen_Vessels!$C$3:$C$500,0),1)),"")</f>
        <v/>
      </c>
      <c r="Q60" s="2"/>
      <c r="R60" s="2"/>
      <c r="S60" s="2"/>
      <c r="T60" s="2"/>
      <c r="U60" s="2"/>
      <c r="W60" s="2"/>
      <c r="X60" s="2"/>
      <c r="Y60" s="2"/>
      <c r="Z60" s="2"/>
      <c r="AA60" s="2"/>
      <c r="AB60" s="2"/>
      <c r="AC60" s="2"/>
    </row>
    <row r="61" spans="1:29" x14ac:dyDescent="0.25">
      <c r="A61" s="1" t="str">
        <f t="shared" si="0"/>
        <v/>
      </c>
      <c r="B61" s="2"/>
      <c r="C61" s="2"/>
      <c r="D61" s="13"/>
      <c r="E61" s="14"/>
      <c r="F61" s="15"/>
      <c r="G61" s="8"/>
      <c r="M61" s="2"/>
      <c r="N61" s="2" t="str">
        <f>IFERROR(IF(ISBLANK(M61),"",INDEX([1]Gen_Vessels!$A$3:$C$500,MATCH(CorrectiveMinor!$M61,[1]Gen_Vessels!$C$3:$C$500,0),1)),"")</f>
        <v/>
      </c>
      <c r="O61" s="2"/>
      <c r="P61" s="2" t="str">
        <f>IFERROR(IF(ISBLANK(O61),"",INDEX([1]Gen_Vessels!$A$3:$C$500,MATCH(CorrectiveMinor!$O61,[1]Gen_Vessels!$C$3:$C$500,0),1)),"")</f>
        <v/>
      </c>
      <c r="Q61" s="2"/>
      <c r="R61" s="2"/>
      <c r="S61" s="2"/>
      <c r="T61" s="2"/>
      <c r="U61" s="2"/>
      <c r="W61" s="2"/>
      <c r="X61" s="2"/>
      <c r="Y61" s="2"/>
      <c r="Z61" s="2"/>
      <c r="AA61" s="2"/>
      <c r="AB61" s="2"/>
      <c r="AC61" s="2"/>
    </row>
    <row r="62" spans="1:29" x14ac:dyDescent="0.25">
      <c r="A62" s="1" t="str">
        <f t="shared" si="0"/>
        <v/>
      </c>
      <c r="B62" s="2"/>
      <c r="C62" s="2"/>
      <c r="D62" s="13"/>
      <c r="E62" s="14"/>
      <c r="F62" s="15"/>
      <c r="G62" s="8"/>
      <c r="M62" s="2"/>
      <c r="N62" s="2" t="str">
        <f>IFERROR(IF(ISBLANK(M62),"",INDEX([1]Gen_Vessels!$A$3:$C$500,MATCH(CorrectiveMinor!$M62,[1]Gen_Vessels!$C$3:$C$500,0),1)),"")</f>
        <v/>
      </c>
      <c r="O62" s="2"/>
      <c r="P62" s="2" t="str">
        <f>IFERROR(IF(ISBLANK(O62),"",INDEX([1]Gen_Vessels!$A$3:$C$500,MATCH(CorrectiveMinor!$O62,[1]Gen_Vessels!$C$3:$C$500,0),1)),"")</f>
        <v/>
      </c>
      <c r="Q62" s="2"/>
      <c r="R62" s="2"/>
      <c r="S62" s="2"/>
      <c r="T62" s="2"/>
      <c r="U62" s="2"/>
      <c r="W62" s="2"/>
      <c r="X62" s="2"/>
      <c r="Y62" s="2"/>
      <c r="Z62" s="2"/>
      <c r="AA62" s="2"/>
      <c r="AB62" s="2"/>
      <c r="AC62" s="2"/>
    </row>
    <row r="63" spans="1:29" x14ac:dyDescent="0.25">
      <c r="A63" s="1" t="str">
        <f t="shared" si="0"/>
        <v/>
      </c>
      <c r="B63" s="2"/>
      <c r="C63" s="2"/>
      <c r="D63" s="13"/>
      <c r="E63" s="14"/>
      <c r="F63" s="15"/>
      <c r="G63" s="8"/>
      <c r="M63" s="2"/>
      <c r="N63" s="2" t="str">
        <f>IFERROR(IF(ISBLANK(M63),"",INDEX([1]Gen_Vessels!$A$3:$C$500,MATCH(CorrectiveMinor!$M63,[1]Gen_Vessels!$C$3:$C$500,0),1)),"")</f>
        <v/>
      </c>
      <c r="O63" s="2"/>
      <c r="P63" s="2" t="str">
        <f>IFERROR(IF(ISBLANK(O63),"",INDEX([1]Gen_Vessels!$A$3:$C$500,MATCH(CorrectiveMinor!$O63,[1]Gen_Vessels!$C$3:$C$500,0),1)),"")</f>
        <v/>
      </c>
      <c r="Q63" s="2"/>
      <c r="R63" s="2"/>
      <c r="S63" s="2"/>
      <c r="T63" s="2"/>
      <c r="U63" s="2"/>
      <c r="W63" s="2"/>
      <c r="X63" s="2"/>
      <c r="Y63" s="2"/>
      <c r="Z63" s="2"/>
      <c r="AA63" s="2"/>
      <c r="AB63" s="2"/>
      <c r="AC63" s="2"/>
    </row>
    <row r="64" spans="1:29" x14ac:dyDescent="0.25">
      <c r="A64" s="1" t="str">
        <f t="shared" si="0"/>
        <v/>
      </c>
      <c r="B64" s="2"/>
      <c r="C64" s="2"/>
      <c r="D64" s="13"/>
      <c r="E64" s="14"/>
      <c r="F64" s="15"/>
      <c r="G64" s="8"/>
      <c r="M64" s="2"/>
      <c r="N64" s="2" t="str">
        <f>IFERROR(IF(ISBLANK(M64),"",INDEX([1]Gen_Vessels!$A$3:$C$500,MATCH(CorrectiveMinor!$M64,[1]Gen_Vessels!$C$3:$C$500,0),1)),"")</f>
        <v/>
      </c>
      <c r="O64" s="2"/>
      <c r="P64" s="2" t="str">
        <f>IFERROR(IF(ISBLANK(O64),"",INDEX([1]Gen_Vessels!$A$3:$C$500,MATCH(CorrectiveMinor!$O64,[1]Gen_Vessels!$C$3:$C$500,0),1)),"")</f>
        <v/>
      </c>
      <c r="Q64" s="2"/>
      <c r="R64" s="2"/>
      <c r="S64" s="2"/>
      <c r="T64" s="2"/>
      <c r="U64" s="2"/>
      <c r="W64" s="2"/>
      <c r="X64" s="2"/>
      <c r="Y64" s="2"/>
      <c r="Z64" s="2"/>
      <c r="AA64" s="2"/>
      <c r="AB64" s="2"/>
      <c r="AC64" s="2"/>
    </row>
    <row r="65" spans="1:29" x14ac:dyDescent="0.25">
      <c r="A65" s="1" t="str">
        <f t="shared" si="0"/>
        <v/>
      </c>
      <c r="B65" s="2"/>
      <c r="C65" s="2"/>
      <c r="D65" s="13"/>
      <c r="E65" s="14"/>
      <c r="F65" s="15"/>
      <c r="G65" s="8"/>
      <c r="M65" s="2"/>
      <c r="N65" s="2" t="str">
        <f>IFERROR(IF(ISBLANK(M65),"",INDEX([1]Gen_Vessels!$A$3:$C$500,MATCH(CorrectiveMinor!$M65,[1]Gen_Vessels!$C$3:$C$500,0),1)),"")</f>
        <v/>
      </c>
      <c r="O65" s="2"/>
      <c r="P65" s="2" t="str">
        <f>IFERROR(IF(ISBLANK(O65),"",INDEX([1]Gen_Vessels!$A$3:$C$500,MATCH(CorrectiveMinor!$O65,[1]Gen_Vessels!$C$3:$C$500,0),1)),"")</f>
        <v/>
      </c>
      <c r="Q65" s="2"/>
      <c r="R65" s="2"/>
      <c r="S65" s="2"/>
      <c r="T65" s="2"/>
      <c r="U65" s="2"/>
      <c r="W65" s="2"/>
      <c r="X65" s="2"/>
      <c r="Y65" s="2"/>
      <c r="Z65" s="2"/>
      <c r="AA65" s="2"/>
      <c r="AB65" s="2"/>
      <c r="AC65" s="2"/>
    </row>
    <row r="66" spans="1:29" x14ac:dyDescent="0.25">
      <c r="A66" s="1" t="str">
        <f t="shared" si="0"/>
        <v/>
      </c>
      <c r="B66" s="2"/>
      <c r="C66" s="2"/>
      <c r="D66" s="13"/>
      <c r="E66" s="14"/>
      <c r="F66" s="15"/>
      <c r="G66" s="8"/>
      <c r="M66" s="2"/>
      <c r="N66" s="2" t="str">
        <f>IFERROR(IF(ISBLANK(M66),"",INDEX([1]Gen_Vessels!$A$3:$C$500,MATCH(CorrectiveMinor!$M66,[1]Gen_Vessels!$C$3:$C$500,0),1)),"")</f>
        <v/>
      </c>
      <c r="O66" s="2"/>
      <c r="P66" s="2" t="str">
        <f>IFERROR(IF(ISBLANK(O66),"",INDEX([1]Gen_Vessels!$A$3:$C$500,MATCH(CorrectiveMinor!$O66,[1]Gen_Vessels!$C$3:$C$500,0),1)),"")</f>
        <v/>
      </c>
      <c r="Q66" s="2"/>
      <c r="R66" s="2"/>
      <c r="S66" s="2"/>
      <c r="T66" s="2"/>
      <c r="U66" s="2"/>
      <c r="W66" s="2"/>
      <c r="X66" s="2"/>
      <c r="Y66" s="2"/>
      <c r="Z66" s="2"/>
      <c r="AA66" s="2"/>
      <c r="AB66" s="2"/>
      <c r="AC66" s="2"/>
    </row>
    <row r="67" spans="1:29" x14ac:dyDescent="0.25">
      <c r="A67" s="1" t="str">
        <f t="shared" ref="A67:A130" si="1">IF(ISBLANK($B67)=FALSE,IF(AND($D67&gt;0,$E67&lt;=0,$F67&lt;=0),_xlfn.CONCAT("ofw_",$B67),IF(AND($D67&lt;=0,$E67&gt;0,$F67&lt;=0),_xlfn.CONCAT("owc_",$B67),IF(AND($D67&lt;=0,$E67&lt;=0,$F67&gt;0),_xlfn.CONCAT("opv_",$B67),_xlfn.CONCAT("oce_",$B67)))),"")</f>
        <v/>
      </c>
      <c r="B67" s="2"/>
      <c r="C67" s="2"/>
      <c r="D67" s="13"/>
      <c r="E67" s="14"/>
      <c r="F67" s="15"/>
      <c r="G67" s="8"/>
      <c r="M67" s="2"/>
      <c r="N67" s="2" t="str">
        <f>IFERROR(IF(ISBLANK(M67),"",INDEX([1]Gen_Vessels!$A$3:$C$500,MATCH(CorrectiveMinor!$M67,[1]Gen_Vessels!$C$3:$C$500,0),1)),"")</f>
        <v/>
      </c>
      <c r="O67" s="2"/>
      <c r="P67" s="2" t="str">
        <f>IFERROR(IF(ISBLANK(O67),"",INDEX([1]Gen_Vessels!$A$3:$C$500,MATCH(CorrectiveMinor!$O67,[1]Gen_Vessels!$C$3:$C$500,0),1)),"")</f>
        <v/>
      </c>
      <c r="Q67" s="2"/>
      <c r="R67" s="2"/>
      <c r="S67" s="2"/>
      <c r="T67" s="2"/>
      <c r="U67" s="2"/>
      <c r="W67" s="2"/>
      <c r="X67" s="2"/>
      <c r="Y67" s="2"/>
      <c r="Z67" s="2"/>
      <c r="AA67" s="2"/>
      <c r="AB67" s="2"/>
      <c r="AC67" s="2"/>
    </row>
    <row r="68" spans="1:29" x14ac:dyDescent="0.25">
      <c r="A68" s="1" t="str">
        <f t="shared" si="1"/>
        <v/>
      </c>
      <c r="B68" s="2"/>
      <c r="C68" s="2"/>
      <c r="D68" s="13"/>
      <c r="E68" s="14"/>
      <c r="F68" s="15"/>
      <c r="G68" s="8"/>
      <c r="M68" s="2"/>
      <c r="N68" s="2" t="str">
        <f>IFERROR(IF(ISBLANK(M68),"",INDEX([1]Gen_Vessels!$A$3:$C$500,MATCH(CorrectiveMinor!$M68,[1]Gen_Vessels!$C$3:$C$500,0),1)),"")</f>
        <v/>
      </c>
      <c r="O68" s="2"/>
      <c r="P68" s="2" t="str">
        <f>IFERROR(IF(ISBLANK(O68),"",INDEX([1]Gen_Vessels!$A$3:$C$500,MATCH(CorrectiveMinor!$O68,[1]Gen_Vessels!$C$3:$C$500,0),1)),"")</f>
        <v/>
      </c>
      <c r="Q68" s="2"/>
      <c r="R68" s="2"/>
      <c r="S68" s="2"/>
      <c r="T68" s="2"/>
      <c r="U68" s="2"/>
      <c r="W68" s="2"/>
      <c r="X68" s="2"/>
      <c r="Y68" s="2"/>
      <c r="Z68" s="2"/>
      <c r="AA68" s="2"/>
      <c r="AB68" s="2"/>
      <c r="AC68" s="2"/>
    </row>
    <row r="69" spans="1:29" x14ac:dyDescent="0.25">
      <c r="A69" s="1" t="str">
        <f t="shared" si="1"/>
        <v/>
      </c>
      <c r="B69" s="2"/>
      <c r="C69" s="2"/>
      <c r="D69" s="13"/>
      <c r="E69" s="14"/>
      <c r="F69" s="15"/>
      <c r="G69" s="8"/>
      <c r="M69" s="2"/>
      <c r="N69" s="2" t="str">
        <f>IFERROR(IF(ISBLANK(M69),"",INDEX([1]Gen_Vessels!$A$3:$C$500,MATCH(CorrectiveMinor!$M69,[1]Gen_Vessels!$C$3:$C$500,0),1)),"")</f>
        <v/>
      </c>
      <c r="O69" s="2"/>
      <c r="P69" s="2" t="str">
        <f>IFERROR(IF(ISBLANK(O69),"",INDEX([1]Gen_Vessels!$A$3:$C$500,MATCH(CorrectiveMinor!$O69,[1]Gen_Vessels!$C$3:$C$500,0),1)),"")</f>
        <v/>
      </c>
      <c r="Q69" s="2"/>
      <c r="R69" s="2"/>
      <c r="S69" s="2"/>
      <c r="T69" s="2"/>
      <c r="U69" s="2"/>
      <c r="W69" s="2"/>
      <c r="X69" s="2"/>
      <c r="Y69" s="2"/>
      <c r="Z69" s="2"/>
      <c r="AA69" s="2"/>
      <c r="AB69" s="2"/>
      <c r="AC69" s="2"/>
    </row>
    <row r="70" spans="1:29" x14ac:dyDescent="0.25">
      <c r="A70" s="1" t="str">
        <f t="shared" si="1"/>
        <v/>
      </c>
      <c r="B70" s="2"/>
      <c r="C70" s="2"/>
      <c r="D70" s="13"/>
      <c r="E70" s="14"/>
      <c r="F70" s="15"/>
      <c r="G70" s="8"/>
      <c r="M70" s="2"/>
      <c r="N70" s="2" t="str">
        <f>IFERROR(IF(ISBLANK(M70),"",INDEX([1]Gen_Vessels!$A$3:$C$500,MATCH(CorrectiveMinor!$M70,[1]Gen_Vessels!$C$3:$C$500,0),1)),"")</f>
        <v/>
      </c>
      <c r="O70" s="2"/>
      <c r="P70" s="2" t="str">
        <f>IFERROR(IF(ISBLANK(O70),"",INDEX([1]Gen_Vessels!$A$3:$C$500,MATCH(CorrectiveMinor!$O70,[1]Gen_Vessels!$C$3:$C$500,0),1)),"")</f>
        <v/>
      </c>
      <c r="Q70" s="2"/>
      <c r="R70" s="2"/>
      <c r="S70" s="2"/>
      <c r="T70" s="2"/>
      <c r="U70" s="2"/>
      <c r="W70" s="2"/>
      <c r="X70" s="2"/>
      <c r="Y70" s="2"/>
      <c r="Z70" s="2"/>
      <c r="AA70" s="2"/>
      <c r="AB70" s="2"/>
      <c r="AC70" s="2"/>
    </row>
    <row r="71" spans="1:29" x14ac:dyDescent="0.25">
      <c r="A71" s="1" t="str">
        <f t="shared" si="1"/>
        <v/>
      </c>
      <c r="B71" s="2"/>
      <c r="C71" s="2"/>
      <c r="D71" s="13"/>
      <c r="E71" s="14"/>
      <c r="F71" s="15"/>
      <c r="G71" s="8"/>
      <c r="M71" s="2"/>
      <c r="N71" s="2" t="str">
        <f>IFERROR(IF(ISBLANK(M71),"",INDEX([1]Gen_Vessels!$A$3:$C$500,MATCH(CorrectiveMinor!$M71,[1]Gen_Vessels!$C$3:$C$500,0),1)),"")</f>
        <v/>
      </c>
      <c r="O71" s="2"/>
      <c r="P71" s="2" t="str">
        <f>IFERROR(IF(ISBLANK(O71),"",INDEX([1]Gen_Vessels!$A$3:$C$500,MATCH(CorrectiveMinor!$O71,[1]Gen_Vessels!$C$3:$C$500,0),1)),"")</f>
        <v/>
      </c>
      <c r="Q71" s="2"/>
      <c r="R71" s="2"/>
      <c r="S71" s="2"/>
      <c r="T71" s="2"/>
      <c r="U71" s="2"/>
      <c r="W71" s="2"/>
      <c r="X71" s="2"/>
      <c r="Y71" s="2"/>
      <c r="Z71" s="2"/>
      <c r="AA71" s="2"/>
      <c r="AB71" s="2"/>
      <c r="AC71" s="2"/>
    </row>
    <row r="72" spans="1:29" x14ac:dyDescent="0.25">
      <c r="A72" s="1" t="str">
        <f t="shared" si="1"/>
        <v/>
      </c>
      <c r="B72" s="2"/>
      <c r="C72" s="2"/>
      <c r="D72" s="13"/>
      <c r="E72" s="14"/>
      <c r="F72" s="15"/>
      <c r="G72" s="8"/>
      <c r="M72" s="2"/>
      <c r="N72" s="2" t="str">
        <f>IFERROR(IF(ISBLANK(M72),"",INDEX([1]Gen_Vessels!$A$3:$C$500,MATCH(CorrectiveMinor!$M72,[1]Gen_Vessels!$C$3:$C$500,0),1)),"")</f>
        <v/>
      </c>
      <c r="O72" s="2"/>
      <c r="P72" s="2" t="str">
        <f>IFERROR(IF(ISBLANK(O72),"",INDEX([1]Gen_Vessels!$A$3:$C$500,MATCH(CorrectiveMinor!$O72,[1]Gen_Vessels!$C$3:$C$500,0),1)),"")</f>
        <v/>
      </c>
      <c r="Q72" s="2"/>
      <c r="R72" s="2"/>
      <c r="S72" s="2"/>
      <c r="T72" s="2"/>
      <c r="U72" s="2"/>
      <c r="W72" s="2"/>
      <c r="X72" s="2"/>
      <c r="Y72" s="2"/>
      <c r="Z72" s="2"/>
      <c r="AA72" s="2"/>
      <c r="AB72" s="2"/>
      <c r="AC72" s="2"/>
    </row>
    <row r="73" spans="1:29" x14ac:dyDescent="0.25">
      <c r="A73" s="1" t="str">
        <f t="shared" si="1"/>
        <v/>
      </c>
      <c r="B73" s="2"/>
      <c r="C73" s="2"/>
      <c r="D73" s="13"/>
      <c r="E73" s="14"/>
      <c r="F73" s="15"/>
      <c r="G73" s="8"/>
      <c r="M73" s="2"/>
      <c r="N73" s="2" t="str">
        <f>IFERROR(IF(ISBLANK(M73),"",INDEX([1]Gen_Vessels!$A$3:$C$500,MATCH(CorrectiveMinor!$M73,[1]Gen_Vessels!$C$3:$C$500,0),1)),"")</f>
        <v/>
      </c>
      <c r="O73" s="2"/>
      <c r="P73" s="2" t="str">
        <f>IFERROR(IF(ISBLANK(O73),"",INDEX([1]Gen_Vessels!$A$3:$C$500,MATCH(CorrectiveMinor!$O73,[1]Gen_Vessels!$C$3:$C$500,0),1)),"")</f>
        <v/>
      </c>
      <c r="Q73" s="2"/>
      <c r="R73" s="2"/>
      <c r="S73" s="2"/>
      <c r="T73" s="2"/>
      <c r="U73" s="2"/>
      <c r="W73" s="2"/>
      <c r="X73" s="2"/>
      <c r="Y73" s="2"/>
      <c r="Z73" s="2"/>
      <c r="AA73" s="2"/>
      <c r="AB73" s="2"/>
      <c r="AC73" s="2"/>
    </row>
    <row r="74" spans="1:29" x14ac:dyDescent="0.25">
      <c r="A74" s="1" t="str">
        <f t="shared" si="1"/>
        <v/>
      </c>
      <c r="B74" s="2"/>
      <c r="C74" s="2"/>
      <c r="D74" s="13"/>
      <c r="E74" s="14"/>
      <c r="F74" s="15"/>
      <c r="G74" s="8"/>
      <c r="M74" s="2"/>
      <c r="N74" s="2" t="str">
        <f>IFERROR(IF(ISBLANK(M74),"",INDEX([1]Gen_Vessels!$A$3:$C$500,MATCH(CorrectiveMinor!$M74,[1]Gen_Vessels!$C$3:$C$500,0),1)),"")</f>
        <v/>
      </c>
      <c r="O74" s="2"/>
      <c r="P74" s="2" t="str">
        <f>IFERROR(IF(ISBLANK(O74),"",INDEX([1]Gen_Vessels!$A$3:$C$500,MATCH(CorrectiveMinor!$O74,[1]Gen_Vessels!$C$3:$C$500,0),1)),"")</f>
        <v/>
      </c>
      <c r="Q74" s="2"/>
      <c r="R74" s="2"/>
      <c r="S74" s="2"/>
      <c r="T74" s="2"/>
      <c r="U74" s="2"/>
      <c r="W74" s="2"/>
      <c r="X74" s="2"/>
      <c r="Y74" s="2"/>
      <c r="Z74" s="2"/>
      <c r="AA74" s="2"/>
      <c r="AB74" s="2"/>
      <c r="AC74" s="2"/>
    </row>
    <row r="75" spans="1:29" x14ac:dyDescent="0.25">
      <c r="A75" s="1" t="str">
        <f t="shared" si="1"/>
        <v/>
      </c>
      <c r="B75" s="2"/>
      <c r="C75" s="2"/>
      <c r="D75" s="13"/>
      <c r="E75" s="14"/>
      <c r="F75" s="15"/>
      <c r="G75" s="8"/>
      <c r="M75" s="2"/>
      <c r="N75" s="2" t="str">
        <f>IFERROR(IF(ISBLANK(M75),"",INDEX([1]Gen_Vessels!$A$3:$C$500,MATCH(CorrectiveMinor!$M75,[1]Gen_Vessels!$C$3:$C$500,0),1)),"")</f>
        <v/>
      </c>
      <c r="O75" s="2"/>
      <c r="P75" s="2" t="str">
        <f>IFERROR(IF(ISBLANK(O75),"",INDEX([1]Gen_Vessels!$A$3:$C$500,MATCH(CorrectiveMinor!$O75,[1]Gen_Vessels!$C$3:$C$500,0),1)),"")</f>
        <v/>
      </c>
      <c r="Q75" s="2"/>
      <c r="R75" s="2"/>
      <c r="S75" s="2"/>
      <c r="T75" s="2"/>
      <c r="U75" s="2"/>
      <c r="W75" s="2"/>
      <c r="X75" s="2"/>
      <c r="Y75" s="2"/>
      <c r="Z75" s="2"/>
      <c r="AA75" s="2"/>
      <c r="AB75" s="2"/>
      <c r="AC75" s="2"/>
    </row>
    <row r="76" spans="1:29" x14ac:dyDescent="0.25">
      <c r="A76" s="1" t="str">
        <f t="shared" si="1"/>
        <v/>
      </c>
      <c r="B76" s="2"/>
      <c r="C76" s="2"/>
      <c r="D76" s="13"/>
      <c r="E76" s="14"/>
      <c r="F76" s="15"/>
      <c r="G76" s="8"/>
      <c r="M76" s="2"/>
      <c r="N76" s="2" t="str">
        <f>IFERROR(IF(ISBLANK(M76),"",INDEX([1]Gen_Vessels!$A$3:$C$500,MATCH(CorrectiveMinor!$M76,[1]Gen_Vessels!$C$3:$C$500,0),1)),"")</f>
        <v/>
      </c>
      <c r="O76" s="2"/>
      <c r="P76" s="2" t="str">
        <f>IFERROR(IF(ISBLANK(O76),"",INDEX([1]Gen_Vessels!$A$3:$C$500,MATCH(CorrectiveMinor!$O76,[1]Gen_Vessels!$C$3:$C$500,0),1)),"")</f>
        <v/>
      </c>
      <c r="Q76" s="2"/>
      <c r="R76" s="2"/>
      <c r="S76" s="2"/>
      <c r="T76" s="2"/>
      <c r="U76" s="2"/>
      <c r="W76" s="2"/>
      <c r="X76" s="2"/>
      <c r="Y76" s="2"/>
      <c r="Z76" s="2"/>
      <c r="AA76" s="2"/>
      <c r="AB76" s="2"/>
      <c r="AC76" s="2"/>
    </row>
    <row r="77" spans="1:29" x14ac:dyDescent="0.25">
      <c r="A77" s="1" t="str">
        <f t="shared" si="1"/>
        <v/>
      </c>
      <c r="B77" s="2"/>
      <c r="C77" s="2"/>
      <c r="D77" s="13"/>
      <c r="E77" s="14"/>
      <c r="F77" s="15"/>
      <c r="G77" s="8"/>
      <c r="M77" s="2"/>
      <c r="N77" s="2" t="str">
        <f>IFERROR(IF(ISBLANK(M77),"",INDEX([1]Gen_Vessels!$A$3:$C$500,MATCH(CorrectiveMinor!$M77,[1]Gen_Vessels!$C$3:$C$500,0),1)),"")</f>
        <v/>
      </c>
      <c r="O77" s="2"/>
      <c r="P77" s="2" t="str">
        <f>IFERROR(IF(ISBLANK(O77),"",INDEX([1]Gen_Vessels!$A$3:$C$500,MATCH(CorrectiveMinor!$O77,[1]Gen_Vessels!$C$3:$C$500,0),1)),"")</f>
        <v/>
      </c>
      <c r="Q77" s="2"/>
      <c r="R77" s="2"/>
      <c r="S77" s="2"/>
      <c r="T77" s="2"/>
      <c r="U77" s="2"/>
      <c r="W77" s="2"/>
      <c r="X77" s="2"/>
      <c r="Y77" s="2"/>
      <c r="Z77" s="2"/>
      <c r="AA77" s="2"/>
      <c r="AB77" s="2"/>
      <c r="AC77" s="2"/>
    </row>
    <row r="78" spans="1:29" x14ac:dyDescent="0.25">
      <c r="A78" s="1" t="str">
        <f t="shared" si="1"/>
        <v/>
      </c>
      <c r="B78" s="2"/>
      <c r="C78" s="2"/>
      <c r="D78" s="13"/>
      <c r="E78" s="14"/>
      <c r="F78" s="15"/>
      <c r="G78" s="8"/>
      <c r="M78" s="2"/>
      <c r="N78" s="2" t="str">
        <f>IFERROR(IF(ISBLANK(M78),"",INDEX([1]Gen_Vessels!$A$3:$C$500,MATCH(CorrectiveMinor!$M78,[1]Gen_Vessels!$C$3:$C$500,0),1)),"")</f>
        <v/>
      </c>
      <c r="O78" s="2"/>
      <c r="P78" s="2" t="str">
        <f>IFERROR(IF(ISBLANK(O78),"",INDEX([1]Gen_Vessels!$A$3:$C$500,MATCH(CorrectiveMinor!$O78,[1]Gen_Vessels!$C$3:$C$500,0),1)),"")</f>
        <v/>
      </c>
      <c r="Q78" s="2"/>
      <c r="R78" s="2"/>
      <c r="S78" s="2"/>
      <c r="T78" s="2"/>
      <c r="U78" s="2"/>
      <c r="W78" s="2"/>
      <c r="X78" s="2"/>
      <c r="Y78" s="2"/>
      <c r="Z78" s="2"/>
      <c r="AA78" s="2"/>
      <c r="AB78" s="2"/>
      <c r="AC78" s="2"/>
    </row>
    <row r="79" spans="1:29" x14ac:dyDescent="0.25">
      <c r="A79" s="1" t="str">
        <f t="shared" si="1"/>
        <v/>
      </c>
      <c r="B79" s="2"/>
      <c r="C79" s="2"/>
      <c r="D79" s="13"/>
      <c r="E79" s="14"/>
      <c r="F79" s="15"/>
      <c r="G79" s="8"/>
      <c r="M79" s="2"/>
      <c r="N79" s="2" t="str">
        <f>IFERROR(IF(ISBLANK(M79),"",INDEX([1]Gen_Vessels!$A$3:$C$500,MATCH(CorrectiveMinor!$M79,[1]Gen_Vessels!$C$3:$C$500,0),1)),"")</f>
        <v/>
      </c>
      <c r="O79" s="2"/>
      <c r="P79" s="2" t="str">
        <f>IFERROR(IF(ISBLANK(O79),"",INDEX([1]Gen_Vessels!$A$3:$C$500,MATCH(CorrectiveMinor!$O79,[1]Gen_Vessels!$C$3:$C$500,0),1)),"")</f>
        <v/>
      </c>
      <c r="Q79" s="2"/>
      <c r="R79" s="2"/>
      <c r="S79" s="2"/>
      <c r="T79" s="2"/>
      <c r="U79" s="2"/>
      <c r="W79" s="2"/>
      <c r="X79" s="2"/>
      <c r="Y79" s="2"/>
      <c r="Z79" s="2"/>
      <c r="AA79" s="2"/>
      <c r="AB79" s="2"/>
      <c r="AC79" s="2"/>
    </row>
    <row r="80" spans="1:29" x14ac:dyDescent="0.25">
      <c r="A80" s="1" t="str">
        <f t="shared" si="1"/>
        <v/>
      </c>
      <c r="B80" s="2"/>
      <c r="C80" s="2"/>
      <c r="D80" s="13"/>
      <c r="E80" s="14"/>
      <c r="F80" s="15"/>
      <c r="G80" s="8"/>
      <c r="M80" s="2"/>
      <c r="N80" s="2" t="str">
        <f>IFERROR(IF(ISBLANK(M80),"",INDEX([1]Gen_Vessels!$A$3:$C$500,MATCH(CorrectiveMinor!$M80,[1]Gen_Vessels!$C$3:$C$500,0),1)),"")</f>
        <v/>
      </c>
      <c r="O80" s="2"/>
      <c r="P80" s="2" t="str">
        <f>IFERROR(IF(ISBLANK(O80),"",INDEX([1]Gen_Vessels!$A$3:$C$500,MATCH(CorrectiveMinor!$O80,[1]Gen_Vessels!$C$3:$C$500,0),1)),"")</f>
        <v/>
      </c>
      <c r="Q80" s="2"/>
      <c r="R80" s="2"/>
      <c r="S80" s="2"/>
      <c r="T80" s="2"/>
      <c r="U80" s="2"/>
      <c r="W80" s="2"/>
      <c r="X80" s="2"/>
      <c r="Y80" s="2"/>
      <c r="Z80" s="2"/>
      <c r="AA80" s="2"/>
      <c r="AB80" s="2"/>
      <c r="AC80" s="2"/>
    </row>
    <row r="81" spans="1:29" x14ac:dyDescent="0.25">
      <c r="A81" s="1" t="str">
        <f t="shared" si="1"/>
        <v/>
      </c>
      <c r="B81" s="2"/>
      <c r="C81" s="2"/>
      <c r="D81" s="13"/>
      <c r="E81" s="14"/>
      <c r="F81" s="15"/>
      <c r="G81" s="8"/>
      <c r="M81" s="2"/>
      <c r="N81" s="2" t="str">
        <f>IFERROR(IF(ISBLANK(M81),"",INDEX([1]Gen_Vessels!$A$3:$C$500,MATCH(CorrectiveMinor!$M81,[1]Gen_Vessels!$C$3:$C$500,0),1)),"")</f>
        <v/>
      </c>
      <c r="O81" s="2"/>
      <c r="P81" s="2" t="str">
        <f>IFERROR(IF(ISBLANK(O81),"",INDEX([1]Gen_Vessels!$A$3:$C$500,MATCH(CorrectiveMinor!$O81,[1]Gen_Vessels!$C$3:$C$500,0),1)),"")</f>
        <v/>
      </c>
      <c r="Q81" s="2"/>
      <c r="R81" s="2"/>
      <c r="S81" s="2"/>
      <c r="T81" s="2"/>
      <c r="U81" s="2"/>
      <c r="W81" s="2"/>
      <c r="X81" s="2"/>
      <c r="Y81" s="2"/>
      <c r="Z81" s="2"/>
      <c r="AA81" s="2"/>
      <c r="AB81" s="2"/>
      <c r="AC81" s="2"/>
    </row>
    <row r="82" spans="1:29" x14ac:dyDescent="0.25">
      <c r="A82" s="1" t="str">
        <f t="shared" si="1"/>
        <v/>
      </c>
      <c r="B82" s="2"/>
      <c r="C82" s="2"/>
      <c r="D82" s="13"/>
      <c r="E82" s="14"/>
      <c r="F82" s="15"/>
      <c r="G82" s="8"/>
      <c r="M82" s="2"/>
      <c r="N82" s="2" t="str">
        <f>IFERROR(IF(ISBLANK(M82),"",INDEX([1]Gen_Vessels!$A$3:$C$500,MATCH(CorrectiveMinor!$M82,[1]Gen_Vessels!$C$3:$C$500,0),1)),"")</f>
        <v/>
      </c>
      <c r="O82" s="2"/>
      <c r="P82" s="2" t="str">
        <f>IFERROR(IF(ISBLANK(O82),"",INDEX([1]Gen_Vessels!$A$3:$C$500,MATCH(CorrectiveMinor!$O82,[1]Gen_Vessels!$C$3:$C$500,0),1)),"")</f>
        <v/>
      </c>
      <c r="Q82" s="2"/>
      <c r="R82" s="2"/>
      <c r="S82" s="2"/>
      <c r="T82" s="2"/>
      <c r="U82" s="2"/>
      <c r="W82" s="2"/>
      <c r="X82" s="2"/>
      <c r="Y82" s="2"/>
      <c r="Z82" s="2"/>
      <c r="AA82" s="2"/>
      <c r="AB82" s="2"/>
      <c r="AC82" s="2"/>
    </row>
    <row r="83" spans="1:29" x14ac:dyDescent="0.25">
      <c r="A83" s="1" t="str">
        <f t="shared" si="1"/>
        <v/>
      </c>
      <c r="B83" s="2"/>
      <c r="C83" s="2"/>
      <c r="D83" s="13"/>
      <c r="E83" s="14"/>
      <c r="F83" s="15"/>
      <c r="G83" s="8"/>
      <c r="M83" s="2"/>
      <c r="N83" s="2" t="str">
        <f>IFERROR(IF(ISBLANK(M83),"",INDEX([1]Gen_Vessels!$A$3:$C$500,MATCH(CorrectiveMinor!$M83,[1]Gen_Vessels!$C$3:$C$500,0),1)),"")</f>
        <v/>
      </c>
      <c r="O83" s="2"/>
      <c r="P83" s="2" t="str">
        <f>IFERROR(IF(ISBLANK(O83),"",INDEX([1]Gen_Vessels!$A$3:$C$500,MATCH(CorrectiveMinor!$O83,[1]Gen_Vessels!$C$3:$C$500,0),1)),"")</f>
        <v/>
      </c>
      <c r="Q83" s="2"/>
      <c r="R83" s="2"/>
      <c r="S83" s="2"/>
      <c r="T83" s="2"/>
      <c r="U83" s="2"/>
      <c r="W83" s="2"/>
      <c r="X83" s="2"/>
      <c r="Y83" s="2"/>
      <c r="Z83" s="2"/>
      <c r="AA83" s="2"/>
      <c r="AB83" s="2"/>
      <c r="AC83" s="2"/>
    </row>
    <row r="84" spans="1:29" x14ac:dyDescent="0.25">
      <c r="A84" s="1" t="str">
        <f t="shared" si="1"/>
        <v/>
      </c>
      <c r="B84" s="2"/>
      <c r="C84" s="2"/>
      <c r="D84" s="13"/>
      <c r="E84" s="14"/>
      <c r="F84" s="15"/>
      <c r="G84" s="8"/>
      <c r="M84" s="2"/>
      <c r="N84" s="2" t="str">
        <f>IFERROR(IF(ISBLANK(M84),"",INDEX([1]Gen_Vessels!$A$3:$C$500,MATCH(CorrectiveMinor!$M84,[1]Gen_Vessels!$C$3:$C$500,0),1)),"")</f>
        <v/>
      </c>
      <c r="O84" s="2"/>
      <c r="P84" s="2" t="str">
        <f>IFERROR(IF(ISBLANK(O84),"",INDEX([1]Gen_Vessels!$A$3:$C$500,MATCH(CorrectiveMinor!$O84,[1]Gen_Vessels!$C$3:$C$500,0),1)),"")</f>
        <v/>
      </c>
      <c r="Q84" s="2"/>
      <c r="R84" s="2"/>
      <c r="S84" s="2"/>
      <c r="T84" s="2"/>
      <c r="U84" s="2"/>
      <c r="W84" s="2"/>
      <c r="X84" s="2"/>
      <c r="Y84" s="2"/>
      <c r="Z84" s="2"/>
      <c r="AA84" s="2"/>
      <c r="AB84" s="2"/>
      <c r="AC84" s="2"/>
    </row>
    <row r="85" spans="1:29" x14ac:dyDescent="0.25">
      <c r="A85" s="1" t="str">
        <f t="shared" si="1"/>
        <v/>
      </c>
      <c r="B85" s="2"/>
      <c r="C85" s="2"/>
      <c r="D85" s="13"/>
      <c r="E85" s="14"/>
      <c r="F85" s="15"/>
      <c r="G85" s="8"/>
      <c r="M85" s="2"/>
      <c r="N85" s="2" t="str">
        <f>IFERROR(IF(ISBLANK(M85),"",INDEX([1]Gen_Vessels!$A$3:$C$500,MATCH(CorrectiveMinor!$M85,[1]Gen_Vessels!$C$3:$C$500,0),1)),"")</f>
        <v/>
      </c>
      <c r="O85" s="2"/>
      <c r="P85" s="2" t="str">
        <f>IFERROR(IF(ISBLANK(O85),"",INDEX([1]Gen_Vessels!$A$3:$C$500,MATCH(CorrectiveMinor!$O85,[1]Gen_Vessels!$C$3:$C$500,0),1)),"")</f>
        <v/>
      </c>
      <c r="Q85" s="2"/>
      <c r="R85" s="2"/>
      <c r="S85" s="2"/>
      <c r="T85" s="2"/>
      <c r="U85" s="2"/>
      <c r="W85" s="2"/>
      <c r="X85" s="2"/>
      <c r="Y85" s="2"/>
      <c r="Z85" s="2"/>
      <c r="AA85" s="2"/>
      <c r="AB85" s="2"/>
      <c r="AC85" s="2"/>
    </row>
    <row r="86" spans="1:29" x14ac:dyDescent="0.25">
      <c r="A86" s="1" t="str">
        <f t="shared" si="1"/>
        <v/>
      </c>
      <c r="B86" s="2"/>
      <c r="C86" s="2"/>
      <c r="D86" s="13"/>
      <c r="E86" s="14"/>
      <c r="F86" s="15"/>
      <c r="G86" s="8"/>
      <c r="M86" s="2"/>
      <c r="N86" s="2" t="str">
        <f>IFERROR(IF(ISBLANK(M86),"",INDEX([1]Gen_Vessels!$A$3:$C$500,MATCH(CorrectiveMinor!$M86,[1]Gen_Vessels!$C$3:$C$500,0),1)),"")</f>
        <v/>
      </c>
      <c r="O86" s="2"/>
      <c r="P86" s="2" t="str">
        <f>IFERROR(IF(ISBLANK(O86),"",INDEX([1]Gen_Vessels!$A$3:$C$500,MATCH(CorrectiveMinor!$O86,[1]Gen_Vessels!$C$3:$C$500,0),1)),"")</f>
        <v/>
      </c>
      <c r="Q86" s="2"/>
      <c r="R86" s="2"/>
      <c r="S86" s="2"/>
      <c r="T86" s="2"/>
      <c r="U86" s="2"/>
      <c r="W86" s="2"/>
      <c r="X86" s="2"/>
      <c r="Y86" s="2"/>
      <c r="Z86" s="2"/>
      <c r="AA86" s="2"/>
      <c r="AB86" s="2"/>
      <c r="AC86" s="2"/>
    </row>
    <row r="87" spans="1:29" x14ac:dyDescent="0.25">
      <c r="A87" s="1" t="str">
        <f t="shared" si="1"/>
        <v/>
      </c>
      <c r="B87" s="2"/>
      <c r="C87" s="2"/>
      <c r="D87" s="13"/>
      <c r="E87" s="14"/>
      <c r="F87" s="15"/>
      <c r="G87" s="8"/>
      <c r="M87" s="2"/>
      <c r="N87" s="2" t="str">
        <f>IFERROR(IF(ISBLANK(M87),"",INDEX([1]Gen_Vessels!$A$3:$C$500,MATCH(CorrectiveMinor!$M87,[1]Gen_Vessels!$C$3:$C$500,0),1)),"")</f>
        <v/>
      </c>
      <c r="O87" s="2"/>
      <c r="P87" s="2" t="str">
        <f>IFERROR(IF(ISBLANK(O87),"",INDEX([1]Gen_Vessels!$A$3:$C$500,MATCH(CorrectiveMinor!$O87,[1]Gen_Vessels!$C$3:$C$500,0),1)),"")</f>
        <v/>
      </c>
      <c r="Q87" s="2"/>
      <c r="R87" s="2"/>
      <c r="S87" s="2"/>
      <c r="T87" s="2"/>
      <c r="U87" s="2"/>
      <c r="W87" s="2"/>
      <c r="X87" s="2"/>
      <c r="Y87" s="2"/>
      <c r="Z87" s="2"/>
      <c r="AA87" s="2"/>
      <c r="AB87" s="2"/>
      <c r="AC87" s="2"/>
    </row>
    <row r="88" spans="1:29" x14ac:dyDescent="0.25">
      <c r="A88" s="1" t="str">
        <f t="shared" si="1"/>
        <v/>
      </c>
      <c r="B88" s="2"/>
      <c r="C88" s="2"/>
      <c r="D88" s="13"/>
      <c r="E88" s="14"/>
      <c r="F88" s="15"/>
      <c r="G88" s="8"/>
      <c r="M88" s="2"/>
      <c r="N88" s="2" t="str">
        <f>IFERROR(IF(ISBLANK(M88),"",INDEX([1]Gen_Vessels!$A$3:$C$500,MATCH(CorrectiveMinor!$M88,[1]Gen_Vessels!$C$3:$C$500,0),1)),"")</f>
        <v/>
      </c>
      <c r="O88" s="2"/>
      <c r="P88" s="2" t="str">
        <f>IFERROR(IF(ISBLANK(O88),"",INDEX([1]Gen_Vessels!$A$3:$C$500,MATCH(CorrectiveMinor!$O88,[1]Gen_Vessels!$C$3:$C$500,0),1)),"")</f>
        <v/>
      </c>
      <c r="Q88" s="2"/>
      <c r="R88" s="2"/>
      <c r="S88" s="2"/>
      <c r="T88" s="2"/>
      <c r="U88" s="2"/>
      <c r="W88" s="2"/>
      <c r="X88" s="2"/>
      <c r="Y88" s="2"/>
      <c r="Z88" s="2"/>
      <c r="AA88" s="2"/>
      <c r="AB88" s="2"/>
      <c r="AC88" s="2"/>
    </row>
    <row r="89" spans="1:29" x14ac:dyDescent="0.25">
      <c r="A89" s="1" t="str">
        <f t="shared" si="1"/>
        <v/>
      </c>
      <c r="B89" s="2"/>
      <c r="C89" s="2"/>
      <c r="D89" s="13"/>
      <c r="E89" s="14"/>
      <c r="F89" s="15"/>
      <c r="G89" s="8"/>
      <c r="M89" s="2"/>
      <c r="N89" s="2" t="str">
        <f>IFERROR(IF(ISBLANK(M89),"",INDEX([1]Gen_Vessels!$A$3:$C$500,MATCH(CorrectiveMinor!$M89,[1]Gen_Vessels!$C$3:$C$500,0),1)),"")</f>
        <v/>
      </c>
      <c r="O89" s="2"/>
      <c r="P89" s="2" t="str">
        <f>IFERROR(IF(ISBLANK(O89),"",INDEX([1]Gen_Vessels!$A$3:$C$500,MATCH(CorrectiveMinor!$O89,[1]Gen_Vessels!$C$3:$C$500,0),1)),"")</f>
        <v/>
      </c>
      <c r="Q89" s="2"/>
      <c r="R89" s="2"/>
      <c r="S89" s="2"/>
      <c r="T89" s="2"/>
      <c r="U89" s="2"/>
      <c r="W89" s="2"/>
      <c r="X89" s="2"/>
      <c r="Y89" s="2"/>
      <c r="Z89" s="2"/>
      <c r="AA89" s="2"/>
      <c r="AB89" s="2"/>
      <c r="AC89" s="2"/>
    </row>
    <row r="90" spans="1:29" x14ac:dyDescent="0.25">
      <c r="A90" s="1" t="str">
        <f t="shared" si="1"/>
        <v/>
      </c>
      <c r="B90" s="2"/>
      <c r="C90" s="2"/>
      <c r="D90" s="13"/>
      <c r="E90" s="14"/>
      <c r="F90" s="15"/>
      <c r="G90" s="8"/>
      <c r="M90" s="2"/>
      <c r="N90" s="2" t="str">
        <f>IFERROR(IF(ISBLANK(M90),"",INDEX([1]Gen_Vessels!$A$3:$C$500,MATCH(CorrectiveMinor!$M90,[1]Gen_Vessels!$C$3:$C$500,0),1)),"")</f>
        <v/>
      </c>
      <c r="O90" s="2"/>
      <c r="P90" s="2" t="str">
        <f>IFERROR(IF(ISBLANK(O90),"",INDEX([1]Gen_Vessels!$A$3:$C$500,MATCH(CorrectiveMinor!$O90,[1]Gen_Vessels!$C$3:$C$500,0),1)),"")</f>
        <v/>
      </c>
      <c r="Q90" s="2"/>
      <c r="R90" s="2"/>
      <c r="S90" s="2"/>
      <c r="T90" s="2"/>
      <c r="U90" s="2"/>
      <c r="W90" s="2"/>
      <c r="X90" s="2"/>
      <c r="Y90" s="2"/>
      <c r="Z90" s="2"/>
      <c r="AA90" s="2"/>
      <c r="AB90" s="2"/>
      <c r="AC90" s="2"/>
    </row>
    <row r="91" spans="1:29" x14ac:dyDescent="0.25">
      <c r="A91" s="1" t="str">
        <f t="shared" si="1"/>
        <v/>
      </c>
      <c r="B91" s="2"/>
      <c r="C91" s="2"/>
      <c r="D91" s="13"/>
      <c r="E91" s="14"/>
      <c r="F91" s="15"/>
      <c r="G91" s="8"/>
      <c r="M91" s="2"/>
      <c r="N91" s="2" t="str">
        <f>IFERROR(IF(ISBLANK(M91),"",INDEX([1]Gen_Vessels!$A$3:$C$500,MATCH(CorrectiveMinor!$M91,[1]Gen_Vessels!$C$3:$C$500,0),1)),"")</f>
        <v/>
      </c>
      <c r="O91" s="2"/>
      <c r="P91" s="2" t="str">
        <f>IFERROR(IF(ISBLANK(O91),"",INDEX([1]Gen_Vessels!$A$3:$C$500,MATCH(CorrectiveMinor!$O91,[1]Gen_Vessels!$C$3:$C$500,0),1)),"")</f>
        <v/>
      </c>
      <c r="Q91" s="2"/>
      <c r="R91" s="2"/>
      <c r="S91" s="2"/>
      <c r="T91" s="2"/>
      <c r="U91" s="2"/>
      <c r="W91" s="2"/>
      <c r="X91" s="2"/>
      <c r="Y91" s="2"/>
      <c r="Z91" s="2"/>
      <c r="AA91" s="2"/>
      <c r="AB91" s="2"/>
      <c r="AC91" s="2"/>
    </row>
    <row r="92" spans="1:29" x14ac:dyDescent="0.25">
      <c r="A92" s="1" t="str">
        <f t="shared" si="1"/>
        <v/>
      </c>
      <c r="B92" s="2"/>
      <c r="C92" s="2"/>
      <c r="D92" s="13"/>
      <c r="E92" s="14"/>
      <c r="F92" s="15"/>
      <c r="G92" s="8"/>
      <c r="M92" s="2"/>
      <c r="N92" s="2" t="str">
        <f>IFERROR(IF(ISBLANK(M92),"",INDEX([1]Gen_Vessels!$A$3:$C$500,MATCH(CorrectiveMinor!$M92,[1]Gen_Vessels!$C$3:$C$500,0),1)),"")</f>
        <v/>
      </c>
      <c r="O92" s="2"/>
      <c r="P92" s="2" t="str">
        <f>IFERROR(IF(ISBLANK(O92),"",INDEX([1]Gen_Vessels!$A$3:$C$500,MATCH(CorrectiveMinor!$O92,[1]Gen_Vessels!$C$3:$C$500,0),1)),"")</f>
        <v/>
      </c>
      <c r="Q92" s="2"/>
      <c r="R92" s="2"/>
      <c r="S92" s="2"/>
      <c r="T92" s="2"/>
      <c r="U92" s="2"/>
      <c r="W92" s="2"/>
      <c r="X92" s="2"/>
      <c r="Y92" s="2"/>
      <c r="Z92" s="2"/>
      <c r="AA92" s="2"/>
      <c r="AB92" s="2"/>
      <c r="AC92" s="2"/>
    </row>
    <row r="93" spans="1:29" x14ac:dyDescent="0.25">
      <c r="A93" s="1" t="str">
        <f t="shared" si="1"/>
        <v/>
      </c>
      <c r="B93" s="2"/>
      <c r="C93" s="2"/>
      <c r="D93" s="13"/>
      <c r="E93" s="14"/>
      <c r="F93" s="15"/>
      <c r="G93" s="8"/>
      <c r="M93" s="2"/>
      <c r="N93" s="2" t="str">
        <f>IFERROR(IF(ISBLANK(M93),"",INDEX([1]Gen_Vessels!$A$3:$C$500,MATCH(CorrectiveMinor!$M93,[1]Gen_Vessels!$C$3:$C$500,0),1)),"")</f>
        <v/>
      </c>
      <c r="O93" s="2"/>
      <c r="P93" s="2" t="str">
        <f>IFERROR(IF(ISBLANK(O93),"",INDEX([1]Gen_Vessels!$A$3:$C$500,MATCH(CorrectiveMinor!$O93,[1]Gen_Vessels!$C$3:$C$500,0),1)),"")</f>
        <v/>
      </c>
      <c r="Q93" s="2"/>
      <c r="R93" s="2"/>
      <c r="S93" s="2"/>
      <c r="T93" s="2"/>
      <c r="U93" s="2"/>
      <c r="W93" s="2"/>
      <c r="X93" s="2"/>
      <c r="Y93" s="2"/>
      <c r="Z93" s="2"/>
      <c r="AA93" s="2"/>
      <c r="AB93" s="2"/>
      <c r="AC93" s="2"/>
    </row>
    <row r="94" spans="1:29" x14ac:dyDescent="0.25">
      <c r="A94" s="1" t="str">
        <f t="shared" si="1"/>
        <v/>
      </c>
      <c r="B94" s="2"/>
      <c r="C94" s="2"/>
      <c r="D94" s="13"/>
      <c r="E94" s="14"/>
      <c r="F94" s="15"/>
      <c r="G94" s="8"/>
      <c r="M94" s="2"/>
      <c r="N94" s="2" t="str">
        <f>IFERROR(IF(ISBLANK(M94),"",INDEX([1]Gen_Vessels!$A$3:$C$500,MATCH(CorrectiveMinor!$M94,[1]Gen_Vessels!$C$3:$C$500,0),1)),"")</f>
        <v/>
      </c>
      <c r="O94" s="2"/>
      <c r="P94" s="2" t="str">
        <f>IFERROR(IF(ISBLANK(O94),"",INDEX([1]Gen_Vessels!$A$3:$C$500,MATCH(CorrectiveMinor!$O94,[1]Gen_Vessels!$C$3:$C$500,0),1)),"")</f>
        <v/>
      </c>
      <c r="Q94" s="2"/>
      <c r="R94" s="2"/>
      <c r="S94" s="2"/>
      <c r="T94" s="2"/>
      <c r="U94" s="2"/>
      <c r="W94" s="2"/>
      <c r="X94" s="2"/>
      <c r="Y94" s="2"/>
      <c r="Z94" s="2"/>
      <c r="AA94" s="2"/>
      <c r="AB94" s="2"/>
      <c r="AC94" s="2"/>
    </row>
    <row r="95" spans="1:29" x14ac:dyDescent="0.25">
      <c r="A95" s="1" t="str">
        <f t="shared" si="1"/>
        <v/>
      </c>
      <c r="B95" s="2"/>
      <c r="C95" s="2"/>
      <c r="D95" s="13"/>
      <c r="E95" s="14"/>
      <c r="F95" s="15"/>
      <c r="G95" s="8"/>
      <c r="M95" s="2"/>
      <c r="N95" s="2" t="str">
        <f>IFERROR(IF(ISBLANK(M95),"",INDEX([1]Gen_Vessels!$A$3:$C$500,MATCH(CorrectiveMinor!$M95,[1]Gen_Vessels!$C$3:$C$500,0),1)),"")</f>
        <v/>
      </c>
      <c r="O95" s="2"/>
      <c r="P95" s="2" t="str">
        <f>IFERROR(IF(ISBLANK(O95),"",INDEX([1]Gen_Vessels!$A$3:$C$500,MATCH(CorrectiveMinor!$O95,[1]Gen_Vessels!$C$3:$C$500,0),1)),"")</f>
        <v/>
      </c>
      <c r="Q95" s="2"/>
      <c r="R95" s="2"/>
      <c r="S95" s="2"/>
      <c r="T95" s="2"/>
      <c r="U95" s="2"/>
      <c r="W95" s="2"/>
      <c r="X95" s="2"/>
      <c r="Y95" s="2"/>
      <c r="Z95" s="2"/>
      <c r="AA95" s="2"/>
      <c r="AB95" s="2"/>
      <c r="AC95" s="2"/>
    </row>
    <row r="96" spans="1:29" x14ac:dyDescent="0.25">
      <c r="A96" s="1" t="str">
        <f t="shared" si="1"/>
        <v/>
      </c>
      <c r="B96" s="2"/>
      <c r="C96" s="2"/>
      <c r="D96" s="13"/>
      <c r="E96" s="14"/>
      <c r="F96" s="15"/>
      <c r="G96" s="8"/>
      <c r="M96" s="2"/>
      <c r="N96" s="2" t="str">
        <f>IFERROR(IF(ISBLANK(M96),"",INDEX([1]Gen_Vessels!$A$3:$C$500,MATCH(CorrectiveMinor!$M96,[1]Gen_Vessels!$C$3:$C$500,0),1)),"")</f>
        <v/>
      </c>
      <c r="O96" s="2"/>
      <c r="P96" s="2" t="str">
        <f>IFERROR(IF(ISBLANK(O96),"",INDEX([1]Gen_Vessels!$A$3:$C$500,MATCH(CorrectiveMinor!$O96,[1]Gen_Vessels!$C$3:$C$500,0),1)),"")</f>
        <v/>
      </c>
      <c r="Q96" s="2"/>
      <c r="R96" s="2"/>
      <c r="S96" s="2"/>
      <c r="T96" s="2"/>
      <c r="U96" s="2"/>
      <c r="W96" s="2"/>
      <c r="X96" s="2"/>
      <c r="Y96" s="2"/>
      <c r="Z96" s="2"/>
      <c r="AA96" s="2"/>
      <c r="AB96" s="2"/>
      <c r="AC96" s="2"/>
    </row>
    <row r="97" spans="1:29" x14ac:dyDescent="0.25">
      <c r="A97" s="1" t="str">
        <f t="shared" si="1"/>
        <v/>
      </c>
      <c r="B97" s="2"/>
      <c r="C97" s="2"/>
      <c r="D97" s="13"/>
      <c r="E97" s="14"/>
      <c r="F97" s="15"/>
      <c r="G97" s="8"/>
      <c r="M97" s="2"/>
      <c r="N97" s="2" t="str">
        <f>IFERROR(IF(ISBLANK(M97),"",INDEX([1]Gen_Vessels!$A$3:$C$500,MATCH(CorrectiveMinor!$M97,[1]Gen_Vessels!$C$3:$C$500,0),1)),"")</f>
        <v/>
      </c>
      <c r="O97" s="2"/>
      <c r="P97" s="2" t="str">
        <f>IFERROR(IF(ISBLANK(O97),"",INDEX([1]Gen_Vessels!$A$3:$C$500,MATCH(CorrectiveMinor!$O97,[1]Gen_Vessels!$C$3:$C$500,0),1)),"")</f>
        <v/>
      </c>
      <c r="Q97" s="2"/>
      <c r="R97" s="2"/>
      <c r="S97" s="2"/>
      <c r="T97" s="2"/>
      <c r="U97" s="2"/>
      <c r="W97" s="2"/>
      <c r="X97" s="2"/>
      <c r="Y97" s="2"/>
      <c r="Z97" s="2"/>
      <c r="AA97" s="2"/>
      <c r="AB97" s="2"/>
      <c r="AC97" s="2"/>
    </row>
    <row r="98" spans="1:29" x14ac:dyDescent="0.25">
      <c r="A98" s="1" t="str">
        <f t="shared" si="1"/>
        <v/>
      </c>
      <c r="B98" s="2"/>
      <c r="C98" s="2"/>
      <c r="D98" s="13"/>
      <c r="E98" s="14"/>
      <c r="F98" s="15"/>
      <c r="G98" s="8"/>
      <c r="M98" s="2"/>
      <c r="N98" s="2" t="str">
        <f>IFERROR(IF(ISBLANK(M98),"",INDEX([1]Gen_Vessels!$A$3:$C$500,MATCH(CorrectiveMinor!$M98,[1]Gen_Vessels!$C$3:$C$500,0),1)),"")</f>
        <v/>
      </c>
      <c r="O98" s="2"/>
      <c r="P98" s="2" t="str">
        <f>IFERROR(IF(ISBLANK(O98),"",INDEX([1]Gen_Vessels!$A$3:$C$500,MATCH(CorrectiveMinor!$O98,[1]Gen_Vessels!$C$3:$C$500,0),1)),"")</f>
        <v/>
      </c>
      <c r="Q98" s="2"/>
      <c r="R98" s="2"/>
      <c r="S98" s="2"/>
      <c r="T98" s="2"/>
      <c r="U98" s="2"/>
      <c r="W98" s="2"/>
      <c r="X98" s="2"/>
      <c r="Y98" s="2"/>
      <c r="Z98" s="2"/>
      <c r="AA98" s="2"/>
      <c r="AB98" s="2"/>
      <c r="AC98" s="2"/>
    </row>
    <row r="99" spans="1:29" x14ac:dyDescent="0.25">
      <c r="A99" s="1" t="str">
        <f t="shared" si="1"/>
        <v/>
      </c>
      <c r="B99" s="2"/>
      <c r="C99" s="2"/>
      <c r="D99" s="13"/>
      <c r="E99" s="14"/>
      <c r="F99" s="15"/>
      <c r="G99" s="8"/>
      <c r="M99" s="2"/>
      <c r="N99" s="2" t="str">
        <f>IFERROR(IF(ISBLANK(M99),"",INDEX([1]Gen_Vessels!$A$3:$C$500,MATCH(CorrectiveMinor!$M99,[1]Gen_Vessels!$C$3:$C$500,0),1)),"")</f>
        <v/>
      </c>
      <c r="O99" s="2"/>
      <c r="P99" s="2" t="str">
        <f>IFERROR(IF(ISBLANK(O99),"",INDEX([1]Gen_Vessels!$A$3:$C$500,MATCH(CorrectiveMinor!$O99,[1]Gen_Vessels!$C$3:$C$500,0),1)),"")</f>
        <v/>
      </c>
      <c r="Q99" s="2"/>
      <c r="R99" s="2"/>
      <c r="S99" s="2"/>
      <c r="T99" s="2"/>
      <c r="U99" s="2"/>
      <c r="W99" s="2"/>
      <c r="X99" s="2"/>
      <c r="Y99" s="2"/>
      <c r="Z99" s="2"/>
      <c r="AA99" s="2"/>
      <c r="AB99" s="2"/>
      <c r="AC99" s="2"/>
    </row>
    <row r="100" spans="1:29" x14ac:dyDescent="0.25">
      <c r="A100" s="1" t="str">
        <f t="shared" si="1"/>
        <v/>
      </c>
      <c r="B100" s="2"/>
      <c r="C100" s="2"/>
      <c r="D100" s="13"/>
      <c r="E100" s="14"/>
      <c r="F100" s="15"/>
      <c r="G100" s="8"/>
      <c r="M100" s="2"/>
      <c r="N100" s="2" t="str">
        <f>IFERROR(IF(ISBLANK(M100),"",INDEX([1]Gen_Vessels!$A$3:$C$500,MATCH(CorrectiveMinor!$M100,[1]Gen_Vessels!$C$3:$C$500,0),1)),"")</f>
        <v/>
      </c>
      <c r="O100" s="2"/>
      <c r="P100" s="2" t="str">
        <f>IFERROR(IF(ISBLANK(O100),"",INDEX([1]Gen_Vessels!$A$3:$C$500,MATCH(CorrectiveMinor!$O100,[1]Gen_Vessels!$C$3:$C$500,0),1)),"")</f>
        <v/>
      </c>
      <c r="Q100" s="2"/>
      <c r="R100" s="2"/>
      <c r="S100" s="2"/>
      <c r="T100" s="2"/>
      <c r="U100" s="2"/>
      <c r="W100" s="2"/>
      <c r="X100" s="2"/>
      <c r="Y100" s="2"/>
      <c r="Z100" s="2"/>
      <c r="AA100" s="2"/>
      <c r="AB100" s="2"/>
      <c r="AC100" s="2"/>
    </row>
    <row r="101" spans="1:29" x14ac:dyDescent="0.25">
      <c r="A101" s="1" t="str">
        <f t="shared" si="1"/>
        <v/>
      </c>
      <c r="B101" s="2"/>
      <c r="C101" s="2"/>
      <c r="D101" s="13"/>
      <c r="E101" s="14"/>
      <c r="F101" s="15"/>
      <c r="G101" s="8"/>
      <c r="M101" s="2"/>
      <c r="N101" s="2" t="str">
        <f>IFERROR(IF(ISBLANK(M101),"",INDEX([1]Gen_Vessels!$A$3:$C$500,MATCH(CorrectiveMinor!$M101,[1]Gen_Vessels!$C$3:$C$500,0),1)),"")</f>
        <v/>
      </c>
      <c r="O101" s="2"/>
      <c r="P101" s="2" t="str">
        <f>IFERROR(IF(ISBLANK(O101),"",INDEX([1]Gen_Vessels!$A$3:$C$500,MATCH(CorrectiveMinor!$O101,[1]Gen_Vessels!$C$3:$C$500,0),1)),"")</f>
        <v/>
      </c>
      <c r="Q101" s="2"/>
      <c r="R101" s="2"/>
      <c r="S101" s="2"/>
      <c r="T101" s="2"/>
      <c r="U101" s="2"/>
      <c r="W101" s="2"/>
      <c r="X101" s="2"/>
      <c r="Y101" s="2"/>
      <c r="Z101" s="2"/>
      <c r="AA101" s="2"/>
      <c r="AB101" s="2"/>
      <c r="AC101" s="2"/>
    </row>
    <row r="102" spans="1:29" x14ac:dyDescent="0.25">
      <c r="A102" s="1" t="str">
        <f t="shared" si="1"/>
        <v/>
      </c>
      <c r="B102" s="2"/>
      <c r="C102" s="2"/>
      <c r="D102" s="13"/>
      <c r="E102" s="14"/>
      <c r="F102" s="15"/>
      <c r="G102" s="8"/>
      <c r="M102" s="2"/>
      <c r="N102" s="2" t="str">
        <f>IFERROR(IF(ISBLANK(M102),"",INDEX([1]Gen_Vessels!$A$3:$C$500,MATCH(CorrectiveMinor!$M102,[1]Gen_Vessels!$C$3:$C$500,0),1)),"")</f>
        <v/>
      </c>
      <c r="O102" s="2"/>
      <c r="P102" s="2" t="str">
        <f>IFERROR(IF(ISBLANK(O102),"",INDEX([1]Gen_Vessels!$A$3:$C$500,MATCH(CorrectiveMinor!$O102,[1]Gen_Vessels!$C$3:$C$500,0),1)),"")</f>
        <v/>
      </c>
      <c r="Q102" s="2"/>
      <c r="R102" s="2"/>
      <c r="S102" s="2"/>
      <c r="T102" s="2"/>
      <c r="U102" s="2"/>
      <c r="W102" s="2"/>
      <c r="X102" s="2"/>
      <c r="Y102" s="2"/>
      <c r="Z102" s="2"/>
      <c r="AA102" s="2"/>
      <c r="AB102" s="2"/>
      <c r="AC102" s="2"/>
    </row>
    <row r="103" spans="1:29" x14ac:dyDescent="0.25">
      <c r="A103" s="1" t="str">
        <f t="shared" si="1"/>
        <v/>
      </c>
      <c r="B103" s="2"/>
      <c r="C103" s="2"/>
      <c r="D103" s="13"/>
      <c r="E103" s="14"/>
      <c r="F103" s="15"/>
      <c r="G103" s="8"/>
      <c r="M103" s="2"/>
      <c r="N103" s="2" t="str">
        <f>IFERROR(IF(ISBLANK(M103),"",INDEX([1]Gen_Vessels!$A$3:$C$500,MATCH(CorrectiveMinor!$M103,[1]Gen_Vessels!$C$3:$C$500,0),1)),"")</f>
        <v/>
      </c>
      <c r="O103" s="2"/>
      <c r="P103" s="2" t="str">
        <f>IFERROR(IF(ISBLANK(O103),"",INDEX([1]Gen_Vessels!$A$3:$C$500,MATCH(CorrectiveMinor!$O103,[1]Gen_Vessels!$C$3:$C$500,0),1)),"")</f>
        <v/>
      </c>
      <c r="Q103" s="2"/>
      <c r="R103" s="2"/>
      <c r="S103" s="2"/>
      <c r="T103" s="2"/>
      <c r="U103" s="2"/>
      <c r="W103" s="2"/>
      <c r="X103" s="2"/>
      <c r="Y103" s="2"/>
      <c r="Z103" s="2"/>
      <c r="AA103" s="2"/>
      <c r="AB103" s="2"/>
      <c r="AC103" s="2"/>
    </row>
    <row r="104" spans="1:29" x14ac:dyDescent="0.25">
      <c r="A104" s="1" t="str">
        <f t="shared" si="1"/>
        <v/>
      </c>
      <c r="B104" s="2"/>
      <c r="C104" s="2"/>
      <c r="D104" s="13"/>
      <c r="E104" s="14"/>
      <c r="F104" s="15"/>
      <c r="G104" s="8"/>
      <c r="M104" s="2"/>
      <c r="N104" s="2" t="str">
        <f>IFERROR(IF(ISBLANK(M104),"",INDEX([1]Gen_Vessels!$A$3:$C$500,MATCH(CorrectiveMinor!$M104,[1]Gen_Vessels!$C$3:$C$500,0),1)),"")</f>
        <v/>
      </c>
      <c r="O104" s="2"/>
      <c r="P104" s="2" t="str">
        <f>IFERROR(IF(ISBLANK(O104),"",INDEX([1]Gen_Vessels!$A$3:$C$500,MATCH(CorrectiveMinor!$O104,[1]Gen_Vessels!$C$3:$C$500,0),1)),"")</f>
        <v/>
      </c>
      <c r="Q104" s="2"/>
      <c r="R104" s="2"/>
      <c r="S104" s="2"/>
      <c r="T104" s="2"/>
      <c r="U104" s="2"/>
      <c r="W104" s="2"/>
      <c r="X104" s="2"/>
      <c r="Y104" s="2"/>
      <c r="Z104" s="2"/>
      <c r="AA104" s="2"/>
      <c r="AB104" s="2"/>
      <c r="AC104" s="2"/>
    </row>
    <row r="105" spans="1:29" x14ac:dyDescent="0.25">
      <c r="A105" s="1" t="str">
        <f t="shared" si="1"/>
        <v/>
      </c>
      <c r="B105" s="2"/>
      <c r="C105" s="2"/>
      <c r="D105" s="13"/>
      <c r="E105" s="14"/>
      <c r="F105" s="15"/>
      <c r="G105" s="8"/>
      <c r="M105" s="2"/>
      <c r="N105" s="2" t="str">
        <f>IFERROR(IF(ISBLANK(M105),"",INDEX([1]Gen_Vessels!$A$3:$C$500,MATCH(CorrectiveMinor!$M105,[1]Gen_Vessels!$C$3:$C$500,0),1)),"")</f>
        <v/>
      </c>
      <c r="O105" s="2"/>
      <c r="P105" s="2" t="str">
        <f>IFERROR(IF(ISBLANK(O105),"",INDEX([1]Gen_Vessels!$A$3:$C$500,MATCH(CorrectiveMinor!$O105,[1]Gen_Vessels!$C$3:$C$500,0),1)),"")</f>
        <v/>
      </c>
      <c r="Q105" s="2"/>
      <c r="R105" s="2"/>
      <c r="S105" s="2"/>
      <c r="T105" s="2"/>
      <c r="U105" s="2"/>
      <c r="W105" s="2"/>
      <c r="X105" s="2"/>
      <c r="Y105" s="2"/>
      <c r="Z105" s="2"/>
      <c r="AA105" s="2"/>
      <c r="AB105" s="2"/>
      <c r="AC105" s="2"/>
    </row>
    <row r="106" spans="1:29" x14ac:dyDescent="0.25">
      <c r="A106" s="1" t="str">
        <f t="shared" si="1"/>
        <v/>
      </c>
      <c r="B106" s="2"/>
      <c r="C106" s="2"/>
      <c r="D106" s="13"/>
      <c r="E106" s="14"/>
      <c r="F106" s="15"/>
      <c r="G106" s="8"/>
      <c r="M106" s="2"/>
      <c r="N106" s="2" t="str">
        <f>IFERROR(IF(ISBLANK(M106),"",INDEX([1]Gen_Vessels!$A$3:$C$500,MATCH(CorrectiveMinor!$M106,[1]Gen_Vessels!$C$3:$C$500,0),1)),"")</f>
        <v/>
      </c>
      <c r="O106" s="2"/>
      <c r="P106" s="2" t="str">
        <f>IFERROR(IF(ISBLANK(O106),"",INDEX([1]Gen_Vessels!$A$3:$C$500,MATCH(CorrectiveMinor!$O106,[1]Gen_Vessels!$C$3:$C$500,0),1)),"")</f>
        <v/>
      </c>
      <c r="Q106" s="2"/>
      <c r="R106" s="2"/>
      <c r="S106" s="2"/>
      <c r="T106" s="2"/>
      <c r="U106" s="2"/>
      <c r="W106" s="2"/>
      <c r="X106" s="2"/>
      <c r="Y106" s="2"/>
      <c r="Z106" s="2"/>
      <c r="AA106" s="2"/>
      <c r="AB106" s="2"/>
      <c r="AC106" s="2"/>
    </row>
    <row r="107" spans="1:29" x14ac:dyDescent="0.25">
      <c r="A107" s="1" t="str">
        <f t="shared" si="1"/>
        <v/>
      </c>
      <c r="B107" s="2"/>
      <c r="C107" s="2"/>
      <c r="D107" s="13"/>
      <c r="E107" s="14"/>
      <c r="F107" s="15"/>
      <c r="G107" s="8"/>
      <c r="M107" s="2"/>
      <c r="N107" s="2" t="str">
        <f>IFERROR(IF(ISBLANK(M107),"",INDEX([1]Gen_Vessels!$A$3:$C$500,MATCH(CorrectiveMinor!$M107,[1]Gen_Vessels!$C$3:$C$500,0),1)),"")</f>
        <v/>
      </c>
      <c r="O107" s="2"/>
      <c r="P107" s="2" t="str">
        <f>IFERROR(IF(ISBLANK(O107),"",INDEX([1]Gen_Vessels!$A$3:$C$500,MATCH(CorrectiveMinor!$O107,[1]Gen_Vessels!$C$3:$C$500,0),1)),"")</f>
        <v/>
      </c>
      <c r="Q107" s="2"/>
      <c r="R107" s="2"/>
      <c r="S107" s="2"/>
      <c r="T107" s="2"/>
      <c r="U107" s="2"/>
      <c r="W107" s="2"/>
      <c r="X107" s="2"/>
      <c r="Y107" s="2"/>
      <c r="Z107" s="2"/>
      <c r="AA107" s="2"/>
      <c r="AB107" s="2"/>
      <c r="AC107" s="2"/>
    </row>
    <row r="108" spans="1:29" x14ac:dyDescent="0.25">
      <c r="A108" s="1" t="str">
        <f t="shared" si="1"/>
        <v/>
      </c>
      <c r="B108" s="2"/>
      <c r="C108" s="2"/>
      <c r="D108" s="13"/>
      <c r="E108" s="14"/>
      <c r="F108" s="15"/>
      <c r="G108" s="8"/>
      <c r="M108" s="2"/>
      <c r="N108" s="2" t="str">
        <f>IFERROR(IF(ISBLANK(M108),"",INDEX([1]Gen_Vessels!$A$3:$C$500,MATCH(CorrectiveMinor!$M108,[1]Gen_Vessels!$C$3:$C$500,0),1)),"")</f>
        <v/>
      </c>
      <c r="O108" s="2"/>
      <c r="P108" s="2" t="str">
        <f>IFERROR(IF(ISBLANK(O108),"",INDEX([1]Gen_Vessels!$A$3:$C$500,MATCH(CorrectiveMinor!$O108,[1]Gen_Vessels!$C$3:$C$500,0),1)),"")</f>
        <v/>
      </c>
      <c r="Q108" s="2"/>
      <c r="R108" s="2"/>
      <c r="S108" s="2"/>
      <c r="T108" s="2"/>
      <c r="U108" s="2"/>
      <c r="W108" s="2"/>
      <c r="X108" s="2"/>
      <c r="Y108" s="2"/>
      <c r="Z108" s="2"/>
      <c r="AA108" s="2"/>
      <c r="AB108" s="2"/>
      <c r="AC108" s="2"/>
    </row>
    <row r="109" spans="1:29" x14ac:dyDescent="0.25">
      <c r="A109" s="1" t="str">
        <f t="shared" si="1"/>
        <v/>
      </c>
      <c r="B109" s="2"/>
      <c r="C109" s="2"/>
      <c r="D109" s="13"/>
      <c r="E109" s="14"/>
      <c r="F109" s="15"/>
      <c r="G109" s="8"/>
      <c r="M109" s="2"/>
      <c r="N109" s="2" t="str">
        <f>IFERROR(IF(ISBLANK(M109),"",INDEX([1]Gen_Vessels!$A$3:$C$500,MATCH(CorrectiveMinor!$M109,[1]Gen_Vessels!$C$3:$C$500,0),1)),"")</f>
        <v/>
      </c>
      <c r="O109" s="2"/>
      <c r="P109" s="2" t="str">
        <f>IFERROR(IF(ISBLANK(O109),"",INDEX([1]Gen_Vessels!$A$3:$C$500,MATCH(CorrectiveMinor!$O109,[1]Gen_Vessels!$C$3:$C$500,0),1)),"")</f>
        <v/>
      </c>
      <c r="Q109" s="2"/>
      <c r="R109" s="2"/>
      <c r="S109" s="2"/>
      <c r="T109" s="2"/>
      <c r="U109" s="2"/>
      <c r="W109" s="2"/>
      <c r="X109" s="2"/>
      <c r="Y109" s="2"/>
      <c r="Z109" s="2"/>
      <c r="AA109" s="2"/>
      <c r="AB109" s="2"/>
      <c r="AC109" s="2"/>
    </row>
    <row r="110" spans="1:29" x14ac:dyDescent="0.25">
      <c r="A110" s="1" t="str">
        <f t="shared" si="1"/>
        <v/>
      </c>
      <c r="B110" s="2"/>
      <c r="C110" s="2"/>
      <c r="D110" s="13"/>
      <c r="E110" s="14"/>
      <c r="F110" s="15"/>
      <c r="G110" s="8"/>
      <c r="M110" s="2"/>
      <c r="N110" s="2" t="str">
        <f>IFERROR(IF(ISBLANK(M110),"",INDEX([1]Gen_Vessels!$A$3:$C$500,MATCH(CorrectiveMinor!$M110,[1]Gen_Vessels!$C$3:$C$500,0),1)),"")</f>
        <v/>
      </c>
      <c r="O110" s="2"/>
      <c r="P110" s="2" t="str">
        <f>IFERROR(IF(ISBLANK(O110),"",INDEX([1]Gen_Vessels!$A$3:$C$500,MATCH(CorrectiveMinor!$O110,[1]Gen_Vessels!$C$3:$C$500,0),1)),"")</f>
        <v/>
      </c>
      <c r="Q110" s="2"/>
      <c r="R110" s="2"/>
      <c r="S110" s="2"/>
      <c r="T110" s="2"/>
      <c r="U110" s="2"/>
      <c r="W110" s="2"/>
      <c r="X110" s="2"/>
      <c r="Y110" s="2"/>
      <c r="Z110" s="2"/>
      <c r="AA110" s="2"/>
      <c r="AB110" s="2"/>
      <c r="AC110" s="2"/>
    </row>
    <row r="111" spans="1:29" x14ac:dyDescent="0.25">
      <c r="A111" s="1" t="str">
        <f t="shared" si="1"/>
        <v/>
      </c>
      <c r="B111" s="2"/>
      <c r="C111" s="2"/>
      <c r="D111" s="13"/>
      <c r="E111" s="14"/>
      <c r="F111" s="15"/>
      <c r="G111" s="8"/>
      <c r="M111" s="2"/>
      <c r="N111" s="2" t="str">
        <f>IFERROR(IF(ISBLANK(M111),"",INDEX([1]Gen_Vessels!$A$3:$C$500,MATCH(CorrectiveMinor!$M111,[1]Gen_Vessels!$C$3:$C$500,0),1)),"")</f>
        <v/>
      </c>
      <c r="O111" s="2"/>
      <c r="P111" s="2" t="str">
        <f>IFERROR(IF(ISBLANK(O111),"",INDEX([1]Gen_Vessels!$A$3:$C$500,MATCH(CorrectiveMinor!$O111,[1]Gen_Vessels!$C$3:$C$500,0),1)),"")</f>
        <v/>
      </c>
      <c r="Q111" s="2"/>
      <c r="R111" s="2"/>
      <c r="S111" s="2"/>
      <c r="T111" s="2"/>
      <c r="U111" s="2"/>
      <c r="W111" s="2"/>
      <c r="X111" s="2"/>
      <c r="Y111" s="2"/>
      <c r="Z111" s="2"/>
      <c r="AA111" s="2"/>
      <c r="AB111" s="2"/>
      <c r="AC111" s="2"/>
    </row>
    <row r="112" spans="1:29" x14ac:dyDescent="0.25">
      <c r="A112" s="1" t="str">
        <f t="shared" si="1"/>
        <v/>
      </c>
      <c r="B112" s="2"/>
      <c r="C112" s="2"/>
      <c r="D112" s="13"/>
      <c r="E112" s="14"/>
      <c r="F112" s="15"/>
      <c r="G112" s="8"/>
      <c r="M112" s="2"/>
      <c r="N112" s="2" t="str">
        <f>IFERROR(IF(ISBLANK(M112),"",INDEX([1]Gen_Vessels!$A$3:$C$500,MATCH(CorrectiveMinor!$M112,[1]Gen_Vessels!$C$3:$C$500,0),1)),"")</f>
        <v/>
      </c>
      <c r="O112" s="2"/>
      <c r="P112" s="2" t="str">
        <f>IFERROR(IF(ISBLANK(O112),"",INDEX([1]Gen_Vessels!$A$3:$C$500,MATCH(CorrectiveMinor!$O112,[1]Gen_Vessels!$C$3:$C$500,0),1)),"")</f>
        <v/>
      </c>
      <c r="Q112" s="2"/>
      <c r="R112" s="2"/>
      <c r="S112" s="2"/>
      <c r="T112" s="2"/>
      <c r="U112" s="2"/>
      <c r="W112" s="2"/>
      <c r="X112" s="2"/>
      <c r="Y112" s="2"/>
      <c r="Z112" s="2"/>
      <c r="AA112" s="2"/>
      <c r="AB112" s="2"/>
      <c r="AC112" s="2"/>
    </row>
    <row r="113" spans="1:29" x14ac:dyDescent="0.25">
      <c r="A113" s="1" t="str">
        <f t="shared" si="1"/>
        <v/>
      </c>
      <c r="B113" s="2"/>
      <c r="C113" s="2"/>
      <c r="D113" s="13"/>
      <c r="E113" s="14"/>
      <c r="F113" s="15"/>
      <c r="G113" s="8"/>
      <c r="M113" s="2"/>
      <c r="N113" s="2" t="str">
        <f>IFERROR(IF(ISBLANK(M113),"",INDEX([1]Gen_Vessels!$A$3:$C$500,MATCH(CorrectiveMinor!$M113,[1]Gen_Vessels!$C$3:$C$500,0),1)),"")</f>
        <v/>
      </c>
      <c r="O113" s="2"/>
      <c r="P113" s="2" t="str">
        <f>IFERROR(IF(ISBLANK(O113),"",INDEX([1]Gen_Vessels!$A$3:$C$500,MATCH(CorrectiveMinor!$O113,[1]Gen_Vessels!$C$3:$C$500,0),1)),"")</f>
        <v/>
      </c>
      <c r="Q113" s="2"/>
      <c r="R113" s="2"/>
      <c r="S113" s="2"/>
      <c r="T113" s="2"/>
      <c r="U113" s="2"/>
      <c r="W113" s="2"/>
      <c r="X113" s="2"/>
      <c r="Y113" s="2"/>
      <c r="Z113" s="2"/>
      <c r="AA113" s="2"/>
      <c r="AB113" s="2"/>
      <c r="AC113" s="2"/>
    </row>
    <row r="114" spans="1:29" x14ac:dyDescent="0.25">
      <c r="A114" s="1" t="str">
        <f t="shared" si="1"/>
        <v/>
      </c>
      <c r="B114" s="2"/>
      <c r="C114" s="2"/>
      <c r="D114" s="13"/>
      <c r="E114" s="14"/>
      <c r="F114" s="15"/>
      <c r="G114" s="8"/>
      <c r="M114" s="2"/>
      <c r="N114" s="2" t="str">
        <f>IFERROR(IF(ISBLANK(M114),"",INDEX([1]Gen_Vessels!$A$3:$C$500,MATCH(CorrectiveMinor!$M114,[1]Gen_Vessels!$C$3:$C$500,0),1)),"")</f>
        <v/>
      </c>
      <c r="O114" s="2"/>
      <c r="P114" s="2" t="str">
        <f>IFERROR(IF(ISBLANK(O114),"",INDEX([1]Gen_Vessels!$A$3:$C$500,MATCH(CorrectiveMinor!$O114,[1]Gen_Vessels!$C$3:$C$500,0),1)),"")</f>
        <v/>
      </c>
      <c r="Q114" s="2"/>
      <c r="R114" s="2"/>
      <c r="S114" s="2"/>
      <c r="T114" s="2"/>
      <c r="U114" s="2"/>
      <c r="W114" s="2"/>
      <c r="X114" s="2"/>
      <c r="Y114" s="2"/>
      <c r="Z114" s="2"/>
      <c r="AA114" s="2"/>
      <c r="AB114" s="2"/>
      <c r="AC114" s="2"/>
    </row>
    <row r="115" spans="1:29" x14ac:dyDescent="0.25">
      <c r="A115" s="1" t="str">
        <f t="shared" si="1"/>
        <v/>
      </c>
      <c r="B115" s="2"/>
      <c r="C115" s="2"/>
      <c r="D115" s="13"/>
      <c r="E115" s="14"/>
      <c r="F115" s="15"/>
      <c r="G115" s="8"/>
      <c r="M115" s="2"/>
      <c r="N115" s="2" t="str">
        <f>IFERROR(IF(ISBLANK(M115),"",INDEX([1]Gen_Vessels!$A$3:$C$500,MATCH(CorrectiveMinor!$M115,[1]Gen_Vessels!$C$3:$C$500,0),1)),"")</f>
        <v/>
      </c>
      <c r="O115" s="2"/>
      <c r="P115" s="2" t="str">
        <f>IFERROR(IF(ISBLANK(O115),"",INDEX([1]Gen_Vessels!$A$3:$C$500,MATCH(CorrectiveMinor!$O115,[1]Gen_Vessels!$C$3:$C$500,0),1)),"")</f>
        <v/>
      </c>
      <c r="Q115" s="2"/>
      <c r="R115" s="2"/>
      <c r="S115" s="2"/>
      <c r="T115" s="2"/>
      <c r="U115" s="2"/>
      <c r="W115" s="2"/>
      <c r="X115" s="2"/>
      <c r="Y115" s="2"/>
      <c r="Z115" s="2"/>
      <c r="AA115" s="2"/>
      <c r="AB115" s="2"/>
      <c r="AC115" s="2"/>
    </row>
    <row r="116" spans="1:29" x14ac:dyDescent="0.25">
      <c r="A116" s="1" t="str">
        <f t="shared" si="1"/>
        <v/>
      </c>
      <c r="B116" s="2"/>
      <c r="C116" s="2"/>
      <c r="D116" s="13"/>
      <c r="E116" s="14"/>
      <c r="F116" s="15"/>
      <c r="G116" s="8"/>
      <c r="M116" s="2"/>
      <c r="N116" s="2" t="str">
        <f>IFERROR(IF(ISBLANK(M116),"",INDEX([1]Gen_Vessels!$A$3:$C$500,MATCH(CorrectiveMinor!$M116,[1]Gen_Vessels!$C$3:$C$500,0),1)),"")</f>
        <v/>
      </c>
      <c r="O116" s="2"/>
      <c r="P116" s="2" t="str">
        <f>IFERROR(IF(ISBLANK(O116),"",INDEX([1]Gen_Vessels!$A$3:$C$500,MATCH(CorrectiveMinor!$O116,[1]Gen_Vessels!$C$3:$C$500,0),1)),"")</f>
        <v/>
      </c>
      <c r="Q116" s="2"/>
      <c r="R116" s="2"/>
      <c r="S116" s="2"/>
      <c r="T116" s="2"/>
      <c r="U116" s="2"/>
      <c r="W116" s="2"/>
      <c r="X116" s="2"/>
      <c r="Y116" s="2"/>
      <c r="Z116" s="2"/>
      <c r="AA116" s="2"/>
      <c r="AB116" s="2"/>
      <c r="AC116" s="2"/>
    </row>
    <row r="117" spans="1:29" x14ac:dyDescent="0.25">
      <c r="A117" s="1" t="str">
        <f t="shared" si="1"/>
        <v/>
      </c>
      <c r="B117" s="2"/>
      <c r="C117" s="2"/>
      <c r="D117" s="13"/>
      <c r="E117" s="14"/>
      <c r="F117" s="15"/>
      <c r="G117" s="8"/>
      <c r="M117" s="2"/>
      <c r="N117" s="2" t="str">
        <f>IFERROR(IF(ISBLANK(M117),"",INDEX([1]Gen_Vessels!$A$3:$C$500,MATCH(CorrectiveMinor!$M117,[1]Gen_Vessels!$C$3:$C$500,0),1)),"")</f>
        <v/>
      </c>
      <c r="O117" s="2"/>
      <c r="P117" s="2" t="str">
        <f>IFERROR(IF(ISBLANK(O117),"",INDEX([1]Gen_Vessels!$A$3:$C$500,MATCH(CorrectiveMinor!$O117,[1]Gen_Vessels!$C$3:$C$500,0),1)),"")</f>
        <v/>
      </c>
      <c r="Q117" s="2"/>
      <c r="R117" s="2"/>
      <c r="S117" s="2"/>
      <c r="T117" s="2"/>
      <c r="U117" s="2"/>
      <c r="W117" s="2"/>
      <c r="X117" s="2"/>
      <c r="Y117" s="2"/>
      <c r="Z117" s="2"/>
      <c r="AA117" s="2"/>
      <c r="AB117" s="2"/>
      <c r="AC117" s="2"/>
    </row>
    <row r="118" spans="1:29" x14ac:dyDescent="0.25">
      <c r="A118" s="1" t="str">
        <f t="shared" si="1"/>
        <v/>
      </c>
      <c r="B118" s="2"/>
      <c r="C118" s="2"/>
      <c r="D118" s="13"/>
      <c r="E118" s="14"/>
      <c r="F118" s="15"/>
      <c r="G118" s="8"/>
      <c r="M118" s="2"/>
      <c r="N118" s="2" t="str">
        <f>IFERROR(IF(ISBLANK(M118),"",INDEX([1]Gen_Vessels!$A$3:$C$500,MATCH(CorrectiveMinor!$M118,[1]Gen_Vessels!$C$3:$C$500,0),1)),"")</f>
        <v/>
      </c>
      <c r="O118" s="2"/>
      <c r="P118" s="2" t="str">
        <f>IFERROR(IF(ISBLANK(O118),"",INDEX([1]Gen_Vessels!$A$3:$C$500,MATCH(CorrectiveMinor!$O118,[1]Gen_Vessels!$C$3:$C$500,0),1)),"")</f>
        <v/>
      </c>
      <c r="Q118" s="2"/>
      <c r="R118" s="2"/>
      <c r="S118" s="2"/>
      <c r="T118" s="2"/>
      <c r="U118" s="2"/>
      <c r="W118" s="2"/>
      <c r="X118" s="2"/>
      <c r="Y118" s="2"/>
      <c r="Z118" s="2"/>
      <c r="AA118" s="2"/>
      <c r="AB118" s="2"/>
      <c r="AC118" s="2"/>
    </row>
    <row r="119" spans="1:29" x14ac:dyDescent="0.25">
      <c r="A119" s="1" t="str">
        <f t="shared" si="1"/>
        <v/>
      </c>
      <c r="B119" s="2"/>
      <c r="C119" s="2"/>
      <c r="D119" s="13"/>
      <c r="E119" s="14"/>
      <c r="F119" s="15"/>
      <c r="G119" s="8"/>
      <c r="M119" s="2"/>
      <c r="N119" s="2" t="str">
        <f>IFERROR(IF(ISBLANK(M119),"",INDEX([1]Gen_Vessels!$A$3:$C$500,MATCH(CorrectiveMinor!$M119,[1]Gen_Vessels!$C$3:$C$500,0),1)),"")</f>
        <v/>
      </c>
      <c r="O119" s="2"/>
      <c r="P119" s="2" t="str">
        <f>IFERROR(IF(ISBLANK(O119),"",INDEX([1]Gen_Vessels!$A$3:$C$500,MATCH(CorrectiveMinor!$O119,[1]Gen_Vessels!$C$3:$C$500,0),1)),"")</f>
        <v/>
      </c>
      <c r="Q119" s="2"/>
      <c r="R119" s="2"/>
      <c r="S119" s="2"/>
      <c r="T119" s="2"/>
      <c r="U119" s="2"/>
      <c r="W119" s="2"/>
      <c r="X119" s="2"/>
      <c r="Y119" s="2"/>
      <c r="Z119" s="2"/>
      <c r="AA119" s="2"/>
      <c r="AB119" s="2"/>
      <c r="AC119" s="2"/>
    </row>
    <row r="120" spans="1:29" x14ac:dyDescent="0.25">
      <c r="A120" s="1" t="str">
        <f t="shared" si="1"/>
        <v/>
      </c>
      <c r="B120" s="2"/>
      <c r="C120" s="2"/>
      <c r="D120" s="13"/>
      <c r="E120" s="14"/>
      <c r="F120" s="15"/>
      <c r="G120" s="8"/>
      <c r="M120" s="2"/>
      <c r="N120" s="2" t="str">
        <f>IFERROR(IF(ISBLANK(M120),"",INDEX([1]Gen_Vessels!$A$3:$C$500,MATCH(CorrectiveMinor!$M120,[1]Gen_Vessels!$C$3:$C$500,0),1)),"")</f>
        <v/>
      </c>
      <c r="O120" s="2"/>
      <c r="P120" s="2" t="str">
        <f>IFERROR(IF(ISBLANK(O120),"",INDEX([1]Gen_Vessels!$A$3:$C$500,MATCH(CorrectiveMinor!$O120,[1]Gen_Vessels!$C$3:$C$500,0),1)),"")</f>
        <v/>
      </c>
      <c r="Q120" s="2"/>
      <c r="R120" s="2"/>
      <c r="S120" s="2"/>
      <c r="T120" s="2"/>
      <c r="U120" s="2"/>
      <c r="W120" s="2"/>
      <c r="X120" s="2"/>
      <c r="Y120" s="2"/>
      <c r="Z120" s="2"/>
      <c r="AA120" s="2"/>
      <c r="AB120" s="2"/>
      <c r="AC120" s="2"/>
    </row>
    <row r="121" spans="1:29" x14ac:dyDescent="0.25">
      <c r="A121" s="1" t="str">
        <f t="shared" si="1"/>
        <v/>
      </c>
      <c r="B121" s="2"/>
      <c r="C121" s="2"/>
      <c r="D121" s="13"/>
      <c r="E121" s="14"/>
      <c r="F121" s="15"/>
      <c r="G121" s="8"/>
      <c r="M121" s="2"/>
      <c r="N121" s="2" t="str">
        <f>IFERROR(IF(ISBLANK(M121),"",INDEX([1]Gen_Vessels!$A$3:$C$500,MATCH(CorrectiveMinor!$M121,[1]Gen_Vessels!$C$3:$C$500,0),1)),"")</f>
        <v/>
      </c>
      <c r="O121" s="2"/>
      <c r="P121" s="2" t="str">
        <f>IFERROR(IF(ISBLANK(O121),"",INDEX([1]Gen_Vessels!$A$3:$C$500,MATCH(CorrectiveMinor!$O121,[1]Gen_Vessels!$C$3:$C$500,0),1)),"")</f>
        <v/>
      </c>
      <c r="Q121" s="2"/>
      <c r="R121" s="2"/>
      <c r="S121" s="2"/>
      <c r="T121" s="2"/>
      <c r="U121" s="2"/>
      <c r="W121" s="2"/>
      <c r="X121" s="2"/>
      <c r="Y121" s="2"/>
      <c r="Z121" s="2"/>
      <c r="AA121" s="2"/>
      <c r="AB121" s="2"/>
      <c r="AC121" s="2"/>
    </row>
    <row r="122" spans="1:29" x14ac:dyDescent="0.25">
      <c r="A122" s="1" t="str">
        <f t="shared" si="1"/>
        <v/>
      </c>
      <c r="B122" s="2"/>
      <c r="C122" s="2"/>
      <c r="D122" s="13"/>
      <c r="E122" s="14"/>
      <c r="F122" s="15"/>
      <c r="G122" s="8"/>
      <c r="M122" s="2"/>
      <c r="N122" s="2" t="str">
        <f>IFERROR(IF(ISBLANK(M122),"",INDEX([1]Gen_Vessels!$A$3:$C$500,MATCH(CorrectiveMinor!$M122,[1]Gen_Vessels!$C$3:$C$500,0),1)),"")</f>
        <v/>
      </c>
      <c r="O122" s="2"/>
      <c r="P122" s="2" t="str">
        <f>IFERROR(IF(ISBLANK(O122),"",INDEX([1]Gen_Vessels!$A$3:$C$500,MATCH(CorrectiveMinor!$O122,[1]Gen_Vessels!$C$3:$C$500,0),1)),"")</f>
        <v/>
      </c>
      <c r="Q122" s="2"/>
      <c r="R122" s="2"/>
      <c r="S122" s="2"/>
      <c r="T122" s="2"/>
      <c r="U122" s="2"/>
      <c r="W122" s="2"/>
      <c r="X122" s="2"/>
      <c r="Y122" s="2"/>
      <c r="Z122" s="2"/>
      <c r="AA122" s="2"/>
      <c r="AB122" s="2"/>
      <c r="AC122" s="2"/>
    </row>
    <row r="123" spans="1:29" x14ac:dyDescent="0.25">
      <c r="A123" s="1" t="str">
        <f t="shared" si="1"/>
        <v/>
      </c>
      <c r="B123" s="2"/>
      <c r="C123" s="2"/>
      <c r="D123" s="13"/>
      <c r="E123" s="14"/>
      <c r="F123" s="15"/>
      <c r="G123" s="8"/>
      <c r="M123" s="2"/>
      <c r="N123" s="2" t="str">
        <f>IFERROR(IF(ISBLANK(M123),"",INDEX([1]Gen_Vessels!$A$3:$C$500,MATCH(CorrectiveMinor!$M123,[1]Gen_Vessels!$C$3:$C$500,0),1)),"")</f>
        <v/>
      </c>
      <c r="O123" s="2"/>
      <c r="P123" s="2" t="str">
        <f>IFERROR(IF(ISBLANK(O123),"",INDEX([1]Gen_Vessels!$A$3:$C$500,MATCH(CorrectiveMinor!$O123,[1]Gen_Vessels!$C$3:$C$500,0),1)),"")</f>
        <v/>
      </c>
      <c r="Q123" s="2"/>
      <c r="R123" s="2"/>
      <c r="S123" s="2"/>
      <c r="T123" s="2"/>
      <c r="U123" s="2"/>
      <c r="W123" s="2"/>
      <c r="X123" s="2"/>
      <c r="Y123" s="2"/>
      <c r="Z123" s="2"/>
      <c r="AA123" s="2"/>
      <c r="AB123" s="2"/>
      <c r="AC123" s="2"/>
    </row>
    <row r="124" spans="1:29" x14ac:dyDescent="0.25">
      <c r="A124" s="1" t="str">
        <f t="shared" si="1"/>
        <v/>
      </c>
      <c r="B124" s="2"/>
      <c r="C124" s="2"/>
      <c r="D124" s="13"/>
      <c r="E124" s="14"/>
      <c r="F124" s="15"/>
      <c r="G124" s="8"/>
      <c r="M124" s="2"/>
      <c r="N124" s="2" t="str">
        <f>IFERROR(IF(ISBLANK(M124),"",INDEX([1]Gen_Vessels!$A$3:$C$500,MATCH(CorrectiveMinor!$M124,[1]Gen_Vessels!$C$3:$C$500,0),1)),"")</f>
        <v/>
      </c>
      <c r="O124" s="2"/>
      <c r="P124" s="2" t="str">
        <f>IFERROR(IF(ISBLANK(O124),"",INDEX([1]Gen_Vessels!$A$3:$C$500,MATCH(CorrectiveMinor!$O124,[1]Gen_Vessels!$C$3:$C$500,0),1)),"")</f>
        <v/>
      </c>
      <c r="Q124" s="2"/>
      <c r="R124" s="2"/>
      <c r="S124" s="2"/>
      <c r="T124" s="2"/>
      <c r="U124" s="2"/>
      <c r="W124" s="2"/>
      <c r="X124" s="2"/>
      <c r="Y124" s="2"/>
      <c r="Z124" s="2"/>
      <c r="AA124" s="2"/>
      <c r="AB124" s="2"/>
      <c r="AC124" s="2"/>
    </row>
    <row r="125" spans="1:29" x14ac:dyDescent="0.25">
      <c r="A125" s="1" t="str">
        <f t="shared" si="1"/>
        <v/>
      </c>
      <c r="B125" s="2"/>
      <c r="C125" s="2"/>
      <c r="D125" s="13"/>
      <c r="E125" s="14"/>
      <c r="F125" s="15"/>
      <c r="G125" s="8"/>
      <c r="M125" s="2"/>
      <c r="N125" s="2" t="str">
        <f>IFERROR(IF(ISBLANK(M125),"",INDEX([1]Gen_Vessels!$A$3:$C$500,MATCH(CorrectiveMinor!$M125,[1]Gen_Vessels!$C$3:$C$500,0),1)),"")</f>
        <v/>
      </c>
      <c r="O125" s="2"/>
      <c r="P125" s="2" t="str">
        <f>IFERROR(IF(ISBLANK(O125),"",INDEX([1]Gen_Vessels!$A$3:$C$500,MATCH(CorrectiveMinor!$O125,[1]Gen_Vessels!$C$3:$C$500,0),1)),"")</f>
        <v/>
      </c>
      <c r="Q125" s="2"/>
      <c r="R125" s="2"/>
      <c r="S125" s="2"/>
      <c r="T125" s="2"/>
      <c r="U125" s="2"/>
      <c r="W125" s="2"/>
      <c r="X125" s="2"/>
      <c r="Y125" s="2"/>
      <c r="Z125" s="2"/>
      <c r="AA125" s="2"/>
      <c r="AB125" s="2"/>
      <c r="AC125" s="2"/>
    </row>
    <row r="126" spans="1:29" x14ac:dyDescent="0.25">
      <c r="A126" s="1" t="str">
        <f t="shared" si="1"/>
        <v/>
      </c>
      <c r="B126" s="2"/>
      <c r="C126" s="2"/>
      <c r="D126" s="13"/>
      <c r="E126" s="14"/>
      <c r="F126" s="15"/>
      <c r="G126" s="8"/>
      <c r="M126" s="2"/>
      <c r="N126" s="2" t="str">
        <f>IFERROR(IF(ISBLANK(M126),"",INDEX([1]Gen_Vessels!$A$3:$C$500,MATCH(CorrectiveMinor!$M126,[1]Gen_Vessels!$C$3:$C$500,0),1)),"")</f>
        <v/>
      </c>
      <c r="O126" s="2"/>
      <c r="P126" s="2" t="str">
        <f>IFERROR(IF(ISBLANK(O126),"",INDEX([1]Gen_Vessels!$A$3:$C$500,MATCH(CorrectiveMinor!$O126,[1]Gen_Vessels!$C$3:$C$500,0),1)),"")</f>
        <v/>
      </c>
      <c r="Q126" s="2"/>
      <c r="R126" s="2"/>
      <c r="S126" s="2"/>
      <c r="T126" s="2"/>
      <c r="U126" s="2"/>
      <c r="W126" s="2"/>
      <c r="X126" s="2"/>
      <c r="Y126" s="2"/>
      <c r="Z126" s="2"/>
      <c r="AA126" s="2"/>
      <c r="AB126" s="2"/>
      <c r="AC126" s="2"/>
    </row>
    <row r="127" spans="1:29" x14ac:dyDescent="0.25">
      <c r="A127" s="1" t="str">
        <f t="shared" si="1"/>
        <v/>
      </c>
      <c r="B127" s="2"/>
      <c r="C127" s="2"/>
      <c r="D127" s="13"/>
      <c r="E127" s="14"/>
      <c r="F127" s="15"/>
      <c r="G127" s="8"/>
      <c r="M127" s="2"/>
      <c r="N127" s="2" t="str">
        <f>IFERROR(IF(ISBLANK(M127),"",INDEX([1]Gen_Vessels!$A$3:$C$500,MATCH(CorrectiveMinor!$M127,[1]Gen_Vessels!$C$3:$C$500,0),1)),"")</f>
        <v/>
      </c>
      <c r="O127" s="2"/>
      <c r="P127" s="2" t="str">
        <f>IFERROR(IF(ISBLANK(O127),"",INDEX([1]Gen_Vessels!$A$3:$C$500,MATCH(CorrectiveMinor!$O127,[1]Gen_Vessels!$C$3:$C$500,0),1)),"")</f>
        <v/>
      </c>
      <c r="Q127" s="2"/>
      <c r="R127" s="2"/>
      <c r="S127" s="2"/>
      <c r="T127" s="2"/>
      <c r="U127" s="2"/>
      <c r="W127" s="2"/>
      <c r="X127" s="2"/>
      <c r="Y127" s="2"/>
      <c r="Z127" s="2"/>
      <c r="AA127" s="2"/>
      <c r="AB127" s="2"/>
      <c r="AC127" s="2"/>
    </row>
    <row r="128" spans="1:29" x14ac:dyDescent="0.25">
      <c r="A128" s="1" t="str">
        <f t="shared" si="1"/>
        <v/>
      </c>
      <c r="B128" s="2"/>
      <c r="C128" s="2"/>
      <c r="D128" s="13"/>
      <c r="E128" s="14"/>
      <c r="F128" s="15"/>
      <c r="G128" s="8"/>
      <c r="M128" s="2"/>
      <c r="N128" s="2" t="str">
        <f>IFERROR(IF(ISBLANK(M128),"",INDEX([1]Gen_Vessels!$A$3:$C$500,MATCH(CorrectiveMinor!$M128,[1]Gen_Vessels!$C$3:$C$500,0),1)),"")</f>
        <v/>
      </c>
      <c r="O128" s="2"/>
      <c r="P128" s="2" t="str">
        <f>IFERROR(IF(ISBLANK(O128),"",INDEX([1]Gen_Vessels!$A$3:$C$500,MATCH(CorrectiveMinor!$O128,[1]Gen_Vessels!$C$3:$C$500,0),1)),"")</f>
        <v/>
      </c>
      <c r="Q128" s="2"/>
      <c r="R128" s="2"/>
      <c r="S128" s="2"/>
      <c r="T128" s="2"/>
      <c r="U128" s="2"/>
      <c r="W128" s="2"/>
      <c r="X128" s="2"/>
      <c r="Y128" s="2"/>
      <c r="Z128" s="2"/>
      <c r="AA128" s="2"/>
      <c r="AB128" s="2"/>
      <c r="AC128" s="2"/>
    </row>
    <row r="129" spans="1:29" x14ac:dyDescent="0.25">
      <c r="A129" s="1" t="str">
        <f t="shared" si="1"/>
        <v/>
      </c>
      <c r="B129" s="2"/>
      <c r="C129" s="2"/>
      <c r="D129" s="13"/>
      <c r="E129" s="14"/>
      <c r="F129" s="15"/>
      <c r="G129" s="8"/>
      <c r="M129" s="2"/>
      <c r="N129" s="2" t="str">
        <f>IFERROR(IF(ISBLANK(M129),"",INDEX([1]Gen_Vessels!$A$3:$C$500,MATCH(CorrectiveMinor!$M129,[1]Gen_Vessels!$C$3:$C$500,0),1)),"")</f>
        <v/>
      </c>
      <c r="O129" s="2"/>
      <c r="P129" s="2" t="str">
        <f>IFERROR(IF(ISBLANK(O129),"",INDEX([1]Gen_Vessels!$A$3:$C$500,MATCH(CorrectiveMinor!$O129,[1]Gen_Vessels!$C$3:$C$500,0),1)),"")</f>
        <v/>
      </c>
      <c r="Q129" s="2"/>
      <c r="R129" s="2"/>
      <c r="S129" s="2"/>
      <c r="T129" s="2"/>
      <c r="U129" s="2"/>
      <c r="W129" s="2"/>
      <c r="X129" s="2"/>
      <c r="Y129" s="2"/>
      <c r="Z129" s="2"/>
      <c r="AA129" s="2"/>
      <c r="AB129" s="2"/>
      <c r="AC129" s="2"/>
    </row>
    <row r="130" spans="1:29" x14ac:dyDescent="0.25">
      <c r="A130" s="1" t="str">
        <f t="shared" si="1"/>
        <v/>
      </c>
      <c r="B130" s="2"/>
      <c r="C130" s="2"/>
      <c r="D130" s="13"/>
      <c r="E130" s="14"/>
      <c r="F130" s="15"/>
      <c r="G130" s="8"/>
      <c r="M130" s="2"/>
      <c r="N130" s="2" t="str">
        <f>IFERROR(IF(ISBLANK(M130),"",INDEX([1]Gen_Vessels!$A$3:$C$500,MATCH(CorrectiveMinor!$M130,[1]Gen_Vessels!$C$3:$C$500,0),1)),"")</f>
        <v/>
      </c>
      <c r="O130" s="2"/>
      <c r="P130" s="2" t="str">
        <f>IFERROR(IF(ISBLANK(O130),"",INDEX([1]Gen_Vessels!$A$3:$C$500,MATCH(CorrectiveMinor!$O130,[1]Gen_Vessels!$C$3:$C$500,0),1)),"")</f>
        <v/>
      </c>
      <c r="Q130" s="2"/>
      <c r="R130" s="2"/>
      <c r="S130" s="2"/>
      <c r="T130" s="2"/>
      <c r="U130" s="2"/>
      <c r="W130" s="2"/>
      <c r="X130" s="2"/>
      <c r="Y130" s="2"/>
      <c r="Z130" s="2"/>
      <c r="AA130" s="2"/>
      <c r="AB130" s="2"/>
      <c r="AC130" s="2"/>
    </row>
    <row r="131" spans="1:29" x14ac:dyDescent="0.25">
      <c r="A131" s="1" t="str">
        <f t="shared" ref="A131:A194" si="2">IF(ISBLANK($B131)=FALSE,IF(AND($D131&gt;0,$E131&lt;=0,$F131&lt;=0),_xlfn.CONCAT("ofw_",$B131),IF(AND($D131&lt;=0,$E131&gt;0,$F131&lt;=0),_xlfn.CONCAT("owc_",$B131),IF(AND($D131&lt;=0,$E131&lt;=0,$F131&gt;0),_xlfn.CONCAT("opv_",$B131),_xlfn.CONCAT("oce_",$B131)))),"")</f>
        <v/>
      </c>
      <c r="B131" s="2"/>
      <c r="C131" s="2"/>
      <c r="D131" s="13"/>
      <c r="E131" s="14"/>
      <c r="F131" s="15"/>
      <c r="G131" s="8"/>
      <c r="M131" s="2"/>
      <c r="N131" s="2" t="str">
        <f>IFERROR(IF(ISBLANK(M131),"",INDEX([1]Gen_Vessels!$A$3:$C$500,MATCH(CorrectiveMinor!$M131,[1]Gen_Vessels!$C$3:$C$500,0),1)),"")</f>
        <v/>
      </c>
      <c r="O131" s="2"/>
      <c r="P131" s="2" t="str">
        <f>IFERROR(IF(ISBLANK(O131),"",INDEX([1]Gen_Vessels!$A$3:$C$500,MATCH(CorrectiveMinor!$O131,[1]Gen_Vessels!$C$3:$C$500,0),1)),"")</f>
        <v/>
      </c>
      <c r="Q131" s="2"/>
      <c r="R131" s="2"/>
      <c r="S131" s="2"/>
      <c r="T131" s="2"/>
      <c r="U131" s="2"/>
      <c r="W131" s="2"/>
      <c r="X131" s="2"/>
      <c r="Y131" s="2"/>
      <c r="Z131" s="2"/>
      <c r="AA131" s="2"/>
      <c r="AB131" s="2"/>
      <c r="AC131" s="2"/>
    </row>
    <row r="132" spans="1:29" x14ac:dyDescent="0.25">
      <c r="A132" s="1" t="str">
        <f t="shared" si="2"/>
        <v/>
      </c>
      <c r="B132" s="2"/>
      <c r="C132" s="2"/>
      <c r="D132" s="13"/>
      <c r="E132" s="14"/>
      <c r="F132" s="15"/>
      <c r="G132" s="8"/>
      <c r="M132" s="2"/>
      <c r="N132" s="2" t="str">
        <f>IFERROR(IF(ISBLANK(M132),"",INDEX([1]Gen_Vessels!$A$3:$C$500,MATCH(CorrectiveMinor!$M132,[1]Gen_Vessels!$C$3:$C$500,0),1)),"")</f>
        <v/>
      </c>
      <c r="O132" s="2"/>
      <c r="P132" s="2" t="str">
        <f>IFERROR(IF(ISBLANK(O132),"",INDEX([1]Gen_Vessels!$A$3:$C$500,MATCH(CorrectiveMinor!$O132,[1]Gen_Vessels!$C$3:$C$500,0),1)),"")</f>
        <v/>
      </c>
      <c r="Q132" s="2"/>
      <c r="R132" s="2"/>
      <c r="S132" s="2"/>
      <c r="T132" s="2"/>
      <c r="U132" s="2"/>
      <c r="W132" s="2"/>
      <c r="X132" s="2"/>
      <c r="Y132" s="2"/>
      <c r="Z132" s="2"/>
      <c r="AA132" s="2"/>
      <c r="AB132" s="2"/>
      <c r="AC132" s="2"/>
    </row>
    <row r="133" spans="1:29" x14ac:dyDescent="0.25">
      <c r="A133" s="1" t="str">
        <f t="shared" si="2"/>
        <v/>
      </c>
      <c r="B133" s="2"/>
      <c r="C133" s="2"/>
      <c r="D133" s="13"/>
      <c r="E133" s="14"/>
      <c r="F133" s="15"/>
      <c r="G133" s="8"/>
      <c r="M133" s="2"/>
      <c r="N133" s="2" t="str">
        <f>IFERROR(IF(ISBLANK(M133),"",INDEX([1]Gen_Vessels!$A$3:$C$500,MATCH(CorrectiveMinor!$M133,[1]Gen_Vessels!$C$3:$C$500,0),1)),"")</f>
        <v/>
      </c>
      <c r="O133" s="2"/>
      <c r="P133" s="2" t="str">
        <f>IFERROR(IF(ISBLANK(O133),"",INDEX([1]Gen_Vessels!$A$3:$C$500,MATCH(CorrectiveMinor!$O133,[1]Gen_Vessels!$C$3:$C$500,0),1)),"")</f>
        <v/>
      </c>
      <c r="Q133" s="2"/>
      <c r="R133" s="2"/>
      <c r="S133" s="2"/>
      <c r="T133" s="2"/>
      <c r="U133" s="2"/>
      <c r="W133" s="2"/>
      <c r="X133" s="2"/>
      <c r="Y133" s="2"/>
      <c r="Z133" s="2"/>
      <c r="AA133" s="2"/>
      <c r="AB133" s="2"/>
      <c r="AC133" s="2"/>
    </row>
    <row r="134" spans="1:29" x14ac:dyDescent="0.25">
      <c r="A134" s="1" t="str">
        <f t="shared" si="2"/>
        <v/>
      </c>
      <c r="B134" s="2"/>
      <c r="C134" s="2"/>
      <c r="D134" s="13"/>
      <c r="E134" s="14"/>
      <c r="F134" s="15"/>
      <c r="G134" s="8"/>
      <c r="M134" s="2"/>
      <c r="N134" s="2" t="str">
        <f>IFERROR(IF(ISBLANK(M134),"",INDEX([1]Gen_Vessels!$A$3:$C$500,MATCH(CorrectiveMinor!$M134,[1]Gen_Vessels!$C$3:$C$500,0),1)),"")</f>
        <v/>
      </c>
      <c r="O134" s="2"/>
      <c r="P134" s="2" t="str">
        <f>IFERROR(IF(ISBLANK(O134),"",INDEX([1]Gen_Vessels!$A$3:$C$500,MATCH(CorrectiveMinor!$O134,[1]Gen_Vessels!$C$3:$C$500,0),1)),"")</f>
        <v/>
      </c>
      <c r="Q134" s="2"/>
      <c r="R134" s="2"/>
      <c r="S134" s="2"/>
      <c r="T134" s="2"/>
      <c r="U134" s="2"/>
      <c r="W134" s="2"/>
      <c r="X134" s="2"/>
      <c r="Y134" s="2"/>
      <c r="Z134" s="2"/>
      <c r="AA134" s="2"/>
      <c r="AB134" s="2"/>
      <c r="AC134" s="2"/>
    </row>
    <row r="135" spans="1:29" x14ac:dyDescent="0.25">
      <c r="A135" s="1" t="str">
        <f t="shared" si="2"/>
        <v/>
      </c>
      <c r="B135" s="2"/>
      <c r="C135" s="2"/>
      <c r="D135" s="13"/>
      <c r="E135" s="14"/>
      <c r="F135" s="15"/>
      <c r="G135" s="8"/>
      <c r="M135" s="2"/>
      <c r="N135" s="2" t="str">
        <f>IFERROR(IF(ISBLANK(M135),"",INDEX([1]Gen_Vessels!$A$3:$C$500,MATCH(CorrectiveMinor!$M135,[1]Gen_Vessels!$C$3:$C$500,0),1)),"")</f>
        <v/>
      </c>
      <c r="O135" s="2"/>
      <c r="P135" s="2" t="str">
        <f>IFERROR(IF(ISBLANK(O135),"",INDEX([1]Gen_Vessels!$A$3:$C$500,MATCH(CorrectiveMinor!$O135,[1]Gen_Vessels!$C$3:$C$500,0),1)),"")</f>
        <v/>
      </c>
      <c r="Q135" s="2"/>
      <c r="R135" s="2"/>
      <c r="S135" s="2"/>
      <c r="T135" s="2"/>
      <c r="U135" s="2"/>
      <c r="W135" s="2"/>
      <c r="X135" s="2"/>
      <c r="Y135" s="2"/>
      <c r="Z135" s="2"/>
      <c r="AA135" s="2"/>
      <c r="AB135" s="2"/>
      <c r="AC135" s="2"/>
    </row>
    <row r="136" spans="1:29" x14ac:dyDescent="0.25">
      <c r="A136" s="1" t="str">
        <f t="shared" si="2"/>
        <v/>
      </c>
      <c r="B136" s="2"/>
      <c r="C136" s="2"/>
      <c r="D136" s="13"/>
      <c r="E136" s="14"/>
      <c r="F136" s="15"/>
      <c r="G136" s="8"/>
      <c r="M136" s="2"/>
      <c r="N136" s="2" t="str">
        <f>IFERROR(IF(ISBLANK(M136),"",INDEX([1]Gen_Vessels!$A$3:$C$500,MATCH(CorrectiveMinor!$M136,[1]Gen_Vessels!$C$3:$C$500,0),1)),"")</f>
        <v/>
      </c>
      <c r="O136" s="2"/>
      <c r="P136" s="2" t="str">
        <f>IFERROR(IF(ISBLANK(O136),"",INDEX([1]Gen_Vessels!$A$3:$C$500,MATCH(CorrectiveMinor!$O136,[1]Gen_Vessels!$C$3:$C$500,0),1)),"")</f>
        <v/>
      </c>
      <c r="Q136" s="2"/>
      <c r="R136" s="2"/>
      <c r="S136" s="2"/>
      <c r="T136" s="2"/>
      <c r="U136" s="2"/>
      <c r="W136" s="2"/>
      <c r="X136" s="2"/>
      <c r="Y136" s="2"/>
      <c r="Z136" s="2"/>
      <c r="AA136" s="2"/>
      <c r="AB136" s="2"/>
      <c r="AC136" s="2"/>
    </row>
    <row r="137" spans="1:29" x14ac:dyDescent="0.25">
      <c r="A137" s="1" t="str">
        <f t="shared" si="2"/>
        <v/>
      </c>
      <c r="B137" s="2"/>
      <c r="C137" s="2"/>
      <c r="D137" s="13"/>
      <c r="E137" s="14"/>
      <c r="F137" s="15"/>
      <c r="G137" s="8"/>
      <c r="M137" s="2"/>
      <c r="N137" s="2" t="str">
        <f>IFERROR(IF(ISBLANK(M137),"",INDEX([1]Gen_Vessels!$A$3:$C$500,MATCH(CorrectiveMinor!$M137,[1]Gen_Vessels!$C$3:$C$500,0),1)),"")</f>
        <v/>
      </c>
      <c r="O137" s="2"/>
      <c r="P137" s="2" t="str">
        <f>IFERROR(IF(ISBLANK(O137),"",INDEX([1]Gen_Vessels!$A$3:$C$500,MATCH(CorrectiveMinor!$O137,[1]Gen_Vessels!$C$3:$C$500,0),1)),"")</f>
        <v/>
      </c>
      <c r="Q137" s="2"/>
      <c r="R137" s="2"/>
      <c r="S137" s="2"/>
      <c r="T137" s="2"/>
      <c r="U137" s="2"/>
      <c r="W137" s="2"/>
      <c r="X137" s="2"/>
      <c r="Y137" s="2"/>
      <c r="Z137" s="2"/>
      <c r="AA137" s="2"/>
      <c r="AB137" s="2"/>
      <c r="AC137" s="2"/>
    </row>
    <row r="138" spans="1:29" x14ac:dyDescent="0.25">
      <c r="A138" s="1" t="str">
        <f t="shared" si="2"/>
        <v/>
      </c>
      <c r="B138" s="2"/>
      <c r="C138" s="2"/>
      <c r="D138" s="13"/>
      <c r="E138" s="14"/>
      <c r="F138" s="15"/>
      <c r="G138" s="8"/>
      <c r="M138" s="2"/>
      <c r="N138" s="2" t="str">
        <f>IFERROR(IF(ISBLANK(M138),"",INDEX([1]Gen_Vessels!$A$3:$C$500,MATCH(CorrectiveMinor!$M138,[1]Gen_Vessels!$C$3:$C$500,0),1)),"")</f>
        <v/>
      </c>
      <c r="O138" s="2"/>
      <c r="P138" s="2" t="str">
        <f>IFERROR(IF(ISBLANK(O138),"",INDEX([1]Gen_Vessels!$A$3:$C$500,MATCH(CorrectiveMinor!$O138,[1]Gen_Vessels!$C$3:$C$500,0),1)),"")</f>
        <v/>
      </c>
      <c r="Q138" s="2"/>
      <c r="R138" s="2"/>
      <c r="S138" s="2"/>
      <c r="T138" s="2"/>
      <c r="U138" s="2"/>
      <c r="W138" s="2"/>
      <c r="X138" s="2"/>
      <c r="Y138" s="2"/>
      <c r="Z138" s="2"/>
      <c r="AA138" s="2"/>
      <c r="AB138" s="2"/>
      <c r="AC138" s="2"/>
    </row>
    <row r="139" spans="1:29" x14ac:dyDescent="0.25">
      <c r="A139" s="1" t="str">
        <f t="shared" si="2"/>
        <v/>
      </c>
      <c r="B139" s="2"/>
      <c r="C139" s="2"/>
      <c r="D139" s="13"/>
      <c r="E139" s="14"/>
      <c r="F139" s="15"/>
      <c r="G139" s="8"/>
      <c r="M139" s="2"/>
      <c r="N139" s="2" t="str">
        <f>IFERROR(IF(ISBLANK(M139),"",INDEX([1]Gen_Vessels!$A$3:$C$500,MATCH(CorrectiveMinor!$M139,[1]Gen_Vessels!$C$3:$C$500,0),1)),"")</f>
        <v/>
      </c>
      <c r="O139" s="2"/>
      <c r="P139" s="2" t="str">
        <f>IFERROR(IF(ISBLANK(O139),"",INDEX([1]Gen_Vessels!$A$3:$C$500,MATCH(CorrectiveMinor!$O139,[1]Gen_Vessels!$C$3:$C$500,0),1)),"")</f>
        <v/>
      </c>
      <c r="Q139" s="2"/>
      <c r="R139" s="2"/>
      <c r="S139" s="2"/>
      <c r="T139" s="2"/>
      <c r="U139" s="2"/>
      <c r="W139" s="2"/>
      <c r="X139" s="2"/>
      <c r="Y139" s="2"/>
      <c r="Z139" s="2"/>
      <c r="AA139" s="2"/>
      <c r="AB139" s="2"/>
      <c r="AC139" s="2"/>
    </row>
    <row r="140" spans="1:29" x14ac:dyDescent="0.25">
      <c r="A140" s="1" t="str">
        <f t="shared" si="2"/>
        <v/>
      </c>
      <c r="B140" s="2"/>
      <c r="C140" s="2"/>
      <c r="D140" s="13"/>
      <c r="E140" s="14"/>
      <c r="F140" s="15"/>
      <c r="G140" s="8"/>
      <c r="M140" s="2"/>
      <c r="N140" s="2" t="str">
        <f>IFERROR(IF(ISBLANK(M140),"",INDEX([1]Gen_Vessels!$A$3:$C$500,MATCH(CorrectiveMinor!$M140,[1]Gen_Vessels!$C$3:$C$500,0),1)),"")</f>
        <v/>
      </c>
      <c r="O140" s="2"/>
      <c r="P140" s="2" t="str">
        <f>IFERROR(IF(ISBLANK(O140),"",INDEX([1]Gen_Vessels!$A$3:$C$500,MATCH(CorrectiveMinor!$O140,[1]Gen_Vessels!$C$3:$C$500,0),1)),"")</f>
        <v/>
      </c>
      <c r="Q140" s="2"/>
      <c r="R140" s="2"/>
      <c r="S140" s="2"/>
      <c r="T140" s="2"/>
      <c r="U140" s="2"/>
      <c r="W140" s="2"/>
      <c r="X140" s="2"/>
      <c r="Y140" s="2"/>
      <c r="Z140" s="2"/>
      <c r="AA140" s="2"/>
      <c r="AB140" s="2"/>
      <c r="AC140" s="2"/>
    </row>
    <row r="141" spans="1:29" x14ac:dyDescent="0.25">
      <c r="A141" s="1" t="str">
        <f t="shared" si="2"/>
        <v/>
      </c>
      <c r="B141" s="2"/>
      <c r="C141" s="2"/>
      <c r="D141" s="13"/>
      <c r="E141" s="14"/>
      <c r="F141" s="15"/>
      <c r="G141" s="8"/>
      <c r="M141" s="2"/>
      <c r="N141" s="2" t="str">
        <f>IFERROR(IF(ISBLANK(M141),"",INDEX([1]Gen_Vessels!$A$3:$C$500,MATCH(CorrectiveMinor!$M141,[1]Gen_Vessels!$C$3:$C$500,0),1)),"")</f>
        <v/>
      </c>
      <c r="O141" s="2"/>
      <c r="P141" s="2" t="str">
        <f>IFERROR(IF(ISBLANK(O141),"",INDEX([1]Gen_Vessels!$A$3:$C$500,MATCH(CorrectiveMinor!$O141,[1]Gen_Vessels!$C$3:$C$500,0),1)),"")</f>
        <v/>
      </c>
      <c r="Q141" s="2"/>
      <c r="R141" s="2"/>
      <c r="S141" s="2"/>
      <c r="T141" s="2"/>
      <c r="U141" s="2"/>
      <c r="W141" s="2"/>
      <c r="X141" s="2"/>
      <c r="Y141" s="2"/>
      <c r="Z141" s="2"/>
      <c r="AA141" s="2"/>
      <c r="AB141" s="2"/>
      <c r="AC141" s="2"/>
    </row>
    <row r="142" spans="1:29" x14ac:dyDescent="0.25">
      <c r="A142" s="1" t="str">
        <f t="shared" si="2"/>
        <v/>
      </c>
      <c r="B142" s="2"/>
      <c r="C142" s="2"/>
      <c r="D142" s="13"/>
      <c r="E142" s="14"/>
      <c r="F142" s="15"/>
      <c r="G142" s="8"/>
      <c r="M142" s="2"/>
      <c r="N142" s="2" t="str">
        <f>IFERROR(IF(ISBLANK(M142),"",INDEX([1]Gen_Vessels!$A$3:$C$500,MATCH(CorrectiveMinor!$M142,[1]Gen_Vessels!$C$3:$C$500,0),1)),"")</f>
        <v/>
      </c>
      <c r="O142" s="2"/>
      <c r="P142" s="2" t="str">
        <f>IFERROR(IF(ISBLANK(O142),"",INDEX([1]Gen_Vessels!$A$3:$C$500,MATCH(CorrectiveMinor!$O142,[1]Gen_Vessels!$C$3:$C$500,0),1)),"")</f>
        <v/>
      </c>
      <c r="Q142" s="2"/>
      <c r="R142" s="2"/>
      <c r="S142" s="2"/>
      <c r="T142" s="2"/>
      <c r="U142" s="2"/>
      <c r="W142" s="2"/>
      <c r="X142" s="2"/>
      <c r="Y142" s="2"/>
      <c r="Z142" s="2"/>
      <c r="AA142" s="2"/>
      <c r="AB142" s="2"/>
      <c r="AC142" s="2"/>
    </row>
    <row r="143" spans="1:29" x14ac:dyDescent="0.25">
      <c r="A143" s="1" t="str">
        <f t="shared" si="2"/>
        <v/>
      </c>
      <c r="B143" s="2"/>
      <c r="C143" s="2"/>
      <c r="D143" s="13"/>
      <c r="E143" s="14"/>
      <c r="F143" s="15"/>
      <c r="G143" s="8"/>
      <c r="M143" s="2"/>
      <c r="N143" s="2" t="str">
        <f>IFERROR(IF(ISBLANK(M143),"",INDEX([1]Gen_Vessels!$A$3:$C$500,MATCH(CorrectiveMinor!$M143,[1]Gen_Vessels!$C$3:$C$500,0),1)),"")</f>
        <v/>
      </c>
      <c r="O143" s="2"/>
      <c r="P143" s="2" t="str">
        <f>IFERROR(IF(ISBLANK(O143),"",INDEX([1]Gen_Vessels!$A$3:$C$500,MATCH(CorrectiveMinor!$O143,[1]Gen_Vessels!$C$3:$C$500,0),1)),"")</f>
        <v/>
      </c>
      <c r="Q143" s="2"/>
      <c r="R143" s="2"/>
      <c r="S143" s="2"/>
      <c r="T143" s="2"/>
      <c r="U143" s="2"/>
      <c r="W143" s="2"/>
      <c r="X143" s="2"/>
      <c r="Y143" s="2"/>
      <c r="Z143" s="2"/>
      <c r="AA143" s="2"/>
      <c r="AB143" s="2"/>
      <c r="AC143" s="2"/>
    </row>
    <row r="144" spans="1:29" x14ac:dyDescent="0.25">
      <c r="A144" s="1" t="str">
        <f t="shared" si="2"/>
        <v/>
      </c>
      <c r="B144" s="2"/>
      <c r="C144" s="2"/>
      <c r="D144" s="13"/>
      <c r="E144" s="14"/>
      <c r="F144" s="15"/>
      <c r="G144" s="8"/>
      <c r="M144" s="2"/>
      <c r="N144" s="2" t="str">
        <f>IFERROR(IF(ISBLANK(M144),"",INDEX([1]Gen_Vessels!$A$3:$C$500,MATCH(CorrectiveMinor!$M144,[1]Gen_Vessels!$C$3:$C$500,0),1)),"")</f>
        <v/>
      </c>
      <c r="O144" s="2"/>
      <c r="P144" s="2" t="str">
        <f>IFERROR(IF(ISBLANK(O144),"",INDEX([1]Gen_Vessels!$A$3:$C$500,MATCH(CorrectiveMinor!$O144,[1]Gen_Vessels!$C$3:$C$500,0),1)),"")</f>
        <v/>
      </c>
      <c r="Q144" s="2"/>
      <c r="R144" s="2"/>
      <c r="S144" s="2"/>
      <c r="T144" s="2"/>
      <c r="U144" s="2"/>
      <c r="W144" s="2"/>
      <c r="X144" s="2"/>
      <c r="Y144" s="2"/>
      <c r="Z144" s="2"/>
      <c r="AA144" s="2"/>
      <c r="AB144" s="2"/>
      <c r="AC144" s="2"/>
    </row>
    <row r="145" spans="1:29" x14ac:dyDescent="0.25">
      <c r="A145" s="1" t="str">
        <f t="shared" si="2"/>
        <v/>
      </c>
      <c r="B145" s="2"/>
      <c r="C145" s="2"/>
      <c r="D145" s="13"/>
      <c r="E145" s="14"/>
      <c r="F145" s="15"/>
      <c r="G145" s="8"/>
      <c r="M145" s="2"/>
      <c r="N145" s="2" t="str">
        <f>IFERROR(IF(ISBLANK(M145),"",INDEX([1]Gen_Vessels!$A$3:$C$500,MATCH(CorrectiveMinor!$M145,[1]Gen_Vessels!$C$3:$C$500,0),1)),"")</f>
        <v/>
      </c>
      <c r="O145" s="2"/>
      <c r="P145" s="2" t="str">
        <f>IFERROR(IF(ISBLANK(O145),"",INDEX([1]Gen_Vessels!$A$3:$C$500,MATCH(CorrectiveMinor!$O145,[1]Gen_Vessels!$C$3:$C$500,0),1)),"")</f>
        <v/>
      </c>
      <c r="Q145" s="2"/>
      <c r="R145" s="2"/>
      <c r="S145" s="2"/>
      <c r="T145" s="2"/>
      <c r="U145" s="2"/>
      <c r="W145" s="2"/>
      <c r="X145" s="2"/>
      <c r="Y145" s="2"/>
      <c r="Z145" s="2"/>
      <c r="AA145" s="2"/>
      <c r="AB145" s="2"/>
      <c r="AC145" s="2"/>
    </row>
    <row r="146" spans="1:29" x14ac:dyDescent="0.25">
      <c r="A146" s="1" t="str">
        <f t="shared" si="2"/>
        <v/>
      </c>
      <c r="B146" s="2"/>
      <c r="C146" s="2"/>
      <c r="D146" s="13"/>
      <c r="E146" s="14"/>
      <c r="F146" s="15"/>
      <c r="G146" s="8"/>
      <c r="M146" s="2"/>
      <c r="N146" s="2" t="str">
        <f>IFERROR(IF(ISBLANK(M146),"",INDEX([1]Gen_Vessels!$A$3:$C$500,MATCH(CorrectiveMinor!$M146,[1]Gen_Vessels!$C$3:$C$500,0),1)),"")</f>
        <v/>
      </c>
      <c r="O146" s="2"/>
      <c r="P146" s="2" t="str">
        <f>IFERROR(IF(ISBLANK(O146),"",INDEX([1]Gen_Vessels!$A$3:$C$500,MATCH(CorrectiveMinor!$O146,[1]Gen_Vessels!$C$3:$C$500,0),1)),"")</f>
        <v/>
      </c>
      <c r="Q146" s="2"/>
      <c r="R146" s="2"/>
      <c r="S146" s="2"/>
      <c r="T146" s="2"/>
      <c r="U146" s="2"/>
      <c r="W146" s="2"/>
      <c r="X146" s="2"/>
      <c r="Y146" s="2"/>
      <c r="Z146" s="2"/>
      <c r="AA146" s="2"/>
      <c r="AB146" s="2"/>
      <c r="AC146" s="2"/>
    </row>
    <row r="147" spans="1:29" x14ac:dyDescent="0.25">
      <c r="A147" s="1" t="str">
        <f t="shared" si="2"/>
        <v/>
      </c>
      <c r="B147" s="2"/>
      <c r="C147" s="2"/>
      <c r="D147" s="13"/>
      <c r="E147" s="14"/>
      <c r="F147" s="15"/>
      <c r="G147" s="8"/>
      <c r="M147" s="2"/>
      <c r="N147" s="2" t="str">
        <f>IFERROR(IF(ISBLANK(M147),"",INDEX([1]Gen_Vessels!$A$3:$C$500,MATCH(CorrectiveMinor!$M147,[1]Gen_Vessels!$C$3:$C$500,0),1)),"")</f>
        <v/>
      </c>
      <c r="O147" s="2"/>
      <c r="P147" s="2" t="str">
        <f>IFERROR(IF(ISBLANK(O147),"",INDEX([1]Gen_Vessels!$A$3:$C$500,MATCH(CorrectiveMinor!$O147,[1]Gen_Vessels!$C$3:$C$500,0),1)),"")</f>
        <v/>
      </c>
      <c r="Q147" s="2"/>
      <c r="R147" s="2"/>
      <c r="S147" s="2"/>
      <c r="T147" s="2"/>
      <c r="U147" s="2"/>
      <c r="W147" s="2"/>
      <c r="X147" s="2"/>
      <c r="Y147" s="2"/>
      <c r="Z147" s="2"/>
      <c r="AA147" s="2"/>
      <c r="AB147" s="2"/>
      <c r="AC147" s="2"/>
    </row>
    <row r="148" spans="1:29" x14ac:dyDescent="0.25">
      <c r="A148" s="1" t="str">
        <f t="shared" si="2"/>
        <v/>
      </c>
      <c r="B148" s="2"/>
      <c r="C148" s="2"/>
      <c r="D148" s="13"/>
      <c r="E148" s="14"/>
      <c r="F148" s="15"/>
      <c r="G148" s="8"/>
      <c r="M148" s="2"/>
      <c r="N148" s="2" t="str">
        <f>IFERROR(IF(ISBLANK(M148),"",INDEX([1]Gen_Vessels!$A$3:$C$500,MATCH(CorrectiveMinor!$M148,[1]Gen_Vessels!$C$3:$C$500,0),1)),"")</f>
        <v/>
      </c>
      <c r="O148" s="2"/>
      <c r="P148" s="2" t="str">
        <f>IFERROR(IF(ISBLANK(O148),"",INDEX([1]Gen_Vessels!$A$3:$C$500,MATCH(CorrectiveMinor!$O148,[1]Gen_Vessels!$C$3:$C$500,0),1)),"")</f>
        <v/>
      </c>
      <c r="Q148" s="2"/>
      <c r="R148" s="2"/>
      <c r="S148" s="2"/>
      <c r="T148" s="2"/>
      <c r="U148" s="2"/>
      <c r="W148" s="2"/>
      <c r="X148" s="2"/>
      <c r="Y148" s="2"/>
      <c r="Z148" s="2"/>
      <c r="AA148" s="2"/>
      <c r="AB148" s="2"/>
      <c r="AC148" s="2"/>
    </row>
    <row r="149" spans="1:29" x14ac:dyDescent="0.25">
      <c r="A149" s="1" t="str">
        <f t="shared" si="2"/>
        <v/>
      </c>
      <c r="B149" s="2"/>
      <c r="C149" s="2"/>
      <c r="D149" s="13"/>
      <c r="E149" s="14"/>
      <c r="F149" s="15"/>
      <c r="G149" s="8"/>
      <c r="M149" s="2"/>
      <c r="N149" s="2" t="str">
        <f>IFERROR(IF(ISBLANK(M149),"",INDEX([1]Gen_Vessels!$A$3:$C$500,MATCH(CorrectiveMinor!$M149,[1]Gen_Vessels!$C$3:$C$500,0),1)),"")</f>
        <v/>
      </c>
      <c r="O149" s="2"/>
      <c r="P149" s="2" t="str">
        <f>IFERROR(IF(ISBLANK(O149),"",INDEX([1]Gen_Vessels!$A$3:$C$500,MATCH(CorrectiveMinor!$O149,[1]Gen_Vessels!$C$3:$C$500,0),1)),"")</f>
        <v/>
      </c>
      <c r="Q149" s="2"/>
      <c r="R149" s="2"/>
      <c r="S149" s="2"/>
      <c r="T149" s="2"/>
      <c r="U149" s="2"/>
      <c r="W149" s="2"/>
      <c r="X149" s="2"/>
      <c r="Y149" s="2"/>
      <c r="Z149" s="2"/>
      <c r="AA149" s="2"/>
      <c r="AB149" s="2"/>
      <c r="AC149" s="2"/>
    </row>
    <row r="150" spans="1:29" x14ac:dyDescent="0.25">
      <c r="A150" s="1" t="str">
        <f t="shared" si="2"/>
        <v/>
      </c>
      <c r="B150" s="2"/>
      <c r="C150" s="2"/>
      <c r="D150" s="13"/>
      <c r="E150" s="14"/>
      <c r="F150" s="15"/>
      <c r="G150" s="8"/>
      <c r="M150" s="2"/>
      <c r="N150" s="2" t="str">
        <f>IFERROR(IF(ISBLANK(M150),"",INDEX([1]Gen_Vessels!$A$3:$C$500,MATCH(CorrectiveMinor!$M150,[1]Gen_Vessels!$C$3:$C$500,0),1)),"")</f>
        <v/>
      </c>
      <c r="O150" s="2"/>
      <c r="P150" s="2" t="str">
        <f>IFERROR(IF(ISBLANK(O150),"",INDEX([1]Gen_Vessels!$A$3:$C$500,MATCH(CorrectiveMinor!$O150,[1]Gen_Vessels!$C$3:$C$500,0),1)),"")</f>
        <v/>
      </c>
      <c r="Q150" s="2"/>
      <c r="R150" s="2"/>
      <c r="S150" s="2"/>
      <c r="T150" s="2"/>
      <c r="U150" s="2"/>
      <c r="W150" s="2"/>
      <c r="X150" s="2"/>
      <c r="Y150" s="2"/>
      <c r="Z150" s="2"/>
      <c r="AA150" s="2"/>
      <c r="AB150" s="2"/>
      <c r="AC150" s="2"/>
    </row>
    <row r="151" spans="1:29" x14ac:dyDescent="0.25">
      <c r="A151" s="1" t="str">
        <f t="shared" si="2"/>
        <v/>
      </c>
      <c r="B151" s="2"/>
      <c r="C151" s="2"/>
      <c r="D151" s="13"/>
      <c r="E151" s="14"/>
      <c r="F151" s="15"/>
      <c r="G151" s="8"/>
      <c r="M151" s="2"/>
      <c r="N151" s="2" t="str">
        <f>IFERROR(IF(ISBLANK(M151),"",INDEX([1]Gen_Vessels!$A$3:$C$500,MATCH(CorrectiveMinor!$M151,[1]Gen_Vessels!$C$3:$C$500,0),1)),"")</f>
        <v/>
      </c>
      <c r="O151" s="2"/>
      <c r="P151" s="2" t="str">
        <f>IFERROR(IF(ISBLANK(O151),"",INDEX([1]Gen_Vessels!$A$3:$C$500,MATCH(CorrectiveMinor!$O151,[1]Gen_Vessels!$C$3:$C$500,0),1)),"")</f>
        <v/>
      </c>
      <c r="Q151" s="2"/>
      <c r="R151" s="2"/>
      <c r="S151" s="2"/>
      <c r="T151" s="2"/>
      <c r="U151" s="2"/>
      <c r="W151" s="2"/>
      <c r="X151" s="2"/>
      <c r="Y151" s="2"/>
      <c r="Z151" s="2"/>
      <c r="AA151" s="2"/>
      <c r="AB151" s="2"/>
      <c r="AC151" s="2"/>
    </row>
    <row r="152" spans="1:29" x14ac:dyDescent="0.25">
      <c r="A152" s="1" t="str">
        <f t="shared" si="2"/>
        <v/>
      </c>
      <c r="B152" s="2"/>
      <c r="C152" s="2"/>
      <c r="D152" s="13"/>
      <c r="E152" s="14"/>
      <c r="F152" s="15"/>
      <c r="G152" s="8"/>
      <c r="M152" s="2"/>
      <c r="N152" s="2" t="str">
        <f>IFERROR(IF(ISBLANK(M152),"",INDEX([1]Gen_Vessels!$A$3:$C$500,MATCH(CorrectiveMinor!$M152,[1]Gen_Vessels!$C$3:$C$500,0),1)),"")</f>
        <v/>
      </c>
      <c r="O152" s="2"/>
      <c r="P152" s="2" t="str">
        <f>IFERROR(IF(ISBLANK(O152),"",INDEX([1]Gen_Vessels!$A$3:$C$500,MATCH(CorrectiveMinor!$O152,[1]Gen_Vessels!$C$3:$C$500,0),1)),"")</f>
        <v/>
      </c>
      <c r="Q152" s="2"/>
      <c r="R152" s="2"/>
      <c r="S152" s="2"/>
      <c r="T152" s="2"/>
      <c r="U152" s="2"/>
      <c r="W152" s="2"/>
      <c r="X152" s="2"/>
      <c r="Y152" s="2"/>
      <c r="Z152" s="2"/>
      <c r="AA152" s="2"/>
      <c r="AB152" s="2"/>
      <c r="AC152" s="2"/>
    </row>
    <row r="153" spans="1:29" x14ac:dyDescent="0.25">
      <c r="A153" s="1" t="str">
        <f t="shared" si="2"/>
        <v/>
      </c>
      <c r="B153" s="2"/>
      <c r="C153" s="2"/>
      <c r="D153" s="13"/>
      <c r="E153" s="14"/>
      <c r="F153" s="15"/>
      <c r="G153" s="8"/>
      <c r="M153" s="2"/>
      <c r="N153" s="2" t="str">
        <f>IFERROR(IF(ISBLANK(M153),"",INDEX([1]Gen_Vessels!$A$3:$C$500,MATCH(CorrectiveMinor!$M153,[1]Gen_Vessels!$C$3:$C$500,0),1)),"")</f>
        <v/>
      </c>
      <c r="O153" s="2"/>
      <c r="P153" s="2" t="str">
        <f>IFERROR(IF(ISBLANK(O153),"",INDEX([1]Gen_Vessels!$A$3:$C$500,MATCH(CorrectiveMinor!$O153,[1]Gen_Vessels!$C$3:$C$500,0),1)),"")</f>
        <v/>
      </c>
      <c r="Q153" s="2"/>
      <c r="R153" s="2"/>
      <c r="S153" s="2"/>
      <c r="T153" s="2"/>
      <c r="U153" s="2"/>
      <c r="W153" s="2"/>
      <c r="X153" s="2"/>
      <c r="Y153" s="2"/>
      <c r="Z153" s="2"/>
      <c r="AA153" s="2"/>
      <c r="AB153" s="2"/>
      <c r="AC153" s="2"/>
    </row>
    <row r="154" spans="1:29" x14ac:dyDescent="0.25">
      <c r="A154" s="1" t="str">
        <f t="shared" si="2"/>
        <v/>
      </c>
      <c r="B154" s="2"/>
      <c r="C154" s="2"/>
      <c r="D154" s="13"/>
      <c r="E154" s="14"/>
      <c r="F154" s="15"/>
      <c r="G154" s="8"/>
      <c r="M154" s="2"/>
      <c r="N154" s="2" t="str">
        <f>IFERROR(IF(ISBLANK(M154),"",INDEX([1]Gen_Vessels!$A$3:$C$500,MATCH(CorrectiveMinor!$M154,[1]Gen_Vessels!$C$3:$C$500,0),1)),"")</f>
        <v/>
      </c>
      <c r="O154" s="2"/>
      <c r="P154" s="2" t="str">
        <f>IFERROR(IF(ISBLANK(O154),"",INDEX([1]Gen_Vessels!$A$3:$C$500,MATCH(CorrectiveMinor!$O154,[1]Gen_Vessels!$C$3:$C$500,0),1)),"")</f>
        <v/>
      </c>
      <c r="Q154" s="2"/>
      <c r="R154" s="2"/>
      <c r="S154" s="2"/>
      <c r="T154" s="2"/>
      <c r="U154" s="2"/>
      <c r="W154" s="2"/>
      <c r="X154" s="2"/>
      <c r="Y154" s="2"/>
      <c r="Z154" s="2"/>
      <c r="AA154" s="2"/>
      <c r="AB154" s="2"/>
      <c r="AC154" s="2"/>
    </row>
    <row r="155" spans="1:29" x14ac:dyDescent="0.25">
      <c r="A155" s="1" t="str">
        <f t="shared" si="2"/>
        <v/>
      </c>
      <c r="B155" s="2"/>
      <c r="C155" s="2"/>
      <c r="D155" s="13"/>
      <c r="E155" s="14"/>
      <c r="F155" s="15"/>
      <c r="G155" s="8"/>
      <c r="M155" s="2"/>
      <c r="N155" s="2" t="str">
        <f>IFERROR(IF(ISBLANK(M155),"",INDEX([1]Gen_Vessels!$A$3:$C$500,MATCH(CorrectiveMinor!$M155,[1]Gen_Vessels!$C$3:$C$500,0),1)),"")</f>
        <v/>
      </c>
      <c r="O155" s="2"/>
      <c r="P155" s="2" t="str">
        <f>IFERROR(IF(ISBLANK(O155),"",INDEX([1]Gen_Vessels!$A$3:$C$500,MATCH(CorrectiveMinor!$O155,[1]Gen_Vessels!$C$3:$C$500,0),1)),"")</f>
        <v/>
      </c>
      <c r="Q155" s="2"/>
      <c r="R155" s="2"/>
      <c r="S155" s="2"/>
      <c r="T155" s="2"/>
      <c r="U155" s="2"/>
      <c r="W155" s="2"/>
      <c r="X155" s="2"/>
      <c r="Y155" s="2"/>
      <c r="Z155" s="2"/>
      <c r="AA155" s="2"/>
      <c r="AB155" s="2"/>
      <c r="AC155" s="2"/>
    </row>
    <row r="156" spans="1:29" x14ac:dyDescent="0.25">
      <c r="A156" s="1" t="str">
        <f t="shared" si="2"/>
        <v/>
      </c>
      <c r="B156" s="2"/>
      <c r="C156" s="2"/>
      <c r="D156" s="13"/>
      <c r="E156" s="14"/>
      <c r="F156" s="15"/>
      <c r="G156" s="8"/>
      <c r="M156" s="2"/>
      <c r="N156" s="2" t="str">
        <f>IFERROR(IF(ISBLANK(M156),"",INDEX([1]Gen_Vessels!$A$3:$C$500,MATCH(CorrectiveMinor!$M156,[1]Gen_Vessels!$C$3:$C$500,0),1)),"")</f>
        <v/>
      </c>
      <c r="O156" s="2"/>
      <c r="P156" s="2" t="str">
        <f>IFERROR(IF(ISBLANK(O156),"",INDEX([1]Gen_Vessels!$A$3:$C$500,MATCH(CorrectiveMinor!$O156,[1]Gen_Vessels!$C$3:$C$500,0),1)),"")</f>
        <v/>
      </c>
      <c r="Q156" s="2"/>
      <c r="R156" s="2"/>
      <c r="S156" s="2"/>
      <c r="T156" s="2"/>
      <c r="U156" s="2"/>
      <c r="W156" s="2"/>
      <c r="X156" s="2"/>
      <c r="Y156" s="2"/>
      <c r="Z156" s="2"/>
      <c r="AA156" s="2"/>
      <c r="AB156" s="2"/>
      <c r="AC156" s="2"/>
    </row>
    <row r="157" spans="1:29" x14ac:dyDescent="0.25">
      <c r="A157" s="1" t="str">
        <f t="shared" si="2"/>
        <v/>
      </c>
      <c r="B157" s="2"/>
      <c r="C157" s="2"/>
      <c r="D157" s="13"/>
      <c r="E157" s="14"/>
      <c r="F157" s="15"/>
      <c r="G157" s="8"/>
      <c r="M157" s="2"/>
      <c r="N157" s="2" t="str">
        <f>IFERROR(IF(ISBLANK(M157),"",INDEX([1]Gen_Vessels!$A$3:$C$500,MATCH(CorrectiveMinor!$M157,[1]Gen_Vessels!$C$3:$C$500,0),1)),"")</f>
        <v/>
      </c>
      <c r="O157" s="2"/>
      <c r="P157" s="2" t="str">
        <f>IFERROR(IF(ISBLANK(O157),"",INDEX([1]Gen_Vessels!$A$3:$C$500,MATCH(CorrectiveMinor!$O157,[1]Gen_Vessels!$C$3:$C$500,0),1)),"")</f>
        <v/>
      </c>
      <c r="Q157" s="2"/>
      <c r="R157" s="2"/>
      <c r="S157" s="2"/>
      <c r="T157" s="2"/>
      <c r="U157" s="2"/>
      <c r="W157" s="2"/>
      <c r="X157" s="2"/>
      <c r="Y157" s="2"/>
      <c r="Z157" s="2"/>
      <c r="AA157" s="2"/>
      <c r="AB157" s="2"/>
      <c r="AC157" s="2"/>
    </row>
    <row r="158" spans="1:29" x14ac:dyDescent="0.25">
      <c r="A158" s="1" t="str">
        <f t="shared" si="2"/>
        <v/>
      </c>
      <c r="B158" s="2"/>
      <c r="C158" s="2"/>
      <c r="D158" s="13"/>
      <c r="E158" s="14"/>
      <c r="F158" s="15"/>
      <c r="G158" s="8"/>
      <c r="M158" s="2"/>
      <c r="N158" s="2" t="str">
        <f>IFERROR(IF(ISBLANK(M158),"",INDEX([1]Gen_Vessels!$A$3:$C$500,MATCH(CorrectiveMinor!$M158,[1]Gen_Vessels!$C$3:$C$500,0),1)),"")</f>
        <v/>
      </c>
      <c r="O158" s="2"/>
      <c r="P158" s="2" t="str">
        <f>IFERROR(IF(ISBLANK(O158),"",INDEX([1]Gen_Vessels!$A$3:$C$500,MATCH(CorrectiveMinor!$O158,[1]Gen_Vessels!$C$3:$C$500,0),1)),"")</f>
        <v/>
      </c>
      <c r="Q158" s="2"/>
      <c r="R158" s="2"/>
      <c r="S158" s="2"/>
      <c r="T158" s="2"/>
      <c r="U158" s="2"/>
      <c r="W158" s="2"/>
      <c r="X158" s="2"/>
      <c r="Y158" s="2"/>
      <c r="Z158" s="2"/>
      <c r="AA158" s="2"/>
      <c r="AB158" s="2"/>
      <c r="AC158" s="2"/>
    </row>
    <row r="159" spans="1:29" x14ac:dyDescent="0.25">
      <c r="A159" s="1" t="str">
        <f t="shared" si="2"/>
        <v/>
      </c>
      <c r="B159" s="2"/>
      <c r="C159" s="2"/>
      <c r="D159" s="13"/>
      <c r="E159" s="14"/>
      <c r="F159" s="15"/>
      <c r="G159" s="8"/>
      <c r="M159" s="2"/>
      <c r="N159" s="2" t="str">
        <f>IFERROR(IF(ISBLANK(M159),"",INDEX([1]Gen_Vessels!$A$3:$C$500,MATCH(CorrectiveMinor!$M159,[1]Gen_Vessels!$C$3:$C$500,0),1)),"")</f>
        <v/>
      </c>
      <c r="O159" s="2"/>
      <c r="P159" s="2" t="str">
        <f>IFERROR(IF(ISBLANK(O159),"",INDEX([1]Gen_Vessels!$A$3:$C$500,MATCH(CorrectiveMinor!$O159,[1]Gen_Vessels!$C$3:$C$500,0),1)),"")</f>
        <v/>
      </c>
      <c r="Q159" s="2"/>
      <c r="R159" s="2"/>
      <c r="S159" s="2"/>
      <c r="T159" s="2"/>
      <c r="U159" s="2"/>
      <c r="W159" s="2"/>
      <c r="X159" s="2"/>
      <c r="Y159" s="2"/>
      <c r="Z159" s="2"/>
      <c r="AA159" s="2"/>
      <c r="AB159" s="2"/>
      <c r="AC159" s="2"/>
    </row>
    <row r="160" spans="1:29" x14ac:dyDescent="0.25">
      <c r="A160" s="1" t="str">
        <f t="shared" si="2"/>
        <v/>
      </c>
      <c r="B160" s="2"/>
      <c r="C160" s="2"/>
      <c r="D160" s="13"/>
      <c r="E160" s="14"/>
      <c r="F160" s="15"/>
      <c r="G160" s="8"/>
      <c r="M160" s="2"/>
      <c r="N160" s="2" t="str">
        <f>IFERROR(IF(ISBLANK(M160),"",INDEX([1]Gen_Vessels!$A$3:$C$500,MATCH(CorrectiveMinor!$M160,[1]Gen_Vessels!$C$3:$C$500,0),1)),"")</f>
        <v/>
      </c>
      <c r="O160" s="2"/>
      <c r="P160" s="2" t="str">
        <f>IFERROR(IF(ISBLANK(O160),"",INDEX([1]Gen_Vessels!$A$3:$C$500,MATCH(CorrectiveMinor!$O160,[1]Gen_Vessels!$C$3:$C$500,0),1)),"")</f>
        <v/>
      </c>
      <c r="Q160" s="2"/>
      <c r="R160" s="2"/>
      <c r="S160" s="2"/>
      <c r="T160" s="2"/>
      <c r="U160" s="2"/>
      <c r="W160" s="2"/>
      <c r="X160" s="2"/>
      <c r="Y160" s="2"/>
      <c r="Z160" s="2"/>
      <c r="AA160" s="2"/>
      <c r="AB160" s="2"/>
      <c r="AC160" s="2"/>
    </row>
    <row r="161" spans="1:29" x14ac:dyDescent="0.25">
      <c r="A161" s="1" t="str">
        <f t="shared" si="2"/>
        <v/>
      </c>
      <c r="B161" s="2"/>
      <c r="C161" s="2"/>
      <c r="D161" s="13"/>
      <c r="E161" s="14"/>
      <c r="F161" s="15"/>
      <c r="G161" s="8"/>
      <c r="M161" s="2"/>
      <c r="N161" s="2" t="str">
        <f>IFERROR(IF(ISBLANK(M161),"",INDEX([1]Gen_Vessels!$A$3:$C$500,MATCH(CorrectiveMinor!$M161,[1]Gen_Vessels!$C$3:$C$500,0),1)),"")</f>
        <v/>
      </c>
      <c r="O161" s="2"/>
      <c r="P161" s="2" t="str">
        <f>IFERROR(IF(ISBLANK(O161),"",INDEX([1]Gen_Vessels!$A$3:$C$500,MATCH(CorrectiveMinor!$O161,[1]Gen_Vessels!$C$3:$C$500,0),1)),"")</f>
        <v/>
      </c>
      <c r="Q161" s="2"/>
      <c r="R161" s="2"/>
      <c r="S161" s="2"/>
      <c r="T161" s="2"/>
      <c r="U161" s="2"/>
      <c r="W161" s="2"/>
      <c r="X161" s="2"/>
      <c r="Y161" s="2"/>
      <c r="Z161" s="2"/>
      <c r="AA161" s="2"/>
      <c r="AB161" s="2"/>
      <c r="AC161" s="2"/>
    </row>
    <row r="162" spans="1:29" x14ac:dyDescent="0.25">
      <c r="A162" s="1" t="str">
        <f t="shared" si="2"/>
        <v/>
      </c>
      <c r="B162" s="2"/>
      <c r="C162" s="2"/>
      <c r="D162" s="13"/>
      <c r="E162" s="14"/>
      <c r="F162" s="15"/>
      <c r="G162" s="8"/>
      <c r="M162" s="2"/>
      <c r="N162" s="2" t="str">
        <f>IFERROR(IF(ISBLANK(M162),"",INDEX([1]Gen_Vessels!$A$3:$C$500,MATCH(CorrectiveMinor!$M162,[1]Gen_Vessels!$C$3:$C$500,0),1)),"")</f>
        <v/>
      </c>
      <c r="O162" s="2"/>
      <c r="P162" s="2" t="str">
        <f>IFERROR(IF(ISBLANK(O162),"",INDEX([1]Gen_Vessels!$A$3:$C$500,MATCH(CorrectiveMinor!$O162,[1]Gen_Vessels!$C$3:$C$500,0),1)),"")</f>
        <v/>
      </c>
      <c r="Q162" s="2"/>
      <c r="R162" s="2"/>
      <c r="S162" s="2"/>
      <c r="T162" s="2"/>
      <c r="U162" s="2"/>
      <c r="W162" s="2"/>
      <c r="X162" s="2"/>
      <c r="Y162" s="2"/>
      <c r="Z162" s="2"/>
      <c r="AA162" s="2"/>
      <c r="AB162" s="2"/>
      <c r="AC162" s="2"/>
    </row>
    <row r="163" spans="1:29" x14ac:dyDescent="0.25">
      <c r="A163" s="1" t="str">
        <f t="shared" si="2"/>
        <v/>
      </c>
      <c r="B163" s="2"/>
      <c r="C163" s="2"/>
      <c r="D163" s="13"/>
      <c r="E163" s="14"/>
      <c r="F163" s="15"/>
      <c r="G163" s="8"/>
      <c r="M163" s="2"/>
      <c r="N163" s="2" t="str">
        <f>IFERROR(IF(ISBLANK(M163),"",INDEX([1]Gen_Vessels!$A$3:$C$500,MATCH(CorrectiveMinor!$M163,[1]Gen_Vessels!$C$3:$C$500,0),1)),"")</f>
        <v/>
      </c>
      <c r="O163" s="2"/>
      <c r="P163" s="2" t="str">
        <f>IFERROR(IF(ISBLANK(O163),"",INDEX([1]Gen_Vessels!$A$3:$C$500,MATCH(CorrectiveMinor!$O163,[1]Gen_Vessels!$C$3:$C$500,0),1)),"")</f>
        <v/>
      </c>
      <c r="Q163" s="2"/>
      <c r="R163" s="2"/>
      <c r="S163" s="2"/>
      <c r="T163" s="2"/>
      <c r="U163" s="2"/>
      <c r="W163" s="2"/>
      <c r="X163" s="2"/>
      <c r="Y163" s="2"/>
      <c r="Z163" s="2"/>
      <c r="AA163" s="2"/>
      <c r="AB163" s="2"/>
      <c r="AC163" s="2"/>
    </row>
    <row r="164" spans="1:29" x14ac:dyDescent="0.25">
      <c r="A164" s="1" t="str">
        <f t="shared" si="2"/>
        <v/>
      </c>
      <c r="B164" s="2"/>
      <c r="C164" s="2"/>
      <c r="D164" s="13"/>
      <c r="E164" s="14"/>
      <c r="F164" s="15"/>
      <c r="G164" s="8"/>
      <c r="M164" s="2"/>
      <c r="N164" s="2" t="str">
        <f>IFERROR(IF(ISBLANK(M164),"",INDEX([1]Gen_Vessels!$A$3:$C$500,MATCH(CorrectiveMinor!$M164,[1]Gen_Vessels!$C$3:$C$500,0),1)),"")</f>
        <v/>
      </c>
      <c r="O164" s="2"/>
      <c r="P164" s="2" t="str">
        <f>IFERROR(IF(ISBLANK(O164),"",INDEX([1]Gen_Vessels!$A$3:$C$500,MATCH(CorrectiveMinor!$O164,[1]Gen_Vessels!$C$3:$C$500,0),1)),"")</f>
        <v/>
      </c>
      <c r="Q164" s="2"/>
      <c r="R164" s="2"/>
      <c r="S164" s="2"/>
      <c r="T164" s="2"/>
      <c r="U164" s="2"/>
      <c r="W164" s="2"/>
      <c r="X164" s="2"/>
      <c r="Y164" s="2"/>
      <c r="Z164" s="2"/>
      <c r="AA164" s="2"/>
      <c r="AB164" s="2"/>
      <c r="AC164" s="2"/>
    </row>
    <row r="165" spans="1:29" x14ac:dyDescent="0.25">
      <c r="A165" s="1" t="str">
        <f t="shared" si="2"/>
        <v/>
      </c>
      <c r="B165" s="2"/>
      <c r="C165" s="2"/>
      <c r="D165" s="13"/>
      <c r="E165" s="14"/>
      <c r="F165" s="15"/>
      <c r="G165" s="8"/>
      <c r="M165" s="2"/>
      <c r="N165" s="2" t="str">
        <f>IFERROR(IF(ISBLANK(M165),"",INDEX([1]Gen_Vessels!$A$3:$C$500,MATCH(CorrectiveMinor!$M165,[1]Gen_Vessels!$C$3:$C$500,0),1)),"")</f>
        <v/>
      </c>
      <c r="O165" s="2"/>
      <c r="P165" s="2" t="str">
        <f>IFERROR(IF(ISBLANK(O165),"",INDEX([1]Gen_Vessels!$A$3:$C$500,MATCH(CorrectiveMinor!$O165,[1]Gen_Vessels!$C$3:$C$500,0),1)),"")</f>
        <v/>
      </c>
      <c r="Q165" s="2"/>
      <c r="R165" s="2"/>
      <c r="S165" s="2"/>
      <c r="T165" s="2"/>
      <c r="U165" s="2"/>
      <c r="W165" s="2"/>
      <c r="X165" s="2"/>
      <c r="Y165" s="2"/>
      <c r="Z165" s="2"/>
      <c r="AA165" s="2"/>
      <c r="AB165" s="2"/>
      <c r="AC165" s="2"/>
    </row>
    <row r="166" spans="1:29" x14ac:dyDescent="0.25">
      <c r="A166" s="1" t="str">
        <f t="shared" si="2"/>
        <v/>
      </c>
      <c r="B166" s="2"/>
      <c r="C166" s="2"/>
      <c r="D166" s="13"/>
      <c r="E166" s="14"/>
      <c r="F166" s="15"/>
      <c r="G166" s="8"/>
      <c r="M166" s="2"/>
      <c r="N166" s="2" t="str">
        <f>IFERROR(IF(ISBLANK(M166),"",INDEX([1]Gen_Vessels!$A$3:$C$500,MATCH(CorrectiveMinor!$M166,[1]Gen_Vessels!$C$3:$C$500,0),1)),"")</f>
        <v/>
      </c>
      <c r="O166" s="2"/>
      <c r="P166" s="2" t="str">
        <f>IFERROR(IF(ISBLANK(O166),"",INDEX([1]Gen_Vessels!$A$3:$C$500,MATCH(CorrectiveMinor!$O166,[1]Gen_Vessels!$C$3:$C$500,0),1)),"")</f>
        <v/>
      </c>
      <c r="Q166" s="2"/>
      <c r="R166" s="2"/>
      <c r="S166" s="2"/>
      <c r="T166" s="2"/>
      <c r="U166" s="2"/>
      <c r="W166" s="2"/>
      <c r="X166" s="2"/>
      <c r="Y166" s="2"/>
      <c r="Z166" s="2"/>
      <c r="AA166" s="2"/>
      <c r="AB166" s="2"/>
      <c r="AC166" s="2"/>
    </row>
    <row r="167" spans="1:29" x14ac:dyDescent="0.25">
      <c r="A167" s="1" t="str">
        <f t="shared" si="2"/>
        <v/>
      </c>
      <c r="B167" s="2"/>
      <c r="C167" s="2"/>
      <c r="D167" s="13"/>
      <c r="E167" s="14"/>
      <c r="F167" s="15"/>
      <c r="G167" s="8"/>
      <c r="M167" s="2"/>
      <c r="N167" s="2" t="str">
        <f>IFERROR(IF(ISBLANK(M167),"",INDEX([1]Gen_Vessels!$A$3:$C$500,MATCH(CorrectiveMinor!$M167,[1]Gen_Vessels!$C$3:$C$500,0),1)),"")</f>
        <v/>
      </c>
      <c r="O167" s="2"/>
      <c r="P167" s="2" t="str">
        <f>IFERROR(IF(ISBLANK(O167),"",INDEX([1]Gen_Vessels!$A$3:$C$500,MATCH(CorrectiveMinor!$O167,[1]Gen_Vessels!$C$3:$C$500,0),1)),"")</f>
        <v/>
      </c>
      <c r="Q167" s="2"/>
      <c r="R167" s="2"/>
      <c r="S167" s="2"/>
      <c r="T167" s="2"/>
      <c r="U167" s="2"/>
      <c r="W167" s="2"/>
      <c r="X167" s="2"/>
      <c r="Y167" s="2"/>
      <c r="Z167" s="2"/>
      <c r="AA167" s="2"/>
      <c r="AB167" s="2"/>
      <c r="AC167" s="2"/>
    </row>
    <row r="168" spans="1:29" x14ac:dyDescent="0.25">
      <c r="A168" s="1" t="str">
        <f t="shared" si="2"/>
        <v/>
      </c>
      <c r="B168" s="2"/>
      <c r="C168" s="2"/>
      <c r="D168" s="13"/>
      <c r="E168" s="14"/>
      <c r="F168" s="15"/>
      <c r="G168" s="8"/>
      <c r="M168" s="2"/>
      <c r="N168" s="2" t="str">
        <f>IFERROR(IF(ISBLANK(M168),"",INDEX([1]Gen_Vessels!$A$3:$C$500,MATCH(CorrectiveMinor!$M168,[1]Gen_Vessels!$C$3:$C$500,0),1)),"")</f>
        <v/>
      </c>
      <c r="O168" s="2"/>
      <c r="P168" s="2" t="str">
        <f>IFERROR(IF(ISBLANK(O168),"",INDEX([1]Gen_Vessels!$A$3:$C$500,MATCH(CorrectiveMinor!$O168,[1]Gen_Vessels!$C$3:$C$500,0),1)),"")</f>
        <v/>
      </c>
      <c r="Q168" s="2"/>
      <c r="R168" s="2"/>
      <c r="S168" s="2"/>
      <c r="T168" s="2"/>
      <c r="U168" s="2"/>
      <c r="W168" s="2"/>
      <c r="X168" s="2"/>
      <c r="Y168" s="2"/>
      <c r="Z168" s="2"/>
      <c r="AA168" s="2"/>
      <c r="AB168" s="2"/>
      <c r="AC168" s="2"/>
    </row>
    <row r="169" spans="1:29" x14ac:dyDescent="0.25">
      <c r="A169" s="1" t="str">
        <f t="shared" si="2"/>
        <v/>
      </c>
      <c r="B169" s="2"/>
      <c r="C169" s="2"/>
      <c r="D169" s="13"/>
      <c r="E169" s="14"/>
      <c r="F169" s="15"/>
      <c r="G169" s="8"/>
      <c r="M169" s="2"/>
      <c r="N169" s="2" t="str">
        <f>IFERROR(IF(ISBLANK(M169),"",INDEX([1]Gen_Vessels!$A$3:$C$500,MATCH(CorrectiveMinor!$M169,[1]Gen_Vessels!$C$3:$C$500,0),1)),"")</f>
        <v/>
      </c>
      <c r="O169" s="2"/>
      <c r="P169" s="2" t="str">
        <f>IFERROR(IF(ISBLANK(O169),"",INDEX([1]Gen_Vessels!$A$3:$C$500,MATCH(CorrectiveMinor!$O169,[1]Gen_Vessels!$C$3:$C$500,0),1)),"")</f>
        <v/>
      </c>
      <c r="Q169" s="2"/>
      <c r="R169" s="2"/>
      <c r="S169" s="2"/>
      <c r="T169" s="2"/>
      <c r="U169" s="2"/>
      <c r="W169" s="2"/>
      <c r="X169" s="2"/>
      <c r="Y169" s="2"/>
      <c r="Z169" s="2"/>
      <c r="AA169" s="2"/>
      <c r="AB169" s="2"/>
      <c r="AC169" s="2"/>
    </row>
    <row r="170" spans="1:29" x14ac:dyDescent="0.25">
      <c r="A170" s="1" t="str">
        <f t="shared" si="2"/>
        <v/>
      </c>
      <c r="B170" s="2"/>
      <c r="C170" s="2"/>
      <c r="D170" s="13"/>
      <c r="E170" s="14"/>
      <c r="F170" s="15"/>
      <c r="G170" s="8"/>
      <c r="M170" s="2"/>
      <c r="N170" s="2" t="str">
        <f>IFERROR(IF(ISBLANK(M170),"",INDEX([1]Gen_Vessels!$A$3:$C$500,MATCH(CorrectiveMinor!$M170,[1]Gen_Vessels!$C$3:$C$500,0),1)),"")</f>
        <v/>
      </c>
      <c r="O170" s="2"/>
      <c r="P170" s="2" t="str">
        <f>IFERROR(IF(ISBLANK(O170),"",INDEX([1]Gen_Vessels!$A$3:$C$500,MATCH(CorrectiveMinor!$O170,[1]Gen_Vessels!$C$3:$C$500,0),1)),"")</f>
        <v/>
      </c>
      <c r="Q170" s="2"/>
      <c r="R170" s="2"/>
      <c r="S170" s="2"/>
      <c r="T170" s="2"/>
      <c r="U170" s="2"/>
      <c r="W170" s="2"/>
      <c r="X170" s="2"/>
      <c r="Y170" s="2"/>
      <c r="Z170" s="2"/>
      <c r="AA170" s="2"/>
      <c r="AB170" s="2"/>
      <c r="AC170" s="2"/>
    </row>
    <row r="171" spans="1:29" x14ac:dyDescent="0.25">
      <c r="A171" s="1" t="str">
        <f t="shared" si="2"/>
        <v/>
      </c>
      <c r="B171" s="2"/>
      <c r="C171" s="2"/>
      <c r="D171" s="13"/>
      <c r="E171" s="14"/>
      <c r="F171" s="15"/>
      <c r="G171" s="8"/>
      <c r="M171" s="2"/>
      <c r="N171" s="2" t="str">
        <f>IFERROR(IF(ISBLANK(M171),"",INDEX([1]Gen_Vessels!$A$3:$C$500,MATCH(CorrectiveMinor!$M171,[1]Gen_Vessels!$C$3:$C$500,0),1)),"")</f>
        <v/>
      </c>
      <c r="O171" s="2"/>
      <c r="P171" s="2" t="str">
        <f>IFERROR(IF(ISBLANK(O171),"",INDEX([1]Gen_Vessels!$A$3:$C$500,MATCH(CorrectiveMinor!$O171,[1]Gen_Vessels!$C$3:$C$500,0),1)),"")</f>
        <v/>
      </c>
      <c r="Q171" s="2"/>
      <c r="R171" s="2"/>
      <c r="S171" s="2"/>
      <c r="T171" s="2"/>
      <c r="U171" s="2"/>
      <c r="W171" s="2"/>
      <c r="X171" s="2"/>
      <c r="Y171" s="2"/>
      <c r="Z171" s="2"/>
      <c r="AA171" s="2"/>
      <c r="AB171" s="2"/>
      <c r="AC171" s="2"/>
    </row>
    <row r="172" spans="1:29" x14ac:dyDescent="0.25">
      <c r="A172" s="1" t="str">
        <f t="shared" si="2"/>
        <v/>
      </c>
      <c r="B172" s="2"/>
      <c r="C172" s="2"/>
      <c r="D172" s="13"/>
      <c r="E172" s="14"/>
      <c r="F172" s="15"/>
      <c r="G172" s="8"/>
      <c r="M172" s="2"/>
      <c r="N172" s="2" t="str">
        <f>IFERROR(IF(ISBLANK(M172),"",INDEX([1]Gen_Vessels!$A$3:$C$500,MATCH(CorrectiveMinor!$M172,[1]Gen_Vessels!$C$3:$C$500,0),1)),"")</f>
        <v/>
      </c>
      <c r="O172" s="2"/>
      <c r="P172" s="2" t="str">
        <f>IFERROR(IF(ISBLANK(O172),"",INDEX([1]Gen_Vessels!$A$3:$C$500,MATCH(CorrectiveMinor!$O172,[1]Gen_Vessels!$C$3:$C$500,0),1)),"")</f>
        <v/>
      </c>
      <c r="Q172" s="2"/>
      <c r="R172" s="2"/>
      <c r="S172" s="2"/>
      <c r="T172" s="2"/>
      <c r="U172" s="2"/>
      <c r="W172" s="2"/>
      <c r="X172" s="2"/>
      <c r="Y172" s="2"/>
      <c r="Z172" s="2"/>
      <c r="AA172" s="2"/>
      <c r="AB172" s="2"/>
      <c r="AC172" s="2"/>
    </row>
    <row r="173" spans="1:29" x14ac:dyDescent="0.25">
      <c r="A173" s="1" t="str">
        <f t="shared" si="2"/>
        <v/>
      </c>
      <c r="B173" s="2"/>
      <c r="C173" s="2"/>
      <c r="D173" s="13"/>
      <c r="E173" s="14"/>
      <c r="F173" s="15"/>
      <c r="G173" s="8"/>
      <c r="M173" s="2"/>
      <c r="N173" s="2" t="str">
        <f>IFERROR(IF(ISBLANK(M173),"",INDEX([1]Gen_Vessels!$A$3:$C$500,MATCH(CorrectiveMinor!$M173,[1]Gen_Vessels!$C$3:$C$500,0),1)),"")</f>
        <v/>
      </c>
      <c r="O173" s="2"/>
      <c r="P173" s="2" t="str">
        <f>IFERROR(IF(ISBLANK(O173),"",INDEX([1]Gen_Vessels!$A$3:$C$500,MATCH(CorrectiveMinor!$O173,[1]Gen_Vessels!$C$3:$C$500,0),1)),"")</f>
        <v/>
      </c>
      <c r="Q173" s="2"/>
      <c r="R173" s="2"/>
      <c r="S173" s="2"/>
      <c r="T173" s="2"/>
      <c r="U173" s="2"/>
      <c r="W173" s="2"/>
      <c r="X173" s="2"/>
      <c r="Y173" s="2"/>
      <c r="Z173" s="2"/>
      <c r="AA173" s="2"/>
      <c r="AB173" s="2"/>
      <c r="AC173" s="2"/>
    </row>
    <row r="174" spans="1:29" x14ac:dyDescent="0.25">
      <c r="A174" s="1" t="str">
        <f t="shared" si="2"/>
        <v/>
      </c>
      <c r="B174" s="2"/>
      <c r="C174" s="2"/>
      <c r="D174" s="13"/>
      <c r="E174" s="14"/>
      <c r="F174" s="15"/>
      <c r="G174" s="8"/>
      <c r="M174" s="2"/>
      <c r="N174" s="2" t="str">
        <f>IFERROR(IF(ISBLANK(M174),"",INDEX([1]Gen_Vessels!$A$3:$C$500,MATCH(CorrectiveMinor!$M174,[1]Gen_Vessels!$C$3:$C$500,0),1)),"")</f>
        <v/>
      </c>
      <c r="O174" s="2"/>
      <c r="P174" s="2" t="str">
        <f>IFERROR(IF(ISBLANK(O174),"",INDEX([1]Gen_Vessels!$A$3:$C$500,MATCH(CorrectiveMinor!$O174,[1]Gen_Vessels!$C$3:$C$500,0),1)),"")</f>
        <v/>
      </c>
      <c r="Q174" s="2"/>
      <c r="R174" s="2"/>
      <c r="S174" s="2"/>
      <c r="T174" s="2"/>
      <c r="U174" s="2"/>
      <c r="W174" s="2"/>
      <c r="X174" s="2"/>
      <c r="Y174" s="2"/>
      <c r="Z174" s="2"/>
      <c r="AA174" s="2"/>
      <c r="AB174" s="2"/>
      <c r="AC174" s="2"/>
    </row>
    <row r="175" spans="1:29" x14ac:dyDescent="0.25">
      <c r="A175" s="1" t="str">
        <f t="shared" si="2"/>
        <v/>
      </c>
      <c r="B175" s="2"/>
      <c r="C175" s="2"/>
      <c r="D175" s="13"/>
      <c r="E175" s="14"/>
      <c r="F175" s="15"/>
      <c r="G175" s="8"/>
      <c r="M175" s="2"/>
      <c r="N175" s="2" t="str">
        <f>IFERROR(IF(ISBLANK(M175),"",INDEX([1]Gen_Vessels!$A$3:$C$500,MATCH(CorrectiveMinor!$M175,[1]Gen_Vessels!$C$3:$C$500,0),1)),"")</f>
        <v/>
      </c>
      <c r="O175" s="2"/>
      <c r="P175" s="2" t="str">
        <f>IFERROR(IF(ISBLANK(O175),"",INDEX([1]Gen_Vessels!$A$3:$C$500,MATCH(CorrectiveMinor!$O175,[1]Gen_Vessels!$C$3:$C$500,0),1)),"")</f>
        <v/>
      </c>
      <c r="Q175" s="2"/>
      <c r="R175" s="2"/>
      <c r="S175" s="2"/>
      <c r="T175" s="2"/>
      <c r="U175" s="2"/>
      <c r="W175" s="2"/>
      <c r="X175" s="2"/>
      <c r="Y175" s="2"/>
      <c r="Z175" s="2"/>
      <c r="AA175" s="2"/>
      <c r="AB175" s="2"/>
      <c r="AC175" s="2"/>
    </row>
    <row r="176" spans="1:29" x14ac:dyDescent="0.25">
      <c r="A176" s="1" t="str">
        <f t="shared" si="2"/>
        <v/>
      </c>
      <c r="B176" s="2"/>
      <c r="C176" s="2"/>
      <c r="D176" s="13"/>
      <c r="E176" s="14"/>
      <c r="F176" s="15"/>
      <c r="G176" s="8"/>
      <c r="M176" s="2"/>
      <c r="N176" s="2" t="str">
        <f>IFERROR(IF(ISBLANK(M176),"",INDEX([1]Gen_Vessels!$A$3:$C$500,MATCH(CorrectiveMinor!$M176,[1]Gen_Vessels!$C$3:$C$500,0),1)),"")</f>
        <v/>
      </c>
      <c r="O176" s="2"/>
      <c r="P176" s="2" t="str">
        <f>IFERROR(IF(ISBLANK(O176),"",INDEX([1]Gen_Vessels!$A$3:$C$500,MATCH(CorrectiveMinor!$O176,[1]Gen_Vessels!$C$3:$C$500,0),1)),"")</f>
        <v/>
      </c>
      <c r="Q176" s="2"/>
      <c r="R176" s="2"/>
      <c r="S176" s="2"/>
      <c r="T176" s="2"/>
      <c r="U176" s="2"/>
      <c r="W176" s="2"/>
      <c r="X176" s="2"/>
      <c r="Y176" s="2"/>
      <c r="Z176" s="2"/>
      <c r="AA176" s="2"/>
      <c r="AB176" s="2"/>
      <c r="AC176" s="2"/>
    </row>
    <row r="177" spans="1:29" x14ac:dyDescent="0.25">
      <c r="A177" s="1" t="str">
        <f t="shared" si="2"/>
        <v/>
      </c>
      <c r="B177" s="2"/>
      <c r="C177" s="2"/>
      <c r="D177" s="13"/>
      <c r="E177" s="14"/>
      <c r="F177" s="15"/>
      <c r="G177" s="8"/>
      <c r="M177" s="2"/>
      <c r="N177" s="2" t="str">
        <f>IFERROR(IF(ISBLANK(M177),"",INDEX([1]Gen_Vessels!$A$3:$C$500,MATCH(CorrectiveMinor!$M177,[1]Gen_Vessels!$C$3:$C$500,0),1)),"")</f>
        <v/>
      </c>
      <c r="O177" s="2"/>
      <c r="P177" s="2" t="str">
        <f>IFERROR(IF(ISBLANK(O177),"",INDEX([1]Gen_Vessels!$A$3:$C$500,MATCH(CorrectiveMinor!$O177,[1]Gen_Vessels!$C$3:$C$500,0),1)),"")</f>
        <v/>
      </c>
      <c r="Q177" s="2"/>
      <c r="R177" s="2"/>
      <c r="S177" s="2"/>
      <c r="T177" s="2"/>
      <c r="U177" s="2"/>
      <c r="W177" s="2"/>
      <c r="X177" s="2"/>
      <c r="Y177" s="2"/>
      <c r="Z177" s="2"/>
      <c r="AA177" s="2"/>
      <c r="AB177" s="2"/>
      <c r="AC177" s="2"/>
    </row>
    <row r="178" spans="1:29" x14ac:dyDescent="0.25">
      <c r="A178" s="1" t="str">
        <f t="shared" si="2"/>
        <v/>
      </c>
      <c r="B178" s="2"/>
      <c r="C178" s="2"/>
      <c r="D178" s="13"/>
      <c r="E178" s="14"/>
      <c r="F178" s="15"/>
      <c r="G178" s="8"/>
      <c r="M178" s="2"/>
      <c r="N178" s="2" t="str">
        <f>IFERROR(IF(ISBLANK(M178),"",INDEX([1]Gen_Vessels!$A$3:$C$500,MATCH(CorrectiveMinor!$M178,[1]Gen_Vessels!$C$3:$C$500,0),1)),"")</f>
        <v/>
      </c>
      <c r="O178" s="2"/>
      <c r="P178" s="2" t="str">
        <f>IFERROR(IF(ISBLANK(O178),"",INDEX([1]Gen_Vessels!$A$3:$C$500,MATCH(CorrectiveMinor!$O178,[1]Gen_Vessels!$C$3:$C$500,0),1)),"")</f>
        <v/>
      </c>
      <c r="Q178" s="2"/>
      <c r="R178" s="2"/>
      <c r="S178" s="2"/>
      <c r="T178" s="2"/>
      <c r="U178" s="2"/>
      <c r="W178" s="2"/>
      <c r="X178" s="2"/>
      <c r="Y178" s="2"/>
      <c r="Z178" s="2"/>
      <c r="AA178" s="2"/>
      <c r="AB178" s="2"/>
      <c r="AC178" s="2"/>
    </row>
    <row r="179" spans="1:29" x14ac:dyDescent="0.25">
      <c r="A179" s="1" t="str">
        <f t="shared" si="2"/>
        <v/>
      </c>
      <c r="B179" s="2"/>
      <c r="C179" s="2"/>
      <c r="D179" s="13"/>
      <c r="E179" s="14"/>
      <c r="F179" s="15"/>
      <c r="G179" s="8"/>
      <c r="M179" s="2"/>
      <c r="N179" s="2" t="str">
        <f>IFERROR(IF(ISBLANK(M179),"",INDEX([1]Gen_Vessels!$A$3:$C$500,MATCH(CorrectiveMinor!$M179,[1]Gen_Vessels!$C$3:$C$500,0),1)),"")</f>
        <v/>
      </c>
      <c r="O179" s="2"/>
      <c r="P179" s="2" t="str">
        <f>IFERROR(IF(ISBLANK(O179),"",INDEX([1]Gen_Vessels!$A$3:$C$500,MATCH(CorrectiveMinor!$O179,[1]Gen_Vessels!$C$3:$C$500,0),1)),"")</f>
        <v/>
      </c>
      <c r="Q179" s="2"/>
      <c r="R179" s="2"/>
      <c r="S179" s="2"/>
      <c r="T179" s="2"/>
      <c r="U179" s="2"/>
      <c r="W179" s="2"/>
      <c r="X179" s="2"/>
      <c r="Y179" s="2"/>
      <c r="Z179" s="2"/>
      <c r="AA179" s="2"/>
      <c r="AB179" s="2"/>
      <c r="AC179" s="2"/>
    </row>
    <row r="180" spans="1:29" x14ac:dyDescent="0.25">
      <c r="A180" s="1" t="str">
        <f t="shared" si="2"/>
        <v/>
      </c>
      <c r="B180" s="2"/>
      <c r="C180" s="2"/>
      <c r="D180" s="13"/>
      <c r="E180" s="14"/>
      <c r="F180" s="15"/>
      <c r="G180" s="8"/>
      <c r="M180" s="2"/>
      <c r="N180" s="2" t="str">
        <f>IFERROR(IF(ISBLANK(M180),"",INDEX([1]Gen_Vessels!$A$3:$C$500,MATCH(CorrectiveMinor!$M180,[1]Gen_Vessels!$C$3:$C$500,0),1)),"")</f>
        <v/>
      </c>
      <c r="O180" s="2"/>
      <c r="P180" s="2" t="str">
        <f>IFERROR(IF(ISBLANK(O180),"",INDEX([1]Gen_Vessels!$A$3:$C$500,MATCH(CorrectiveMinor!$O180,[1]Gen_Vessels!$C$3:$C$500,0),1)),"")</f>
        <v/>
      </c>
      <c r="Q180" s="2"/>
      <c r="R180" s="2"/>
      <c r="S180" s="2"/>
      <c r="T180" s="2"/>
      <c r="U180" s="2"/>
      <c r="W180" s="2"/>
      <c r="X180" s="2"/>
      <c r="Y180" s="2"/>
      <c r="Z180" s="2"/>
      <c r="AA180" s="2"/>
      <c r="AB180" s="2"/>
      <c r="AC180" s="2"/>
    </row>
    <row r="181" spans="1:29" x14ac:dyDescent="0.25">
      <c r="A181" s="1" t="str">
        <f t="shared" si="2"/>
        <v/>
      </c>
      <c r="B181" s="2"/>
      <c r="C181" s="2"/>
      <c r="D181" s="13"/>
      <c r="E181" s="14"/>
      <c r="F181" s="15"/>
      <c r="G181" s="8"/>
      <c r="M181" s="2"/>
      <c r="N181" s="2" t="str">
        <f>IFERROR(IF(ISBLANK(M181),"",INDEX([1]Gen_Vessels!$A$3:$C$500,MATCH(CorrectiveMinor!$M181,[1]Gen_Vessels!$C$3:$C$500,0),1)),"")</f>
        <v/>
      </c>
      <c r="O181" s="2"/>
      <c r="P181" s="2" t="str">
        <f>IFERROR(IF(ISBLANK(O181),"",INDEX([1]Gen_Vessels!$A$3:$C$500,MATCH(CorrectiveMinor!$O181,[1]Gen_Vessels!$C$3:$C$500,0),1)),"")</f>
        <v/>
      </c>
      <c r="Q181" s="2"/>
      <c r="R181" s="2"/>
      <c r="S181" s="2"/>
      <c r="T181" s="2"/>
      <c r="U181" s="2"/>
      <c r="W181" s="2"/>
      <c r="X181" s="2"/>
      <c r="Y181" s="2"/>
      <c r="Z181" s="2"/>
      <c r="AA181" s="2"/>
      <c r="AB181" s="2"/>
      <c r="AC181" s="2"/>
    </row>
    <row r="182" spans="1:29" x14ac:dyDescent="0.25">
      <c r="A182" s="1" t="str">
        <f t="shared" si="2"/>
        <v/>
      </c>
      <c r="B182" s="2"/>
      <c r="C182" s="2"/>
      <c r="D182" s="13"/>
      <c r="E182" s="14"/>
      <c r="F182" s="15"/>
      <c r="G182" s="8"/>
      <c r="M182" s="2"/>
      <c r="N182" s="2" t="str">
        <f>IFERROR(IF(ISBLANK(M182),"",INDEX([1]Gen_Vessels!$A$3:$C$500,MATCH(CorrectiveMinor!$M182,[1]Gen_Vessels!$C$3:$C$500,0),1)),"")</f>
        <v/>
      </c>
      <c r="O182" s="2"/>
      <c r="P182" s="2" t="str">
        <f>IFERROR(IF(ISBLANK(O182),"",INDEX([1]Gen_Vessels!$A$3:$C$500,MATCH(CorrectiveMinor!$O182,[1]Gen_Vessels!$C$3:$C$500,0),1)),"")</f>
        <v/>
      </c>
      <c r="Q182" s="2"/>
      <c r="R182" s="2"/>
      <c r="S182" s="2"/>
      <c r="T182" s="2"/>
      <c r="U182" s="2"/>
      <c r="W182" s="2"/>
      <c r="X182" s="2"/>
      <c r="Y182" s="2"/>
      <c r="Z182" s="2"/>
      <c r="AA182" s="2"/>
      <c r="AB182" s="2"/>
      <c r="AC182" s="2"/>
    </row>
    <row r="183" spans="1:29" x14ac:dyDescent="0.25">
      <c r="A183" s="1" t="str">
        <f t="shared" si="2"/>
        <v/>
      </c>
      <c r="B183" s="2"/>
      <c r="C183" s="2"/>
      <c r="D183" s="13"/>
      <c r="E183" s="14"/>
      <c r="F183" s="15"/>
      <c r="G183" s="8"/>
      <c r="M183" s="2"/>
      <c r="N183" s="2" t="str">
        <f>IFERROR(IF(ISBLANK(M183),"",INDEX([1]Gen_Vessels!$A$3:$C$500,MATCH(CorrectiveMinor!$M183,[1]Gen_Vessels!$C$3:$C$500,0),1)),"")</f>
        <v/>
      </c>
      <c r="O183" s="2"/>
      <c r="P183" s="2" t="str">
        <f>IFERROR(IF(ISBLANK(O183),"",INDEX([1]Gen_Vessels!$A$3:$C$500,MATCH(CorrectiveMinor!$O183,[1]Gen_Vessels!$C$3:$C$500,0),1)),"")</f>
        <v/>
      </c>
      <c r="Q183" s="2"/>
      <c r="R183" s="2"/>
      <c r="S183" s="2"/>
      <c r="T183" s="2"/>
      <c r="U183" s="2"/>
      <c r="W183" s="2"/>
      <c r="X183" s="2"/>
      <c r="Y183" s="2"/>
      <c r="Z183" s="2"/>
      <c r="AA183" s="2"/>
      <c r="AB183" s="2"/>
      <c r="AC183" s="2"/>
    </row>
    <row r="184" spans="1:29" x14ac:dyDescent="0.25">
      <c r="A184" s="1" t="str">
        <f t="shared" si="2"/>
        <v/>
      </c>
      <c r="B184" s="2"/>
      <c r="C184" s="2"/>
      <c r="D184" s="13"/>
      <c r="E184" s="14"/>
      <c r="F184" s="15"/>
      <c r="G184" s="8"/>
      <c r="M184" s="2"/>
      <c r="N184" s="2" t="str">
        <f>IFERROR(IF(ISBLANK(M184),"",INDEX([1]Gen_Vessels!$A$3:$C$500,MATCH(CorrectiveMinor!$M184,[1]Gen_Vessels!$C$3:$C$500,0),1)),"")</f>
        <v/>
      </c>
      <c r="O184" s="2"/>
      <c r="P184" s="2" t="str">
        <f>IFERROR(IF(ISBLANK(O184),"",INDEX([1]Gen_Vessels!$A$3:$C$500,MATCH(CorrectiveMinor!$O184,[1]Gen_Vessels!$C$3:$C$500,0),1)),"")</f>
        <v/>
      </c>
      <c r="Q184" s="2"/>
      <c r="R184" s="2"/>
      <c r="S184" s="2"/>
      <c r="T184" s="2"/>
      <c r="U184" s="2"/>
      <c r="W184" s="2"/>
      <c r="X184" s="2"/>
      <c r="Y184" s="2"/>
      <c r="Z184" s="2"/>
      <c r="AA184" s="2"/>
      <c r="AB184" s="2"/>
      <c r="AC184" s="2"/>
    </row>
    <row r="185" spans="1:29" x14ac:dyDescent="0.25">
      <c r="A185" s="1" t="str">
        <f t="shared" si="2"/>
        <v/>
      </c>
      <c r="B185" s="2"/>
      <c r="C185" s="2"/>
      <c r="D185" s="13"/>
      <c r="E185" s="14"/>
      <c r="F185" s="15"/>
      <c r="G185" s="8"/>
      <c r="M185" s="2"/>
      <c r="N185" s="2" t="str">
        <f>IFERROR(IF(ISBLANK(M185),"",INDEX([1]Gen_Vessels!$A$3:$C$500,MATCH(CorrectiveMinor!$M185,[1]Gen_Vessels!$C$3:$C$500,0),1)),"")</f>
        <v/>
      </c>
      <c r="O185" s="2"/>
      <c r="P185" s="2" t="str">
        <f>IFERROR(IF(ISBLANK(O185),"",INDEX([1]Gen_Vessels!$A$3:$C$500,MATCH(CorrectiveMinor!$O185,[1]Gen_Vessels!$C$3:$C$500,0),1)),"")</f>
        <v/>
      </c>
      <c r="Q185" s="2"/>
      <c r="R185" s="2"/>
      <c r="S185" s="2"/>
      <c r="T185" s="2"/>
      <c r="U185" s="2"/>
      <c r="W185" s="2"/>
      <c r="X185" s="2"/>
      <c r="Y185" s="2"/>
      <c r="Z185" s="2"/>
      <c r="AA185" s="2"/>
      <c r="AB185" s="2"/>
      <c r="AC185" s="2"/>
    </row>
    <row r="186" spans="1:29" x14ac:dyDescent="0.25">
      <c r="A186" s="1" t="str">
        <f t="shared" si="2"/>
        <v/>
      </c>
      <c r="B186" s="2"/>
      <c r="C186" s="2"/>
      <c r="D186" s="13"/>
      <c r="E186" s="14"/>
      <c r="F186" s="15"/>
      <c r="G186" s="8"/>
      <c r="M186" s="2"/>
      <c r="N186" s="2" t="str">
        <f>IFERROR(IF(ISBLANK(M186),"",INDEX([1]Gen_Vessels!$A$3:$C$500,MATCH(CorrectiveMinor!$M186,[1]Gen_Vessels!$C$3:$C$500,0),1)),"")</f>
        <v/>
      </c>
      <c r="O186" s="2"/>
      <c r="P186" s="2" t="str">
        <f>IFERROR(IF(ISBLANK(O186),"",INDEX([1]Gen_Vessels!$A$3:$C$500,MATCH(CorrectiveMinor!$O186,[1]Gen_Vessels!$C$3:$C$500,0),1)),"")</f>
        <v/>
      </c>
      <c r="Q186" s="2"/>
      <c r="R186" s="2"/>
      <c r="S186" s="2"/>
      <c r="T186" s="2"/>
      <c r="U186" s="2"/>
      <c r="W186" s="2"/>
      <c r="X186" s="2"/>
      <c r="Y186" s="2"/>
      <c r="Z186" s="2"/>
      <c r="AA186" s="2"/>
      <c r="AB186" s="2"/>
      <c r="AC186" s="2"/>
    </row>
    <row r="187" spans="1:29" x14ac:dyDescent="0.25">
      <c r="A187" s="1" t="str">
        <f t="shared" si="2"/>
        <v/>
      </c>
      <c r="B187" s="2"/>
      <c r="C187" s="2"/>
      <c r="D187" s="13"/>
      <c r="E187" s="14"/>
      <c r="F187" s="15"/>
      <c r="G187" s="8"/>
      <c r="M187" s="2"/>
      <c r="N187" s="2" t="str">
        <f>IFERROR(IF(ISBLANK(M187),"",INDEX([1]Gen_Vessels!$A$3:$C$500,MATCH(CorrectiveMinor!$M187,[1]Gen_Vessels!$C$3:$C$500,0),1)),"")</f>
        <v/>
      </c>
      <c r="O187" s="2"/>
      <c r="P187" s="2" t="str">
        <f>IFERROR(IF(ISBLANK(O187),"",INDEX([1]Gen_Vessels!$A$3:$C$500,MATCH(CorrectiveMinor!$O187,[1]Gen_Vessels!$C$3:$C$500,0),1)),"")</f>
        <v/>
      </c>
      <c r="Q187" s="2"/>
      <c r="R187" s="2"/>
      <c r="S187" s="2"/>
      <c r="T187" s="2"/>
      <c r="U187" s="2"/>
      <c r="W187" s="2"/>
      <c r="X187" s="2"/>
      <c r="Y187" s="2"/>
      <c r="Z187" s="2"/>
      <c r="AA187" s="2"/>
      <c r="AB187" s="2"/>
      <c r="AC187" s="2"/>
    </row>
    <row r="188" spans="1:29" x14ac:dyDescent="0.25">
      <c r="A188" s="1" t="str">
        <f t="shared" si="2"/>
        <v/>
      </c>
      <c r="B188" s="2"/>
      <c r="C188" s="2"/>
      <c r="D188" s="13"/>
      <c r="E188" s="14"/>
      <c r="F188" s="15"/>
      <c r="G188" s="8"/>
      <c r="M188" s="2"/>
      <c r="N188" s="2" t="str">
        <f>IFERROR(IF(ISBLANK(M188),"",INDEX([1]Gen_Vessels!$A$3:$C$500,MATCH(CorrectiveMinor!$M188,[1]Gen_Vessels!$C$3:$C$500,0),1)),"")</f>
        <v/>
      </c>
      <c r="O188" s="2"/>
      <c r="P188" s="2" t="str">
        <f>IFERROR(IF(ISBLANK(O188),"",INDEX([1]Gen_Vessels!$A$3:$C$500,MATCH(CorrectiveMinor!$O188,[1]Gen_Vessels!$C$3:$C$500,0),1)),"")</f>
        <v/>
      </c>
      <c r="Q188" s="2"/>
      <c r="R188" s="2"/>
      <c r="S188" s="2"/>
      <c r="T188" s="2"/>
      <c r="U188" s="2"/>
      <c r="W188" s="2"/>
      <c r="X188" s="2"/>
      <c r="Y188" s="2"/>
      <c r="Z188" s="2"/>
      <c r="AA188" s="2"/>
      <c r="AB188" s="2"/>
      <c r="AC188" s="2"/>
    </row>
    <row r="189" spans="1:29" x14ac:dyDescent="0.25">
      <c r="A189" s="1" t="str">
        <f t="shared" si="2"/>
        <v/>
      </c>
      <c r="B189" s="2"/>
      <c r="C189" s="2"/>
      <c r="D189" s="13"/>
      <c r="E189" s="14"/>
      <c r="F189" s="15"/>
      <c r="G189" s="8"/>
      <c r="M189" s="2"/>
      <c r="N189" s="2" t="str">
        <f>IFERROR(IF(ISBLANK(M189),"",INDEX([1]Gen_Vessels!$A$3:$C$500,MATCH(CorrectiveMinor!$M189,[1]Gen_Vessels!$C$3:$C$500,0),1)),"")</f>
        <v/>
      </c>
      <c r="O189" s="2"/>
      <c r="P189" s="2" t="str">
        <f>IFERROR(IF(ISBLANK(O189),"",INDEX([1]Gen_Vessels!$A$3:$C$500,MATCH(CorrectiveMinor!$O189,[1]Gen_Vessels!$C$3:$C$500,0),1)),"")</f>
        <v/>
      </c>
      <c r="Q189" s="2"/>
      <c r="R189" s="2"/>
      <c r="S189" s="2"/>
      <c r="T189" s="2"/>
      <c r="U189" s="2"/>
      <c r="W189" s="2"/>
      <c r="X189" s="2"/>
      <c r="Y189" s="2"/>
      <c r="Z189" s="2"/>
      <c r="AA189" s="2"/>
      <c r="AB189" s="2"/>
      <c r="AC189" s="2"/>
    </row>
    <row r="190" spans="1:29" x14ac:dyDescent="0.25">
      <c r="A190" s="1" t="str">
        <f t="shared" si="2"/>
        <v/>
      </c>
      <c r="B190" s="2"/>
      <c r="C190" s="2"/>
      <c r="D190" s="13"/>
      <c r="E190" s="14"/>
      <c r="F190" s="15"/>
      <c r="G190" s="8"/>
      <c r="M190" s="2"/>
      <c r="N190" s="2" t="str">
        <f>IFERROR(IF(ISBLANK(M190),"",INDEX([1]Gen_Vessels!$A$3:$C$500,MATCH(CorrectiveMinor!$M190,[1]Gen_Vessels!$C$3:$C$500,0),1)),"")</f>
        <v/>
      </c>
      <c r="O190" s="2"/>
      <c r="P190" s="2" t="str">
        <f>IFERROR(IF(ISBLANK(O190),"",INDEX([1]Gen_Vessels!$A$3:$C$500,MATCH(CorrectiveMinor!$O190,[1]Gen_Vessels!$C$3:$C$500,0),1)),"")</f>
        <v/>
      </c>
      <c r="Q190" s="2"/>
      <c r="R190" s="2"/>
      <c r="S190" s="2"/>
      <c r="T190" s="2"/>
      <c r="U190" s="2"/>
      <c r="W190" s="2"/>
      <c r="X190" s="2"/>
      <c r="Y190" s="2"/>
      <c r="Z190" s="2"/>
      <c r="AA190" s="2"/>
      <c r="AB190" s="2"/>
      <c r="AC190" s="2"/>
    </row>
    <row r="191" spans="1:29" x14ac:dyDescent="0.25">
      <c r="A191" s="1" t="str">
        <f t="shared" si="2"/>
        <v/>
      </c>
      <c r="B191" s="2"/>
      <c r="C191" s="2"/>
      <c r="D191" s="13"/>
      <c r="E191" s="14"/>
      <c r="F191" s="15"/>
      <c r="G191" s="8"/>
      <c r="M191" s="2"/>
      <c r="N191" s="2" t="str">
        <f>IFERROR(IF(ISBLANK(M191),"",INDEX([1]Gen_Vessels!$A$3:$C$500,MATCH(CorrectiveMinor!$M191,[1]Gen_Vessels!$C$3:$C$500,0),1)),"")</f>
        <v/>
      </c>
      <c r="O191" s="2"/>
      <c r="P191" s="2" t="str">
        <f>IFERROR(IF(ISBLANK(O191),"",INDEX([1]Gen_Vessels!$A$3:$C$500,MATCH(CorrectiveMinor!$O191,[1]Gen_Vessels!$C$3:$C$500,0),1)),"")</f>
        <v/>
      </c>
      <c r="Q191" s="2"/>
      <c r="R191" s="2"/>
      <c r="S191" s="2"/>
      <c r="T191" s="2"/>
      <c r="U191" s="2"/>
      <c r="W191" s="2"/>
      <c r="X191" s="2"/>
      <c r="Y191" s="2"/>
      <c r="Z191" s="2"/>
      <c r="AA191" s="2"/>
      <c r="AB191" s="2"/>
      <c r="AC191" s="2"/>
    </row>
    <row r="192" spans="1:29" x14ac:dyDescent="0.25">
      <c r="A192" s="1" t="str">
        <f t="shared" si="2"/>
        <v/>
      </c>
      <c r="B192" s="2"/>
      <c r="C192" s="2"/>
      <c r="D192" s="13"/>
      <c r="E192" s="14"/>
      <c r="F192" s="15"/>
      <c r="G192" s="8"/>
      <c r="M192" s="2"/>
      <c r="N192" s="2" t="str">
        <f>IFERROR(IF(ISBLANK(M192),"",INDEX([1]Gen_Vessels!$A$3:$C$500,MATCH(CorrectiveMinor!$M192,[1]Gen_Vessels!$C$3:$C$500,0),1)),"")</f>
        <v/>
      </c>
      <c r="O192" s="2"/>
      <c r="P192" s="2" t="str">
        <f>IFERROR(IF(ISBLANK(O192),"",INDEX([1]Gen_Vessels!$A$3:$C$500,MATCH(CorrectiveMinor!$O192,[1]Gen_Vessels!$C$3:$C$500,0),1)),"")</f>
        <v/>
      </c>
      <c r="Q192" s="2"/>
      <c r="R192" s="2"/>
      <c r="S192" s="2"/>
      <c r="T192" s="2"/>
      <c r="U192" s="2"/>
      <c r="W192" s="2"/>
      <c r="X192" s="2"/>
      <c r="Y192" s="2"/>
      <c r="Z192" s="2"/>
      <c r="AA192" s="2"/>
      <c r="AB192" s="2"/>
      <c r="AC192" s="2"/>
    </row>
    <row r="193" spans="1:29" x14ac:dyDescent="0.25">
      <c r="A193" s="1" t="str">
        <f t="shared" si="2"/>
        <v/>
      </c>
      <c r="B193" s="2"/>
      <c r="C193" s="2"/>
      <c r="D193" s="13"/>
      <c r="E193" s="14"/>
      <c r="F193" s="15"/>
      <c r="G193" s="8"/>
      <c r="M193" s="2"/>
      <c r="N193" s="2" t="str">
        <f>IFERROR(IF(ISBLANK(M193),"",INDEX([1]Gen_Vessels!$A$3:$C$500,MATCH(CorrectiveMinor!$M193,[1]Gen_Vessels!$C$3:$C$500,0),1)),"")</f>
        <v/>
      </c>
      <c r="O193" s="2"/>
      <c r="P193" s="2" t="str">
        <f>IFERROR(IF(ISBLANK(O193),"",INDEX([1]Gen_Vessels!$A$3:$C$500,MATCH(CorrectiveMinor!$O193,[1]Gen_Vessels!$C$3:$C$500,0),1)),"")</f>
        <v/>
      </c>
      <c r="Q193" s="2"/>
      <c r="R193" s="2"/>
      <c r="S193" s="2"/>
      <c r="T193" s="2"/>
      <c r="U193" s="2"/>
      <c r="W193" s="2"/>
      <c r="X193" s="2"/>
      <c r="Y193" s="2"/>
      <c r="Z193" s="2"/>
      <c r="AA193" s="2"/>
      <c r="AB193" s="2"/>
      <c r="AC193" s="2"/>
    </row>
    <row r="194" spans="1:29" x14ac:dyDescent="0.25">
      <c r="A194" s="1" t="str">
        <f t="shared" si="2"/>
        <v/>
      </c>
      <c r="B194" s="2"/>
      <c r="C194" s="2"/>
      <c r="D194" s="13"/>
      <c r="E194" s="14"/>
      <c r="F194" s="15"/>
      <c r="G194" s="8"/>
      <c r="M194" s="2"/>
      <c r="N194" s="2" t="str">
        <f>IFERROR(IF(ISBLANK(M194),"",INDEX([1]Gen_Vessels!$A$3:$C$500,MATCH(CorrectiveMinor!$M194,[1]Gen_Vessels!$C$3:$C$500,0),1)),"")</f>
        <v/>
      </c>
      <c r="O194" s="2"/>
      <c r="P194" s="2" t="str">
        <f>IFERROR(IF(ISBLANK(O194),"",INDEX([1]Gen_Vessels!$A$3:$C$500,MATCH(CorrectiveMinor!$O194,[1]Gen_Vessels!$C$3:$C$500,0),1)),"")</f>
        <v/>
      </c>
      <c r="Q194" s="2"/>
      <c r="R194" s="2"/>
      <c r="S194" s="2"/>
      <c r="T194" s="2"/>
      <c r="U194" s="2"/>
      <c r="W194" s="2"/>
      <c r="X194" s="2"/>
      <c r="Y194" s="2"/>
      <c r="Z194" s="2"/>
      <c r="AA194" s="2"/>
      <c r="AB194" s="2"/>
      <c r="AC194" s="2"/>
    </row>
    <row r="195" spans="1:29" x14ac:dyDescent="0.25">
      <c r="A195" s="1" t="str">
        <f t="shared" ref="A195:A258" si="3">IF(ISBLANK($B195)=FALSE,IF(AND($D195&gt;0,$E195&lt;=0,$F195&lt;=0),_xlfn.CONCAT("ofw_",$B195),IF(AND($D195&lt;=0,$E195&gt;0,$F195&lt;=0),_xlfn.CONCAT("owc_",$B195),IF(AND($D195&lt;=0,$E195&lt;=0,$F195&gt;0),_xlfn.CONCAT("opv_",$B195),_xlfn.CONCAT("oce_",$B195)))),"")</f>
        <v/>
      </c>
      <c r="B195" s="2"/>
      <c r="C195" s="2"/>
      <c r="D195" s="13"/>
      <c r="E195" s="14"/>
      <c r="F195" s="15"/>
      <c r="G195" s="8"/>
      <c r="M195" s="2"/>
      <c r="N195" s="2" t="str">
        <f>IFERROR(IF(ISBLANK(M195),"",INDEX([1]Gen_Vessels!$A$3:$C$500,MATCH(CorrectiveMinor!$M195,[1]Gen_Vessels!$C$3:$C$500,0),1)),"")</f>
        <v/>
      </c>
      <c r="O195" s="2"/>
      <c r="P195" s="2" t="str">
        <f>IFERROR(IF(ISBLANK(O195),"",INDEX([1]Gen_Vessels!$A$3:$C$500,MATCH(CorrectiveMinor!$O195,[1]Gen_Vessels!$C$3:$C$500,0),1)),"")</f>
        <v/>
      </c>
      <c r="Q195" s="2"/>
      <c r="R195" s="2"/>
      <c r="S195" s="2"/>
      <c r="T195" s="2"/>
      <c r="U195" s="2"/>
      <c r="W195" s="2"/>
      <c r="X195" s="2"/>
      <c r="Y195" s="2"/>
      <c r="Z195" s="2"/>
      <c r="AA195" s="2"/>
      <c r="AB195" s="2"/>
      <c r="AC195" s="2"/>
    </row>
    <row r="196" spans="1:29" x14ac:dyDescent="0.25">
      <c r="A196" s="1" t="str">
        <f t="shared" si="3"/>
        <v/>
      </c>
      <c r="B196" s="2"/>
      <c r="C196" s="2"/>
      <c r="D196" s="13"/>
      <c r="E196" s="14"/>
      <c r="F196" s="15"/>
      <c r="G196" s="8"/>
      <c r="M196" s="2"/>
      <c r="N196" s="2" t="str">
        <f>IFERROR(IF(ISBLANK(M196),"",INDEX([1]Gen_Vessels!$A$3:$C$500,MATCH(CorrectiveMinor!$M196,[1]Gen_Vessels!$C$3:$C$500,0),1)),"")</f>
        <v/>
      </c>
      <c r="O196" s="2"/>
      <c r="P196" s="2" t="str">
        <f>IFERROR(IF(ISBLANK(O196),"",INDEX([1]Gen_Vessels!$A$3:$C$500,MATCH(CorrectiveMinor!$O196,[1]Gen_Vessels!$C$3:$C$500,0),1)),"")</f>
        <v/>
      </c>
      <c r="Q196" s="2"/>
      <c r="R196" s="2"/>
      <c r="S196" s="2"/>
      <c r="T196" s="2"/>
      <c r="U196" s="2"/>
      <c r="W196" s="2"/>
      <c r="X196" s="2"/>
      <c r="Y196" s="2"/>
      <c r="Z196" s="2"/>
      <c r="AA196" s="2"/>
      <c r="AB196" s="2"/>
      <c r="AC196" s="2"/>
    </row>
    <row r="197" spans="1:29" x14ac:dyDescent="0.25">
      <c r="A197" s="1" t="str">
        <f t="shared" si="3"/>
        <v/>
      </c>
      <c r="B197" s="2"/>
      <c r="C197" s="2"/>
      <c r="D197" s="13"/>
      <c r="E197" s="14"/>
      <c r="F197" s="15"/>
      <c r="G197" s="8"/>
      <c r="M197" s="2"/>
      <c r="N197" s="2" t="str">
        <f>IFERROR(IF(ISBLANK(M197),"",INDEX([1]Gen_Vessels!$A$3:$C$500,MATCH(CorrectiveMinor!$M197,[1]Gen_Vessels!$C$3:$C$500,0),1)),"")</f>
        <v/>
      </c>
      <c r="O197" s="2"/>
      <c r="P197" s="2" t="str">
        <f>IFERROR(IF(ISBLANK(O197),"",INDEX([1]Gen_Vessels!$A$3:$C$500,MATCH(CorrectiveMinor!$O197,[1]Gen_Vessels!$C$3:$C$500,0),1)),"")</f>
        <v/>
      </c>
      <c r="Q197" s="2"/>
      <c r="R197" s="2"/>
      <c r="S197" s="2"/>
      <c r="T197" s="2"/>
      <c r="U197" s="2"/>
      <c r="W197" s="2"/>
      <c r="X197" s="2"/>
      <c r="Y197" s="2"/>
      <c r="Z197" s="2"/>
      <c r="AA197" s="2"/>
      <c r="AB197" s="2"/>
      <c r="AC197" s="2"/>
    </row>
    <row r="198" spans="1:29" x14ac:dyDescent="0.25">
      <c r="A198" s="1" t="str">
        <f t="shared" si="3"/>
        <v/>
      </c>
      <c r="B198" s="2"/>
      <c r="C198" s="2"/>
      <c r="D198" s="13"/>
      <c r="E198" s="14"/>
      <c r="F198" s="15"/>
      <c r="G198" s="8"/>
      <c r="M198" s="2"/>
      <c r="N198" s="2" t="str">
        <f>IFERROR(IF(ISBLANK(M198),"",INDEX([1]Gen_Vessels!$A$3:$C$500,MATCH(CorrectiveMinor!$M198,[1]Gen_Vessels!$C$3:$C$500,0),1)),"")</f>
        <v/>
      </c>
      <c r="O198" s="2"/>
      <c r="P198" s="2" t="str">
        <f>IFERROR(IF(ISBLANK(O198),"",INDEX([1]Gen_Vessels!$A$3:$C$500,MATCH(CorrectiveMinor!$O198,[1]Gen_Vessels!$C$3:$C$500,0),1)),"")</f>
        <v/>
      </c>
      <c r="Q198" s="2"/>
      <c r="R198" s="2"/>
      <c r="S198" s="2"/>
      <c r="T198" s="2"/>
      <c r="U198" s="2"/>
      <c r="W198" s="2"/>
      <c r="X198" s="2"/>
      <c r="Y198" s="2"/>
      <c r="Z198" s="2"/>
      <c r="AA198" s="2"/>
      <c r="AB198" s="2"/>
      <c r="AC198" s="2"/>
    </row>
    <row r="199" spans="1:29" x14ac:dyDescent="0.25">
      <c r="A199" s="1" t="str">
        <f t="shared" si="3"/>
        <v/>
      </c>
      <c r="B199" s="2"/>
      <c r="C199" s="2"/>
      <c r="D199" s="13"/>
      <c r="E199" s="14"/>
      <c r="F199" s="15"/>
      <c r="G199" s="8"/>
      <c r="M199" s="2"/>
      <c r="N199" s="2" t="str">
        <f>IFERROR(IF(ISBLANK(M199),"",INDEX([1]Gen_Vessels!$A$3:$C$500,MATCH(CorrectiveMinor!$M199,[1]Gen_Vessels!$C$3:$C$500,0),1)),"")</f>
        <v/>
      </c>
      <c r="O199" s="2"/>
      <c r="P199" s="2" t="str">
        <f>IFERROR(IF(ISBLANK(O199),"",INDEX([1]Gen_Vessels!$A$3:$C$500,MATCH(CorrectiveMinor!$O199,[1]Gen_Vessels!$C$3:$C$500,0),1)),"")</f>
        <v/>
      </c>
      <c r="Q199" s="2"/>
      <c r="R199" s="2"/>
      <c r="S199" s="2"/>
      <c r="T199" s="2"/>
      <c r="U199" s="2"/>
      <c r="W199" s="2"/>
      <c r="X199" s="2"/>
      <c r="Y199" s="2"/>
      <c r="Z199" s="2"/>
      <c r="AA199" s="2"/>
      <c r="AB199" s="2"/>
      <c r="AC199" s="2"/>
    </row>
    <row r="200" spans="1:29" x14ac:dyDescent="0.25">
      <c r="A200" s="1" t="str">
        <f t="shared" si="3"/>
        <v/>
      </c>
      <c r="B200" s="2"/>
      <c r="C200" s="2"/>
      <c r="D200" s="13"/>
      <c r="E200" s="14"/>
      <c r="F200" s="15"/>
      <c r="G200" s="8"/>
      <c r="M200" s="2"/>
      <c r="N200" s="2" t="str">
        <f>IFERROR(IF(ISBLANK(M200),"",INDEX([1]Gen_Vessels!$A$3:$C$500,MATCH(CorrectiveMinor!$M200,[1]Gen_Vessels!$C$3:$C$500,0),1)),"")</f>
        <v/>
      </c>
      <c r="O200" s="2"/>
      <c r="P200" s="2" t="str">
        <f>IFERROR(IF(ISBLANK(O200),"",INDEX([1]Gen_Vessels!$A$3:$C$500,MATCH(CorrectiveMinor!$O200,[1]Gen_Vessels!$C$3:$C$500,0),1)),"")</f>
        <v/>
      </c>
      <c r="Q200" s="2"/>
      <c r="R200" s="2"/>
      <c r="S200" s="2"/>
      <c r="T200" s="2"/>
      <c r="U200" s="2"/>
      <c r="W200" s="2"/>
      <c r="X200" s="2"/>
      <c r="Y200" s="2"/>
      <c r="Z200" s="2"/>
      <c r="AA200" s="2"/>
      <c r="AB200" s="2"/>
      <c r="AC200" s="2"/>
    </row>
    <row r="201" spans="1:29" x14ac:dyDescent="0.25">
      <c r="A201" s="1" t="str">
        <f t="shared" si="3"/>
        <v/>
      </c>
      <c r="B201" s="2"/>
      <c r="C201" s="2"/>
      <c r="D201" s="13"/>
      <c r="E201" s="14"/>
      <c r="F201" s="15"/>
      <c r="G201" s="8"/>
      <c r="M201" s="2"/>
      <c r="N201" s="2" t="str">
        <f>IFERROR(IF(ISBLANK(M201),"",INDEX([1]Gen_Vessels!$A$3:$C$500,MATCH(CorrectiveMinor!$M201,[1]Gen_Vessels!$C$3:$C$500,0),1)),"")</f>
        <v/>
      </c>
      <c r="O201" s="2"/>
      <c r="P201" s="2" t="str">
        <f>IFERROR(IF(ISBLANK(O201),"",INDEX([1]Gen_Vessels!$A$3:$C$500,MATCH(CorrectiveMinor!$O201,[1]Gen_Vessels!$C$3:$C$500,0),1)),"")</f>
        <v/>
      </c>
      <c r="Q201" s="2"/>
      <c r="R201" s="2"/>
      <c r="S201" s="2"/>
      <c r="T201" s="2"/>
      <c r="U201" s="2"/>
      <c r="W201" s="2"/>
      <c r="X201" s="2"/>
      <c r="Y201" s="2"/>
      <c r="Z201" s="2"/>
      <c r="AA201" s="2"/>
      <c r="AB201" s="2"/>
      <c r="AC201" s="2"/>
    </row>
    <row r="202" spans="1:29" x14ac:dyDescent="0.25">
      <c r="A202" s="1" t="str">
        <f t="shared" si="3"/>
        <v/>
      </c>
      <c r="B202" s="2"/>
      <c r="C202" s="2"/>
      <c r="D202" s="13"/>
      <c r="E202" s="14"/>
      <c r="F202" s="15"/>
      <c r="G202" s="8"/>
      <c r="M202" s="2"/>
      <c r="N202" s="2" t="str">
        <f>IFERROR(IF(ISBLANK(M202),"",INDEX([1]Gen_Vessels!$A$3:$C$500,MATCH(CorrectiveMinor!$M202,[1]Gen_Vessels!$C$3:$C$500,0),1)),"")</f>
        <v/>
      </c>
      <c r="O202" s="2"/>
      <c r="P202" s="2" t="str">
        <f>IFERROR(IF(ISBLANK(O202),"",INDEX([1]Gen_Vessels!$A$3:$C$500,MATCH(CorrectiveMinor!$O202,[1]Gen_Vessels!$C$3:$C$500,0),1)),"")</f>
        <v/>
      </c>
      <c r="Q202" s="2"/>
      <c r="R202" s="2"/>
      <c r="S202" s="2"/>
      <c r="T202" s="2"/>
      <c r="U202" s="2"/>
      <c r="W202" s="2"/>
      <c r="X202" s="2"/>
      <c r="Y202" s="2"/>
      <c r="Z202" s="2"/>
      <c r="AA202" s="2"/>
      <c r="AB202" s="2"/>
      <c r="AC202" s="2"/>
    </row>
    <row r="203" spans="1:29" x14ac:dyDescent="0.25">
      <c r="A203" s="1" t="str">
        <f t="shared" si="3"/>
        <v/>
      </c>
      <c r="B203" s="2"/>
      <c r="C203" s="2"/>
      <c r="D203" s="13"/>
      <c r="E203" s="14"/>
      <c r="F203" s="15"/>
      <c r="G203" s="8"/>
      <c r="M203" s="2"/>
      <c r="N203" s="2" t="str">
        <f>IFERROR(IF(ISBLANK(M203),"",INDEX([1]Gen_Vessels!$A$3:$C$500,MATCH(CorrectiveMinor!$M203,[1]Gen_Vessels!$C$3:$C$500,0),1)),"")</f>
        <v/>
      </c>
      <c r="O203" s="2"/>
      <c r="P203" s="2" t="str">
        <f>IFERROR(IF(ISBLANK(O203),"",INDEX([1]Gen_Vessels!$A$3:$C$500,MATCH(CorrectiveMinor!$O203,[1]Gen_Vessels!$C$3:$C$500,0),1)),"")</f>
        <v/>
      </c>
      <c r="Q203" s="2"/>
      <c r="R203" s="2"/>
      <c r="S203" s="2"/>
      <c r="T203" s="2"/>
      <c r="U203" s="2"/>
      <c r="W203" s="2"/>
      <c r="X203" s="2"/>
      <c r="Y203" s="2"/>
      <c r="Z203" s="2"/>
      <c r="AA203" s="2"/>
      <c r="AB203" s="2"/>
      <c r="AC203" s="2"/>
    </row>
    <row r="204" spans="1:29" x14ac:dyDescent="0.25">
      <c r="A204" s="1" t="str">
        <f t="shared" si="3"/>
        <v/>
      </c>
      <c r="B204" s="2"/>
      <c r="C204" s="2"/>
      <c r="D204" s="13"/>
      <c r="E204" s="14"/>
      <c r="F204" s="15"/>
      <c r="G204" s="8"/>
      <c r="M204" s="2"/>
      <c r="N204" s="2" t="str">
        <f>IFERROR(IF(ISBLANK(M204),"",INDEX([1]Gen_Vessels!$A$3:$C$500,MATCH(CorrectiveMinor!$M204,[1]Gen_Vessels!$C$3:$C$500,0),1)),"")</f>
        <v/>
      </c>
      <c r="O204" s="2"/>
      <c r="P204" s="2" t="str">
        <f>IFERROR(IF(ISBLANK(O204),"",INDEX([1]Gen_Vessels!$A$3:$C$500,MATCH(CorrectiveMinor!$O204,[1]Gen_Vessels!$C$3:$C$500,0),1)),"")</f>
        <v/>
      </c>
      <c r="Q204" s="2"/>
      <c r="R204" s="2"/>
      <c r="S204" s="2"/>
      <c r="T204" s="2"/>
      <c r="U204" s="2"/>
      <c r="W204" s="2"/>
      <c r="X204" s="2"/>
      <c r="Y204" s="2"/>
      <c r="Z204" s="2"/>
      <c r="AA204" s="2"/>
      <c r="AB204" s="2"/>
      <c r="AC204" s="2"/>
    </row>
    <row r="205" spans="1:29" x14ac:dyDescent="0.25">
      <c r="A205" s="1" t="str">
        <f t="shared" si="3"/>
        <v/>
      </c>
      <c r="B205" s="2"/>
      <c r="C205" s="2"/>
      <c r="D205" s="13"/>
      <c r="E205" s="14"/>
      <c r="F205" s="15"/>
      <c r="G205" s="8"/>
      <c r="M205" s="2"/>
      <c r="N205" s="2" t="str">
        <f>IFERROR(IF(ISBLANK(M205),"",INDEX([1]Gen_Vessels!$A$3:$C$500,MATCH(CorrectiveMinor!$M205,[1]Gen_Vessels!$C$3:$C$500,0),1)),"")</f>
        <v/>
      </c>
      <c r="O205" s="2"/>
      <c r="P205" s="2" t="str">
        <f>IFERROR(IF(ISBLANK(O205),"",INDEX([1]Gen_Vessels!$A$3:$C$500,MATCH(CorrectiveMinor!$O205,[1]Gen_Vessels!$C$3:$C$500,0),1)),"")</f>
        <v/>
      </c>
      <c r="Q205" s="2"/>
      <c r="R205" s="2"/>
      <c r="S205" s="2"/>
      <c r="T205" s="2"/>
      <c r="U205" s="2"/>
      <c r="W205" s="2"/>
      <c r="X205" s="2"/>
      <c r="Y205" s="2"/>
      <c r="Z205" s="2"/>
      <c r="AA205" s="2"/>
      <c r="AB205" s="2"/>
      <c r="AC205" s="2"/>
    </row>
    <row r="206" spans="1:29" x14ac:dyDescent="0.25">
      <c r="A206" s="1" t="str">
        <f t="shared" si="3"/>
        <v/>
      </c>
      <c r="B206" s="2"/>
      <c r="C206" s="2"/>
      <c r="D206" s="13"/>
      <c r="E206" s="14"/>
      <c r="F206" s="15"/>
      <c r="G206" s="8"/>
      <c r="M206" s="2"/>
      <c r="N206" s="2" t="str">
        <f>IFERROR(IF(ISBLANK(M206),"",INDEX([1]Gen_Vessels!$A$3:$C$500,MATCH(CorrectiveMinor!$M206,[1]Gen_Vessels!$C$3:$C$500,0),1)),"")</f>
        <v/>
      </c>
      <c r="O206" s="2"/>
      <c r="P206" s="2" t="str">
        <f>IFERROR(IF(ISBLANK(O206),"",INDEX([1]Gen_Vessels!$A$3:$C$500,MATCH(CorrectiveMinor!$O206,[1]Gen_Vessels!$C$3:$C$500,0),1)),"")</f>
        <v/>
      </c>
      <c r="Q206" s="2"/>
      <c r="R206" s="2"/>
      <c r="S206" s="2"/>
      <c r="T206" s="2"/>
      <c r="U206" s="2"/>
      <c r="W206" s="2"/>
      <c r="X206" s="2"/>
      <c r="Y206" s="2"/>
      <c r="Z206" s="2"/>
      <c r="AA206" s="2"/>
      <c r="AB206" s="2"/>
      <c r="AC206" s="2"/>
    </row>
    <row r="207" spans="1:29" x14ac:dyDescent="0.25">
      <c r="A207" s="1" t="str">
        <f t="shared" si="3"/>
        <v/>
      </c>
      <c r="B207" s="2"/>
      <c r="C207" s="2"/>
      <c r="D207" s="13"/>
      <c r="E207" s="14"/>
      <c r="F207" s="15"/>
      <c r="G207" s="8"/>
      <c r="M207" s="2"/>
      <c r="N207" s="2" t="str">
        <f>IFERROR(IF(ISBLANK(M207),"",INDEX([1]Gen_Vessels!$A$3:$C$500,MATCH(CorrectiveMinor!$M207,[1]Gen_Vessels!$C$3:$C$500,0),1)),"")</f>
        <v/>
      </c>
      <c r="O207" s="2"/>
      <c r="P207" s="2" t="str">
        <f>IFERROR(IF(ISBLANK(O207),"",INDEX([1]Gen_Vessels!$A$3:$C$500,MATCH(CorrectiveMinor!$O207,[1]Gen_Vessels!$C$3:$C$500,0),1)),"")</f>
        <v/>
      </c>
      <c r="Q207" s="2"/>
      <c r="R207" s="2"/>
      <c r="S207" s="2"/>
      <c r="T207" s="2"/>
      <c r="U207" s="2"/>
      <c r="W207" s="2"/>
      <c r="X207" s="2"/>
      <c r="Y207" s="2"/>
      <c r="Z207" s="2"/>
      <c r="AA207" s="2"/>
      <c r="AB207" s="2"/>
      <c r="AC207" s="2"/>
    </row>
    <row r="208" spans="1:29" x14ac:dyDescent="0.25">
      <c r="A208" s="1" t="str">
        <f t="shared" si="3"/>
        <v/>
      </c>
      <c r="B208" s="2"/>
      <c r="C208" s="2"/>
      <c r="D208" s="13"/>
      <c r="E208" s="14"/>
      <c r="F208" s="15"/>
      <c r="G208" s="8"/>
      <c r="M208" s="2"/>
      <c r="N208" s="2" t="str">
        <f>IFERROR(IF(ISBLANK(M208),"",INDEX([1]Gen_Vessels!$A$3:$C$500,MATCH(CorrectiveMinor!$M208,[1]Gen_Vessels!$C$3:$C$500,0),1)),"")</f>
        <v/>
      </c>
      <c r="O208" s="2"/>
      <c r="P208" s="2" t="str">
        <f>IFERROR(IF(ISBLANK(O208),"",INDEX([1]Gen_Vessels!$A$3:$C$500,MATCH(CorrectiveMinor!$O208,[1]Gen_Vessels!$C$3:$C$500,0),1)),"")</f>
        <v/>
      </c>
      <c r="Q208" s="2"/>
      <c r="R208" s="2"/>
      <c r="S208" s="2"/>
      <c r="T208" s="2"/>
      <c r="U208" s="2"/>
      <c r="W208" s="2"/>
      <c r="X208" s="2"/>
      <c r="Y208" s="2"/>
      <c r="Z208" s="2"/>
      <c r="AA208" s="2"/>
      <c r="AB208" s="2"/>
      <c r="AC208" s="2"/>
    </row>
    <row r="209" spans="1:29" x14ac:dyDescent="0.25">
      <c r="A209" s="1" t="str">
        <f t="shared" si="3"/>
        <v/>
      </c>
      <c r="B209" s="2"/>
      <c r="C209" s="2"/>
      <c r="D209" s="13"/>
      <c r="E209" s="14"/>
      <c r="F209" s="15"/>
      <c r="G209" s="8"/>
      <c r="M209" s="2"/>
      <c r="N209" s="2" t="str">
        <f>IFERROR(IF(ISBLANK(M209),"",INDEX([1]Gen_Vessels!$A$3:$C$500,MATCH(CorrectiveMinor!$M209,[1]Gen_Vessels!$C$3:$C$500,0),1)),"")</f>
        <v/>
      </c>
      <c r="O209" s="2"/>
      <c r="P209" s="2" t="str">
        <f>IFERROR(IF(ISBLANK(O209),"",INDEX([1]Gen_Vessels!$A$3:$C$500,MATCH(CorrectiveMinor!$O209,[1]Gen_Vessels!$C$3:$C$500,0),1)),"")</f>
        <v/>
      </c>
      <c r="Q209" s="2"/>
      <c r="R209" s="2"/>
      <c r="S209" s="2"/>
      <c r="T209" s="2"/>
      <c r="U209" s="2"/>
      <c r="W209" s="2"/>
      <c r="X209" s="2"/>
      <c r="Y209" s="2"/>
      <c r="Z209" s="2"/>
      <c r="AA209" s="2"/>
      <c r="AB209" s="2"/>
      <c r="AC209" s="2"/>
    </row>
    <row r="210" spans="1:29" x14ac:dyDescent="0.25">
      <c r="A210" s="1" t="str">
        <f t="shared" si="3"/>
        <v/>
      </c>
      <c r="B210" s="2"/>
      <c r="C210" s="2"/>
      <c r="D210" s="13"/>
      <c r="E210" s="14"/>
      <c r="F210" s="15"/>
      <c r="G210" s="8"/>
      <c r="M210" s="2"/>
      <c r="N210" s="2" t="str">
        <f>IFERROR(IF(ISBLANK(M210),"",INDEX([1]Gen_Vessels!$A$3:$C$500,MATCH(CorrectiveMinor!$M210,[1]Gen_Vessels!$C$3:$C$500,0),1)),"")</f>
        <v/>
      </c>
      <c r="O210" s="2"/>
      <c r="P210" s="2" t="str">
        <f>IFERROR(IF(ISBLANK(O210),"",INDEX([1]Gen_Vessels!$A$3:$C$500,MATCH(CorrectiveMinor!$O210,[1]Gen_Vessels!$C$3:$C$500,0),1)),"")</f>
        <v/>
      </c>
      <c r="Q210" s="2"/>
      <c r="R210" s="2"/>
      <c r="S210" s="2"/>
      <c r="T210" s="2"/>
      <c r="U210" s="2"/>
      <c r="W210" s="2"/>
      <c r="X210" s="2"/>
      <c r="Y210" s="2"/>
      <c r="Z210" s="2"/>
      <c r="AA210" s="2"/>
      <c r="AB210" s="2"/>
      <c r="AC210" s="2"/>
    </row>
    <row r="211" spans="1:29" x14ac:dyDescent="0.25">
      <c r="A211" s="1" t="str">
        <f t="shared" si="3"/>
        <v/>
      </c>
      <c r="B211" s="2"/>
      <c r="C211" s="2"/>
      <c r="D211" s="13"/>
      <c r="E211" s="14"/>
      <c r="F211" s="15"/>
      <c r="G211" s="8"/>
      <c r="M211" s="2"/>
      <c r="N211" s="2" t="str">
        <f>IFERROR(IF(ISBLANK(M211),"",INDEX([1]Gen_Vessels!$A$3:$C$500,MATCH(CorrectiveMinor!$M211,[1]Gen_Vessels!$C$3:$C$500,0),1)),"")</f>
        <v/>
      </c>
      <c r="O211" s="2"/>
      <c r="P211" s="2" t="str">
        <f>IFERROR(IF(ISBLANK(O211),"",INDEX([1]Gen_Vessels!$A$3:$C$500,MATCH(CorrectiveMinor!$O211,[1]Gen_Vessels!$C$3:$C$500,0),1)),"")</f>
        <v/>
      </c>
      <c r="Q211" s="2"/>
      <c r="R211" s="2"/>
      <c r="S211" s="2"/>
      <c r="T211" s="2"/>
      <c r="U211" s="2"/>
      <c r="W211" s="2"/>
      <c r="X211" s="2"/>
      <c r="Y211" s="2"/>
      <c r="Z211" s="2"/>
      <c r="AA211" s="2"/>
      <c r="AB211" s="2"/>
      <c r="AC211" s="2"/>
    </row>
    <row r="212" spans="1:29" x14ac:dyDescent="0.25">
      <c r="A212" s="1" t="str">
        <f t="shared" si="3"/>
        <v/>
      </c>
      <c r="B212" s="2"/>
      <c r="C212" s="2"/>
      <c r="D212" s="13"/>
      <c r="E212" s="14"/>
      <c r="F212" s="15"/>
      <c r="G212" s="8"/>
      <c r="M212" s="2"/>
      <c r="N212" s="2" t="str">
        <f>IFERROR(IF(ISBLANK(M212),"",INDEX([1]Gen_Vessels!$A$3:$C$500,MATCH(CorrectiveMinor!$M212,[1]Gen_Vessels!$C$3:$C$500,0),1)),"")</f>
        <v/>
      </c>
      <c r="O212" s="2"/>
      <c r="P212" s="2" t="str">
        <f>IFERROR(IF(ISBLANK(O212),"",INDEX([1]Gen_Vessels!$A$3:$C$500,MATCH(CorrectiveMinor!$O212,[1]Gen_Vessels!$C$3:$C$500,0),1)),"")</f>
        <v/>
      </c>
      <c r="Q212" s="2"/>
      <c r="R212" s="2"/>
      <c r="S212" s="2"/>
      <c r="T212" s="2"/>
      <c r="U212" s="2"/>
      <c r="W212" s="2"/>
      <c r="X212" s="2"/>
      <c r="Y212" s="2"/>
      <c r="Z212" s="2"/>
      <c r="AA212" s="2"/>
      <c r="AB212" s="2"/>
      <c r="AC212" s="2"/>
    </row>
    <row r="213" spans="1:29" x14ac:dyDescent="0.25">
      <c r="A213" s="1" t="str">
        <f t="shared" si="3"/>
        <v/>
      </c>
      <c r="B213" s="2"/>
      <c r="C213" s="2"/>
      <c r="D213" s="13"/>
      <c r="E213" s="14"/>
      <c r="F213" s="15"/>
      <c r="G213" s="8"/>
      <c r="M213" s="2"/>
      <c r="N213" s="2" t="str">
        <f>IFERROR(IF(ISBLANK(M213),"",INDEX([1]Gen_Vessels!$A$3:$C$500,MATCH(CorrectiveMinor!$M213,[1]Gen_Vessels!$C$3:$C$500,0),1)),"")</f>
        <v/>
      </c>
      <c r="O213" s="2"/>
      <c r="P213" s="2" t="str">
        <f>IFERROR(IF(ISBLANK(O213),"",INDEX([1]Gen_Vessels!$A$3:$C$500,MATCH(CorrectiveMinor!$O213,[1]Gen_Vessels!$C$3:$C$500,0),1)),"")</f>
        <v/>
      </c>
      <c r="Q213" s="2"/>
      <c r="R213" s="2"/>
      <c r="S213" s="2"/>
      <c r="T213" s="2"/>
      <c r="U213" s="2"/>
      <c r="W213" s="2"/>
      <c r="X213" s="2"/>
      <c r="Y213" s="2"/>
      <c r="Z213" s="2"/>
      <c r="AA213" s="2"/>
      <c r="AB213" s="2"/>
      <c r="AC213" s="2"/>
    </row>
    <row r="214" spans="1:29" x14ac:dyDescent="0.25">
      <c r="A214" s="1" t="str">
        <f t="shared" si="3"/>
        <v/>
      </c>
      <c r="B214" s="2"/>
      <c r="C214" s="2"/>
      <c r="D214" s="13"/>
      <c r="E214" s="14"/>
      <c r="F214" s="15"/>
      <c r="G214" s="8"/>
      <c r="M214" s="2"/>
      <c r="N214" s="2" t="str">
        <f>IFERROR(IF(ISBLANK(M214),"",INDEX([1]Gen_Vessels!$A$3:$C$500,MATCH(CorrectiveMinor!$M214,[1]Gen_Vessels!$C$3:$C$500,0),1)),"")</f>
        <v/>
      </c>
      <c r="O214" s="2"/>
      <c r="P214" s="2" t="str">
        <f>IFERROR(IF(ISBLANK(O214),"",INDEX([1]Gen_Vessels!$A$3:$C$500,MATCH(CorrectiveMinor!$O214,[1]Gen_Vessels!$C$3:$C$500,0),1)),"")</f>
        <v/>
      </c>
      <c r="Q214" s="2"/>
      <c r="R214" s="2"/>
      <c r="S214" s="2"/>
      <c r="T214" s="2"/>
      <c r="U214" s="2"/>
      <c r="W214" s="2"/>
      <c r="X214" s="2"/>
      <c r="Y214" s="2"/>
      <c r="Z214" s="2"/>
      <c r="AA214" s="2"/>
      <c r="AB214" s="2"/>
      <c r="AC214" s="2"/>
    </row>
    <row r="215" spans="1:29" x14ac:dyDescent="0.25">
      <c r="A215" s="1" t="str">
        <f t="shared" si="3"/>
        <v/>
      </c>
      <c r="B215" s="2"/>
      <c r="C215" s="2"/>
      <c r="D215" s="13"/>
      <c r="E215" s="14"/>
      <c r="F215" s="15"/>
      <c r="G215" s="8"/>
      <c r="M215" s="2"/>
      <c r="N215" s="2" t="str">
        <f>IFERROR(IF(ISBLANK(M215),"",INDEX([1]Gen_Vessels!$A$3:$C$500,MATCH(CorrectiveMinor!$M215,[1]Gen_Vessels!$C$3:$C$500,0),1)),"")</f>
        <v/>
      </c>
      <c r="O215" s="2"/>
      <c r="P215" s="2" t="str">
        <f>IFERROR(IF(ISBLANK(O215),"",INDEX([1]Gen_Vessels!$A$3:$C$500,MATCH(CorrectiveMinor!$O215,[1]Gen_Vessels!$C$3:$C$500,0),1)),"")</f>
        <v/>
      </c>
      <c r="Q215" s="2"/>
      <c r="R215" s="2"/>
      <c r="S215" s="2"/>
      <c r="T215" s="2"/>
      <c r="U215" s="2"/>
      <c r="W215" s="2"/>
      <c r="X215" s="2"/>
      <c r="Y215" s="2"/>
      <c r="Z215" s="2"/>
      <c r="AA215" s="2"/>
      <c r="AB215" s="2"/>
      <c r="AC215" s="2"/>
    </row>
    <row r="216" spans="1:29" x14ac:dyDescent="0.25">
      <c r="A216" s="1" t="str">
        <f t="shared" si="3"/>
        <v/>
      </c>
      <c r="B216" s="2"/>
      <c r="C216" s="2"/>
      <c r="D216" s="13"/>
      <c r="E216" s="14"/>
      <c r="F216" s="15"/>
      <c r="G216" s="8"/>
      <c r="M216" s="2"/>
      <c r="N216" s="2" t="str">
        <f>IFERROR(IF(ISBLANK(M216),"",INDEX([1]Gen_Vessels!$A$3:$C$500,MATCH(CorrectiveMinor!$M216,[1]Gen_Vessels!$C$3:$C$500,0),1)),"")</f>
        <v/>
      </c>
      <c r="O216" s="2"/>
      <c r="P216" s="2" t="str">
        <f>IFERROR(IF(ISBLANK(O216),"",INDEX([1]Gen_Vessels!$A$3:$C$500,MATCH(CorrectiveMinor!$O216,[1]Gen_Vessels!$C$3:$C$500,0),1)),"")</f>
        <v/>
      </c>
      <c r="Q216" s="2"/>
      <c r="R216" s="2"/>
      <c r="S216" s="2"/>
      <c r="T216" s="2"/>
      <c r="U216" s="2"/>
      <c r="W216" s="2"/>
      <c r="X216" s="2"/>
      <c r="Y216" s="2"/>
      <c r="Z216" s="2"/>
      <c r="AA216" s="2"/>
      <c r="AB216" s="2"/>
      <c r="AC216" s="2"/>
    </row>
    <row r="217" spans="1:29" x14ac:dyDescent="0.25">
      <c r="A217" s="1" t="str">
        <f t="shared" si="3"/>
        <v/>
      </c>
      <c r="B217" s="2"/>
      <c r="C217" s="2"/>
      <c r="D217" s="13"/>
      <c r="E217" s="14"/>
      <c r="F217" s="15"/>
      <c r="G217" s="8"/>
      <c r="M217" s="2"/>
      <c r="N217" s="2" t="str">
        <f>IFERROR(IF(ISBLANK(M217),"",INDEX([1]Gen_Vessels!$A$3:$C$500,MATCH(CorrectiveMinor!$M217,[1]Gen_Vessels!$C$3:$C$500,0),1)),"")</f>
        <v/>
      </c>
      <c r="O217" s="2"/>
      <c r="P217" s="2" t="str">
        <f>IFERROR(IF(ISBLANK(O217),"",INDEX([1]Gen_Vessels!$A$3:$C$500,MATCH(CorrectiveMinor!$O217,[1]Gen_Vessels!$C$3:$C$500,0),1)),"")</f>
        <v/>
      </c>
      <c r="Q217" s="2"/>
      <c r="R217" s="2"/>
      <c r="S217" s="2"/>
      <c r="T217" s="2"/>
      <c r="U217" s="2"/>
      <c r="W217" s="2"/>
      <c r="X217" s="2"/>
      <c r="Y217" s="2"/>
      <c r="Z217" s="2"/>
      <c r="AA217" s="2"/>
      <c r="AB217" s="2"/>
      <c r="AC217" s="2"/>
    </row>
    <row r="218" spans="1:29" x14ac:dyDescent="0.25">
      <c r="A218" s="1" t="str">
        <f t="shared" si="3"/>
        <v/>
      </c>
      <c r="B218" s="2"/>
      <c r="C218" s="2"/>
      <c r="D218" s="13"/>
      <c r="E218" s="14"/>
      <c r="F218" s="15"/>
      <c r="G218" s="8"/>
      <c r="M218" s="2"/>
      <c r="N218" s="2" t="str">
        <f>IFERROR(IF(ISBLANK(M218),"",INDEX([1]Gen_Vessels!$A$3:$C$500,MATCH(CorrectiveMinor!$M218,[1]Gen_Vessels!$C$3:$C$500,0),1)),"")</f>
        <v/>
      </c>
      <c r="O218" s="2"/>
      <c r="P218" s="2" t="str">
        <f>IFERROR(IF(ISBLANK(O218),"",INDEX([1]Gen_Vessels!$A$3:$C$500,MATCH(CorrectiveMinor!$O218,[1]Gen_Vessels!$C$3:$C$500,0),1)),"")</f>
        <v/>
      </c>
      <c r="Q218" s="2"/>
      <c r="R218" s="2"/>
      <c r="S218" s="2"/>
      <c r="T218" s="2"/>
      <c r="U218" s="2"/>
      <c r="W218" s="2"/>
      <c r="X218" s="2"/>
      <c r="Y218" s="2"/>
      <c r="Z218" s="2"/>
      <c r="AA218" s="2"/>
      <c r="AB218" s="2"/>
      <c r="AC218" s="2"/>
    </row>
    <row r="219" spans="1:29" x14ac:dyDescent="0.25">
      <c r="A219" s="1" t="str">
        <f t="shared" si="3"/>
        <v/>
      </c>
      <c r="B219" s="2"/>
      <c r="C219" s="2"/>
      <c r="D219" s="13"/>
      <c r="E219" s="14"/>
      <c r="F219" s="15"/>
      <c r="G219" s="8"/>
      <c r="M219" s="2"/>
      <c r="N219" s="2" t="str">
        <f>IFERROR(IF(ISBLANK(M219),"",INDEX([1]Gen_Vessels!$A$3:$C$500,MATCH(CorrectiveMinor!$M219,[1]Gen_Vessels!$C$3:$C$500,0),1)),"")</f>
        <v/>
      </c>
      <c r="O219" s="2"/>
      <c r="P219" s="2" t="str">
        <f>IFERROR(IF(ISBLANK(O219),"",INDEX([1]Gen_Vessels!$A$3:$C$500,MATCH(CorrectiveMinor!$O219,[1]Gen_Vessels!$C$3:$C$500,0),1)),"")</f>
        <v/>
      </c>
      <c r="Q219" s="2"/>
      <c r="R219" s="2"/>
      <c r="S219" s="2"/>
      <c r="T219" s="2"/>
      <c r="U219" s="2"/>
      <c r="W219" s="2"/>
      <c r="X219" s="2"/>
      <c r="Y219" s="2"/>
      <c r="Z219" s="2"/>
      <c r="AA219" s="2"/>
      <c r="AB219" s="2"/>
      <c r="AC219" s="2"/>
    </row>
    <row r="220" spans="1:29" x14ac:dyDescent="0.25">
      <c r="A220" s="1" t="str">
        <f t="shared" si="3"/>
        <v/>
      </c>
      <c r="B220" s="2"/>
      <c r="C220" s="2"/>
      <c r="D220" s="13"/>
      <c r="E220" s="14"/>
      <c r="F220" s="15"/>
      <c r="G220" s="8"/>
      <c r="M220" s="2"/>
      <c r="N220" s="2" t="str">
        <f>IFERROR(IF(ISBLANK(M220),"",INDEX([1]Gen_Vessels!$A$3:$C$500,MATCH(CorrectiveMinor!$M220,[1]Gen_Vessels!$C$3:$C$500,0),1)),"")</f>
        <v/>
      </c>
      <c r="O220" s="2"/>
      <c r="P220" s="2" t="str">
        <f>IFERROR(IF(ISBLANK(O220),"",INDEX([1]Gen_Vessels!$A$3:$C$500,MATCH(CorrectiveMinor!$O220,[1]Gen_Vessels!$C$3:$C$500,0),1)),"")</f>
        <v/>
      </c>
      <c r="Q220" s="2"/>
      <c r="R220" s="2"/>
      <c r="S220" s="2"/>
      <c r="T220" s="2"/>
      <c r="U220" s="2"/>
      <c r="W220" s="2"/>
      <c r="X220" s="2"/>
      <c r="Y220" s="2"/>
      <c r="Z220" s="2"/>
      <c r="AA220" s="2"/>
      <c r="AB220" s="2"/>
      <c r="AC220" s="2"/>
    </row>
    <row r="221" spans="1:29" x14ac:dyDescent="0.25">
      <c r="A221" s="1" t="str">
        <f t="shared" si="3"/>
        <v/>
      </c>
      <c r="B221" s="2"/>
      <c r="C221" s="2"/>
      <c r="D221" s="13"/>
      <c r="E221" s="14"/>
      <c r="F221" s="15"/>
      <c r="G221" s="8"/>
      <c r="M221" s="2"/>
      <c r="N221" s="2" t="str">
        <f>IFERROR(IF(ISBLANK(M221),"",INDEX([1]Gen_Vessels!$A$3:$C$500,MATCH(CorrectiveMinor!$M221,[1]Gen_Vessels!$C$3:$C$500,0),1)),"")</f>
        <v/>
      </c>
      <c r="O221" s="2"/>
      <c r="P221" s="2" t="str">
        <f>IFERROR(IF(ISBLANK(O221),"",INDEX([1]Gen_Vessels!$A$3:$C$500,MATCH(CorrectiveMinor!$O221,[1]Gen_Vessels!$C$3:$C$500,0),1)),"")</f>
        <v/>
      </c>
      <c r="Q221" s="2"/>
      <c r="R221" s="2"/>
      <c r="S221" s="2"/>
      <c r="T221" s="2"/>
      <c r="U221" s="2"/>
      <c r="W221" s="2"/>
      <c r="X221" s="2"/>
      <c r="Y221" s="2"/>
      <c r="Z221" s="2"/>
      <c r="AA221" s="2"/>
      <c r="AB221" s="2"/>
      <c r="AC221" s="2"/>
    </row>
    <row r="222" spans="1:29" x14ac:dyDescent="0.25">
      <c r="A222" s="1" t="str">
        <f t="shared" si="3"/>
        <v/>
      </c>
      <c r="B222" s="2"/>
      <c r="C222" s="2"/>
      <c r="D222" s="13"/>
      <c r="E222" s="14"/>
      <c r="F222" s="15"/>
      <c r="G222" s="8"/>
      <c r="M222" s="2"/>
      <c r="N222" s="2" t="str">
        <f>IFERROR(IF(ISBLANK(M222),"",INDEX([1]Gen_Vessels!$A$3:$C$500,MATCH(CorrectiveMinor!$M222,[1]Gen_Vessels!$C$3:$C$500,0),1)),"")</f>
        <v/>
      </c>
      <c r="O222" s="2"/>
      <c r="P222" s="2" t="str">
        <f>IFERROR(IF(ISBLANK(O222),"",INDEX([1]Gen_Vessels!$A$3:$C$500,MATCH(CorrectiveMinor!$O222,[1]Gen_Vessels!$C$3:$C$500,0),1)),"")</f>
        <v/>
      </c>
      <c r="Q222" s="2"/>
      <c r="R222" s="2"/>
      <c r="S222" s="2"/>
      <c r="T222" s="2"/>
      <c r="U222" s="2"/>
      <c r="W222" s="2"/>
      <c r="X222" s="2"/>
      <c r="Y222" s="2"/>
      <c r="Z222" s="2"/>
      <c r="AA222" s="2"/>
      <c r="AB222" s="2"/>
      <c r="AC222" s="2"/>
    </row>
    <row r="223" spans="1:29" x14ac:dyDescent="0.25">
      <c r="A223" s="1" t="str">
        <f t="shared" si="3"/>
        <v/>
      </c>
      <c r="B223" s="2"/>
      <c r="C223" s="2"/>
      <c r="D223" s="13"/>
      <c r="E223" s="14"/>
      <c r="F223" s="15"/>
      <c r="G223" s="8"/>
      <c r="M223" s="2"/>
      <c r="N223" s="2" t="str">
        <f>IFERROR(IF(ISBLANK(M223),"",INDEX([1]Gen_Vessels!$A$3:$C$500,MATCH(CorrectiveMinor!$M223,[1]Gen_Vessels!$C$3:$C$500,0),1)),"")</f>
        <v/>
      </c>
      <c r="O223" s="2"/>
      <c r="P223" s="2" t="str">
        <f>IFERROR(IF(ISBLANK(O223),"",INDEX([1]Gen_Vessels!$A$3:$C$500,MATCH(CorrectiveMinor!$O223,[1]Gen_Vessels!$C$3:$C$500,0),1)),"")</f>
        <v/>
      </c>
      <c r="Q223" s="2"/>
      <c r="R223" s="2"/>
      <c r="S223" s="2"/>
      <c r="T223" s="2"/>
      <c r="U223" s="2"/>
      <c r="W223" s="2"/>
      <c r="X223" s="2"/>
      <c r="Y223" s="2"/>
      <c r="Z223" s="2"/>
      <c r="AA223" s="2"/>
      <c r="AB223" s="2"/>
      <c r="AC223" s="2"/>
    </row>
    <row r="224" spans="1:29" x14ac:dyDescent="0.25">
      <c r="A224" s="1" t="str">
        <f t="shared" si="3"/>
        <v/>
      </c>
      <c r="B224" s="2"/>
      <c r="C224" s="2"/>
      <c r="D224" s="13"/>
      <c r="E224" s="14"/>
      <c r="F224" s="15"/>
      <c r="G224" s="8"/>
      <c r="M224" s="2"/>
      <c r="N224" s="2" t="str">
        <f>IFERROR(IF(ISBLANK(M224),"",INDEX([1]Gen_Vessels!$A$3:$C$500,MATCH(CorrectiveMinor!$M224,[1]Gen_Vessels!$C$3:$C$500,0),1)),"")</f>
        <v/>
      </c>
      <c r="O224" s="2"/>
      <c r="P224" s="2" t="str">
        <f>IFERROR(IF(ISBLANK(O224),"",INDEX([1]Gen_Vessels!$A$3:$C$500,MATCH(CorrectiveMinor!$O224,[1]Gen_Vessels!$C$3:$C$500,0),1)),"")</f>
        <v/>
      </c>
      <c r="Q224" s="2"/>
      <c r="R224" s="2"/>
      <c r="S224" s="2"/>
      <c r="T224" s="2"/>
      <c r="U224" s="2"/>
      <c r="W224" s="2"/>
      <c r="X224" s="2"/>
      <c r="Y224" s="2"/>
      <c r="Z224" s="2"/>
      <c r="AA224" s="2"/>
      <c r="AB224" s="2"/>
      <c r="AC224" s="2"/>
    </row>
    <row r="225" spans="1:29" x14ac:dyDescent="0.25">
      <c r="A225" s="1" t="str">
        <f t="shared" si="3"/>
        <v/>
      </c>
      <c r="B225" s="2"/>
      <c r="C225" s="2"/>
      <c r="D225" s="13"/>
      <c r="E225" s="14"/>
      <c r="F225" s="15"/>
      <c r="G225" s="8"/>
      <c r="M225" s="2"/>
      <c r="N225" s="2" t="str">
        <f>IFERROR(IF(ISBLANK(M225),"",INDEX([1]Gen_Vessels!$A$3:$C$500,MATCH(CorrectiveMinor!$M225,[1]Gen_Vessels!$C$3:$C$500,0),1)),"")</f>
        <v/>
      </c>
      <c r="O225" s="2"/>
      <c r="P225" s="2" t="str">
        <f>IFERROR(IF(ISBLANK(O225),"",INDEX([1]Gen_Vessels!$A$3:$C$500,MATCH(CorrectiveMinor!$O225,[1]Gen_Vessels!$C$3:$C$500,0),1)),"")</f>
        <v/>
      </c>
      <c r="Q225" s="2"/>
      <c r="R225" s="2"/>
      <c r="S225" s="2"/>
      <c r="T225" s="2"/>
      <c r="U225" s="2"/>
      <c r="W225" s="2"/>
      <c r="X225" s="2"/>
      <c r="Y225" s="2"/>
      <c r="Z225" s="2"/>
      <c r="AA225" s="2"/>
      <c r="AB225" s="2"/>
      <c r="AC225" s="2"/>
    </row>
    <row r="226" spans="1:29" x14ac:dyDescent="0.25">
      <c r="A226" s="1" t="str">
        <f t="shared" si="3"/>
        <v/>
      </c>
      <c r="B226" s="2"/>
      <c r="C226" s="2"/>
      <c r="D226" s="13"/>
      <c r="E226" s="14"/>
      <c r="F226" s="15"/>
      <c r="G226" s="8"/>
      <c r="M226" s="2"/>
      <c r="N226" s="2" t="str">
        <f>IFERROR(IF(ISBLANK(M226),"",INDEX([1]Gen_Vessels!$A$3:$C$500,MATCH(CorrectiveMinor!$M226,[1]Gen_Vessels!$C$3:$C$500,0),1)),"")</f>
        <v/>
      </c>
      <c r="O226" s="2"/>
      <c r="P226" s="2" t="str">
        <f>IFERROR(IF(ISBLANK(O226),"",INDEX([1]Gen_Vessels!$A$3:$C$500,MATCH(CorrectiveMinor!$O226,[1]Gen_Vessels!$C$3:$C$500,0),1)),"")</f>
        <v/>
      </c>
      <c r="Q226" s="2"/>
      <c r="R226" s="2"/>
      <c r="S226" s="2"/>
      <c r="T226" s="2"/>
      <c r="U226" s="2"/>
      <c r="W226" s="2"/>
      <c r="X226" s="2"/>
      <c r="Y226" s="2"/>
      <c r="Z226" s="2"/>
      <c r="AA226" s="2"/>
      <c r="AB226" s="2"/>
      <c r="AC226" s="2"/>
    </row>
    <row r="227" spans="1:29" x14ac:dyDescent="0.25">
      <c r="A227" s="1" t="str">
        <f t="shared" si="3"/>
        <v/>
      </c>
      <c r="B227" s="2"/>
      <c r="C227" s="2"/>
      <c r="D227" s="13"/>
      <c r="E227" s="14"/>
      <c r="F227" s="15"/>
      <c r="G227" s="8"/>
      <c r="M227" s="2"/>
      <c r="N227" s="2" t="str">
        <f>IFERROR(IF(ISBLANK(M227),"",INDEX([1]Gen_Vessels!$A$3:$C$500,MATCH(CorrectiveMinor!$M227,[1]Gen_Vessels!$C$3:$C$500,0),1)),"")</f>
        <v/>
      </c>
      <c r="O227" s="2"/>
      <c r="P227" s="2" t="str">
        <f>IFERROR(IF(ISBLANK(O227),"",INDEX([1]Gen_Vessels!$A$3:$C$500,MATCH(CorrectiveMinor!$O227,[1]Gen_Vessels!$C$3:$C$500,0),1)),"")</f>
        <v/>
      </c>
      <c r="Q227" s="2"/>
      <c r="R227" s="2"/>
      <c r="S227" s="2"/>
      <c r="T227" s="2"/>
      <c r="U227" s="2"/>
      <c r="W227" s="2"/>
      <c r="X227" s="2"/>
      <c r="Y227" s="2"/>
      <c r="Z227" s="2"/>
      <c r="AA227" s="2"/>
      <c r="AB227" s="2"/>
      <c r="AC227" s="2"/>
    </row>
    <row r="228" spans="1:29" x14ac:dyDescent="0.25">
      <c r="A228" s="1" t="str">
        <f t="shared" si="3"/>
        <v/>
      </c>
      <c r="B228" s="2"/>
      <c r="C228" s="2"/>
      <c r="D228" s="13"/>
      <c r="E228" s="14"/>
      <c r="F228" s="15"/>
      <c r="G228" s="8"/>
      <c r="M228" s="2"/>
      <c r="N228" s="2" t="str">
        <f>IFERROR(IF(ISBLANK(M228),"",INDEX([1]Gen_Vessels!$A$3:$C$500,MATCH(CorrectiveMinor!$M228,[1]Gen_Vessels!$C$3:$C$500,0),1)),"")</f>
        <v/>
      </c>
      <c r="O228" s="2"/>
      <c r="P228" s="2" t="str">
        <f>IFERROR(IF(ISBLANK(O228),"",INDEX([1]Gen_Vessels!$A$3:$C$500,MATCH(CorrectiveMinor!$O228,[1]Gen_Vessels!$C$3:$C$500,0),1)),"")</f>
        <v/>
      </c>
      <c r="Q228" s="2"/>
      <c r="R228" s="2"/>
      <c r="S228" s="2"/>
      <c r="T228" s="2"/>
      <c r="U228" s="2"/>
      <c r="W228" s="2"/>
      <c r="X228" s="2"/>
      <c r="Y228" s="2"/>
      <c r="Z228" s="2"/>
      <c r="AA228" s="2"/>
      <c r="AB228" s="2"/>
      <c r="AC228" s="2"/>
    </row>
    <row r="229" spans="1:29" x14ac:dyDescent="0.25">
      <c r="A229" s="1" t="str">
        <f t="shared" si="3"/>
        <v/>
      </c>
      <c r="B229" s="2"/>
      <c r="C229" s="2"/>
      <c r="D229" s="13"/>
      <c r="E229" s="14"/>
      <c r="F229" s="15"/>
      <c r="G229" s="8"/>
      <c r="M229" s="2"/>
      <c r="N229" s="2" t="str">
        <f>IFERROR(IF(ISBLANK(M229),"",INDEX([1]Gen_Vessels!$A$3:$C$500,MATCH(CorrectiveMinor!$M229,[1]Gen_Vessels!$C$3:$C$500,0),1)),"")</f>
        <v/>
      </c>
      <c r="O229" s="2"/>
      <c r="P229" s="2" t="str">
        <f>IFERROR(IF(ISBLANK(O229),"",INDEX([1]Gen_Vessels!$A$3:$C$500,MATCH(CorrectiveMinor!$O229,[1]Gen_Vessels!$C$3:$C$500,0),1)),"")</f>
        <v/>
      </c>
      <c r="Q229" s="2"/>
      <c r="R229" s="2"/>
      <c r="S229" s="2"/>
      <c r="T229" s="2"/>
      <c r="U229" s="2"/>
      <c r="W229" s="2"/>
      <c r="X229" s="2"/>
      <c r="Y229" s="2"/>
      <c r="Z229" s="2"/>
      <c r="AA229" s="2"/>
      <c r="AB229" s="2"/>
      <c r="AC229" s="2"/>
    </row>
    <row r="230" spans="1:29" x14ac:dyDescent="0.25">
      <c r="A230" s="1" t="str">
        <f t="shared" si="3"/>
        <v/>
      </c>
      <c r="B230" s="2"/>
      <c r="C230" s="2"/>
      <c r="D230" s="13"/>
      <c r="E230" s="14"/>
      <c r="F230" s="15"/>
      <c r="G230" s="8"/>
      <c r="M230" s="2"/>
      <c r="N230" s="2" t="str">
        <f>IFERROR(IF(ISBLANK(M230),"",INDEX([1]Gen_Vessels!$A$3:$C$500,MATCH(CorrectiveMinor!$M230,[1]Gen_Vessels!$C$3:$C$500,0),1)),"")</f>
        <v/>
      </c>
      <c r="O230" s="2"/>
      <c r="P230" s="2" t="str">
        <f>IFERROR(IF(ISBLANK(O230),"",INDEX([1]Gen_Vessels!$A$3:$C$500,MATCH(CorrectiveMinor!$O230,[1]Gen_Vessels!$C$3:$C$500,0),1)),"")</f>
        <v/>
      </c>
      <c r="Q230" s="2"/>
      <c r="R230" s="2"/>
      <c r="S230" s="2"/>
      <c r="T230" s="2"/>
      <c r="U230" s="2"/>
      <c r="W230" s="2"/>
      <c r="X230" s="2"/>
      <c r="Y230" s="2"/>
      <c r="Z230" s="2"/>
      <c r="AA230" s="2"/>
      <c r="AB230" s="2"/>
      <c r="AC230" s="2"/>
    </row>
    <row r="231" spans="1:29" x14ac:dyDescent="0.25">
      <c r="A231" s="1" t="str">
        <f t="shared" si="3"/>
        <v/>
      </c>
      <c r="B231" s="2"/>
      <c r="C231" s="2"/>
      <c r="D231" s="13"/>
      <c r="E231" s="14"/>
      <c r="F231" s="15"/>
      <c r="G231" s="8"/>
      <c r="M231" s="2"/>
      <c r="N231" s="2" t="str">
        <f>IFERROR(IF(ISBLANK(M231),"",INDEX([1]Gen_Vessels!$A$3:$C$500,MATCH(CorrectiveMinor!$M231,[1]Gen_Vessels!$C$3:$C$500,0),1)),"")</f>
        <v/>
      </c>
      <c r="O231" s="2"/>
      <c r="P231" s="2" t="str">
        <f>IFERROR(IF(ISBLANK(O231),"",INDEX([1]Gen_Vessels!$A$3:$C$500,MATCH(CorrectiveMinor!$O231,[1]Gen_Vessels!$C$3:$C$500,0),1)),"")</f>
        <v/>
      </c>
      <c r="Q231" s="2"/>
      <c r="R231" s="2"/>
      <c r="S231" s="2"/>
      <c r="T231" s="2"/>
      <c r="U231" s="2"/>
      <c r="W231" s="2"/>
      <c r="X231" s="2"/>
      <c r="Y231" s="2"/>
      <c r="Z231" s="2"/>
      <c r="AA231" s="2"/>
      <c r="AB231" s="2"/>
      <c r="AC231" s="2"/>
    </row>
    <row r="232" spans="1:29" x14ac:dyDescent="0.25">
      <c r="A232" s="1" t="str">
        <f t="shared" si="3"/>
        <v/>
      </c>
      <c r="B232" s="2"/>
      <c r="C232" s="2"/>
      <c r="D232" s="13"/>
      <c r="E232" s="14"/>
      <c r="F232" s="15"/>
      <c r="G232" s="8"/>
      <c r="M232" s="2"/>
      <c r="N232" s="2" t="str">
        <f>IFERROR(IF(ISBLANK(M232),"",INDEX([1]Gen_Vessels!$A$3:$C$500,MATCH(CorrectiveMinor!$M232,[1]Gen_Vessels!$C$3:$C$500,0),1)),"")</f>
        <v/>
      </c>
      <c r="O232" s="2"/>
      <c r="P232" s="2" t="str">
        <f>IFERROR(IF(ISBLANK(O232),"",INDEX([1]Gen_Vessels!$A$3:$C$500,MATCH(CorrectiveMinor!$O232,[1]Gen_Vessels!$C$3:$C$500,0),1)),"")</f>
        <v/>
      </c>
      <c r="Q232" s="2"/>
      <c r="R232" s="2"/>
      <c r="S232" s="2"/>
      <c r="T232" s="2"/>
      <c r="U232" s="2"/>
      <c r="W232" s="2"/>
      <c r="X232" s="2"/>
      <c r="Y232" s="2"/>
      <c r="Z232" s="2"/>
      <c r="AA232" s="2"/>
      <c r="AB232" s="2"/>
      <c r="AC232" s="2"/>
    </row>
    <row r="233" spans="1:29" x14ac:dyDescent="0.25">
      <c r="A233" s="1" t="str">
        <f t="shared" si="3"/>
        <v/>
      </c>
      <c r="B233" s="2"/>
      <c r="C233" s="2"/>
      <c r="D233" s="13"/>
      <c r="E233" s="14"/>
      <c r="F233" s="15"/>
      <c r="G233" s="8"/>
      <c r="M233" s="2"/>
      <c r="N233" s="2" t="str">
        <f>IFERROR(IF(ISBLANK(M233),"",INDEX([1]Gen_Vessels!$A$3:$C$500,MATCH(CorrectiveMinor!$M233,[1]Gen_Vessels!$C$3:$C$500,0),1)),"")</f>
        <v/>
      </c>
      <c r="O233" s="2"/>
      <c r="P233" s="2" t="str">
        <f>IFERROR(IF(ISBLANK(O233),"",INDEX([1]Gen_Vessels!$A$3:$C$500,MATCH(CorrectiveMinor!$O233,[1]Gen_Vessels!$C$3:$C$500,0),1)),"")</f>
        <v/>
      </c>
      <c r="Q233" s="2"/>
      <c r="R233" s="2"/>
      <c r="S233" s="2"/>
      <c r="T233" s="2"/>
      <c r="U233" s="2"/>
      <c r="W233" s="2"/>
      <c r="X233" s="2"/>
      <c r="Y233" s="2"/>
      <c r="Z233" s="2"/>
      <c r="AA233" s="2"/>
      <c r="AB233" s="2"/>
      <c r="AC233" s="2"/>
    </row>
    <row r="234" spans="1:29" x14ac:dyDescent="0.25">
      <c r="A234" s="1" t="str">
        <f t="shared" si="3"/>
        <v/>
      </c>
      <c r="B234" s="2"/>
      <c r="C234" s="2"/>
      <c r="D234" s="13"/>
      <c r="E234" s="14"/>
      <c r="F234" s="15"/>
      <c r="G234" s="8"/>
      <c r="M234" s="2"/>
      <c r="N234" s="2" t="str">
        <f>IFERROR(IF(ISBLANK(M234),"",INDEX([1]Gen_Vessels!$A$3:$C$500,MATCH(CorrectiveMinor!$M234,[1]Gen_Vessels!$C$3:$C$500,0),1)),"")</f>
        <v/>
      </c>
      <c r="O234" s="2"/>
      <c r="P234" s="2" t="str">
        <f>IFERROR(IF(ISBLANK(O234),"",INDEX([1]Gen_Vessels!$A$3:$C$500,MATCH(CorrectiveMinor!$O234,[1]Gen_Vessels!$C$3:$C$500,0),1)),"")</f>
        <v/>
      </c>
      <c r="Q234" s="2"/>
      <c r="R234" s="2"/>
      <c r="S234" s="2"/>
      <c r="T234" s="2"/>
      <c r="U234" s="2"/>
      <c r="W234" s="2"/>
      <c r="X234" s="2"/>
      <c r="Y234" s="2"/>
      <c r="Z234" s="2"/>
      <c r="AA234" s="2"/>
      <c r="AB234" s="2"/>
      <c r="AC234" s="2"/>
    </row>
    <row r="235" spans="1:29" x14ac:dyDescent="0.25">
      <c r="A235" s="1" t="str">
        <f t="shared" si="3"/>
        <v/>
      </c>
      <c r="B235" s="2"/>
      <c r="C235" s="2"/>
      <c r="D235" s="13"/>
      <c r="E235" s="14"/>
      <c r="F235" s="15"/>
      <c r="G235" s="8"/>
      <c r="M235" s="2"/>
      <c r="N235" s="2" t="str">
        <f>IFERROR(IF(ISBLANK(M235),"",INDEX([1]Gen_Vessels!$A$3:$C$500,MATCH(CorrectiveMinor!$M235,[1]Gen_Vessels!$C$3:$C$500,0),1)),"")</f>
        <v/>
      </c>
      <c r="O235" s="2"/>
      <c r="P235" s="2" t="str">
        <f>IFERROR(IF(ISBLANK(O235),"",INDEX([1]Gen_Vessels!$A$3:$C$500,MATCH(CorrectiveMinor!$O235,[1]Gen_Vessels!$C$3:$C$500,0),1)),"")</f>
        <v/>
      </c>
      <c r="Q235" s="2"/>
      <c r="R235" s="2"/>
      <c r="S235" s="2"/>
      <c r="T235" s="2"/>
      <c r="U235" s="2"/>
      <c r="W235" s="2"/>
      <c r="X235" s="2"/>
      <c r="Y235" s="2"/>
      <c r="Z235" s="2"/>
      <c r="AA235" s="2"/>
      <c r="AB235" s="2"/>
      <c r="AC235" s="2"/>
    </row>
    <row r="236" spans="1:29" x14ac:dyDescent="0.25">
      <c r="A236" s="1" t="str">
        <f t="shared" si="3"/>
        <v/>
      </c>
      <c r="B236" s="2"/>
      <c r="C236" s="2"/>
      <c r="D236" s="13"/>
      <c r="E236" s="14"/>
      <c r="F236" s="15"/>
      <c r="G236" s="8"/>
      <c r="M236" s="2"/>
      <c r="N236" s="2" t="str">
        <f>IFERROR(IF(ISBLANK(M236),"",INDEX([1]Gen_Vessels!$A$3:$C$500,MATCH(CorrectiveMinor!$M236,[1]Gen_Vessels!$C$3:$C$500,0),1)),"")</f>
        <v/>
      </c>
      <c r="O236" s="2"/>
      <c r="P236" s="2" t="str">
        <f>IFERROR(IF(ISBLANK(O236),"",INDEX([1]Gen_Vessels!$A$3:$C$500,MATCH(CorrectiveMinor!$O236,[1]Gen_Vessels!$C$3:$C$500,0),1)),"")</f>
        <v/>
      </c>
      <c r="Q236" s="2"/>
      <c r="R236" s="2"/>
      <c r="S236" s="2"/>
      <c r="T236" s="2"/>
      <c r="U236" s="2"/>
      <c r="W236" s="2"/>
      <c r="X236" s="2"/>
      <c r="Y236" s="2"/>
      <c r="Z236" s="2"/>
      <c r="AA236" s="2"/>
      <c r="AB236" s="2"/>
      <c r="AC236" s="2"/>
    </row>
    <row r="237" spans="1:29" x14ac:dyDescent="0.25">
      <c r="A237" s="1" t="str">
        <f t="shared" si="3"/>
        <v/>
      </c>
      <c r="B237" s="2"/>
      <c r="C237" s="2"/>
      <c r="D237" s="13"/>
      <c r="E237" s="14"/>
      <c r="F237" s="15"/>
      <c r="G237" s="8"/>
      <c r="M237" s="2"/>
      <c r="N237" s="2" t="str">
        <f>IFERROR(IF(ISBLANK(M237),"",INDEX([1]Gen_Vessels!$A$3:$C$500,MATCH(CorrectiveMinor!$M237,[1]Gen_Vessels!$C$3:$C$500,0),1)),"")</f>
        <v/>
      </c>
      <c r="O237" s="2"/>
      <c r="P237" s="2" t="str">
        <f>IFERROR(IF(ISBLANK(O237),"",INDEX([1]Gen_Vessels!$A$3:$C$500,MATCH(CorrectiveMinor!$O237,[1]Gen_Vessels!$C$3:$C$500,0),1)),"")</f>
        <v/>
      </c>
      <c r="Q237" s="2"/>
      <c r="R237" s="2"/>
      <c r="S237" s="2"/>
      <c r="T237" s="2"/>
      <c r="U237" s="2"/>
      <c r="W237" s="2"/>
      <c r="X237" s="2"/>
      <c r="Y237" s="2"/>
      <c r="Z237" s="2"/>
      <c r="AA237" s="2"/>
      <c r="AB237" s="2"/>
      <c r="AC237" s="2"/>
    </row>
    <row r="238" spans="1:29" x14ac:dyDescent="0.25">
      <c r="A238" s="1" t="str">
        <f t="shared" si="3"/>
        <v/>
      </c>
      <c r="B238" s="2"/>
      <c r="C238" s="2"/>
      <c r="D238" s="13"/>
      <c r="E238" s="14"/>
      <c r="F238" s="15"/>
      <c r="G238" s="8"/>
      <c r="M238" s="2"/>
      <c r="N238" s="2" t="str">
        <f>IFERROR(IF(ISBLANK(M238),"",INDEX([1]Gen_Vessels!$A$3:$C$500,MATCH(CorrectiveMinor!$M238,[1]Gen_Vessels!$C$3:$C$500,0),1)),"")</f>
        <v/>
      </c>
      <c r="O238" s="2"/>
      <c r="P238" s="2" t="str">
        <f>IFERROR(IF(ISBLANK(O238),"",INDEX([1]Gen_Vessels!$A$3:$C$500,MATCH(CorrectiveMinor!$O238,[1]Gen_Vessels!$C$3:$C$500,0),1)),"")</f>
        <v/>
      </c>
      <c r="Q238" s="2"/>
      <c r="R238" s="2"/>
      <c r="S238" s="2"/>
      <c r="T238" s="2"/>
      <c r="U238" s="2"/>
      <c r="W238" s="2"/>
      <c r="X238" s="2"/>
      <c r="Y238" s="2"/>
      <c r="Z238" s="2"/>
      <c r="AA238" s="2"/>
      <c r="AB238" s="2"/>
      <c r="AC238" s="2"/>
    </row>
    <row r="239" spans="1:29" x14ac:dyDescent="0.25">
      <c r="A239" s="1" t="str">
        <f t="shared" si="3"/>
        <v/>
      </c>
      <c r="B239" s="2"/>
      <c r="C239" s="2"/>
      <c r="D239" s="13"/>
      <c r="E239" s="14"/>
      <c r="F239" s="15"/>
      <c r="G239" s="8"/>
      <c r="M239" s="2"/>
      <c r="N239" s="2" t="str">
        <f>IFERROR(IF(ISBLANK(M239),"",INDEX([1]Gen_Vessels!$A$3:$C$500,MATCH(CorrectiveMinor!$M239,[1]Gen_Vessels!$C$3:$C$500,0),1)),"")</f>
        <v/>
      </c>
      <c r="O239" s="2"/>
      <c r="P239" s="2" t="str">
        <f>IFERROR(IF(ISBLANK(O239),"",INDEX([1]Gen_Vessels!$A$3:$C$500,MATCH(CorrectiveMinor!$O239,[1]Gen_Vessels!$C$3:$C$500,0),1)),"")</f>
        <v/>
      </c>
      <c r="Q239" s="2"/>
      <c r="R239" s="2"/>
      <c r="S239" s="2"/>
      <c r="T239" s="2"/>
      <c r="U239" s="2"/>
      <c r="W239" s="2"/>
      <c r="X239" s="2"/>
      <c r="Y239" s="2"/>
      <c r="Z239" s="2"/>
      <c r="AA239" s="2"/>
      <c r="AB239" s="2"/>
      <c r="AC239" s="2"/>
    </row>
    <row r="240" spans="1:29" x14ac:dyDescent="0.25">
      <c r="A240" s="1" t="str">
        <f t="shared" si="3"/>
        <v/>
      </c>
      <c r="B240" s="2"/>
      <c r="C240" s="2"/>
      <c r="D240" s="13"/>
      <c r="E240" s="14"/>
      <c r="F240" s="15"/>
      <c r="G240" s="8"/>
      <c r="M240" s="2"/>
      <c r="N240" s="2" t="str">
        <f>IFERROR(IF(ISBLANK(M240),"",INDEX([1]Gen_Vessels!$A$3:$C$500,MATCH(CorrectiveMinor!$M240,[1]Gen_Vessels!$C$3:$C$500,0),1)),"")</f>
        <v/>
      </c>
      <c r="O240" s="2"/>
      <c r="P240" s="2" t="str">
        <f>IFERROR(IF(ISBLANK(O240),"",INDEX([1]Gen_Vessels!$A$3:$C$500,MATCH(CorrectiveMinor!$O240,[1]Gen_Vessels!$C$3:$C$500,0),1)),"")</f>
        <v/>
      </c>
      <c r="Q240" s="2"/>
      <c r="R240" s="2"/>
      <c r="S240" s="2"/>
      <c r="T240" s="2"/>
      <c r="U240" s="2"/>
      <c r="W240" s="2"/>
      <c r="X240" s="2"/>
      <c r="Y240" s="2"/>
      <c r="Z240" s="2"/>
      <c r="AA240" s="2"/>
      <c r="AB240" s="2"/>
      <c r="AC240" s="2"/>
    </row>
    <row r="241" spans="1:29" x14ac:dyDescent="0.25">
      <c r="A241" s="1" t="str">
        <f t="shared" si="3"/>
        <v/>
      </c>
      <c r="B241" s="2"/>
      <c r="C241" s="2"/>
      <c r="D241" s="13"/>
      <c r="E241" s="14"/>
      <c r="F241" s="15"/>
      <c r="G241" s="8"/>
      <c r="M241" s="2"/>
      <c r="N241" s="2" t="str">
        <f>IFERROR(IF(ISBLANK(M241),"",INDEX([1]Gen_Vessels!$A$3:$C$500,MATCH(CorrectiveMinor!$M241,[1]Gen_Vessels!$C$3:$C$500,0),1)),"")</f>
        <v/>
      </c>
      <c r="O241" s="2"/>
      <c r="P241" s="2" t="str">
        <f>IFERROR(IF(ISBLANK(O241),"",INDEX([1]Gen_Vessels!$A$3:$C$500,MATCH(CorrectiveMinor!$O241,[1]Gen_Vessels!$C$3:$C$500,0),1)),"")</f>
        <v/>
      </c>
      <c r="Q241" s="2"/>
      <c r="R241" s="2"/>
      <c r="S241" s="2"/>
      <c r="T241" s="2"/>
      <c r="U241" s="2"/>
      <c r="W241" s="2"/>
      <c r="X241" s="2"/>
      <c r="Y241" s="2"/>
      <c r="Z241" s="2"/>
      <c r="AA241" s="2"/>
      <c r="AB241" s="2"/>
      <c r="AC241" s="2"/>
    </row>
    <row r="242" spans="1:29" x14ac:dyDescent="0.25">
      <c r="A242" s="1" t="str">
        <f t="shared" si="3"/>
        <v/>
      </c>
      <c r="B242" s="2"/>
      <c r="C242" s="2"/>
      <c r="D242" s="13"/>
      <c r="E242" s="14"/>
      <c r="F242" s="15"/>
      <c r="G242" s="8"/>
      <c r="M242" s="2"/>
      <c r="N242" s="2" t="str">
        <f>IFERROR(IF(ISBLANK(M242),"",INDEX([1]Gen_Vessels!$A$3:$C$500,MATCH(CorrectiveMinor!$M242,[1]Gen_Vessels!$C$3:$C$500,0),1)),"")</f>
        <v/>
      </c>
      <c r="O242" s="2"/>
      <c r="P242" s="2" t="str">
        <f>IFERROR(IF(ISBLANK(O242),"",INDEX([1]Gen_Vessels!$A$3:$C$500,MATCH(CorrectiveMinor!$O242,[1]Gen_Vessels!$C$3:$C$500,0),1)),"")</f>
        <v/>
      </c>
      <c r="Q242" s="2"/>
      <c r="R242" s="2"/>
      <c r="S242" s="2"/>
      <c r="T242" s="2"/>
      <c r="U242" s="2"/>
      <c r="W242" s="2"/>
      <c r="X242" s="2"/>
      <c r="Y242" s="2"/>
      <c r="Z242" s="2"/>
      <c r="AA242" s="2"/>
      <c r="AB242" s="2"/>
      <c r="AC242" s="2"/>
    </row>
    <row r="243" spans="1:29" x14ac:dyDescent="0.25">
      <c r="A243" s="1" t="str">
        <f t="shared" si="3"/>
        <v/>
      </c>
      <c r="B243" s="2"/>
      <c r="C243" s="2"/>
      <c r="D243" s="13"/>
      <c r="E243" s="14"/>
      <c r="F243" s="15"/>
      <c r="G243" s="8"/>
      <c r="M243" s="2"/>
      <c r="N243" s="2" t="str">
        <f>IFERROR(IF(ISBLANK(M243),"",INDEX([1]Gen_Vessels!$A$3:$C$500,MATCH(CorrectiveMinor!$M243,[1]Gen_Vessels!$C$3:$C$500,0),1)),"")</f>
        <v/>
      </c>
      <c r="O243" s="2"/>
      <c r="P243" s="2" t="str">
        <f>IFERROR(IF(ISBLANK(O243),"",INDEX([1]Gen_Vessels!$A$3:$C$500,MATCH(CorrectiveMinor!$O243,[1]Gen_Vessels!$C$3:$C$500,0),1)),"")</f>
        <v/>
      </c>
      <c r="Q243" s="2"/>
      <c r="R243" s="2"/>
      <c r="S243" s="2"/>
      <c r="T243" s="2"/>
      <c r="U243" s="2"/>
      <c r="W243" s="2"/>
      <c r="X243" s="2"/>
      <c r="Y243" s="2"/>
      <c r="Z243" s="2"/>
      <c r="AA243" s="2"/>
      <c r="AB243" s="2"/>
      <c r="AC243" s="2"/>
    </row>
    <row r="244" spans="1:29" x14ac:dyDescent="0.25">
      <c r="A244" s="1" t="str">
        <f t="shared" si="3"/>
        <v/>
      </c>
      <c r="B244" s="2"/>
      <c r="C244" s="2"/>
      <c r="D244" s="13"/>
      <c r="E244" s="14"/>
      <c r="F244" s="15"/>
      <c r="G244" s="8"/>
      <c r="M244" s="2"/>
      <c r="N244" s="2" t="str">
        <f>IFERROR(IF(ISBLANK(M244),"",INDEX([1]Gen_Vessels!$A$3:$C$500,MATCH(CorrectiveMinor!$M244,[1]Gen_Vessels!$C$3:$C$500,0),1)),"")</f>
        <v/>
      </c>
      <c r="O244" s="2"/>
      <c r="P244" s="2" t="str">
        <f>IFERROR(IF(ISBLANK(O244),"",INDEX([1]Gen_Vessels!$A$3:$C$500,MATCH(CorrectiveMinor!$O244,[1]Gen_Vessels!$C$3:$C$500,0),1)),"")</f>
        <v/>
      </c>
      <c r="Q244" s="2"/>
      <c r="R244" s="2"/>
      <c r="S244" s="2"/>
      <c r="T244" s="2"/>
      <c r="U244" s="2"/>
      <c r="W244" s="2"/>
      <c r="X244" s="2"/>
      <c r="Y244" s="2"/>
      <c r="Z244" s="2"/>
      <c r="AA244" s="2"/>
      <c r="AB244" s="2"/>
      <c r="AC244" s="2"/>
    </row>
    <row r="245" spans="1:29" x14ac:dyDescent="0.25">
      <c r="A245" s="1" t="str">
        <f t="shared" si="3"/>
        <v/>
      </c>
      <c r="B245" s="2"/>
      <c r="C245" s="2"/>
      <c r="D245" s="13"/>
      <c r="E245" s="14"/>
      <c r="F245" s="15"/>
      <c r="G245" s="8"/>
      <c r="M245" s="2"/>
      <c r="N245" s="2" t="str">
        <f>IFERROR(IF(ISBLANK(M245),"",INDEX([1]Gen_Vessels!$A$3:$C$500,MATCH(CorrectiveMinor!$M245,[1]Gen_Vessels!$C$3:$C$500,0),1)),"")</f>
        <v/>
      </c>
      <c r="O245" s="2"/>
      <c r="P245" s="2" t="str">
        <f>IFERROR(IF(ISBLANK(O245),"",INDEX([1]Gen_Vessels!$A$3:$C$500,MATCH(CorrectiveMinor!$O245,[1]Gen_Vessels!$C$3:$C$500,0),1)),"")</f>
        <v/>
      </c>
      <c r="Q245" s="2"/>
      <c r="R245" s="2"/>
      <c r="S245" s="2"/>
      <c r="T245" s="2"/>
      <c r="U245" s="2"/>
      <c r="W245" s="2"/>
      <c r="X245" s="2"/>
      <c r="Y245" s="2"/>
      <c r="Z245" s="2"/>
      <c r="AA245" s="2"/>
      <c r="AB245" s="2"/>
      <c r="AC245" s="2"/>
    </row>
    <row r="246" spans="1:29" x14ac:dyDescent="0.25">
      <c r="A246" s="1" t="str">
        <f t="shared" si="3"/>
        <v/>
      </c>
      <c r="B246" s="2"/>
      <c r="C246" s="2"/>
      <c r="D246" s="13"/>
      <c r="E246" s="14"/>
      <c r="F246" s="15"/>
      <c r="G246" s="8"/>
      <c r="M246" s="2"/>
      <c r="N246" s="2" t="str">
        <f>IFERROR(IF(ISBLANK(M246),"",INDEX([1]Gen_Vessels!$A$3:$C$500,MATCH(CorrectiveMinor!$M246,[1]Gen_Vessels!$C$3:$C$500,0),1)),"")</f>
        <v/>
      </c>
      <c r="O246" s="2"/>
      <c r="P246" s="2" t="str">
        <f>IFERROR(IF(ISBLANK(O246),"",INDEX([1]Gen_Vessels!$A$3:$C$500,MATCH(CorrectiveMinor!$O246,[1]Gen_Vessels!$C$3:$C$500,0),1)),"")</f>
        <v/>
      </c>
      <c r="Q246" s="2"/>
      <c r="R246" s="2"/>
      <c r="S246" s="2"/>
      <c r="T246" s="2"/>
      <c r="U246" s="2"/>
      <c r="W246" s="2"/>
      <c r="X246" s="2"/>
      <c r="Y246" s="2"/>
      <c r="Z246" s="2"/>
      <c r="AA246" s="2"/>
      <c r="AB246" s="2"/>
      <c r="AC246" s="2"/>
    </row>
    <row r="247" spans="1:29" x14ac:dyDescent="0.25">
      <c r="A247" s="1" t="str">
        <f t="shared" si="3"/>
        <v/>
      </c>
      <c r="B247" s="2"/>
      <c r="C247" s="2"/>
      <c r="D247" s="13"/>
      <c r="E247" s="14"/>
      <c r="F247" s="15"/>
      <c r="G247" s="8"/>
      <c r="M247" s="2"/>
      <c r="N247" s="2" t="str">
        <f>IFERROR(IF(ISBLANK(M247),"",INDEX([1]Gen_Vessels!$A$3:$C$500,MATCH(CorrectiveMinor!$M247,[1]Gen_Vessels!$C$3:$C$500,0),1)),"")</f>
        <v/>
      </c>
      <c r="O247" s="2"/>
      <c r="P247" s="2" t="str">
        <f>IFERROR(IF(ISBLANK(O247),"",INDEX([1]Gen_Vessels!$A$3:$C$500,MATCH(CorrectiveMinor!$O247,[1]Gen_Vessels!$C$3:$C$500,0),1)),"")</f>
        <v/>
      </c>
      <c r="Q247" s="2"/>
      <c r="R247" s="2"/>
      <c r="S247" s="2"/>
      <c r="T247" s="2"/>
      <c r="U247" s="2"/>
      <c r="W247" s="2"/>
      <c r="X247" s="2"/>
      <c r="Y247" s="2"/>
      <c r="Z247" s="2"/>
      <c r="AA247" s="2"/>
      <c r="AB247" s="2"/>
      <c r="AC247" s="2"/>
    </row>
    <row r="248" spans="1:29" x14ac:dyDescent="0.25">
      <c r="A248" s="1" t="str">
        <f t="shared" si="3"/>
        <v/>
      </c>
      <c r="B248" s="2"/>
      <c r="C248" s="2"/>
      <c r="D248" s="13"/>
      <c r="E248" s="14"/>
      <c r="F248" s="15"/>
      <c r="G248" s="8"/>
      <c r="M248" s="2"/>
      <c r="N248" s="2" t="str">
        <f>IFERROR(IF(ISBLANK(M248),"",INDEX([1]Gen_Vessels!$A$3:$C$500,MATCH(CorrectiveMinor!$M248,[1]Gen_Vessels!$C$3:$C$500,0),1)),"")</f>
        <v/>
      </c>
      <c r="O248" s="2"/>
      <c r="P248" s="2" t="str">
        <f>IFERROR(IF(ISBLANK(O248),"",INDEX([1]Gen_Vessels!$A$3:$C$500,MATCH(CorrectiveMinor!$O248,[1]Gen_Vessels!$C$3:$C$500,0),1)),"")</f>
        <v/>
      </c>
      <c r="Q248" s="2"/>
      <c r="R248" s="2"/>
      <c r="S248" s="2"/>
      <c r="T248" s="2"/>
      <c r="U248" s="2"/>
      <c r="W248" s="2"/>
      <c r="X248" s="2"/>
      <c r="Y248" s="2"/>
      <c r="Z248" s="2"/>
      <c r="AA248" s="2"/>
      <c r="AB248" s="2"/>
      <c r="AC248" s="2"/>
    </row>
    <row r="249" spans="1:29" x14ac:dyDescent="0.25">
      <c r="A249" s="1" t="str">
        <f t="shared" si="3"/>
        <v/>
      </c>
      <c r="B249" s="2"/>
      <c r="C249" s="2"/>
      <c r="D249" s="13"/>
      <c r="E249" s="14"/>
      <c r="F249" s="15"/>
      <c r="G249" s="8"/>
      <c r="M249" s="2"/>
      <c r="N249" s="2" t="str">
        <f>IFERROR(IF(ISBLANK(M249),"",INDEX([1]Gen_Vessels!$A$3:$C$500,MATCH(CorrectiveMinor!$M249,[1]Gen_Vessels!$C$3:$C$500,0),1)),"")</f>
        <v/>
      </c>
      <c r="O249" s="2"/>
      <c r="P249" s="2" t="str">
        <f>IFERROR(IF(ISBLANK(O249),"",INDEX([1]Gen_Vessels!$A$3:$C$500,MATCH(CorrectiveMinor!$O249,[1]Gen_Vessels!$C$3:$C$500,0),1)),"")</f>
        <v/>
      </c>
      <c r="Q249" s="2"/>
      <c r="R249" s="2"/>
      <c r="S249" s="2"/>
      <c r="T249" s="2"/>
      <c r="U249" s="2"/>
      <c r="W249" s="2"/>
      <c r="X249" s="2"/>
      <c r="Y249" s="2"/>
      <c r="Z249" s="2"/>
      <c r="AA249" s="2"/>
      <c r="AB249" s="2"/>
      <c r="AC249" s="2"/>
    </row>
    <row r="250" spans="1:29" x14ac:dyDescent="0.25">
      <c r="A250" s="1" t="str">
        <f t="shared" si="3"/>
        <v/>
      </c>
      <c r="B250" s="2"/>
      <c r="C250" s="2"/>
      <c r="D250" s="13"/>
      <c r="E250" s="14"/>
      <c r="F250" s="15"/>
      <c r="G250" s="8"/>
      <c r="M250" s="2"/>
      <c r="N250" s="2" t="str">
        <f>IFERROR(IF(ISBLANK(M250),"",INDEX([1]Gen_Vessels!$A$3:$C$500,MATCH(CorrectiveMinor!$M250,[1]Gen_Vessels!$C$3:$C$500,0),1)),"")</f>
        <v/>
      </c>
      <c r="O250" s="2"/>
      <c r="P250" s="2" t="str">
        <f>IFERROR(IF(ISBLANK(O250),"",INDEX([1]Gen_Vessels!$A$3:$C$500,MATCH(CorrectiveMinor!$O250,[1]Gen_Vessels!$C$3:$C$500,0),1)),"")</f>
        <v/>
      </c>
      <c r="Q250" s="2"/>
      <c r="R250" s="2"/>
      <c r="S250" s="2"/>
      <c r="T250" s="2"/>
      <c r="U250" s="2"/>
      <c r="W250" s="2"/>
      <c r="X250" s="2"/>
      <c r="Y250" s="2"/>
      <c r="Z250" s="2"/>
      <c r="AA250" s="2"/>
      <c r="AB250" s="2"/>
      <c r="AC250" s="2"/>
    </row>
    <row r="251" spans="1:29" x14ac:dyDescent="0.25">
      <c r="A251" s="1" t="str">
        <f t="shared" si="3"/>
        <v/>
      </c>
      <c r="B251" s="2"/>
      <c r="C251" s="2"/>
      <c r="D251" s="13"/>
      <c r="E251" s="14"/>
      <c r="F251" s="15"/>
      <c r="G251" s="8"/>
      <c r="M251" s="2"/>
      <c r="N251" s="2" t="str">
        <f>IFERROR(IF(ISBLANK(M251),"",INDEX([1]Gen_Vessels!$A$3:$C$500,MATCH(CorrectiveMinor!$M251,[1]Gen_Vessels!$C$3:$C$500,0),1)),"")</f>
        <v/>
      </c>
      <c r="O251" s="2"/>
      <c r="P251" s="2" t="str">
        <f>IFERROR(IF(ISBLANK(O251),"",INDEX([1]Gen_Vessels!$A$3:$C$500,MATCH(CorrectiveMinor!$O251,[1]Gen_Vessels!$C$3:$C$500,0),1)),"")</f>
        <v/>
      </c>
      <c r="Q251" s="2"/>
      <c r="R251" s="2"/>
      <c r="S251" s="2"/>
      <c r="T251" s="2"/>
      <c r="U251" s="2"/>
      <c r="W251" s="2"/>
      <c r="X251" s="2"/>
      <c r="Y251" s="2"/>
      <c r="Z251" s="2"/>
      <c r="AA251" s="2"/>
      <c r="AB251" s="2"/>
      <c r="AC251" s="2"/>
    </row>
    <row r="252" spans="1:29" x14ac:dyDescent="0.25">
      <c r="A252" s="1" t="str">
        <f t="shared" si="3"/>
        <v/>
      </c>
      <c r="B252" s="2"/>
      <c r="C252" s="2"/>
      <c r="D252" s="13"/>
      <c r="E252" s="14"/>
      <c r="F252" s="15"/>
      <c r="G252" s="8"/>
      <c r="M252" s="2"/>
      <c r="N252" s="2" t="str">
        <f>IFERROR(IF(ISBLANK(M252),"",INDEX([1]Gen_Vessels!$A$3:$C$500,MATCH(CorrectiveMinor!$M252,[1]Gen_Vessels!$C$3:$C$500,0),1)),"")</f>
        <v/>
      </c>
      <c r="O252" s="2"/>
      <c r="P252" s="2" t="str">
        <f>IFERROR(IF(ISBLANK(O252),"",INDEX([1]Gen_Vessels!$A$3:$C$500,MATCH(CorrectiveMinor!$O252,[1]Gen_Vessels!$C$3:$C$500,0),1)),"")</f>
        <v/>
      </c>
      <c r="Q252" s="2"/>
      <c r="R252" s="2"/>
      <c r="S252" s="2"/>
      <c r="T252" s="2"/>
      <c r="U252" s="2"/>
      <c r="W252" s="2"/>
      <c r="X252" s="2"/>
      <c r="Y252" s="2"/>
      <c r="Z252" s="2"/>
      <c r="AA252" s="2"/>
      <c r="AB252" s="2"/>
      <c r="AC252" s="2"/>
    </row>
    <row r="253" spans="1:29" x14ac:dyDescent="0.25">
      <c r="A253" s="1" t="str">
        <f t="shared" si="3"/>
        <v/>
      </c>
      <c r="B253" s="2"/>
      <c r="C253" s="2"/>
      <c r="D253" s="13"/>
      <c r="E253" s="14"/>
      <c r="F253" s="15"/>
      <c r="G253" s="8"/>
      <c r="M253" s="2"/>
      <c r="N253" s="2" t="str">
        <f>IFERROR(IF(ISBLANK(M253),"",INDEX([1]Gen_Vessels!$A$3:$C$500,MATCH(CorrectiveMinor!$M253,[1]Gen_Vessels!$C$3:$C$500,0),1)),"")</f>
        <v/>
      </c>
      <c r="O253" s="2"/>
      <c r="P253" s="2" t="str">
        <f>IFERROR(IF(ISBLANK(O253),"",INDEX([1]Gen_Vessels!$A$3:$C$500,MATCH(CorrectiveMinor!$O253,[1]Gen_Vessels!$C$3:$C$500,0),1)),"")</f>
        <v/>
      </c>
      <c r="Q253" s="2"/>
      <c r="R253" s="2"/>
      <c r="S253" s="2"/>
      <c r="T253" s="2"/>
      <c r="U253" s="2"/>
      <c r="W253" s="2"/>
      <c r="X253" s="2"/>
      <c r="Y253" s="2"/>
      <c r="Z253" s="2"/>
      <c r="AA253" s="2"/>
      <c r="AB253" s="2"/>
      <c r="AC253" s="2"/>
    </row>
    <row r="254" spans="1:29" x14ac:dyDescent="0.25">
      <c r="A254" s="1" t="str">
        <f t="shared" si="3"/>
        <v/>
      </c>
      <c r="B254" s="2"/>
      <c r="C254" s="2"/>
      <c r="D254" s="13"/>
      <c r="E254" s="14"/>
      <c r="F254" s="15"/>
      <c r="G254" s="8"/>
      <c r="M254" s="2"/>
      <c r="N254" s="2" t="str">
        <f>IFERROR(IF(ISBLANK(M254),"",INDEX([1]Gen_Vessels!$A$3:$C$500,MATCH(CorrectiveMinor!$M254,[1]Gen_Vessels!$C$3:$C$500,0),1)),"")</f>
        <v/>
      </c>
      <c r="O254" s="2"/>
      <c r="P254" s="2" t="str">
        <f>IFERROR(IF(ISBLANK(O254),"",INDEX([1]Gen_Vessels!$A$3:$C$500,MATCH(CorrectiveMinor!$O254,[1]Gen_Vessels!$C$3:$C$500,0),1)),"")</f>
        <v/>
      </c>
      <c r="Q254" s="2"/>
      <c r="R254" s="2"/>
      <c r="S254" s="2"/>
      <c r="T254" s="2"/>
      <c r="U254" s="2"/>
      <c r="W254" s="2"/>
      <c r="X254" s="2"/>
      <c r="Y254" s="2"/>
      <c r="Z254" s="2"/>
      <c r="AA254" s="2"/>
      <c r="AB254" s="2"/>
      <c r="AC254" s="2"/>
    </row>
    <row r="255" spans="1:29" x14ac:dyDescent="0.25">
      <c r="A255" s="1" t="str">
        <f t="shared" si="3"/>
        <v/>
      </c>
      <c r="B255" s="2"/>
      <c r="C255" s="2"/>
      <c r="D255" s="13"/>
      <c r="E255" s="14"/>
      <c r="F255" s="15"/>
      <c r="G255" s="8"/>
      <c r="M255" s="2"/>
      <c r="N255" s="2" t="str">
        <f>IFERROR(IF(ISBLANK(M255),"",INDEX([1]Gen_Vessels!$A$3:$C$500,MATCH(CorrectiveMinor!$M255,[1]Gen_Vessels!$C$3:$C$500,0),1)),"")</f>
        <v/>
      </c>
      <c r="O255" s="2"/>
      <c r="P255" s="2" t="str">
        <f>IFERROR(IF(ISBLANK(O255),"",INDEX([1]Gen_Vessels!$A$3:$C$500,MATCH(CorrectiveMinor!$O255,[1]Gen_Vessels!$C$3:$C$500,0),1)),"")</f>
        <v/>
      </c>
      <c r="Q255" s="2"/>
      <c r="R255" s="2"/>
      <c r="S255" s="2"/>
      <c r="T255" s="2"/>
      <c r="U255" s="2"/>
      <c r="W255" s="2"/>
      <c r="X255" s="2"/>
      <c r="Y255" s="2"/>
      <c r="Z255" s="2"/>
      <c r="AA255" s="2"/>
      <c r="AB255" s="2"/>
      <c r="AC255" s="2"/>
    </row>
    <row r="256" spans="1:29" x14ac:dyDescent="0.25">
      <c r="A256" s="1" t="str">
        <f t="shared" si="3"/>
        <v/>
      </c>
      <c r="B256" s="2"/>
      <c r="C256" s="2"/>
      <c r="D256" s="13"/>
      <c r="E256" s="14"/>
      <c r="F256" s="15"/>
      <c r="G256" s="8"/>
      <c r="M256" s="2"/>
      <c r="N256" s="2" t="str">
        <f>IFERROR(IF(ISBLANK(M256),"",INDEX([1]Gen_Vessels!$A$3:$C$500,MATCH(CorrectiveMinor!$M256,[1]Gen_Vessels!$C$3:$C$500,0),1)),"")</f>
        <v/>
      </c>
      <c r="O256" s="2"/>
      <c r="P256" s="2" t="str">
        <f>IFERROR(IF(ISBLANK(O256),"",INDEX([1]Gen_Vessels!$A$3:$C$500,MATCH(CorrectiveMinor!$O256,[1]Gen_Vessels!$C$3:$C$500,0),1)),"")</f>
        <v/>
      </c>
      <c r="Q256" s="2"/>
      <c r="R256" s="2"/>
      <c r="S256" s="2"/>
      <c r="T256" s="2"/>
      <c r="U256" s="2"/>
      <c r="W256" s="2"/>
      <c r="X256" s="2"/>
      <c r="Y256" s="2"/>
      <c r="Z256" s="2"/>
      <c r="AA256" s="2"/>
      <c r="AB256" s="2"/>
      <c r="AC256" s="2"/>
    </row>
    <row r="257" spans="1:29" x14ac:dyDescent="0.25">
      <c r="A257" s="1" t="str">
        <f t="shared" si="3"/>
        <v/>
      </c>
      <c r="B257" s="2"/>
      <c r="C257" s="2"/>
      <c r="D257" s="13"/>
      <c r="E257" s="14"/>
      <c r="F257" s="15"/>
      <c r="G257" s="8"/>
      <c r="M257" s="2"/>
      <c r="N257" s="2" t="str">
        <f>IFERROR(IF(ISBLANK(M257),"",INDEX([1]Gen_Vessels!$A$3:$C$500,MATCH(CorrectiveMinor!$M257,[1]Gen_Vessels!$C$3:$C$500,0),1)),"")</f>
        <v/>
      </c>
      <c r="O257" s="2"/>
      <c r="P257" s="2" t="str">
        <f>IFERROR(IF(ISBLANK(O257),"",INDEX([1]Gen_Vessels!$A$3:$C$500,MATCH(CorrectiveMinor!$O257,[1]Gen_Vessels!$C$3:$C$500,0),1)),"")</f>
        <v/>
      </c>
      <c r="Q257" s="2"/>
      <c r="R257" s="2"/>
      <c r="S257" s="2"/>
      <c r="T257" s="2"/>
      <c r="U257" s="2"/>
      <c r="W257" s="2"/>
      <c r="X257" s="2"/>
      <c r="Y257" s="2"/>
      <c r="Z257" s="2"/>
      <c r="AA257" s="2"/>
      <c r="AB257" s="2"/>
      <c r="AC257" s="2"/>
    </row>
    <row r="258" spans="1:29" x14ac:dyDescent="0.25">
      <c r="A258" s="1" t="str">
        <f t="shared" si="3"/>
        <v/>
      </c>
      <c r="B258" s="2"/>
      <c r="C258" s="2"/>
      <c r="D258" s="13"/>
      <c r="E258" s="14"/>
      <c r="F258" s="15"/>
      <c r="G258" s="8"/>
      <c r="M258" s="2"/>
      <c r="N258" s="2" t="str">
        <f>IFERROR(IF(ISBLANK(M258),"",INDEX([1]Gen_Vessels!$A$3:$C$500,MATCH(CorrectiveMinor!$M258,[1]Gen_Vessels!$C$3:$C$500,0),1)),"")</f>
        <v/>
      </c>
      <c r="O258" s="2"/>
      <c r="P258" s="2" t="str">
        <f>IFERROR(IF(ISBLANK(O258),"",INDEX([1]Gen_Vessels!$A$3:$C$500,MATCH(CorrectiveMinor!$O258,[1]Gen_Vessels!$C$3:$C$500,0),1)),"")</f>
        <v/>
      </c>
      <c r="Q258" s="2"/>
      <c r="R258" s="2"/>
      <c r="S258" s="2"/>
      <c r="T258" s="2"/>
      <c r="U258" s="2"/>
      <c r="W258" s="2"/>
      <c r="X258" s="2"/>
      <c r="Y258" s="2"/>
      <c r="Z258" s="2"/>
      <c r="AA258" s="2"/>
      <c r="AB258" s="2"/>
      <c r="AC258" s="2"/>
    </row>
    <row r="259" spans="1:29" x14ac:dyDescent="0.25">
      <c r="A259" s="1" t="str">
        <f t="shared" ref="A259:A322" si="4">IF(ISBLANK($B259)=FALSE,IF(AND($D259&gt;0,$E259&lt;=0,$F259&lt;=0),_xlfn.CONCAT("ofw_",$B259),IF(AND($D259&lt;=0,$E259&gt;0,$F259&lt;=0),_xlfn.CONCAT("owc_",$B259),IF(AND($D259&lt;=0,$E259&lt;=0,$F259&gt;0),_xlfn.CONCAT("opv_",$B259),_xlfn.CONCAT("oce_",$B259)))),"")</f>
        <v/>
      </c>
      <c r="B259" s="2"/>
      <c r="C259" s="2"/>
      <c r="D259" s="13"/>
      <c r="E259" s="14"/>
      <c r="F259" s="15"/>
      <c r="G259" s="8"/>
      <c r="M259" s="2"/>
      <c r="N259" s="2" t="str">
        <f>IFERROR(IF(ISBLANK(M259),"",INDEX([1]Gen_Vessels!$A$3:$C$500,MATCH(CorrectiveMinor!$M259,[1]Gen_Vessels!$C$3:$C$500,0),1)),"")</f>
        <v/>
      </c>
      <c r="O259" s="2"/>
      <c r="P259" s="2" t="str">
        <f>IFERROR(IF(ISBLANK(O259),"",INDEX([1]Gen_Vessels!$A$3:$C$500,MATCH(CorrectiveMinor!$O259,[1]Gen_Vessels!$C$3:$C$500,0),1)),"")</f>
        <v/>
      </c>
      <c r="Q259" s="2"/>
      <c r="R259" s="2"/>
      <c r="S259" s="2"/>
      <c r="T259" s="2"/>
      <c r="U259" s="2"/>
      <c r="W259" s="2"/>
      <c r="X259" s="2"/>
      <c r="Y259" s="2"/>
      <c r="Z259" s="2"/>
      <c r="AA259" s="2"/>
      <c r="AB259" s="2"/>
      <c r="AC259" s="2"/>
    </row>
    <row r="260" spans="1:29" x14ac:dyDescent="0.25">
      <c r="A260" s="1" t="str">
        <f t="shared" si="4"/>
        <v/>
      </c>
      <c r="B260" s="2"/>
      <c r="C260" s="2"/>
      <c r="D260" s="13"/>
      <c r="E260" s="14"/>
      <c r="F260" s="15"/>
      <c r="G260" s="8"/>
      <c r="M260" s="2"/>
      <c r="N260" s="2" t="str">
        <f>IFERROR(IF(ISBLANK(M260),"",INDEX([1]Gen_Vessels!$A$3:$C$500,MATCH(CorrectiveMinor!$M260,[1]Gen_Vessels!$C$3:$C$500,0),1)),"")</f>
        <v/>
      </c>
      <c r="O260" s="2"/>
      <c r="P260" s="2" t="str">
        <f>IFERROR(IF(ISBLANK(O260),"",INDEX([1]Gen_Vessels!$A$3:$C$500,MATCH(CorrectiveMinor!$O260,[1]Gen_Vessels!$C$3:$C$500,0),1)),"")</f>
        <v/>
      </c>
      <c r="Q260" s="2"/>
      <c r="R260" s="2"/>
      <c r="S260" s="2"/>
      <c r="T260" s="2"/>
      <c r="U260" s="2"/>
      <c r="W260" s="2"/>
      <c r="X260" s="2"/>
      <c r="Y260" s="2"/>
      <c r="Z260" s="2"/>
      <c r="AA260" s="2"/>
      <c r="AB260" s="2"/>
      <c r="AC260" s="2"/>
    </row>
    <row r="261" spans="1:29" x14ac:dyDescent="0.25">
      <c r="A261" s="1" t="str">
        <f t="shared" si="4"/>
        <v/>
      </c>
      <c r="B261" s="2"/>
      <c r="C261" s="2"/>
      <c r="D261" s="13"/>
      <c r="E261" s="14"/>
      <c r="F261" s="15"/>
      <c r="G261" s="8"/>
      <c r="M261" s="2"/>
      <c r="N261" s="2" t="str">
        <f>IFERROR(IF(ISBLANK(M261),"",INDEX([1]Gen_Vessels!$A$3:$C$500,MATCH(CorrectiveMinor!$M261,[1]Gen_Vessels!$C$3:$C$500,0),1)),"")</f>
        <v/>
      </c>
      <c r="O261" s="2"/>
      <c r="P261" s="2" t="str">
        <f>IFERROR(IF(ISBLANK(O261),"",INDEX([1]Gen_Vessels!$A$3:$C$500,MATCH(CorrectiveMinor!$O261,[1]Gen_Vessels!$C$3:$C$500,0),1)),"")</f>
        <v/>
      </c>
      <c r="Q261" s="2"/>
      <c r="R261" s="2"/>
      <c r="S261" s="2"/>
      <c r="T261" s="2"/>
      <c r="U261" s="2"/>
      <c r="W261" s="2"/>
      <c r="X261" s="2"/>
      <c r="Y261" s="2"/>
      <c r="Z261" s="2"/>
      <c r="AA261" s="2"/>
      <c r="AB261" s="2"/>
      <c r="AC261" s="2"/>
    </row>
    <row r="262" spans="1:29" x14ac:dyDescent="0.25">
      <c r="A262" s="1" t="str">
        <f t="shared" si="4"/>
        <v/>
      </c>
      <c r="B262" s="2"/>
      <c r="C262" s="2"/>
      <c r="D262" s="13"/>
      <c r="E262" s="14"/>
      <c r="F262" s="15"/>
      <c r="G262" s="8"/>
      <c r="M262" s="2"/>
      <c r="N262" s="2" t="str">
        <f>IFERROR(IF(ISBLANK(M262),"",INDEX([1]Gen_Vessels!$A$3:$C$500,MATCH(CorrectiveMinor!$M262,[1]Gen_Vessels!$C$3:$C$500,0),1)),"")</f>
        <v/>
      </c>
      <c r="O262" s="2"/>
      <c r="P262" s="2" t="str">
        <f>IFERROR(IF(ISBLANK(O262),"",INDEX([1]Gen_Vessels!$A$3:$C$500,MATCH(CorrectiveMinor!$O262,[1]Gen_Vessels!$C$3:$C$500,0),1)),"")</f>
        <v/>
      </c>
      <c r="Q262" s="2"/>
      <c r="R262" s="2"/>
      <c r="S262" s="2"/>
      <c r="T262" s="2"/>
      <c r="U262" s="2"/>
      <c r="W262" s="2"/>
      <c r="X262" s="2"/>
      <c r="Y262" s="2"/>
      <c r="Z262" s="2"/>
      <c r="AA262" s="2"/>
      <c r="AB262" s="2"/>
      <c r="AC262" s="2"/>
    </row>
    <row r="263" spans="1:29" x14ac:dyDescent="0.25">
      <c r="A263" s="1" t="str">
        <f t="shared" si="4"/>
        <v/>
      </c>
      <c r="B263" s="2"/>
      <c r="C263" s="2"/>
      <c r="D263" s="13"/>
      <c r="E263" s="14"/>
      <c r="F263" s="15"/>
      <c r="G263" s="8"/>
      <c r="M263" s="2"/>
      <c r="N263" s="2" t="str">
        <f>IFERROR(IF(ISBLANK(M263),"",INDEX([1]Gen_Vessels!$A$3:$C$500,MATCH(CorrectiveMinor!$M263,[1]Gen_Vessels!$C$3:$C$500,0),1)),"")</f>
        <v/>
      </c>
      <c r="O263" s="2"/>
      <c r="P263" s="2" t="str">
        <f>IFERROR(IF(ISBLANK(O263),"",INDEX([1]Gen_Vessels!$A$3:$C$500,MATCH(CorrectiveMinor!$O263,[1]Gen_Vessels!$C$3:$C$500,0),1)),"")</f>
        <v/>
      </c>
      <c r="Q263" s="2"/>
      <c r="R263" s="2"/>
      <c r="S263" s="2"/>
      <c r="T263" s="2"/>
      <c r="U263" s="2"/>
      <c r="W263" s="2"/>
      <c r="X263" s="2"/>
      <c r="Y263" s="2"/>
      <c r="Z263" s="2"/>
      <c r="AA263" s="2"/>
      <c r="AB263" s="2"/>
      <c r="AC263" s="2"/>
    </row>
    <row r="264" spans="1:29" x14ac:dyDescent="0.25">
      <c r="A264" s="1" t="str">
        <f t="shared" si="4"/>
        <v/>
      </c>
      <c r="B264" s="2"/>
      <c r="C264" s="2"/>
      <c r="D264" s="13"/>
      <c r="E264" s="14"/>
      <c r="F264" s="15"/>
      <c r="G264" s="8"/>
      <c r="M264" s="2"/>
      <c r="N264" s="2" t="str">
        <f>IFERROR(IF(ISBLANK(M264),"",INDEX([1]Gen_Vessels!$A$3:$C$500,MATCH(CorrectiveMinor!$M264,[1]Gen_Vessels!$C$3:$C$500,0),1)),"")</f>
        <v/>
      </c>
      <c r="O264" s="2"/>
      <c r="P264" s="2" t="str">
        <f>IFERROR(IF(ISBLANK(O264),"",INDEX([1]Gen_Vessels!$A$3:$C$500,MATCH(CorrectiveMinor!$O264,[1]Gen_Vessels!$C$3:$C$500,0),1)),"")</f>
        <v/>
      </c>
      <c r="Q264" s="2"/>
      <c r="R264" s="2"/>
      <c r="S264" s="2"/>
      <c r="T264" s="2"/>
      <c r="U264" s="2"/>
      <c r="W264" s="2"/>
      <c r="X264" s="2"/>
      <c r="Y264" s="2"/>
      <c r="Z264" s="2"/>
      <c r="AA264" s="2"/>
      <c r="AB264" s="2"/>
      <c r="AC264" s="2"/>
    </row>
    <row r="265" spans="1:29" x14ac:dyDescent="0.25">
      <c r="A265" s="1" t="str">
        <f t="shared" si="4"/>
        <v/>
      </c>
      <c r="B265" s="2"/>
      <c r="C265" s="2"/>
      <c r="D265" s="13"/>
      <c r="E265" s="14"/>
      <c r="F265" s="15"/>
      <c r="G265" s="8"/>
      <c r="M265" s="2"/>
      <c r="N265" s="2" t="str">
        <f>IFERROR(IF(ISBLANK(M265),"",INDEX([1]Gen_Vessels!$A$3:$C$500,MATCH(CorrectiveMinor!$M265,[1]Gen_Vessels!$C$3:$C$500,0),1)),"")</f>
        <v/>
      </c>
      <c r="O265" s="2"/>
      <c r="P265" s="2" t="str">
        <f>IFERROR(IF(ISBLANK(O265),"",INDEX([1]Gen_Vessels!$A$3:$C$500,MATCH(CorrectiveMinor!$O265,[1]Gen_Vessels!$C$3:$C$500,0),1)),"")</f>
        <v/>
      </c>
      <c r="Q265" s="2"/>
      <c r="R265" s="2"/>
      <c r="S265" s="2"/>
      <c r="T265" s="2"/>
      <c r="U265" s="2"/>
      <c r="W265" s="2"/>
      <c r="X265" s="2"/>
      <c r="Y265" s="2"/>
      <c r="Z265" s="2"/>
      <c r="AA265" s="2"/>
      <c r="AB265" s="2"/>
      <c r="AC265" s="2"/>
    </row>
    <row r="266" spans="1:29" x14ac:dyDescent="0.25">
      <c r="A266" s="1" t="str">
        <f t="shared" si="4"/>
        <v/>
      </c>
      <c r="B266" s="2"/>
      <c r="C266" s="2"/>
      <c r="D266" s="13"/>
      <c r="E266" s="14"/>
      <c r="F266" s="15"/>
      <c r="G266" s="8"/>
      <c r="M266" s="2"/>
      <c r="N266" s="2" t="str">
        <f>IFERROR(IF(ISBLANK(M266),"",INDEX([1]Gen_Vessels!$A$3:$C$500,MATCH(CorrectiveMinor!$M266,[1]Gen_Vessels!$C$3:$C$500,0),1)),"")</f>
        <v/>
      </c>
      <c r="O266" s="2"/>
      <c r="P266" s="2" t="str">
        <f>IFERROR(IF(ISBLANK(O266),"",INDEX([1]Gen_Vessels!$A$3:$C$500,MATCH(CorrectiveMinor!$O266,[1]Gen_Vessels!$C$3:$C$500,0),1)),"")</f>
        <v/>
      </c>
      <c r="Q266" s="2"/>
      <c r="R266" s="2"/>
      <c r="S266" s="2"/>
      <c r="T266" s="2"/>
      <c r="U266" s="2"/>
      <c r="W266" s="2"/>
      <c r="X266" s="2"/>
      <c r="Y266" s="2"/>
      <c r="Z266" s="2"/>
      <c r="AA266" s="2"/>
      <c r="AB266" s="2"/>
      <c r="AC266" s="2"/>
    </row>
    <row r="267" spans="1:29" x14ac:dyDescent="0.25">
      <c r="A267" s="1" t="str">
        <f t="shared" si="4"/>
        <v/>
      </c>
      <c r="B267" s="2"/>
      <c r="C267" s="2"/>
      <c r="D267" s="13"/>
      <c r="E267" s="14"/>
      <c r="F267" s="15"/>
      <c r="G267" s="8"/>
      <c r="M267" s="2"/>
      <c r="N267" s="2" t="str">
        <f>IFERROR(IF(ISBLANK(M267),"",INDEX([1]Gen_Vessels!$A$3:$C$500,MATCH(CorrectiveMinor!$M267,[1]Gen_Vessels!$C$3:$C$500,0),1)),"")</f>
        <v/>
      </c>
      <c r="O267" s="2"/>
      <c r="P267" s="2" t="str">
        <f>IFERROR(IF(ISBLANK(O267),"",INDEX([1]Gen_Vessels!$A$3:$C$500,MATCH(CorrectiveMinor!$O267,[1]Gen_Vessels!$C$3:$C$500,0),1)),"")</f>
        <v/>
      </c>
      <c r="Q267" s="2"/>
      <c r="R267" s="2"/>
      <c r="S267" s="2"/>
      <c r="T267" s="2"/>
      <c r="U267" s="2"/>
      <c r="W267" s="2"/>
      <c r="X267" s="2"/>
      <c r="Y267" s="2"/>
      <c r="Z267" s="2"/>
      <c r="AA267" s="2"/>
      <c r="AB267" s="2"/>
      <c r="AC267" s="2"/>
    </row>
    <row r="268" spans="1:29" x14ac:dyDescent="0.25">
      <c r="A268" s="1" t="str">
        <f t="shared" si="4"/>
        <v/>
      </c>
      <c r="B268" s="2"/>
      <c r="C268" s="2"/>
      <c r="D268" s="13"/>
      <c r="E268" s="14"/>
      <c r="F268" s="15"/>
      <c r="G268" s="8"/>
      <c r="M268" s="2"/>
      <c r="N268" s="2" t="str">
        <f>IFERROR(IF(ISBLANK(M268),"",INDEX([1]Gen_Vessels!$A$3:$C$500,MATCH(CorrectiveMinor!$M268,[1]Gen_Vessels!$C$3:$C$500,0),1)),"")</f>
        <v/>
      </c>
      <c r="O268" s="2"/>
      <c r="P268" s="2" t="str">
        <f>IFERROR(IF(ISBLANK(O268),"",INDEX([1]Gen_Vessels!$A$3:$C$500,MATCH(CorrectiveMinor!$O268,[1]Gen_Vessels!$C$3:$C$500,0),1)),"")</f>
        <v/>
      </c>
      <c r="Q268" s="2"/>
      <c r="R268" s="2"/>
      <c r="S268" s="2"/>
      <c r="T268" s="2"/>
      <c r="U268" s="2"/>
      <c r="W268" s="2"/>
      <c r="X268" s="2"/>
      <c r="Y268" s="2"/>
      <c r="Z268" s="2"/>
      <c r="AA268" s="2"/>
      <c r="AB268" s="2"/>
      <c r="AC268" s="2"/>
    </row>
    <row r="269" spans="1:29" x14ac:dyDescent="0.25">
      <c r="A269" s="1" t="str">
        <f t="shared" si="4"/>
        <v/>
      </c>
      <c r="B269" s="2"/>
      <c r="C269" s="2"/>
      <c r="D269" s="13"/>
      <c r="E269" s="14"/>
      <c r="F269" s="15"/>
      <c r="G269" s="8"/>
      <c r="M269" s="2"/>
      <c r="N269" s="2" t="str">
        <f>IFERROR(IF(ISBLANK(M269),"",INDEX([1]Gen_Vessels!$A$3:$C$500,MATCH(CorrectiveMinor!$M269,[1]Gen_Vessels!$C$3:$C$500,0),1)),"")</f>
        <v/>
      </c>
      <c r="O269" s="2"/>
      <c r="P269" s="2" t="str">
        <f>IFERROR(IF(ISBLANK(O269),"",INDEX([1]Gen_Vessels!$A$3:$C$500,MATCH(CorrectiveMinor!$O269,[1]Gen_Vessels!$C$3:$C$500,0),1)),"")</f>
        <v/>
      </c>
      <c r="Q269" s="2"/>
      <c r="R269" s="2"/>
      <c r="S269" s="2"/>
      <c r="T269" s="2"/>
      <c r="U269" s="2"/>
      <c r="W269" s="2"/>
      <c r="X269" s="2"/>
      <c r="Y269" s="2"/>
      <c r="Z269" s="2"/>
      <c r="AA269" s="2"/>
      <c r="AB269" s="2"/>
      <c r="AC269" s="2"/>
    </row>
    <row r="270" spans="1:29" x14ac:dyDescent="0.25">
      <c r="A270" s="1" t="str">
        <f t="shared" si="4"/>
        <v/>
      </c>
      <c r="B270" s="2"/>
      <c r="C270" s="2"/>
      <c r="D270" s="13"/>
      <c r="E270" s="14"/>
      <c r="F270" s="15"/>
      <c r="G270" s="8"/>
      <c r="M270" s="2"/>
      <c r="N270" s="2" t="str">
        <f>IFERROR(IF(ISBLANK(M270),"",INDEX([1]Gen_Vessels!$A$3:$C$500,MATCH(CorrectiveMinor!$M270,[1]Gen_Vessels!$C$3:$C$500,0),1)),"")</f>
        <v/>
      </c>
      <c r="O270" s="2"/>
      <c r="P270" s="2" t="str">
        <f>IFERROR(IF(ISBLANK(O270),"",INDEX([1]Gen_Vessels!$A$3:$C$500,MATCH(CorrectiveMinor!$O270,[1]Gen_Vessels!$C$3:$C$500,0),1)),"")</f>
        <v/>
      </c>
      <c r="Q270" s="2"/>
      <c r="R270" s="2"/>
      <c r="S270" s="2"/>
      <c r="T270" s="2"/>
      <c r="U270" s="2"/>
      <c r="W270" s="2"/>
      <c r="X270" s="2"/>
      <c r="Y270" s="2"/>
      <c r="Z270" s="2"/>
      <c r="AA270" s="2"/>
      <c r="AB270" s="2"/>
      <c r="AC270" s="2"/>
    </row>
    <row r="271" spans="1:29" x14ac:dyDescent="0.25">
      <c r="A271" s="1" t="str">
        <f t="shared" si="4"/>
        <v/>
      </c>
      <c r="B271" s="2"/>
      <c r="C271" s="2"/>
      <c r="D271" s="13"/>
      <c r="E271" s="14"/>
      <c r="F271" s="15"/>
      <c r="G271" s="8"/>
      <c r="M271" s="2"/>
      <c r="N271" s="2" t="str">
        <f>IFERROR(IF(ISBLANK(M271),"",INDEX([1]Gen_Vessels!$A$3:$C$500,MATCH(CorrectiveMinor!$M271,[1]Gen_Vessels!$C$3:$C$500,0),1)),"")</f>
        <v/>
      </c>
      <c r="O271" s="2"/>
      <c r="P271" s="2" t="str">
        <f>IFERROR(IF(ISBLANK(O271),"",INDEX([1]Gen_Vessels!$A$3:$C$500,MATCH(CorrectiveMinor!$O271,[1]Gen_Vessels!$C$3:$C$500,0),1)),"")</f>
        <v/>
      </c>
      <c r="Q271" s="2"/>
      <c r="R271" s="2"/>
      <c r="S271" s="2"/>
      <c r="T271" s="2"/>
      <c r="U271" s="2"/>
      <c r="W271" s="2"/>
      <c r="X271" s="2"/>
      <c r="Y271" s="2"/>
      <c r="Z271" s="2"/>
      <c r="AA271" s="2"/>
      <c r="AB271" s="2"/>
      <c r="AC271" s="2"/>
    </row>
    <row r="272" spans="1:29" x14ac:dyDescent="0.25">
      <c r="A272" s="1" t="str">
        <f t="shared" si="4"/>
        <v/>
      </c>
      <c r="B272" s="2"/>
      <c r="C272" s="2"/>
      <c r="D272" s="13"/>
      <c r="E272" s="14"/>
      <c r="F272" s="15"/>
      <c r="G272" s="8"/>
      <c r="M272" s="2"/>
      <c r="N272" s="2" t="str">
        <f>IFERROR(IF(ISBLANK(M272),"",INDEX([1]Gen_Vessels!$A$3:$C$500,MATCH(CorrectiveMinor!$M272,[1]Gen_Vessels!$C$3:$C$500,0),1)),"")</f>
        <v/>
      </c>
      <c r="O272" s="2"/>
      <c r="P272" s="2" t="str">
        <f>IFERROR(IF(ISBLANK(O272),"",INDEX([1]Gen_Vessels!$A$3:$C$500,MATCH(CorrectiveMinor!$O272,[1]Gen_Vessels!$C$3:$C$500,0),1)),"")</f>
        <v/>
      </c>
      <c r="Q272" s="2"/>
      <c r="R272" s="2"/>
      <c r="S272" s="2"/>
      <c r="T272" s="2"/>
      <c r="U272" s="2"/>
      <c r="W272" s="2"/>
      <c r="X272" s="2"/>
      <c r="Y272" s="2"/>
      <c r="Z272" s="2"/>
      <c r="AA272" s="2"/>
      <c r="AB272" s="2"/>
      <c r="AC272" s="2"/>
    </row>
    <row r="273" spans="1:29" x14ac:dyDescent="0.25">
      <c r="A273" s="1" t="str">
        <f t="shared" si="4"/>
        <v/>
      </c>
      <c r="B273" s="2"/>
      <c r="C273" s="2"/>
      <c r="D273" s="13"/>
      <c r="E273" s="14"/>
      <c r="F273" s="15"/>
      <c r="G273" s="8"/>
      <c r="M273" s="2"/>
      <c r="N273" s="2" t="str">
        <f>IFERROR(IF(ISBLANK(M273),"",INDEX([1]Gen_Vessels!$A$3:$C$500,MATCH(CorrectiveMinor!$M273,[1]Gen_Vessels!$C$3:$C$500,0),1)),"")</f>
        <v/>
      </c>
      <c r="O273" s="2"/>
      <c r="P273" s="2" t="str">
        <f>IFERROR(IF(ISBLANK(O273),"",INDEX([1]Gen_Vessels!$A$3:$C$500,MATCH(CorrectiveMinor!$O273,[1]Gen_Vessels!$C$3:$C$500,0),1)),"")</f>
        <v/>
      </c>
      <c r="Q273" s="2"/>
      <c r="R273" s="2"/>
      <c r="S273" s="2"/>
      <c r="T273" s="2"/>
      <c r="U273" s="2"/>
      <c r="W273" s="2"/>
      <c r="X273" s="2"/>
      <c r="Y273" s="2"/>
      <c r="Z273" s="2"/>
      <c r="AA273" s="2"/>
      <c r="AB273" s="2"/>
      <c r="AC273" s="2"/>
    </row>
    <row r="274" spans="1:29" x14ac:dyDescent="0.25">
      <c r="A274" s="1" t="str">
        <f t="shared" si="4"/>
        <v/>
      </c>
      <c r="B274" s="2"/>
      <c r="C274" s="2"/>
      <c r="D274" s="13"/>
      <c r="E274" s="14"/>
      <c r="F274" s="15"/>
      <c r="G274" s="8"/>
      <c r="M274" s="2"/>
      <c r="N274" s="2" t="str">
        <f>IFERROR(IF(ISBLANK(M274),"",INDEX([1]Gen_Vessels!$A$3:$C$500,MATCH(CorrectiveMinor!$M274,[1]Gen_Vessels!$C$3:$C$500,0),1)),"")</f>
        <v/>
      </c>
      <c r="O274" s="2"/>
      <c r="P274" s="2" t="str">
        <f>IFERROR(IF(ISBLANK(O274),"",INDEX([1]Gen_Vessels!$A$3:$C$500,MATCH(CorrectiveMinor!$O274,[1]Gen_Vessels!$C$3:$C$500,0),1)),"")</f>
        <v/>
      </c>
      <c r="Q274" s="2"/>
      <c r="R274" s="2"/>
      <c r="S274" s="2"/>
      <c r="T274" s="2"/>
      <c r="U274" s="2"/>
      <c r="W274" s="2"/>
      <c r="X274" s="2"/>
      <c r="Y274" s="2"/>
      <c r="Z274" s="2"/>
      <c r="AA274" s="2"/>
      <c r="AB274" s="2"/>
      <c r="AC274" s="2"/>
    </row>
    <row r="275" spans="1:29" x14ac:dyDescent="0.25">
      <c r="A275" s="1" t="str">
        <f t="shared" si="4"/>
        <v/>
      </c>
      <c r="B275" s="2"/>
      <c r="C275" s="2"/>
      <c r="D275" s="13"/>
      <c r="E275" s="14"/>
      <c r="F275" s="15"/>
      <c r="G275" s="8"/>
      <c r="M275" s="2"/>
      <c r="N275" s="2" t="str">
        <f>IFERROR(IF(ISBLANK(M275),"",INDEX([1]Gen_Vessels!$A$3:$C$500,MATCH(CorrectiveMinor!$M275,[1]Gen_Vessels!$C$3:$C$500,0),1)),"")</f>
        <v/>
      </c>
      <c r="O275" s="2"/>
      <c r="P275" s="2" t="str">
        <f>IFERROR(IF(ISBLANK(O275),"",INDEX([1]Gen_Vessels!$A$3:$C$500,MATCH(CorrectiveMinor!$O275,[1]Gen_Vessels!$C$3:$C$500,0),1)),"")</f>
        <v/>
      </c>
      <c r="Q275" s="2"/>
      <c r="R275" s="2"/>
      <c r="S275" s="2"/>
      <c r="T275" s="2"/>
      <c r="U275" s="2"/>
      <c r="W275" s="2"/>
      <c r="X275" s="2"/>
      <c r="Y275" s="2"/>
      <c r="Z275" s="2"/>
      <c r="AA275" s="2"/>
      <c r="AB275" s="2"/>
      <c r="AC275" s="2"/>
    </row>
    <row r="276" spans="1:29" x14ac:dyDescent="0.25">
      <c r="A276" s="1" t="str">
        <f t="shared" si="4"/>
        <v/>
      </c>
      <c r="B276" s="2"/>
      <c r="C276" s="2"/>
      <c r="D276" s="13"/>
      <c r="E276" s="14"/>
      <c r="F276" s="15"/>
      <c r="G276" s="8"/>
      <c r="M276" s="2"/>
      <c r="N276" s="2" t="str">
        <f>IFERROR(IF(ISBLANK(M276),"",INDEX([1]Gen_Vessels!$A$3:$C$500,MATCH(CorrectiveMinor!$M276,[1]Gen_Vessels!$C$3:$C$500,0),1)),"")</f>
        <v/>
      </c>
      <c r="O276" s="2"/>
      <c r="P276" s="2" t="str">
        <f>IFERROR(IF(ISBLANK(O276),"",INDEX([1]Gen_Vessels!$A$3:$C$500,MATCH(CorrectiveMinor!$O276,[1]Gen_Vessels!$C$3:$C$500,0),1)),"")</f>
        <v/>
      </c>
      <c r="Q276" s="2"/>
      <c r="R276" s="2"/>
      <c r="S276" s="2"/>
      <c r="T276" s="2"/>
      <c r="U276" s="2"/>
      <c r="W276" s="2"/>
      <c r="X276" s="2"/>
      <c r="Y276" s="2"/>
      <c r="Z276" s="2"/>
      <c r="AA276" s="2"/>
      <c r="AB276" s="2"/>
      <c r="AC276" s="2"/>
    </row>
    <row r="277" spans="1:29" x14ac:dyDescent="0.25">
      <c r="A277" s="1" t="str">
        <f t="shared" si="4"/>
        <v/>
      </c>
      <c r="B277" s="2"/>
      <c r="C277" s="2"/>
      <c r="D277" s="13"/>
      <c r="E277" s="14"/>
      <c r="F277" s="15"/>
      <c r="G277" s="8"/>
      <c r="M277" s="2"/>
      <c r="N277" s="2" t="str">
        <f>IFERROR(IF(ISBLANK(M277),"",INDEX([1]Gen_Vessels!$A$3:$C$500,MATCH(CorrectiveMinor!$M277,[1]Gen_Vessels!$C$3:$C$500,0),1)),"")</f>
        <v/>
      </c>
      <c r="O277" s="2"/>
      <c r="P277" s="2" t="str">
        <f>IFERROR(IF(ISBLANK(O277),"",INDEX([1]Gen_Vessels!$A$3:$C$500,MATCH(CorrectiveMinor!$O277,[1]Gen_Vessels!$C$3:$C$500,0),1)),"")</f>
        <v/>
      </c>
      <c r="Q277" s="2"/>
      <c r="R277" s="2"/>
      <c r="S277" s="2"/>
      <c r="T277" s="2"/>
      <c r="U277" s="2"/>
      <c r="W277" s="2"/>
      <c r="X277" s="2"/>
      <c r="Y277" s="2"/>
      <c r="Z277" s="2"/>
      <c r="AA277" s="2"/>
      <c r="AB277" s="2"/>
      <c r="AC277" s="2"/>
    </row>
    <row r="278" spans="1:29" x14ac:dyDescent="0.25">
      <c r="A278" s="1" t="str">
        <f t="shared" si="4"/>
        <v/>
      </c>
      <c r="B278" s="2"/>
      <c r="C278" s="2"/>
      <c r="D278" s="13"/>
      <c r="E278" s="14"/>
      <c r="F278" s="15"/>
      <c r="G278" s="8"/>
      <c r="M278" s="2"/>
      <c r="N278" s="2" t="str">
        <f>IFERROR(IF(ISBLANK(M278),"",INDEX([1]Gen_Vessels!$A$3:$C$500,MATCH(CorrectiveMinor!$M278,[1]Gen_Vessels!$C$3:$C$500,0),1)),"")</f>
        <v/>
      </c>
      <c r="O278" s="2"/>
      <c r="P278" s="2" t="str">
        <f>IFERROR(IF(ISBLANK(O278),"",INDEX([1]Gen_Vessels!$A$3:$C$500,MATCH(CorrectiveMinor!$O278,[1]Gen_Vessels!$C$3:$C$500,0),1)),"")</f>
        <v/>
      </c>
      <c r="Q278" s="2"/>
      <c r="R278" s="2"/>
      <c r="S278" s="2"/>
      <c r="T278" s="2"/>
      <c r="U278" s="2"/>
      <c r="W278" s="2"/>
      <c r="X278" s="2"/>
      <c r="Y278" s="2"/>
      <c r="Z278" s="2"/>
      <c r="AA278" s="2"/>
      <c r="AB278" s="2"/>
      <c r="AC278" s="2"/>
    </row>
    <row r="279" spans="1:29" x14ac:dyDescent="0.25">
      <c r="A279" s="1" t="str">
        <f t="shared" si="4"/>
        <v/>
      </c>
      <c r="B279" s="2"/>
      <c r="C279" s="2"/>
      <c r="D279" s="13"/>
      <c r="E279" s="14"/>
      <c r="F279" s="15"/>
      <c r="G279" s="8"/>
      <c r="M279" s="2"/>
      <c r="N279" s="2" t="str">
        <f>IFERROR(IF(ISBLANK(M279),"",INDEX([1]Gen_Vessels!$A$3:$C$500,MATCH(CorrectiveMinor!$M279,[1]Gen_Vessels!$C$3:$C$500,0),1)),"")</f>
        <v/>
      </c>
      <c r="O279" s="2"/>
      <c r="P279" s="2" t="str">
        <f>IFERROR(IF(ISBLANK(O279),"",INDEX([1]Gen_Vessels!$A$3:$C$500,MATCH(CorrectiveMinor!$O279,[1]Gen_Vessels!$C$3:$C$500,0),1)),"")</f>
        <v/>
      </c>
      <c r="Q279" s="2"/>
      <c r="R279" s="2"/>
      <c r="S279" s="2"/>
      <c r="T279" s="2"/>
      <c r="U279" s="2"/>
      <c r="W279" s="2"/>
      <c r="X279" s="2"/>
      <c r="Y279" s="2"/>
      <c r="Z279" s="2"/>
      <c r="AA279" s="2"/>
      <c r="AB279" s="2"/>
      <c r="AC279" s="2"/>
    </row>
    <row r="280" spans="1:29" x14ac:dyDescent="0.25">
      <c r="A280" s="1" t="str">
        <f t="shared" si="4"/>
        <v/>
      </c>
      <c r="B280" s="2"/>
      <c r="C280" s="2"/>
      <c r="D280" s="13"/>
      <c r="E280" s="14"/>
      <c r="F280" s="15"/>
      <c r="G280" s="8"/>
      <c r="M280" s="2"/>
      <c r="N280" s="2" t="str">
        <f>IFERROR(IF(ISBLANK(M280),"",INDEX([1]Gen_Vessels!$A$3:$C$500,MATCH(CorrectiveMinor!$M280,[1]Gen_Vessels!$C$3:$C$500,0),1)),"")</f>
        <v/>
      </c>
      <c r="O280" s="2"/>
      <c r="P280" s="2" t="str">
        <f>IFERROR(IF(ISBLANK(O280),"",INDEX([1]Gen_Vessels!$A$3:$C$500,MATCH(CorrectiveMinor!$O280,[1]Gen_Vessels!$C$3:$C$500,0),1)),"")</f>
        <v/>
      </c>
      <c r="Q280" s="2"/>
      <c r="R280" s="2"/>
      <c r="S280" s="2"/>
      <c r="T280" s="2"/>
      <c r="U280" s="2"/>
      <c r="W280" s="2"/>
      <c r="X280" s="2"/>
      <c r="Y280" s="2"/>
      <c r="Z280" s="2"/>
      <c r="AA280" s="2"/>
      <c r="AB280" s="2"/>
      <c r="AC280" s="2"/>
    </row>
    <row r="281" spans="1:29" x14ac:dyDescent="0.25">
      <c r="A281" s="1" t="str">
        <f t="shared" si="4"/>
        <v/>
      </c>
      <c r="B281" s="2"/>
      <c r="C281" s="2"/>
      <c r="D281" s="13"/>
      <c r="E281" s="14"/>
      <c r="F281" s="15"/>
      <c r="G281" s="8"/>
      <c r="M281" s="2"/>
      <c r="N281" s="2" t="str">
        <f>IFERROR(IF(ISBLANK(M281),"",INDEX([1]Gen_Vessels!$A$3:$C$500,MATCH(CorrectiveMinor!$M281,[1]Gen_Vessels!$C$3:$C$500,0),1)),"")</f>
        <v/>
      </c>
      <c r="O281" s="2"/>
      <c r="P281" s="2" t="str">
        <f>IFERROR(IF(ISBLANK(O281),"",INDEX([1]Gen_Vessels!$A$3:$C$500,MATCH(CorrectiveMinor!$O281,[1]Gen_Vessels!$C$3:$C$500,0),1)),"")</f>
        <v/>
      </c>
      <c r="Q281" s="2"/>
      <c r="R281" s="2"/>
      <c r="S281" s="2"/>
      <c r="T281" s="2"/>
      <c r="U281" s="2"/>
      <c r="W281" s="2"/>
      <c r="X281" s="2"/>
      <c r="Y281" s="2"/>
      <c r="Z281" s="2"/>
      <c r="AA281" s="2"/>
      <c r="AB281" s="2"/>
      <c r="AC281" s="2"/>
    </row>
    <row r="282" spans="1:29" x14ac:dyDescent="0.25">
      <c r="A282" s="1" t="str">
        <f t="shared" si="4"/>
        <v/>
      </c>
      <c r="B282" s="2"/>
      <c r="C282" s="2"/>
      <c r="D282" s="13"/>
      <c r="E282" s="14"/>
      <c r="F282" s="15"/>
      <c r="G282" s="8"/>
      <c r="M282" s="2"/>
      <c r="N282" s="2" t="str">
        <f>IFERROR(IF(ISBLANK(M282),"",INDEX([1]Gen_Vessels!$A$3:$C$500,MATCH(CorrectiveMinor!$M282,[1]Gen_Vessels!$C$3:$C$500,0),1)),"")</f>
        <v/>
      </c>
      <c r="O282" s="2"/>
      <c r="P282" s="2" t="str">
        <f>IFERROR(IF(ISBLANK(O282),"",INDEX([1]Gen_Vessels!$A$3:$C$500,MATCH(CorrectiveMinor!$O282,[1]Gen_Vessels!$C$3:$C$500,0),1)),"")</f>
        <v/>
      </c>
      <c r="Q282" s="2"/>
      <c r="R282" s="2"/>
      <c r="S282" s="2"/>
      <c r="T282" s="2"/>
      <c r="U282" s="2"/>
      <c r="W282" s="2"/>
      <c r="X282" s="2"/>
      <c r="Y282" s="2"/>
      <c r="Z282" s="2"/>
      <c r="AA282" s="2"/>
      <c r="AB282" s="2"/>
      <c r="AC282" s="2"/>
    </row>
    <row r="283" spans="1:29" x14ac:dyDescent="0.25">
      <c r="A283" s="1" t="str">
        <f t="shared" si="4"/>
        <v/>
      </c>
      <c r="B283" s="2"/>
      <c r="C283" s="2"/>
      <c r="D283" s="13"/>
      <c r="E283" s="14"/>
      <c r="F283" s="15"/>
      <c r="G283" s="8"/>
      <c r="M283" s="2"/>
      <c r="N283" s="2" t="str">
        <f>IFERROR(IF(ISBLANK(M283),"",INDEX([1]Gen_Vessels!$A$3:$C$500,MATCH(CorrectiveMinor!$M283,[1]Gen_Vessels!$C$3:$C$500,0),1)),"")</f>
        <v/>
      </c>
      <c r="O283" s="2"/>
      <c r="P283" s="2" t="str">
        <f>IFERROR(IF(ISBLANK(O283),"",INDEX([1]Gen_Vessels!$A$3:$C$500,MATCH(CorrectiveMinor!$O283,[1]Gen_Vessels!$C$3:$C$500,0),1)),"")</f>
        <v/>
      </c>
      <c r="Q283" s="2"/>
      <c r="R283" s="2"/>
      <c r="S283" s="2"/>
      <c r="T283" s="2"/>
      <c r="U283" s="2"/>
      <c r="W283" s="2"/>
      <c r="X283" s="2"/>
      <c r="Y283" s="2"/>
      <c r="Z283" s="2"/>
      <c r="AA283" s="2"/>
      <c r="AB283" s="2"/>
      <c r="AC283" s="2"/>
    </row>
    <row r="284" spans="1:29" x14ac:dyDescent="0.25">
      <c r="A284" s="1" t="str">
        <f t="shared" si="4"/>
        <v/>
      </c>
      <c r="B284" s="2"/>
      <c r="C284" s="2"/>
      <c r="D284" s="13"/>
      <c r="E284" s="14"/>
      <c r="F284" s="15"/>
      <c r="G284" s="8"/>
      <c r="M284" s="2"/>
      <c r="N284" s="2" t="str">
        <f>IFERROR(IF(ISBLANK(M284),"",INDEX([1]Gen_Vessels!$A$3:$C$500,MATCH(CorrectiveMinor!$M284,[1]Gen_Vessels!$C$3:$C$500,0),1)),"")</f>
        <v/>
      </c>
      <c r="O284" s="2"/>
      <c r="P284" s="2" t="str">
        <f>IFERROR(IF(ISBLANK(O284),"",INDEX([1]Gen_Vessels!$A$3:$C$500,MATCH(CorrectiveMinor!$O284,[1]Gen_Vessels!$C$3:$C$500,0),1)),"")</f>
        <v/>
      </c>
      <c r="Q284" s="2"/>
      <c r="R284" s="2"/>
      <c r="S284" s="2"/>
      <c r="T284" s="2"/>
      <c r="U284" s="2"/>
      <c r="W284" s="2"/>
      <c r="X284" s="2"/>
      <c r="Y284" s="2"/>
      <c r="Z284" s="2"/>
      <c r="AA284" s="2"/>
      <c r="AB284" s="2"/>
      <c r="AC284" s="2"/>
    </row>
    <row r="285" spans="1:29" x14ac:dyDescent="0.25">
      <c r="A285" s="1" t="str">
        <f t="shared" si="4"/>
        <v/>
      </c>
      <c r="B285" s="2"/>
      <c r="C285" s="2"/>
      <c r="D285" s="13"/>
      <c r="E285" s="14"/>
      <c r="F285" s="15"/>
      <c r="G285" s="8"/>
      <c r="M285" s="2"/>
      <c r="N285" s="2" t="str">
        <f>IFERROR(IF(ISBLANK(M285),"",INDEX([1]Gen_Vessels!$A$3:$C$500,MATCH(CorrectiveMinor!$M285,[1]Gen_Vessels!$C$3:$C$500,0),1)),"")</f>
        <v/>
      </c>
      <c r="O285" s="2"/>
      <c r="P285" s="2" t="str">
        <f>IFERROR(IF(ISBLANK(O285),"",INDEX([1]Gen_Vessels!$A$3:$C$500,MATCH(CorrectiveMinor!$O285,[1]Gen_Vessels!$C$3:$C$500,0),1)),"")</f>
        <v/>
      </c>
      <c r="Q285" s="2"/>
      <c r="R285" s="2"/>
      <c r="S285" s="2"/>
      <c r="T285" s="2"/>
      <c r="U285" s="2"/>
      <c r="W285" s="2"/>
      <c r="X285" s="2"/>
      <c r="Y285" s="2"/>
      <c r="Z285" s="2"/>
      <c r="AA285" s="2"/>
      <c r="AB285" s="2"/>
      <c r="AC285" s="2"/>
    </row>
    <row r="286" spans="1:29" x14ac:dyDescent="0.25">
      <c r="A286" s="1" t="str">
        <f t="shared" si="4"/>
        <v/>
      </c>
      <c r="B286" s="2"/>
      <c r="C286" s="2"/>
      <c r="D286" s="13"/>
      <c r="E286" s="14"/>
      <c r="F286" s="15"/>
      <c r="G286" s="8"/>
      <c r="M286" s="2"/>
      <c r="N286" s="2" t="str">
        <f>IFERROR(IF(ISBLANK(M286),"",INDEX([1]Gen_Vessels!$A$3:$C$500,MATCH(CorrectiveMinor!$M286,[1]Gen_Vessels!$C$3:$C$500,0),1)),"")</f>
        <v/>
      </c>
      <c r="O286" s="2"/>
      <c r="P286" s="2" t="str">
        <f>IFERROR(IF(ISBLANK(O286),"",INDEX([1]Gen_Vessels!$A$3:$C$500,MATCH(CorrectiveMinor!$O286,[1]Gen_Vessels!$C$3:$C$500,0),1)),"")</f>
        <v/>
      </c>
      <c r="Q286" s="2"/>
      <c r="R286" s="2"/>
      <c r="S286" s="2"/>
      <c r="T286" s="2"/>
      <c r="U286" s="2"/>
      <c r="W286" s="2"/>
      <c r="X286" s="2"/>
      <c r="Y286" s="2"/>
      <c r="Z286" s="2"/>
      <c r="AA286" s="2"/>
      <c r="AB286" s="2"/>
      <c r="AC286" s="2"/>
    </row>
    <row r="287" spans="1:29" x14ac:dyDescent="0.25">
      <c r="A287" s="1" t="str">
        <f t="shared" si="4"/>
        <v/>
      </c>
      <c r="B287" s="2"/>
      <c r="C287" s="2"/>
      <c r="D287" s="13"/>
      <c r="E287" s="14"/>
      <c r="F287" s="15"/>
      <c r="G287" s="8"/>
      <c r="M287" s="2"/>
      <c r="N287" s="2" t="str">
        <f>IFERROR(IF(ISBLANK(M287),"",INDEX([1]Gen_Vessels!$A$3:$C$500,MATCH(CorrectiveMinor!$M287,[1]Gen_Vessels!$C$3:$C$500,0),1)),"")</f>
        <v/>
      </c>
      <c r="O287" s="2"/>
      <c r="P287" s="2" t="str">
        <f>IFERROR(IF(ISBLANK(O287),"",INDEX([1]Gen_Vessels!$A$3:$C$500,MATCH(CorrectiveMinor!$O287,[1]Gen_Vessels!$C$3:$C$500,0),1)),"")</f>
        <v/>
      </c>
      <c r="Q287" s="2"/>
      <c r="R287" s="2"/>
      <c r="S287" s="2"/>
      <c r="T287" s="2"/>
      <c r="U287" s="2"/>
      <c r="W287" s="2"/>
      <c r="X287" s="2"/>
      <c r="Y287" s="2"/>
      <c r="Z287" s="2"/>
      <c r="AA287" s="2"/>
      <c r="AB287" s="2"/>
      <c r="AC287" s="2"/>
    </row>
    <row r="288" spans="1:29" x14ac:dyDescent="0.25">
      <c r="A288" s="1" t="str">
        <f t="shared" si="4"/>
        <v/>
      </c>
      <c r="B288" s="2"/>
      <c r="C288" s="2"/>
      <c r="D288" s="13"/>
      <c r="E288" s="14"/>
      <c r="F288" s="15"/>
      <c r="G288" s="8"/>
      <c r="M288" s="2"/>
      <c r="N288" s="2" t="str">
        <f>IFERROR(IF(ISBLANK(M288),"",INDEX([1]Gen_Vessels!$A$3:$C$500,MATCH(CorrectiveMinor!$M288,[1]Gen_Vessels!$C$3:$C$500,0),1)),"")</f>
        <v/>
      </c>
      <c r="O288" s="2"/>
      <c r="P288" s="2" t="str">
        <f>IFERROR(IF(ISBLANK(O288),"",INDEX([1]Gen_Vessels!$A$3:$C$500,MATCH(CorrectiveMinor!$O288,[1]Gen_Vessels!$C$3:$C$500,0),1)),"")</f>
        <v/>
      </c>
      <c r="Q288" s="2"/>
      <c r="R288" s="2"/>
      <c r="S288" s="2"/>
      <c r="T288" s="2"/>
      <c r="U288" s="2"/>
      <c r="W288" s="2"/>
      <c r="X288" s="2"/>
      <c r="Y288" s="2"/>
      <c r="Z288" s="2"/>
      <c r="AA288" s="2"/>
      <c r="AB288" s="2"/>
      <c r="AC288" s="2"/>
    </row>
    <row r="289" spans="1:29" x14ac:dyDescent="0.25">
      <c r="A289" s="1" t="str">
        <f t="shared" si="4"/>
        <v/>
      </c>
      <c r="B289" s="2"/>
      <c r="C289" s="2"/>
      <c r="D289" s="13"/>
      <c r="E289" s="14"/>
      <c r="F289" s="15"/>
      <c r="G289" s="8"/>
      <c r="M289" s="2"/>
      <c r="N289" s="2" t="str">
        <f>IFERROR(IF(ISBLANK(M289),"",INDEX([1]Gen_Vessels!$A$3:$C$500,MATCH(CorrectiveMinor!$M289,[1]Gen_Vessels!$C$3:$C$500,0),1)),"")</f>
        <v/>
      </c>
      <c r="O289" s="2"/>
      <c r="P289" s="2" t="str">
        <f>IFERROR(IF(ISBLANK(O289),"",INDEX([1]Gen_Vessels!$A$3:$C$500,MATCH(CorrectiveMinor!$O289,[1]Gen_Vessels!$C$3:$C$500,0),1)),"")</f>
        <v/>
      </c>
      <c r="Q289" s="2"/>
      <c r="R289" s="2"/>
      <c r="S289" s="2"/>
      <c r="T289" s="2"/>
      <c r="U289" s="2"/>
      <c r="W289" s="2"/>
      <c r="X289" s="2"/>
      <c r="Y289" s="2"/>
      <c r="Z289" s="2"/>
      <c r="AA289" s="2"/>
      <c r="AB289" s="2"/>
      <c r="AC289" s="2"/>
    </row>
    <row r="290" spans="1:29" x14ac:dyDescent="0.25">
      <c r="A290" s="1" t="str">
        <f t="shared" si="4"/>
        <v/>
      </c>
      <c r="B290" s="2"/>
      <c r="C290" s="2"/>
      <c r="D290" s="13"/>
      <c r="E290" s="14"/>
      <c r="F290" s="15"/>
      <c r="G290" s="8"/>
      <c r="M290" s="2"/>
      <c r="N290" s="2" t="str">
        <f>IFERROR(IF(ISBLANK(M290),"",INDEX([1]Gen_Vessels!$A$3:$C$500,MATCH(CorrectiveMinor!$M290,[1]Gen_Vessels!$C$3:$C$500,0),1)),"")</f>
        <v/>
      </c>
      <c r="O290" s="2"/>
      <c r="P290" s="2" t="str">
        <f>IFERROR(IF(ISBLANK(O290),"",INDEX([1]Gen_Vessels!$A$3:$C$500,MATCH(CorrectiveMinor!$O290,[1]Gen_Vessels!$C$3:$C$500,0),1)),"")</f>
        <v/>
      </c>
      <c r="Q290" s="2"/>
      <c r="R290" s="2"/>
      <c r="S290" s="2"/>
      <c r="T290" s="2"/>
      <c r="U290" s="2"/>
      <c r="W290" s="2"/>
      <c r="X290" s="2"/>
      <c r="Y290" s="2"/>
      <c r="Z290" s="2"/>
      <c r="AA290" s="2"/>
      <c r="AB290" s="2"/>
      <c r="AC290" s="2"/>
    </row>
    <row r="291" spans="1:29" x14ac:dyDescent="0.25">
      <c r="A291" s="1" t="str">
        <f t="shared" si="4"/>
        <v/>
      </c>
      <c r="B291" s="2"/>
      <c r="C291" s="2"/>
      <c r="D291" s="13"/>
      <c r="E291" s="14"/>
      <c r="F291" s="15"/>
      <c r="G291" s="8"/>
      <c r="M291" s="2"/>
      <c r="N291" s="2" t="str">
        <f>IFERROR(IF(ISBLANK(M291),"",INDEX([1]Gen_Vessels!$A$3:$C$500,MATCH(CorrectiveMinor!$M291,[1]Gen_Vessels!$C$3:$C$500,0),1)),"")</f>
        <v/>
      </c>
      <c r="O291" s="2"/>
      <c r="P291" s="2" t="str">
        <f>IFERROR(IF(ISBLANK(O291),"",INDEX([1]Gen_Vessels!$A$3:$C$500,MATCH(CorrectiveMinor!$O291,[1]Gen_Vessels!$C$3:$C$500,0),1)),"")</f>
        <v/>
      </c>
      <c r="Q291" s="2"/>
      <c r="R291" s="2"/>
      <c r="S291" s="2"/>
      <c r="T291" s="2"/>
      <c r="U291" s="2"/>
      <c r="W291" s="2"/>
      <c r="X291" s="2"/>
      <c r="Y291" s="2"/>
      <c r="Z291" s="2"/>
      <c r="AA291" s="2"/>
      <c r="AB291" s="2"/>
      <c r="AC291" s="2"/>
    </row>
    <row r="292" spans="1:29" x14ac:dyDescent="0.25">
      <c r="A292" s="1" t="str">
        <f t="shared" si="4"/>
        <v/>
      </c>
      <c r="B292" s="2"/>
      <c r="C292" s="2"/>
      <c r="D292" s="13"/>
      <c r="E292" s="14"/>
      <c r="F292" s="15"/>
      <c r="G292" s="8"/>
      <c r="M292" s="2"/>
      <c r="N292" s="2" t="str">
        <f>IFERROR(IF(ISBLANK(M292),"",INDEX([1]Gen_Vessels!$A$3:$C$500,MATCH(CorrectiveMinor!$M292,[1]Gen_Vessels!$C$3:$C$500,0),1)),"")</f>
        <v/>
      </c>
      <c r="O292" s="2"/>
      <c r="P292" s="2" t="str">
        <f>IFERROR(IF(ISBLANK(O292),"",INDEX([1]Gen_Vessels!$A$3:$C$500,MATCH(CorrectiveMinor!$O292,[1]Gen_Vessels!$C$3:$C$500,0),1)),"")</f>
        <v/>
      </c>
      <c r="Q292" s="2"/>
      <c r="R292" s="2"/>
      <c r="S292" s="2"/>
      <c r="T292" s="2"/>
      <c r="U292" s="2"/>
      <c r="W292" s="2"/>
      <c r="X292" s="2"/>
      <c r="Y292" s="2"/>
      <c r="Z292" s="2"/>
      <c r="AA292" s="2"/>
      <c r="AB292" s="2"/>
      <c r="AC292" s="2"/>
    </row>
    <row r="293" spans="1:29" x14ac:dyDescent="0.25">
      <c r="A293" s="1" t="str">
        <f t="shared" si="4"/>
        <v/>
      </c>
      <c r="B293" s="2"/>
      <c r="C293" s="2"/>
      <c r="D293" s="13"/>
      <c r="E293" s="14"/>
      <c r="F293" s="15"/>
      <c r="G293" s="8"/>
      <c r="M293" s="2"/>
      <c r="N293" s="2" t="str">
        <f>IFERROR(IF(ISBLANK(M293),"",INDEX([1]Gen_Vessels!$A$3:$C$500,MATCH(CorrectiveMinor!$M293,[1]Gen_Vessels!$C$3:$C$500,0),1)),"")</f>
        <v/>
      </c>
      <c r="O293" s="2"/>
      <c r="P293" s="2" t="str">
        <f>IFERROR(IF(ISBLANK(O293),"",INDEX([1]Gen_Vessels!$A$3:$C$500,MATCH(CorrectiveMinor!$O293,[1]Gen_Vessels!$C$3:$C$500,0),1)),"")</f>
        <v/>
      </c>
      <c r="Q293" s="2"/>
      <c r="R293" s="2"/>
      <c r="S293" s="2"/>
      <c r="T293" s="2"/>
      <c r="U293" s="2"/>
      <c r="W293" s="2"/>
      <c r="X293" s="2"/>
      <c r="Y293" s="2"/>
      <c r="Z293" s="2"/>
      <c r="AA293" s="2"/>
      <c r="AB293" s="2"/>
      <c r="AC293" s="2"/>
    </row>
    <row r="294" spans="1:29" x14ac:dyDescent="0.25">
      <c r="A294" s="1" t="str">
        <f t="shared" si="4"/>
        <v/>
      </c>
      <c r="B294" s="2"/>
      <c r="C294" s="2"/>
      <c r="D294" s="13"/>
      <c r="E294" s="14"/>
      <c r="F294" s="15"/>
      <c r="G294" s="8"/>
      <c r="M294" s="2"/>
      <c r="N294" s="2" t="str">
        <f>IFERROR(IF(ISBLANK(M294),"",INDEX([1]Gen_Vessels!$A$3:$C$500,MATCH(CorrectiveMinor!$M294,[1]Gen_Vessels!$C$3:$C$500,0),1)),"")</f>
        <v/>
      </c>
      <c r="O294" s="2"/>
      <c r="P294" s="2" t="str">
        <f>IFERROR(IF(ISBLANK(O294),"",INDEX([1]Gen_Vessels!$A$3:$C$500,MATCH(CorrectiveMinor!$O294,[1]Gen_Vessels!$C$3:$C$500,0),1)),"")</f>
        <v/>
      </c>
      <c r="Q294" s="2"/>
      <c r="R294" s="2"/>
      <c r="S294" s="2"/>
      <c r="T294" s="2"/>
      <c r="U294" s="2"/>
      <c r="W294" s="2"/>
      <c r="X294" s="2"/>
      <c r="Y294" s="2"/>
      <c r="Z294" s="2"/>
      <c r="AA294" s="2"/>
      <c r="AB294" s="2"/>
      <c r="AC294" s="2"/>
    </row>
    <row r="295" spans="1:29" x14ac:dyDescent="0.25">
      <c r="A295" s="1" t="str">
        <f t="shared" si="4"/>
        <v/>
      </c>
      <c r="B295" s="2"/>
      <c r="C295" s="2"/>
      <c r="D295" s="13"/>
      <c r="E295" s="14"/>
      <c r="F295" s="15"/>
      <c r="G295" s="8"/>
      <c r="M295" s="2"/>
      <c r="N295" s="2" t="str">
        <f>IFERROR(IF(ISBLANK(M295),"",INDEX([1]Gen_Vessels!$A$3:$C$500,MATCH(CorrectiveMinor!$M295,[1]Gen_Vessels!$C$3:$C$500,0),1)),"")</f>
        <v/>
      </c>
      <c r="O295" s="2"/>
      <c r="P295" s="2" t="str">
        <f>IFERROR(IF(ISBLANK(O295),"",INDEX([1]Gen_Vessels!$A$3:$C$500,MATCH(CorrectiveMinor!$O295,[1]Gen_Vessels!$C$3:$C$500,0),1)),"")</f>
        <v/>
      </c>
      <c r="Q295" s="2"/>
      <c r="R295" s="2"/>
      <c r="S295" s="2"/>
      <c r="T295" s="2"/>
      <c r="U295" s="2"/>
      <c r="W295" s="2"/>
      <c r="X295" s="2"/>
      <c r="Y295" s="2"/>
      <c r="Z295" s="2"/>
      <c r="AA295" s="2"/>
      <c r="AB295" s="2"/>
      <c r="AC295" s="2"/>
    </row>
    <row r="296" spans="1:29" x14ac:dyDescent="0.25">
      <c r="A296" s="1" t="str">
        <f t="shared" si="4"/>
        <v/>
      </c>
      <c r="B296" s="2"/>
      <c r="C296" s="2"/>
      <c r="D296" s="13"/>
      <c r="E296" s="14"/>
      <c r="F296" s="15"/>
      <c r="G296" s="8"/>
      <c r="M296" s="2"/>
      <c r="N296" s="2" t="str">
        <f>IFERROR(IF(ISBLANK(M296),"",INDEX([1]Gen_Vessels!$A$3:$C$500,MATCH(CorrectiveMinor!$M296,[1]Gen_Vessels!$C$3:$C$500,0),1)),"")</f>
        <v/>
      </c>
      <c r="O296" s="2"/>
      <c r="P296" s="2" t="str">
        <f>IFERROR(IF(ISBLANK(O296),"",INDEX([1]Gen_Vessels!$A$3:$C$500,MATCH(CorrectiveMinor!$O296,[1]Gen_Vessels!$C$3:$C$500,0),1)),"")</f>
        <v/>
      </c>
      <c r="Q296" s="2"/>
      <c r="R296" s="2"/>
      <c r="S296" s="2"/>
      <c r="T296" s="2"/>
      <c r="U296" s="2"/>
      <c r="W296" s="2"/>
      <c r="X296" s="2"/>
      <c r="Y296" s="2"/>
      <c r="Z296" s="2"/>
      <c r="AA296" s="2"/>
      <c r="AB296" s="2"/>
      <c r="AC296" s="2"/>
    </row>
    <row r="297" spans="1:29" x14ac:dyDescent="0.25">
      <c r="A297" s="1" t="str">
        <f t="shared" si="4"/>
        <v/>
      </c>
      <c r="B297" s="2"/>
      <c r="C297" s="2"/>
      <c r="D297" s="13"/>
      <c r="E297" s="14"/>
      <c r="F297" s="15"/>
      <c r="G297" s="8"/>
      <c r="M297" s="2"/>
      <c r="N297" s="2" t="str">
        <f>IFERROR(IF(ISBLANK(M297),"",INDEX([1]Gen_Vessels!$A$3:$C$500,MATCH(CorrectiveMinor!$M297,[1]Gen_Vessels!$C$3:$C$500,0),1)),"")</f>
        <v/>
      </c>
      <c r="O297" s="2"/>
      <c r="P297" s="2" t="str">
        <f>IFERROR(IF(ISBLANK(O297),"",INDEX([1]Gen_Vessels!$A$3:$C$500,MATCH(CorrectiveMinor!$O297,[1]Gen_Vessels!$C$3:$C$500,0),1)),"")</f>
        <v/>
      </c>
      <c r="Q297" s="2"/>
      <c r="R297" s="2"/>
      <c r="S297" s="2"/>
      <c r="T297" s="2"/>
      <c r="U297" s="2"/>
      <c r="W297" s="2"/>
      <c r="X297" s="2"/>
      <c r="Y297" s="2"/>
      <c r="Z297" s="2"/>
      <c r="AA297" s="2"/>
      <c r="AB297" s="2"/>
      <c r="AC297" s="2"/>
    </row>
    <row r="298" spans="1:29" x14ac:dyDescent="0.25">
      <c r="A298" s="1" t="str">
        <f t="shared" si="4"/>
        <v/>
      </c>
      <c r="B298" s="2"/>
      <c r="C298" s="2"/>
      <c r="D298" s="13"/>
      <c r="E298" s="14"/>
      <c r="F298" s="15"/>
      <c r="G298" s="8"/>
      <c r="M298" s="2"/>
      <c r="N298" s="2" t="str">
        <f>IFERROR(IF(ISBLANK(M298),"",INDEX([1]Gen_Vessels!$A$3:$C$500,MATCH(CorrectiveMinor!$M298,[1]Gen_Vessels!$C$3:$C$500,0),1)),"")</f>
        <v/>
      </c>
      <c r="O298" s="2"/>
      <c r="P298" s="2" t="str">
        <f>IFERROR(IF(ISBLANK(O298),"",INDEX([1]Gen_Vessels!$A$3:$C$500,MATCH(CorrectiveMinor!$O298,[1]Gen_Vessels!$C$3:$C$500,0),1)),"")</f>
        <v/>
      </c>
      <c r="Q298" s="2"/>
      <c r="R298" s="2"/>
      <c r="S298" s="2"/>
      <c r="T298" s="2"/>
      <c r="U298" s="2"/>
      <c r="W298" s="2"/>
      <c r="X298" s="2"/>
      <c r="Y298" s="2"/>
      <c r="Z298" s="2"/>
      <c r="AA298" s="2"/>
      <c r="AB298" s="2"/>
      <c r="AC298" s="2"/>
    </row>
    <row r="299" spans="1:29" x14ac:dyDescent="0.25">
      <c r="A299" s="1" t="str">
        <f t="shared" si="4"/>
        <v/>
      </c>
      <c r="B299" s="2"/>
      <c r="C299" s="2"/>
      <c r="D299" s="13"/>
      <c r="E299" s="14"/>
      <c r="F299" s="15"/>
      <c r="G299" s="8"/>
      <c r="M299" s="2"/>
      <c r="N299" s="2" t="str">
        <f>IFERROR(IF(ISBLANK(M299),"",INDEX([1]Gen_Vessels!$A$3:$C$500,MATCH(CorrectiveMinor!$M299,[1]Gen_Vessels!$C$3:$C$500,0),1)),"")</f>
        <v/>
      </c>
      <c r="O299" s="2"/>
      <c r="P299" s="2" t="str">
        <f>IFERROR(IF(ISBLANK(O299),"",INDEX([1]Gen_Vessels!$A$3:$C$500,MATCH(CorrectiveMinor!$O299,[1]Gen_Vessels!$C$3:$C$500,0),1)),"")</f>
        <v/>
      </c>
      <c r="Q299" s="2"/>
      <c r="R299" s="2"/>
      <c r="S299" s="2"/>
      <c r="T299" s="2"/>
      <c r="U299" s="2"/>
      <c r="W299" s="2"/>
      <c r="X299" s="2"/>
      <c r="Y299" s="2"/>
      <c r="Z299" s="2"/>
      <c r="AA299" s="2"/>
      <c r="AB299" s="2"/>
      <c r="AC299" s="2"/>
    </row>
    <row r="300" spans="1:29" x14ac:dyDescent="0.25">
      <c r="A300" s="1" t="str">
        <f t="shared" si="4"/>
        <v/>
      </c>
      <c r="B300" s="2"/>
      <c r="C300" s="2"/>
      <c r="D300" s="13"/>
      <c r="E300" s="14"/>
      <c r="F300" s="15"/>
      <c r="G300" s="8"/>
      <c r="M300" s="2"/>
      <c r="N300" s="2" t="str">
        <f>IFERROR(IF(ISBLANK(M300),"",INDEX([1]Gen_Vessels!$A$3:$C$500,MATCH(CorrectiveMinor!$M300,[1]Gen_Vessels!$C$3:$C$500,0),1)),"")</f>
        <v/>
      </c>
      <c r="O300" s="2"/>
      <c r="P300" s="2" t="str">
        <f>IFERROR(IF(ISBLANK(O300),"",INDEX([1]Gen_Vessels!$A$3:$C$500,MATCH(CorrectiveMinor!$O300,[1]Gen_Vessels!$C$3:$C$500,0),1)),"")</f>
        <v/>
      </c>
      <c r="Q300" s="2"/>
      <c r="R300" s="2"/>
      <c r="S300" s="2"/>
      <c r="T300" s="2"/>
      <c r="U300" s="2"/>
      <c r="W300" s="2"/>
      <c r="X300" s="2"/>
      <c r="Y300" s="2"/>
      <c r="Z300" s="2"/>
      <c r="AA300" s="2"/>
      <c r="AB300" s="2"/>
      <c r="AC300" s="2"/>
    </row>
    <row r="301" spans="1:29" x14ac:dyDescent="0.25">
      <c r="A301" s="1" t="str">
        <f t="shared" si="4"/>
        <v/>
      </c>
      <c r="B301" s="2"/>
      <c r="C301" s="2"/>
      <c r="D301" s="13"/>
      <c r="E301" s="14"/>
      <c r="F301" s="15"/>
      <c r="G301" s="8"/>
      <c r="M301" s="2"/>
      <c r="N301" s="2" t="str">
        <f>IFERROR(IF(ISBLANK(M301),"",INDEX([1]Gen_Vessels!$A$3:$C$500,MATCH(CorrectiveMinor!$M301,[1]Gen_Vessels!$C$3:$C$500,0),1)),"")</f>
        <v/>
      </c>
      <c r="O301" s="2"/>
      <c r="P301" s="2" t="str">
        <f>IFERROR(IF(ISBLANK(O301),"",INDEX([1]Gen_Vessels!$A$3:$C$500,MATCH(CorrectiveMinor!$O301,[1]Gen_Vessels!$C$3:$C$500,0),1)),"")</f>
        <v/>
      </c>
      <c r="Q301" s="2"/>
      <c r="R301" s="2"/>
      <c r="S301" s="2"/>
      <c r="T301" s="2"/>
      <c r="U301" s="2"/>
      <c r="W301" s="2"/>
      <c r="X301" s="2"/>
      <c r="Y301" s="2"/>
      <c r="Z301" s="2"/>
      <c r="AA301" s="2"/>
      <c r="AB301" s="2"/>
      <c r="AC301" s="2"/>
    </row>
    <row r="302" spans="1:29" x14ac:dyDescent="0.25">
      <c r="A302" s="1" t="str">
        <f t="shared" si="4"/>
        <v/>
      </c>
      <c r="B302" s="2"/>
      <c r="C302" s="2"/>
      <c r="D302" s="13"/>
      <c r="E302" s="14"/>
      <c r="F302" s="15"/>
      <c r="G302" s="8"/>
      <c r="M302" s="2"/>
      <c r="N302" s="2" t="str">
        <f>IFERROR(IF(ISBLANK(M302),"",INDEX([1]Gen_Vessels!$A$3:$C$500,MATCH(CorrectiveMinor!$M302,[1]Gen_Vessels!$C$3:$C$500,0),1)),"")</f>
        <v/>
      </c>
      <c r="O302" s="2"/>
      <c r="P302" s="2" t="str">
        <f>IFERROR(IF(ISBLANK(O302),"",INDEX([1]Gen_Vessels!$A$3:$C$500,MATCH(CorrectiveMinor!$O302,[1]Gen_Vessels!$C$3:$C$500,0),1)),"")</f>
        <v/>
      </c>
      <c r="Q302" s="2"/>
      <c r="R302" s="2"/>
      <c r="S302" s="2"/>
      <c r="T302" s="2"/>
      <c r="U302" s="2"/>
      <c r="W302" s="2"/>
      <c r="X302" s="2"/>
      <c r="Y302" s="2"/>
      <c r="Z302" s="2"/>
      <c r="AA302" s="2"/>
      <c r="AB302" s="2"/>
      <c r="AC302" s="2"/>
    </row>
    <row r="303" spans="1:29" x14ac:dyDescent="0.25">
      <c r="A303" s="1" t="str">
        <f t="shared" si="4"/>
        <v/>
      </c>
      <c r="B303" s="2"/>
      <c r="C303" s="2"/>
      <c r="D303" s="13"/>
      <c r="E303" s="14"/>
      <c r="F303" s="15"/>
      <c r="G303" s="8"/>
      <c r="M303" s="2"/>
      <c r="N303" s="2" t="str">
        <f>IFERROR(IF(ISBLANK(M303),"",INDEX([1]Gen_Vessels!$A$3:$C$500,MATCH(CorrectiveMinor!$M303,[1]Gen_Vessels!$C$3:$C$500,0),1)),"")</f>
        <v/>
      </c>
      <c r="O303" s="2"/>
      <c r="P303" s="2" t="str">
        <f>IFERROR(IF(ISBLANK(O303),"",INDEX([1]Gen_Vessels!$A$3:$C$500,MATCH(CorrectiveMinor!$O303,[1]Gen_Vessels!$C$3:$C$500,0),1)),"")</f>
        <v/>
      </c>
      <c r="Q303" s="2"/>
      <c r="R303" s="2"/>
      <c r="S303" s="2"/>
      <c r="T303" s="2"/>
      <c r="U303" s="2"/>
      <c r="W303" s="2"/>
      <c r="X303" s="2"/>
      <c r="Y303" s="2"/>
      <c r="Z303" s="2"/>
      <c r="AA303" s="2"/>
      <c r="AB303" s="2"/>
      <c r="AC303" s="2"/>
    </row>
    <row r="304" spans="1:29" x14ac:dyDescent="0.25">
      <c r="A304" s="1" t="str">
        <f t="shared" si="4"/>
        <v/>
      </c>
      <c r="B304" s="2"/>
      <c r="C304" s="2"/>
      <c r="D304" s="13"/>
      <c r="E304" s="14"/>
      <c r="F304" s="15"/>
      <c r="G304" s="8"/>
      <c r="M304" s="2"/>
      <c r="N304" s="2" t="str">
        <f>IFERROR(IF(ISBLANK(M304),"",INDEX([1]Gen_Vessels!$A$3:$C$500,MATCH(CorrectiveMinor!$M304,[1]Gen_Vessels!$C$3:$C$500,0),1)),"")</f>
        <v/>
      </c>
      <c r="O304" s="2"/>
      <c r="P304" s="2" t="str">
        <f>IFERROR(IF(ISBLANK(O304),"",INDEX([1]Gen_Vessels!$A$3:$C$500,MATCH(CorrectiveMinor!$O304,[1]Gen_Vessels!$C$3:$C$500,0),1)),"")</f>
        <v/>
      </c>
      <c r="Q304" s="2"/>
      <c r="R304" s="2"/>
      <c r="S304" s="2"/>
      <c r="T304" s="2"/>
      <c r="U304" s="2"/>
      <c r="W304" s="2"/>
      <c r="X304" s="2"/>
      <c r="Y304" s="2"/>
      <c r="Z304" s="2"/>
      <c r="AA304" s="2"/>
      <c r="AB304" s="2"/>
      <c r="AC304" s="2"/>
    </row>
    <row r="305" spans="1:29" x14ac:dyDescent="0.25">
      <c r="A305" s="1" t="str">
        <f t="shared" si="4"/>
        <v/>
      </c>
      <c r="B305" s="2"/>
      <c r="C305" s="2"/>
      <c r="D305" s="13"/>
      <c r="E305" s="14"/>
      <c r="F305" s="15"/>
      <c r="G305" s="8"/>
      <c r="M305" s="2"/>
      <c r="N305" s="2" t="str">
        <f>IFERROR(IF(ISBLANK(M305),"",INDEX([1]Gen_Vessels!$A$3:$C$500,MATCH(CorrectiveMinor!$M305,[1]Gen_Vessels!$C$3:$C$500,0),1)),"")</f>
        <v/>
      </c>
      <c r="O305" s="2"/>
      <c r="P305" s="2" t="str">
        <f>IFERROR(IF(ISBLANK(O305),"",INDEX([1]Gen_Vessels!$A$3:$C$500,MATCH(CorrectiveMinor!$O305,[1]Gen_Vessels!$C$3:$C$500,0),1)),"")</f>
        <v/>
      </c>
      <c r="Q305" s="2"/>
      <c r="R305" s="2"/>
      <c r="S305" s="2"/>
      <c r="T305" s="2"/>
      <c r="U305" s="2"/>
      <c r="W305" s="2"/>
      <c r="X305" s="2"/>
      <c r="Y305" s="2"/>
      <c r="Z305" s="2"/>
      <c r="AA305" s="2"/>
      <c r="AB305" s="2"/>
      <c r="AC305" s="2"/>
    </row>
    <row r="306" spans="1:29" x14ac:dyDescent="0.25">
      <c r="A306" s="1" t="str">
        <f t="shared" si="4"/>
        <v/>
      </c>
      <c r="B306" s="2"/>
      <c r="C306" s="2"/>
      <c r="D306" s="13"/>
      <c r="E306" s="14"/>
      <c r="F306" s="15"/>
      <c r="G306" s="8"/>
      <c r="M306" s="2"/>
      <c r="N306" s="2" t="str">
        <f>IFERROR(IF(ISBLANK(M306),"",INDEX([1]Gen_Vessels!$A$3:$C$500,MATCH(CorrectiveMinor!$M306,[1]Gen_Vessels!$C$3:$C$500,0),1)),"")</f>
        <v/>
      </c>
      <c r="O306" s="2"/>
      <c r="P306" s="2" t="str">
        <f>IFERROR(IF(ISBLANK(O306),"",INDEX([1]Gen_Vessels!$A$3:$C$500,MATCH(CorrectiveMinor!$O306,[1]Gen_Vessels!$C$3:$C$500,0),1)),"")</f>
        <v/>
      </c>
      <c r="Q306" s="2"/>
      <c r="R306" s="2"/>
      <c r="S306" s="2"/>
      <c r="T306" s="2"/>
      <c r="U306" s="2"/>
      <c r="W306" s="2"/>
      <c r="X306" s="2"/>
      <c r="Y306" s="2"/>
      <c r="Z306" s="2"/>
      <c r="AA306" s="2"/>
      <c r="AB306" s="2"/>
      <c r="AC306" s="2"/>
    </row>
    <row r="307" spans="1:29" x14ac:dyDescent="0.25">
      <c r="A307" s="1" t="str">
        <f t="shared" si="4"/>
        <v/>
      </c>
      <c r="B307" s="2"/>
      <c r="C307" s="2"/>
      <c r="D307" s="13"/>
      <c r="E307" s="14"/>
      <c r="F307" s="15"/>
      <c r="G307" s="8"/>
      <c r="M307" s="2"/>
      <c r="N307" s="2" t="str">
        <f>IFERROR(IF(ISBLANK(M307),"",INDEX([1]Gen_Vessels!$A$3:$C$500,MATCH(CorrectiveMinor!$M307,[1]Gen_Vessels!$C$3:$C$500,0),1)),"")</f>
        <v/>
      </c>
      <c r="O307" s="2"/>
      <c r="P307" s="2" t="str">
        <f>IFERROR(IF(ISBLANK(O307),"",INDEX([1]Gen_Vessels!$A$3:$C$500,MATCH(CorrectiveMinor!$O307,[1]Gen_Vessels!$C$3:$C$500,0),1)),"")</f>
        <v/>
      </c>
      <c r="Q307" s="2"/>
      <c r="R307" s="2"/>
      <c r="S307" s="2"/>
      <c r="T307" s="2"/>
      <c r="U307" s="2"/>
      <c r="W307" s="2"/>
      <c r="X307" s="2"/>
      <c r="Y307" s="2"/>
      <c r="Z307" s="2"/>
      <c r="AA307" s="2"/>
      <c r="AB307" s="2"/>
      <c r="AC307" s="2"/>
    </row>
    <row r="308" spans="1:29" x14ac:dyDescent="0.25">
      <c r="A308" s="1" t="str">
        <f t="shared" si="4"/>
        <v/>
      </c>
      <c r="B308" s="2"/>
      <c r="C308" s="2"/>
      <c r="D308" s="13"/>
      <c r="E308" s="14"/>
      <c r="F308" s="15"/>
      <c r="G308" s="8"/>
      <c r="M308" s="2"/>
      <c r="N308" s="2" t="str">
        <f>IFERROR(IF(ISBLANK(M308),"",INDEX([1]Gen_Vessels!$A$3:$C$500,MATCH(CorrectiveMinor!$M308,[1]Gen_Vessels!$C$3:$C$500,0),1)),"")</f>
        <v/>
      </c>
      <c r="O308" s="2"/>
      <c r="P308" s="2" t="str">
        <f>IFERROR(IF(ISBLANK(O308),"",INDEX([1]Gen_Vessels!$A$3:$C$500,MATCH(CorrectiveMinor!$O308,[1]Gen_Vessels!$C$3:$C$500,0),1)),"")</f>
        <v/>
      </c>
      <c r="Q308" s="2"/>
      <c r="R308" s="2"/>
      <c r="S308" s="2"/>
      <c r="T308" s="2"/>
      <c r="U308" s="2"/>
      <c r="W308" s="2"/>
      <c r="X308" s="2"/>
      <c r="Y308" s="2"/>
      <c r="Z308" s="2"/>
      <c r="AA308" s="2"/>
      <c r="AB308" s="2"/>
      <c r="AC308" s="2"/>
    </row>
    <row r="309" spans="1:29" x14ac:dyDescent="0.25">
      <c r="A309" s="1" t="str">
        <f t="shared" si="4"/>
        <v/>
      </c>
      <c r="B309" s="2"/>
      <c r="C309" s="2"/>
      <c r="D309" s="13"/>
      <c r="E309" s="14"/>
      <c r="F309" s="15"/>
      <c r="G309" s="8"/>
      <c r="M309" s="2"/>
      <c r="N309" s="2" t="str">
        <f>IFERROR(IF(ISBLANK(M309),"",INDEX([1]Gen_Vessels!$A$3:$C$500,MATCH(CorrectiveMinor!$M309,[1]Gen_Vessels!$C$3:$C$500,0),1)),"")</f>
        <v/>
      </c>
      <c r="O309" s="2"/>
      <c r="P309" s="2" t="str">
        <f>IFERROR(IF(ISBLANK(O309),"",INDEX([1]Gen_Vessels!$A$3:$C$500,MATCH(CorrectiveMinor!$O309,[1]Gen_Vessels!$C$3:$C$500,0),1)),"")</f>
        <v/>
      </c>
      <c r="Q309" s="2"/>
      <c r="R309" s="2"/>
      <c r="S309" s="2"/>
      <c r="T309" s="2"/>
      <c r="U309" s="2"/>
      <c r="W309" s="2"/>
      <c r="X309" s="2"/>
      <c r="Y309" s="2"/>
      <c r="Z309" s="2"/>
      <c r="AA309" s="2"/>
      <c r="AB309" s="2"/>
      <c r="AC309" s="2"/>
    </row>
    <row r="310" spans="1:29" x14ac:dyDescent="0.25">
      <c r="A310" s="1" t="str">
        <f t="shared" si="4"/>
        <v/>
      </c>
      <c r="B310" s="2"/>
      <c r="C310" s="2"/>
      <c r="D310" s="13"/>
      <c r="E310" s="14"/>
      <c r="F310" s="15"/>
      <c r="G310" s="8"/>
      <c r="M310" s="2"/>
      <c r="N310" s="2" t="str">
        <f>IFERROR(IF(ISBLANK(M310),"",INDEX([1]Gen_Vessels!$A$3:$C$500,MATCH(CorrectiveMinor!$M310,[1]Gen_Vessels!$C$3:$C$500,0),1)),"")</f>
        <v/>
      </c>
      <c r="O310" s="2"/>
      <c r="P310" s="2" t="str">
        <f>IFERROR(IF(ISBLANK(O310),"",INDEX([1]Gen_Vessels!$A$3:$C$500,MATCH(CorrectiveMinor!$O310,[1]Gen_Vessels!$C$3:$C$500,0),1)),"")</f>
        <v/>
      </c>
      <c r="Q310" s="2"/>
      <c r="R310" s="2"/>
      <c r="S310" s="2"/>
      <c r="T310" s="2"/>
      <c r="U310" s="2"/>
      <c r="W310" s="2"/>
      <c r="X310" s="2"/>
      <c r="Y310" s="2"/>
      <c r="Z310" s="2"/>
      <c r="AA310" s="2"/>
      <c r="AB310" s="2"/>
      <c r="AC310" s="2"/>
    </row>
    <row r="311" spans="1:29" x14ac:dyDescent="0.25">
      <c r="A311" s="1" t="str">
        <f t="shared" si="4"/>
        <v/>
      </c>
      <c r="B311" s="2"/>
      <c r="C311" s="2"/>
      <c r="D311" s="13"/>
      <c r="E311" s="14"/>
      <c r="F311" s="15"/>
      <c r="G311" s="8"/>
      <c r="M311" s="2"/>
      <c r="N311" s="2" t="str">
        <f>IFERROR(IF(ISBLANK(M311),"",INDEX([1]Gen_Vessels!$A$3:$C$500,MATCH(CorrectiveMinor!$M311,[1]Gen_Vessels!$C$3:$C$500,0),1)),"")</f>
        <v/>
      </c>
      <c r="O311" s="2"/>
      <c r="P311" s="2" t="str">
        <f>IFERROR(IF(ISBLANK(O311),"",INDEX([1]Gen_Vessels!$A$3:$C$500,MATCH(CorrectiveMinor!$O311,[1]Gen_Vessels!$C$3:$C$500,0),1)),"")</f>
        <v/>
      </c>
      <c r="Q311" s="2"/>
      <c r="R311" s="2"/>
      <c r="S311" s="2"/>
      <c r="T311" s="2"/>
      <c r="U311" s="2"/>
      <c r="W311" s="2"/>
      <c r="X311" s="2"/>
      <c r="Y311" s="2"/>
      <c r="Z311" s="2"/>
      <c r="AA311" s="2"/>
      <c r="AB311" s="2"/>
      <c r="AC311" s="2"/>
    </row>
    <row r="312" spans="1:29" x14ac:dyDescent="0.25">
      <c r="A312" s="1" t="str">
        <f t="shared" si="4"/>
        <v/>
      </c>
      <c r="B312" s="2"/>
      <c r="C312" s="2"/>
      <c r="D312" s="13"/>
      <c r="E312" s="14"/>
      <c r="F312" s="15"/>
      <c r="G312" s="8"/>
      <c r="M312" s="2"/>
      <c r="N312" s="2" t="str">
        <f>IFERROR(IF(ISBLANK(M312),"",INDEX([1]Gen_Vessels!$A$3:$C$500,MATCH(CorrectiveMinor!$M312,[1]Gen_Vessels!$C$3:$C$500,0),1)),"")</f>
        <v/>
      </c>
      <c r="O312" s="2"/>
      <c r="P312" s="2" t="str">
        <f>IFERROR(IF(ISBLANK(O312),"",INDEX([1]Gen_Vessels!$A$3:$C$500,MATCH(CorrectiveMinor!$O312,[1]Gen_Vessels!$C$3:$C$500,0),1)),"")</f>
        <v/>
      </c>
      <c r="Q312" s="2"/>
      <c r="R312" s="2"/>
      <c r="S312" s="2"/>
      <c r="T312" s="2"/>
      <c r="U312" s="2"/>
      <c r="W312" s="2"/>
      <c r="X312" s="2"/>
      <c r="Y312" s="2"/>
      <c r="Z312" s="2"/>
      <c r="AA312" s="2"/>
      <c r="AB312" s="2"/>
      <c r="AC312" s="2"/>
    </row>
    <row r="313" spans="1:29" x14ac:dyDescent="0.25">
      <c r="A313" s="1" t="str">
        <f t="shared" si="4"/>
        <v/>
      </c>
      <c r="B313" s="2"/>
      <c r="C313" s="2"/>
      <c r="D313" s="13"/>
      <c r="E313" s="14"/>
      <c r="F313" s="15"/>
      <c r="G313" s="8"/>
      <c r="M313" s="2"/>
      <c r="N313" s="2" t="str">
        <f>IFERROR(IF(ISBLANK(M313),"",INDEX([1]Gen_Vessels!$A$3:$C$500,MATCH(CorrectiveMinor!$M313,[1]Gen_Vessels!$C$3:$C$500,0),1)),"")</f>
        <v/>
      </c>
      <c r="O313" s="2"/>
      <c r="P313" s="2" t="str">
        <f>IFERROR(IF(ISBLANK(O313),"",INDEX([1]Gen_Vessels!$A$3:$C$500,MATCH(CorrectiveMinor!$O313,[1]Gen_Vessels!$C$3:$C$500,0),1)),"")</f>
        <v/>
      </c>
      <c r="Q313" s="2"/>
      <c r="R313" s="2"/>
      <c r="S313" s="2"/>
      <c r="T313" s="2"/>
      <c r="U313" s="2"/>
      <c r="W313" s="2"/>
      <c r="X313" s="2"/>
      <c r="Y313" s="2"/>
      <c r="Z313" s="2"/>
      <c r="AA313" s="2"/>
      <c r="AB313" s="2"/>
      <c r="AC313" s="2"/>
    </row>
    <row r="314" spans="1:29" x14ac:dyDescent="0.25">
      <c r="A314" s="1" t="str">
        <f t="shared" si="4"/>
        <v/>
      </c>
      <c r="B314" s="2"/>
      <c r="C314" s="2"/>
      <c r="D314" s="13"/>
      <c r="E314" s="14"/>
      <c r="F314" s="15"/>
      <c r="G314" s="8"/>
      <c r="M314" s="2"/>
      <c r="N314" s="2" t="str">
        <f>IFERROR(IF(ISBLANK(M314),"",INDEX([1]Gen_Vessels!$A$3:$C$500,MATCH(CorrectiveMinor!$M314,[1]Gen_Vessels!$C$3:$C$500,0),1)),"")</f>
        <v/>
      </c>
      <c r="O314" s="2"/>
      <c r="P314" s="2" t="str">
        <f>IFERROR(IF(ISBLANK(O314),"",INDEX([1]Gen_Vessels!$A$3:$C$500,MATCH(CorrectiveMinor!$O314,[1]Gen_Vessels!$C$3:$C$500,0),1)),"")</f>
        <v/>
      </c>
      <c r="Q314" s="2"/>
      <c r="R314" s="2"/>
      <c r="S314" s="2"/>
      <c r="T314" s="2"/>
      <c r="U314" s="2"/>
      <c r="W314" s="2"/>
      <c r="X314" s="2"/>
      <c r="Y314" s="2"/>
      <c r="Z314" s="2"/>
      <c r="AA314" s="2"/>
      <c r="AB314" s="2"/>
      <c r="AC314" s="2"/>
    </row>
    <row r="315" spans="1:29" x14ac:dyDescent="0.25">
      <c r="A315" s="1" t="str">
        <f t="shared" si="4"/>
        <v/>
      </c>
      <c r="B315" s="2"/>
      <c r="C315" s="2"/>
      <c r="D315" s="13"/>
      <c r="E315" s="14"/>
      <c r="F315" s="15"/>
      <c r="G315" s="8"/>
      <c r="M315" s="2"/>
      <c r="N315" s="2" t="str">
        <f>IFERROR(IF(ISBLANK(M315),"",INDEX([1]Gen_Vessels!$A$3:$C$500,MATCH(CorrectiveMinor!$M315,[1]Gen_Vessels!$C$3:$C$500,0),1)),"")</f>
        <v/>
      </c>
      <c r="O315" s="2"/>
      <c r="P315" s="2" t="str">
        <f>IFERROR(IF(ISBLANK(O315),"",INDEX([1]Gen_Vessels!$A$3:$C$500,MATCH(CorrectiveMinor!$O315,[1]Gen_Vessels!$C$3:$C$500,0),1)),"")</f>
        <v/>
      </c>
      <c r="Q315" s="2"/>
      <c r="R315" s="2"/>
      <c r="S315" s="2"/>
      <c r="T315" s="2"/>
      <c r="U315" s="2"/>
      <c r="W315" s="2"/>
      <c r="X315" s="2"/>
      <c r="Y315" s="2"/>
      <c r="Z315" s="2"/>
      <c r="AA315" s="2"/>
      <c r="AB315" s="2"/>
      <c r="AC315" s="2"/>
    </row>
    <row r="316" spans="1:29" x14ac:dyDescent="0.25">
      <c r="A316" s="1" t="str">
        <f t="shared" si="4"/>
        <v/>
      </c>
      <c r="B316" s="2"/>
      <c r="C316" s="2"/>
      <c r="D316" s="13"/>
      <c r="E316" s="14"/>
      <c r="F316" s="15"/>
      <c r="G316" s="8"/>
      <c r="M316" s="2"/>
      <c r="N316" s="2" t="str">
        <f>IFERROR(IF(ISBLANK(M316),"",INDEX([1]Gen_Vessels!$A$3:$C$500,MATCH(CorrectiveMinor!$M316,[1]Gen_Vessels!$C$3:$C$500,0),1)),"")</f>
        <v/>
      </c>
      <c r="O316" s="2"/>
      <c r="P316" s="2" t="str">
        <f>IFERROR(IF(ISBLANK(O316),"",INDEX([1]Gen_Vessels!$A$3:$C$500,MATCH(CorrectiveMinor!$O316,[1]Gen_Vessels!$C$3:$C$500,0),1)),"")</f>
        <v/>
      </c>
      <c r="Q316" s="2"/>
      <c r="R316" s="2"/>
      <c r="S316" s="2"/>
      <c r="T316" s="2"/>
      <c r="U316" s="2"/>
      <c r="W316" s="2"/>
      <c r="X316" s="2"/>
      <c r="Y316" s="2"/>
      <c r="Z316" s="2"/>
      <c r="AA316" s="2"/>
      <c r="AB316" s="2"/>
      <c r="AC316" s="2"/>
    </row>
    <row r="317" spans="1:29" x14ac:dyDescent="0.25">
      <c r="A317" s="1" t="str">
        <f t="shared" si="4"/>
        <v/>
      </c>
      <c r="B317" s="2"/>
      <c r="C317" s="2"/>
      <c r="D317" s="13"/>
      <c r="E317" s="14"/>
      <c r="F317" s="15"/>
      <c r="G317" s="8"/>
      <c r="M317" s="2"/>
      <c r="N317" s="2" t="str">
        <f>IFERROR(IF(ISBLANK(M317),"",INDEX([1]Gen_Vessels!$A$3:$C$500,MATCH(CorrectiveMinor!$M317,[1]Gen_Vessels!$C$3:$C$500,0),1)),"")</f>
        <v/>
      </c>
      <c r="O317" s="2"/>
      <c r="P317" s="2" t="str">
        <f>IFERROR(IF(ISBLANK(O317),"",INDEX([1]Gen_Vessels!$A$3:$C$500,MATCH(CorrectiveMinor!$O317,[1]Gen_Vessels!$C$3:$C$500,0),1)),"")</f>
        <v/>
      </c>
      <c r="Q317" s="2"/>
      <c r="R317" s="2"/>
      <c r="S317" s="2"/>
      <c r="T317" s="2"/>
      <c r="U317" s="2"/>
      <c r="W317" s="2"/>
      <c r="X317" s="2"/>
      <c r="Y317" s="2"/>
      <c r="Z317" s="2"/>
      <c r="AA317" s="2"/>
      <c r="AB317" s="2"/>
      <c r="AC317" s="2"/>
    </row>
    <row r="318" spans="1:29" x14ac:dyDescent="0.25">
      <c r="A318" s="1" t="str">
        <f t="shared" si="4"/>
        <v/>
      </c>
      <c r="B318" s="2"/>
      <c r="C318" s="2"/>
      <c r="D318" s="13"/>
      <c r="E318" s="14"/>
      <c r="F318" s="15"/>
      <c r="G318" s="8"/>
      <c r="M318" s="2"/>
      <c r="N318" s="2" t="str">
        <f>IFERROR(IF(ISBLANK(M318),"",INDEX([1]Gen_Vessels!$A$3:$C$500,MATCH(CorrectiveMinor!$M318,[1]Gen_Vessels!$C$3:$C$500,0),1)),"")</f>
        <v/>
      </c>
      <c r="O318" s="2"/>
      <c r="P318" s="2" t="str">
        <f>IFERROR(IF(ISBLANK(O318),"",INDEX([1]Gen_Vessels!$A$3:$C$500,MATCH(CorrectiveMinor!$O318,[1]Gen_Vessels!$C$3:$C$500,0),1)),"")</f>
        <v/>
      </c>
      <c r="Q318" s="2"/>
      <c r="R318" s="2"/>
      <c r="S318" s="2"/>
      <c r="T318" s="2"/>
      <c r="U318" s="2"/>
      <c r="W318" s="2"/>
      <c r="X318" s="2"/>
      <c r="Y318" s="2"/>
      <c r="Z318" s="2"/>
      <c r="AA318" s="2"/>
      <c r="AB318" s="2"/>
      <c r="AC318" s="2"/>
    </row>
    <row r="319" spans="1:29" x14ac:dyDescent="0.25">
      <c r="A319" s="1" t="str">
        <f t="shared" si="4"/>
        <v/>
      </c>
      <c r="B319" s="2"/>
      <c r="C319" s="2"/>
      <c r="D319" s="13"/>
      <c r="E319" s="14"/>
      <c r="F319" s="15"/>
      <c r="G319" s="8"/>
      <c r="M319" s="2"/>
      <c r="N319" s="2" t="str">
        <f>IFERROR(IF(ISBLANK(M319),"",INDEX([1]Gen_Vessels!$A$3:$C$500,MATCH(CorrectiveMinor!$M319,[1]Gen_Vessels!$C$3:$C$500,0),1)),"")</f>
        <v/>
      </c>
      <c r="O319" s="2"/>
      <c r="P319" s="2" t="str">
        <f>IFERROR(IF(ISBLANK(O319),"",INDEX([1]Gen_Vessels!$A$3:$C$500,MATCH(CorrectiveMinor!$O319,[1]Gen_Vessels!$C$3:$C$500,0),1)),"")</f>
        <v/>
      </c>
      <c r="Q319" s="2"/>
      <c r="R319" s="2"/>
      <c r="S319" s="2"/>
      <c r="T319" s="2"/>
      <c r="U319" s="2"/>
      <c r="W319" s="2"/>
      <c r="X319" s="2"/>
      <c r="Y319" s="2"/>
      <c r="Z319" s="2"/>
      <c r="AA319" s="2"/>
      <c r="AB319" s="2"/>
      <c r="AC319" s="2"/>
    </row>
    <row r="320" spans="1:29" x14ac:dyDescent="0.25">
      <c r="A320" s="1" t="str">
        <f t="shared" si="4"/>
        <v/>
      </c>
      <c r="B320" s="2"/>
      <c r="C320" s="2"/>
      <c r="D320" s="13"/>
      <c r="E320" s="14"/>
      <c r="F320" s="15"/>
      <c r="G320" s="8"/>
      <c r="M320" s="2"/>
      <c r="N320" s="2" t="str">
        <f>IFERROR(IF(ISBLANK(M320),"",INDEX([1]Gen_Vessels!$A$3:$C$500,MATCH(CorrectiveMinor!$M320,[1]Gen_Vessels!$C$3:$C$500,0),1)),"")</f>
        <v/>
      </c>
      <c r="O320" s="2"/>
      <c r="P320" s="2" t="str">
        <f>IFERROR(IF(ISBLANK(O320),"",INDEX([1]Gen_Vessels!$A$3:$C$500,MATCH(CorrectiveMinor!$O320,[1]Gen_Vessels!$C$3:$C$500,0),1)),"")</f>
        <v/>
      </c>
      <c r="Q320" s="2"/>
      <c r="R320" s="2"/>
      <c r="S320" s="2"/>
      <c r="T320" s="2"/>
      <c r="U320" s="2"/>
      <c r="W320" s="2"/>
      <c r="X320" s="2"/>
      <c r="Y320" s="2"/>
      <c r="Z320" s="2"/>
      <c r="AA320" s="2"/>
      <c r="AB320" s="2"/>
      <c r="AC320" s="2"/>
    </row>
    <row r="321" spans="1:29" x14ac:dyDescent="0.25">
      <c r="A321" s="1" t="str">
        <f t="shared" si="4"/>
        <v/>
      </c>
      <c r="B321" s="2"/>
      <c r="C321" s="2"/>
      <c r="D321" s="13"/>
      <c r="E321" s="14"/>
      <c r="F321" s="15"/>
      <c r="G321" s="8"/>
      <c r="M321" s="2"/>
      <c r="N321" s="2" t="str">
        <f>IFERROR(IF(ISBLANK(M321),"",INDEX([1]Gen_Vessels!$A$3:$C$500,MATCH(CorrectiveMinor!$M321,[1]Gen_Vessels!$C$3:$C$500,0),1)),"")</f>
        <v/>
      </c>
      <c r="O321" s="2"/>
      <c r="P321" s="2" t="str">
        <f>IFERROR(IF(ISBLANK(O321),"",INDEX([1]Gen_Vessels!$A$3:$C$500,MATCH(CorrectiveMinor!$O321,[1]Gen_Vessels!$C$3:$C$500,0),1)),"")</f>
        <v/>
      </c>
      <c r="Q321" s="2"/>
      <c r="R321" s="2"/>
      <c r="S321" s="2"/>
      <c r="T321" s="2"/>
      <c r="U321" s="2"/>
      <c r="W321" s="2"/>
      <c r="X321" s="2"/>
      <c r="Y321" s="2"/>
      <c r="Z321" s="2"/>
      <c r="AA321" s="2"/>
      <c r="AB321" s="2"/>
      <c r="AC321" s="2"/>
    </row>
    <row r="322" spans="1:29" x14ac:dyDescent="0.25">
      <c r="A322" s="1" t="str">
        <f t="shared" si="4"/>
        <v/>
      </c>
      <c r="B322" s="2"/>
      <c r="C322" s="2"/>
      <c r="D322" s="13"/>
      <c r="E322" s="14"/>
      <c r="F322" s="15"/>
      <c r="G322" s="8"/>
      <c r="M322" s="2"/>
      <c r="N322" s="2" t="str">
        <f>IFERROR(IF(ISBLANK(M322),"",INDEX([1]Gen_Vessels!$A$3:$C$500,MATCH(CorrectiveMinor!$M322,[1]Gen_Vessels!$C$3:$C$500,0),1)),"")</f>
        <v/>
      </c>
      <c r="O322" s="2"/>
      <c r="P322" s="2" t="str">
        <f>IFERROR(IF(ISBLANK(O322),"",INDEX([1]Gen_Vessels!$A$3:$C$500,MATCH(CorrectiveMinor!$O322,[1]Gen_Vessels!$C$3:$C$500,0),1)),"")</f>
        <v/>
      </c>
      <c r="Q322" s="2"/>
      <c r="R322" s="2"/>
      <c r="S322" s="2"/>
      <c r="T322" s="2"/>
      <c r="U322" s="2"/>
      <c r="W322" s="2"/>
      <c r="X322" s="2"/>
      <c r="Y322" s="2"/>
      <c r="Z322" s="2"/>
      <c r="AA322" s="2"/>
      <c r="AB322" s="2"/>
      <c r="AC322" s="2"/>
    </row>
    <row r="323" spans="1:29" x14ac:dyDescent="0.25">
      <c r="A323" s="1" t="str">
        <f t="shared" ref="A323:A386" si="5">IF(ISBLANK($B323)=FALSE,IF(AND($D323&gt;0,$E323&lt;=0,$F323&lt;=0),_xlfn.CONCAT("ofw_",$B323),IF(AND($D323&lt;=0,$E323&gt;0,$F323&lt;=0),_xlfn.CONCAT("owc_",$B323),IF(AND($D323&lt;=0,$E323&lt;=0,$F323&gt;0),_xlfn.CONCAT("opv_",$B323),_xlfn.CONCAT("oce_",$B323)))),"")</f>
        <v/>
      </c>
      <c r="B323" s="2"/>
      <c r="C323" s="2"/>
      <c r="D323" s="13"/>
      <c r="E323" s="14"/>
      <c r="F323" s="15"/>
      <c r="G323" s="8"/>
      <c r="M323" s="2"/>
      <c r="N323" s="2" t="str">
        <f>IFERROR(IF(ISBLANK(M323),"",INDEX([1]Gen_Vessels!$A$3:$C$500,MATCH(CorrectiveMinor!$M323,[1]Gen_Vessels!$C$3:$C$500,0),1)),"")</f>
        <v/>
      </c>
      <c r="O323" s="2"/>
      <c r="P323" s="2" t="str">
        <f>IFERROR(IF(ISBLANK(O323),"",INDEX([1]Gen_Vessels!$A$3:$C$500,MATCH(CorrectiveMinor!$O323,[1]Gen_Vessels!$C$3:$C$500,0),1)),"")</f>
        <v/>
      </c>
      <c r="Q323" s="2"/>
      <c r="R323" s="2"/>
      <c r="S323" s="2"/>
      <c r="T323" s="2"/>
      <c r="U323" s="2"/>
      <c r="W323" s="2"/>
      <c r="X323" s="2"/>
      <c r="Y323" s="2"/>
      <c r="Z323" s="2"/>
      <c r="AA323" s="2"/>
      <c r="AB323" s="2"/>
      <c r="AC323" s="2"/>
    </row>
    <row r="324" spans="1:29" x14ac:dyDescent="0.25">
      <c r="A324" s="1" t="str">
        <f t="shared" si="5"/>
        <v/>
      </c>
      <c r="B324" s="2"/>
      <c r="C324" s="2"/>
      <c r="D324" s="13"/>
      <c r="E324" s="14"/>
      <c r="F324" s="15"/>
      <c r="G324" s="8"/>
      <c r="M324" s="2"/>
      <c r="N324" s="2" t="str">
        <f>IFERROR(IF(ISBLANK(M324),"",INDEX([1]Gen_Vessels!$A$3:$C$500,MATCH(CorrectiveMinor!$M324,[1]Gen_Vessels!$C$3:$C$500,0),1)),"")</f>
        <v/>
      </c>
      <c r="O324" s="2"/>
      <c r="P324" s="2" t="str">
        <f>IFERROR(IF(ISBLANK(O324),"",INDEX([1]Gen_Vessels!$A$3:$C$500,MATCH(CorrectiveMinor!$O324,[1]Gen_Vessels!$C$3:$C$500,0),1)),"")</f>
        <v/>
      </c>
      <c r="Q324" s="2"/>
      <c r="R324" s="2"/>
      <c r="S324" s="2"/>
      <c r="T324" s="2"/>
      <c r="U324" s="2"/>
      <c r="W324" s="2"/>
      <c r="X324" s="2"/>
      <c r="Y324" s="2"/>
      <c r="Z324" s="2"/>
      <c r="AA324" s="2"/>
      <c r="AB324" s="2"/>
      <c r="AC324" s="2"/>
    </row>
    <row r="325" spans="1:29" x14ac:dyDescent="0.25">
      <c r="A325" s="1" t="str">
        <f t="shared" si="5"/>
        <v/>
      </c>
      <c r="B325" s="2"/>
      <c r="C325" s="2"/>
      <c r="D325" s="13"/>
      <c r="E325" s="14"/>
      <c r="F325" s="15"/>
      <c r="G325" s="8"/>
      <c r="M325" s="2"/>
      <c r="N325" s="2" t="str">
        <f>IFERROR(IF(ISBLANK(M325),"",INDEX([1]Gen_Vessels!$A$3:$C$500,MATCH(CorrectiveMinor!$M325,[1]Gen_Vessels!$C$3:$C$500,0),1)),"")</f>
        <v/>
      </c>
      <c r="O325" s="2"/>
      <c r="P325" s="2" t="str">
        <f>IFERROR(IF(ISBLANK(O325),"",INDEX([1]Gen_Vessels!$A$3:$C$500,MATCH(CorrectiveMinor!$O325,[1]Gen_Vessels!$C$3:$C$500,0),1)),"")</f>
        <v/>
      </c>
      <c r="Q325" s="2"/>
      <c r="R325" s="2"/>
      <c r="S325" s="2"/>
      <c r="T325" s="2"/>
      <c r="U325" s="2"/>
      <c r="W325" s="2"/>
      <c r="X325" s="2"/>
      <c r="Y325" s="2"/>
      <c r="Z325" s="2"/>
      <c r="AA325" s="2"/>
      <c r="AB325" s="2"/>
      <c r="AC325" s="2"/>
    </row>
    <row r="326" spans="1:29" x14ac:dyDescent="0.25">
      <c r="A326" s="1" t="str">
        <f t="shared" si="5"/>
        <v/>
      </c>
      <c r="B326" s="2"/>
      <c r="C326" s="2"/>
      <c r="D326" s="13"/>
      <c r="E326" s="14"/>
      <c r="F326" s="15"/>
      <c r="G326" s="8"/>
      <c r="M326" s="2"/>
      <c r="N326" s="2" t="str">
        <f>IFERROR(IF(ISBLANK(M326),"",INDEX([1]Gen_Vessels!$A$3:$C$500,MATCH(CorrectiveMinor!$M326,[1]Gen_Vessels!$C$3:$C$500,0),1)),"")</f>
        <v/>
      </c>
      <c r="O326" s="2"/>
      <c r="P326" s="2" t="str">
        <f>IFERROR(IF(ISBLANK(O326),"",INDEX([1]Gen_Vessels!$A$3:$C$500,MATCH(CorrectiveMinor!$O326,[1]Gen_Vessels!$C$3:$C$500,0),1)),"")</f>
        <v/>
      </c>
      <c r="Q326" s="2"/>
      <c r="R326" s="2"/>
      <c r="S326" s="2"/>
      <c r="T326" s="2"/>
      <c r="U326" s="2"/>
      <c r="W326" s="2"/>
      <c r="X326" s="2"/>
      <c r="Y326" s="2"/>
      <c r="Z326" s="2"/>
      <c r="AA326" s="2"/>
      <c r="AB326" s="2"/>
      <c r="AC326" s="2"/>
    </row>
    <row r="327" spans="1:29" x14ac:dyDescent="0.25">
      <c r="A327" s="1" t="str">
        <f t="shared" si="5"/>
        <v/>
      </c>
      <c r="B327" s="2"/>
      <c r="C327" s="2"/>
      <c r="D327" s="13"/>
      <c r="E327" s="14"/>
      <c r="F327" s="15"/>
      <c r="G327" s="8"/>
      <c r="M327" s="2"/>
      <c r="N327" s="2" t="str">
        <f>IFERROR(IF(ISBLANK(M327),"",INDEX([1]Gen_Vessels!$A$3:$C$500,MATCH(CorrectiveMinor!$M327,[1]Gen_Vessels!$C$3:$C$500,0),1)),"")</f>
        <v/>
      </c>
      <c r="O327" s="2"/>
      <c r="P327" s="2" t="str">
        <f>IFERROR(IF(ISBLANK(O327),"",INDEX([1]Gen_Vessels!$A$3:$C$500,MATCH(CorrectiveMinor!$O327,[1]Gen_Vessels!$C$3:$C$500,0),1)),"")</f>
        <v/>
      </c>
      <c r="Q327" s="2"/>
      <c r="R327" s="2"/>
      <c r="S327" s="2"/>
      <c r="T327" s="2"/>
      <c r="U327" s="2"/>
      <c r="W327" s="2"/>
      <c r="X327" s="2"/>
      <c r="Y327" s="2"/>
      <c r="Z327" s="2"/>
      <c r="AA327" s="2"/>
      <c r="AB327" s="2"/>
      <c r="AC327" s="2"/>
    </row>
    <row r="328" spans="1:29" x14ac:dyDescent="0.25">
      <c r="A328" s="1" t="str">
        <f t="shared" si="5"/>
        <v/>
      </c>
      <c r="B328" s="2"/>
      <c r="C328" s="2"/>
      <c r="D328" s="13"/>
      <c r="E328" s="14"/>
      <c r="F328" s="15"/>
      <c r="G328" s="8"/>
      <c r="M328" s="2"/>
      <c r="N328" s="2" t="str">
        <f>IFERROR(IF(ISBLANK(M328),"",INDEX([1]Gen_Vessels!$A$3:$C$500,MATCH(CorrectiveMinor!$M328,[1]Gen_Vessels!$C$3:$C$500,0),1)),"")</f>
        <v/>
      </c>
      <c r="O328" s="2"/>
      <c r="P328" s="2" t="str">
        <f>IFERROR(IF(ISBLANK(O328),"",INDEX([1]Gen_Vessels!$A$3:$C$500,MATCH(CorrectiveMinor!$O328,[1]Gen_Vessels!$C$3:$C$500,0),1)),"")</f>
        <v/>
      </c>
      <c r="Q328" s="2"/>
      <c r="R328" s="2"/>
      <c r="S328" s="2"/>
      <c r="T328" s="2"/>
      <c r="U328" s="2"/>
      <c r="W328" s="2"/>
      <c r="X328" s="2"/>
      <c r="Y328" s="2"/>
      <c r="Z328" s="2"/>
      <c r="AA328" s="2"/>
      <c r="AB328" s="2"/>
      <c r="AC328" s="2"/>
    </row>
    <row r="329" spans="1:29" x14ac:dyDescent="0.25">
      <c r="A329" s="1" t="str">
        <f t="shared" si="5"/>
        <v/>
      </c>
      <c r="B329" s="2"/>
      <c r="C329" s="2"/>
      <c r="D329" s="13"/>
      <c r="E329" s="14"/>
      <c r="F329" s="15"/>
      <c r="G329" s="8"/>
      <c r="M329" s="2"/>
      <c r="N329" s="2" t="str">
        <f>IFERROR(IF(ISBLANK(M329),"",INDEX([1]Gen_Vessels!$A$3:$C$500,MATCH(CorrectiveMinor!$M329,[1]Gen_Vessels!$C$3:$C$500,0),1)),"")</f>
        <v/>
      </c>
      <c r="O329" s="2"/>
      <c r="P329" s="2" t="str">
        <f>IFERROR(IF(ISBLANK(O329),"",INDEX([1]Gen_Vessels!$A$3:$C$500,MATCH(CorrectiveMinor!$O329,[1]Gen_Vessels!$C$3:$C$500,0),1)),"")</f>
        <v/>
      </c>
      <c r="Q329" s="2"/>
      <c r="R329" s="2"/>
      <c r="S329" s="2"/>
      <c r="T329" s="2"/>
      <c r="U329" s="2"/>
      <c r="W329" s="2"/>
      <c r="X329" s="2"/>
      <c r="Y329" s="2"/>
      <c r="Z329" s="2"/>
      <c r="AA329" s="2"/>
      <c r="AB329" s="2"/>
      <c r="AC329" s="2"/>
    </row>
    <row r="330" spans="1:29" x14ac:dyDescent="0.25">
      <c r="A330" s="1" t="str">
        <f t="shared" si="5"/>
        <v/>
      </c>
      <c r="B330" s="2"/>
      <c r="C330" s="2"/>
      <c r="D330" s="13"/>
      <c r="E330" s="14"/>
      <c r="F330" s="15"/>
      <c r="G330" s="8"/>
      <c r="M330" s="2"/>
      <c r="N330" s="2" t="str">
        <f>IFERROR(IF(ISBLANK(M330),"",INDEX([1]Gen_Vessels!$A$3:$C$500,MATCH(CorrectiveMinor!$M330,[1]Gen_Vessels!$C$3:$C$500,0),1)),"")</f>
        <v/>
      </c>
      <c r="O330" s="2"/>
      <c r="P330" s="2" t="str">
        <f>IFERROR(IF(ISBLANK(O330),"",INDEX([1]Gen_Vessels!$A$3:$C$500,MATCH(CorrectiveMinor!$O330,[1]Gen_Vessels!$C$3:$C$500,0),1)),"")</f>
        <v/>
      </c>
      <c r="Q330" s="2"/>
      <c r="R330" s="2"/>
      <c r="S330" s="2"/>
      <c r="T330" s="2"/>
      <c r="U330" s="2"/>
      <c r="W330" s="2"/>
      <c r="X330" s="2"/>
      <c r="Y330" s="2"/>
      <c r="Z330" s="2"/>
      <c r="AA330" s="2"/>
      <c r="AB330" s="2"/>
      <c r="AC330" s="2"/>
    </row>
    <row r="331" spans="1:29" x14ac:dyDescent="0.25">
      <c r="A331" s="1" t="str">
        <f t="shared" si="5"/>
        <v/>
      </c>
      <c r="B331" s="2"/>
      <c r="C331" s="2"/>
      <c r="D331" s="13"/>
      <c r="E331" s="14"/>
      <c r="F331" s="15"/>
      <c r="G331" s="8"/>
      <c r="M331" s="2"/>
      <c r="N331" s="2" t="str">
        <f>IFERROR(IF(ISBLANK(M331),"",INDEX([1]Gen_Vessels!$A$3:$C$500,MATCH(CorrectiveMinor!$M331,[1]Gen_Vessels!$C$3:$C$500,0),1)),"")</f>
        <v/>
      </c>
      <c r="O331" s="2"/>
      <c r="P331" s="2" t="str">
        <f>IFERROR(IF(ISBLANK(O331),"",INDEX([1]Gen_Vessels!$A$3:$C$500,MATCH(CorrectiveMinor!$O331,[1]Gen_Vessels!$C$3:$C$500,0),1)),"")</f>
        <v/>
      </c>
      <c r="Q331" s="2"/>
      <c r="R331" s="2"/>
      <c r="S331" s="2"/>
      <c r="T331" s="2"/>
      <c r="U331" s="2"/>
      <c r="W331" s="2"/>
      <c r="X331" s="2"/>
      <c r="Y331" s="2"/>
      <c r="Z331" s="2"/>
      <c r="AA331" s="2"/>
      <c r="AB331" s="2"/>
      <c r="AC331" s="2"/>
    </row>
    <row r="332" spans="1:29" x14ac:dyDescent="0.25">
      <c r="A332" s="1" t="str">
        <f t="shared" si="5"/>
        <v/>
      </c>
      <c r="B332" s="2"/>
      <c r="C332" s="2"/>
      <c r="D332" s="13"/>
      <c r="E332" s="14"/>
      <c r="F332" s="15"/>
      <c r="G332" s="8"/>
      <c r="M332" s="2"/>
      <c r="N332" s="2" t="str">
        <f>IFERROR(IF(ISBLANK(M332),"",INDEX([1]Gen_Vessels!$A$3:$C$500,MATCH(CorrectiveMinor!$M332,[1]Gen_Vessels!$C$3:$C$500,0),1)),"")</f>
        <v/>
      </c>
      <c r="O332" s="2"/>
      <c r="P332" s="2" t="str">
        <f>IFERROR(IF(ISBLANK(O332),"",INDEX([1]Gen_Vessels!$A$3:$C$500,MATCH(CorrectiveMinor!$O332,[1]Gen_Vessels!$C$3:$C$500,0),1)),"")</f>
        <v/>
      </c>
      <c r="Q332" s="2"/>
      <c r="R332" s="2"/>
      <c r="S332" s="2"/>
      <c r="T332" s="2"/>
      <c r="U332" s="2"/>
      <c r="W332" s="2"/>
      <c r="X332" s="2"/>
      <c r="Y332" s="2"/>
      <c r="Z332" s="2"/>
      <c r="AA332" s="2"/>
      <c r="AB332" s="2"/>
      <c r="AC332" s="2"/>
    </row>
    <row r="333" spans="1:29" x14ac:dyDescent="0.25">
      <c r="A333" s="1" t="str">
        <f t="shared" si="5"/>
        <v/>
      </c>
      <c r="B333" s="2"/>
      <c r="C333" s="2"/>
      <c r="D333" s="13"/>
      <c r="E333" s="14"/>
      <c r="F333" s="15"/>
      <c r="G333" s="8"/>
      <c r="M333" s="2"/>
      <c r="N333" s="2" t="str">
        <f>IFERROR(IF(ISBLANK(M333),"",INDEX([1]Gen_Vessels!$A$3:$C$500,MATCH(CorrectiveMinor!$M333,[1]Gen_Vessels!$C$3:$C$500,0),1)),"")</f>
        <v/>
      </c>
      <c r="O333" s="2"/>
      <c r="P333" s="2" t="str">
        <f>IFERROR(IF(ISBLANK(O333),"",INDEX([1]Gen_Vessels!$A$3:$C$500,MATCH(CorrectiveMinor!$O333,[1]Gen_Vessels!$C$3:$C$500,0),1)),"")</f>
        <v/>
      </c>
      <c r="Q333" s="2"/>
      <c r="R333" s="2"/>
      <c r="S333" s="2"/>
      <c r="T333" s="2"/>
      <c r="U333" s="2"/>
      <c r="W333" s="2"/>
      <c r="X333" s="2"/>
      <c r="Y333" s="2"/>
      <c r="Z333" s="2"/>
      <c r="AA333" s="2"/>
      <c r="AB333" s="2"/>
      <c r="AC333" s="2"/>
    </row>
    <row r="334" spans="1:29" x14ac:dyDescent="0.25">
      <c r="A334" s="1" t="str">
        <f t="shared" si="5"/>
        <v/>
      </c>
      <c r="B334" s="2"/>
      <c r="C334" s="2"/>
      <c r="D334" s="13"/>
      <c r="E334" s="14"/>
      <c r="F334" s="15"/>
      <c r="G334" s="8"/>
      <c r="M334" s="2"/>
      <c r="N334" s="2" t="str">
        <f>IFERROR(IF(ISBLANK(M334),"",INDEX([1]Gen_Vessels!$A$3:$C$500,MATCH(CorrectiveMinor!$M334,[1]Gen_Vessels!$C$3:$C$500,0),1)),"")</f>
        <v/>
      </c>
      <c r="O334" s="2"/>
      <c r="P334" s="2" t="str">
        <f>IFERROR(IF(ISBLANK(O334),"",INDEX([1]Gen_Vessels!$A$3:$C$500,MATCH(CorrectiveMinor!$O334,[1]Gen_Vessels!$C$3:$C$500,0),1)),"")</f>
        <v/>
      </c>
      <c r="Q334" s="2"/>
      <c r="R334" s="2"/>
      <c r="S334" s="2"/>
      <c r="T334" s="2"/>
      <c r="U334" s="2"/>
      <c r="W334" s="2"/>
      <c r="X334" s="2"/>
      <c r="Y334" s="2"/>
      <c r="Z334" s="2"/>
      <c r="AA334" s="2"/>
      <c r="AB334" s="2"/>
      <c r="AC334" s="2"/>
    </row>
    <row r="335" spans="1:29" x14ac:dyDescent="0.25">
      <c r="A335" s="1" t="str">
        <f t="shared" si="5"/>
        <v/>
      </c>
      <c r="B335" s="2"/>
      <c r="C335" s="2"/>
      <c r="D335" s="13"/>
      <c r="E335" s="14"/>
      <c r="F335" s="15"/>
      <c r="G335" s="8"/>
      <c r="M335" s="2"/>
      <c r="N335" s="2" t="str">
        <f>IFERROR(IF(ISBLANK(M335),"",INDEX([1]Gen_Vessels!$A$3:$C$500,MATCH(CorrectiveMinor!$M335,[1]Gen_Vessels!$C$3:$C$500,0),1)),"")</f>
        <v/>
      </c>
      <c r="O335" s="2"/>
      <c r="P335" s="2" t="str">
        <f>IFERROR(IF(ISBLANK(O335),"",INDEX([1]Gen_Vessels!$A$3:$C$500,MATCH(CorrectiveMinor!$O335,[1]Gen_Vessels!$C$3:$C$500,0),1)),"")</f>
        <v/>
      </c>
      <c r="Q335" s="2"/>
      <c r="R335" s="2"/>
      <c r="S335" s="2"/>
      <c r="T335" s="2"/>
      <c r="U335" s="2"/>
      <c r="W335" s="2"/>
      <c r="X335" s="2"/>
      <c r="Y335" s="2"/>
      <c r="Z335" s="2"/>
      <c r="AA335" s="2"/>
      <c r="AB335" s="2"/>
      <c r="AC335" s="2"/>
    </row>
    <row r="336" spans="1:29" x14ac:dyDescent="0.25">
      <c r="A336" s="1" t="str">
        <f t="shared" si="5"/>
        <v/>
      </c>
      <c r="B336" s="2"/>
      <c r="C336" s="2"/>
      <c r="D336" s="13"/>
      <c r="E336" s="14"/>
      <c r="F336" s="15"/>
      <c r="G336" s="8"/>
      <c r="M336" s="2"/>
      <c r="N336" s="2" t="str">
        <f>IFERROR(IF(ISBLANK(M336),"",INDEX([1]Gen_Vessels!$A$3:$C$500,MATCH(CorrectiveMinor!$M336,[1]Gen_Vessels!$C$3:$C$500,0),1)),"")</f>
        <v/>
      </c>
      <c r="O336" s="2"/>
      <c r="P336" s="2" t="str">
        <f>IFERROR(IF(ISBLANK(O336),"",INDEX([1]Gen_Vessels!$A$3:$C$500,MATCH(CorrectiveMinor!$O336,[1]Gen_Vessels!$C$3:$C$500,0),1)),"")</f>
        <v/>
      </c>
      <c r="Q336" s="2"/>
      <c r="R336" s="2"/>
      <c r="S336" s="2"/>
      <c r="T336" s="2"/>
      <c r="U336" s="2"/>
      <c r="W336" s="2"/>
      <c r="X336" s="2"/>
      <c r="Y336" s="2"/>
      <c r="Z336" s="2"/>
      <c r="AA336" s="2"/>
      <c r="AB336" s="2"/>
      <c r="AC336" s="2"/>
    </row>
    <row r="337" spans="1:29" x14ac:dyDescent="0.25">
      <c r="A337" s="1" t="str">
        <f t="shared" si="5"/>
        <v/>
      </c>
      <c r="B337" s="2"/>
      <c r="C337" s="2"/>
      <c r="D337" s="13"/>
      <c r="E337" s="14"/>
      <c r="F337" s="15"/>
      <c r="G337" s="8"/>
      <c r="M337" s="2"/>
      <c r="N337" s="2" t="str">
        <f>IFERROR(IF(ISBLANK(M337),"",INDEX([1]Gen_Vessels!$A$3:$C$500,MATCH(CorrectiveMinor!$M337,[1]Gen_Vessels!$C$3:$C$500,0),1)),"")</f>
        <v/>
      </c>
      <c r="O337" s="2"/>
      <c r="P337" s="2" t="str">
        <f>IFERROR(IF(ISBLANK(O337),"",INDEX([1]Gen_Vessels!$A$3:$C$500,MATCH(CorrectiveMinor!$O337,[1]Gen_Vessels!$C$3:$C$500,0),1)),"")</f>
        <v/>
      </c>
      <c r="Q337" s="2"/>
      <c r="R337" s="2"/>
      <c r="S337" s="2"/>
      <c r="T337" s="2"/>
      <c r="U337" s="2"/>
      <c r="W337" s="2"/>
      <c r="X337" s="2"/>
      <c r="Y337" s="2"/>
      <c r="Z337" s="2"/>
      <c r="AA337" s="2"/>
      <c r="AB337" s="2"/>
      <c r="AC337" s="2"/>
    </row>
    <row r="338" spans="1:29" x14ac:dyDescent="0.25">
      <c r="A338" s="1" t="str">
        <f t="shared" si="5"/>
        <v/>
      </c>
      <c r="B338" s="2"/>
      <c r="C338" s="2"/>
      <c r="D338" s="13"/>
      <c r="E338" s="14"/>
      <c r="F338" s="15"/>
      <c r="G338" s="8"/>
      <c r="M338" s="2"/>
      <c r="N338" s="2" t="str">
        <f>IFERROR(IF(ISBLANK(M338),"",INDEX([1]Gen_Vessels!$A$3:$C$500,MATCH(CorrectiveMinor!$M338,[1]Gen_Vessels!$C$3:$C$500,0),1)),"")</f>
        <v/>
      </c>
      <c r="O338" s="2"/>
      <c r="P338" s="2" t="str">
        <f>IFERROR(IF(ISBLANK(O338),"",INDEX([1]Gen_Vessels!$A$3:$C$500,MATCH(CorrectiveMinor!$O338,[1]Gen_Vessels!$C$3:$C$500,0),1)),"")</f>
        <v/>
      </c>
      <c r="Q338" s="2"/>
      <c r="R338" s="2"/>
      <c r="S338" s="2"/>
      <c r="T338" s="2"/>
      <c r="U338" s="2"/>
      <c r="W338" s="2"/>
      <c r="X338" s="2"/>
      <c r="Y338" s="2"/>
      <c r="Z338" s="2"/>
      <c r="AA338" s="2"/>
      <c r="AB338" s="2"/>
      <c r="AC338" s="2"/>
    </row>
    <row r="339" spans="1:29" x14ac:dyDescent="0.25">
      <c r="A339" s="1" t="str">
        <f t="shared" si="5"/>
        <v/>
      </c>
      <c r="B339" s="2"/>
      <c r="C339" s="2"/>
      <c r="D339" s="13"/>
      <c r="E339" s="14"/>
      <c r="F339" s="15"/>
      <c r="G339" s="8"/>
      <c r="M339" s="2"/>
      <c r="N339" s="2" t="str">
        <f>IFERROR(IF(ISBLANK(M339),"",INDEX([1]Gen_Vessels!$A$3:$C$500,MATCH(CorrectiveMinor!$M339,[1]Gen_Vessels!$C$3:$C$500,0),1)),"")</f>
        <v/>
      </c>
      <c r="O339" s="2"/>
      <c r="P339" s="2" t="str">
        <f>IFERROR(IF(ISBLANK(O339),"",INDEX([1]Gen_Vessels!$A$3:$C$500,MATCH(CorrectiveMinor!$O339,[1]Gen_Vessels!$C$3:$C$500,0),1)),"")</f>
        <v/>
      </c>
      <c r="Q339" s="2"/>
      <c r="R339" s="2"/>
      <c r="S339" s="2"/>
      <c r="T339" s="2"/>
      <c r="U339" s="2"/>
      <c r="W339" s="2"/>
      <c r="X339" s="2"/>
      <c r="Y339" s="2"/>
      <c r="Z339" s="2"/>
      <c r="AA339" s="2"/>
      <c r="AB339" s="2"/>
      <c r="AC339" s="2"/>
    </row>
    <row r="340" spans="1:29" x14ac:dyDescent="0.25">
      <c r="A340" s="1" t="str">
        <f t="shared" si="5"/>
        <v/>
      </c>
      <c r="B340" s="2"/>
      <c r="C340" s="2"/>
      <c r="D340" s="13"/>
      <c r="E340" s="14"/>
      <c r="F340" s="15"/>
      <c r="G340" s="8"/>
      <c r="M340" s="2"/>
      <c r="N340" s="2" t="str">
        <f>IFERROR(IF(ISBLANK(M340),"",INDEX([1]Gen_Vessels!$A$3:$C$500,MATCH(CorrectiveMinor!$M340,[1]Gen_Vessels!$C$3:$C$500,0),1)),"")</f>
        <v/>
      </c>
      <c r="O340" s="2"/>
      <c r="P340" s="2" t="str">
        <f>IFERROR(IF(ISBLANK(O340),"",INDEX([1]Gen_Vessels!$A$3:$C$500,MATCH(CorrectiveMinor!$O340,[1]Gen_Vessels!$C$3:$C$500,0),1)),"")</f>
        <v/>
      </c>
      <c r="Q340" s="2"/>
      <c r="R340" s="2"/>
      <c r="S340" s="2"/>
      <c r="T340" s="2"/>
      <c r="U340" s="2"/>
      <c r="W340" s="2"/>
      <c r="X340" s="2"/>
      <c r="Y340" s="2"/>
      <c r="Z340" s="2"/>
      <c r="AA340" s="2"/>
      <c r="AB340" s="2"/>
      <c r="AC340" s="2"/>
    </row>
    <row r="341" spans="1:29" x14ac:dyDescent="0.25">
      <c r="A341" s="1" t="str">
        <f t="shared" si="5"/>
        <v/>
      </c>
      <c r="B341" s="2"/>
      <c r="C341" s="2"/>
      <c r="D341" s="13"/>
      <c r="E341" s="14"/>
      <c r="F341" s="15"/>
      <c r="G341" s="8"/>
      <c r="M341" s="2"/>
      <c r="N341" s="2" t="str">
        <f>IFERROR(IF(ISBLANK(M341),"",INDEX([1]Gen_Vessels!$A$3:$C$500,MATCH(CorrectiveMinor!$M341,[1]Gen_Vessels!$C$3:$C$500,0),1)),"")</f>
        <v/>
      </c>
      <c r="O341" s="2"/>
      <c r="P341" s="2" t="str">
        <f>IFERROR(IF(ISBLANK(O341),"",INDEX([1]Gen_Vessels!$A$3:$C$500,MATCH(CorrectiveMinor!$O341,[1]Gen_Vessels!$C$3:$C$500,0),1)),"")</f>
        <v/>
      </c>
      <c r="Q341" s="2"/>
      <c r="R341" s="2"/>
      <c r="S341" s="2"/>
      <c r="T341" s="2"/>
      <c r="U341" s="2"/>
      <c r="W341" s="2"/>
      <c r="X341" s="2"/>
      <c r="Y341" s="2"/>
      <c r="Z341" s="2"/>
      <c r="AA341" s="2"/>
      <c r="AB341" s="2"/>
      <c r="AC341" s="2"/>
    </row>
    <row r="342" spans="1:29" x14ac:dyDescent="0.25">
      <c r="A342" s="1" t="str">
        <f t="shared" si="5"/>
        <v/>
      </c>
      <c r="B342" s="2"/>
      <c r="C342" s="2"/>
      <c r="D342" s="13"/>
      <c r="E342" s="14"/>
      <c r="F342" s="15"/>
      <c r="G342" s="8"/>
      <c r="M342" s="2"/>
      <c r="N342" s="2" t="str">
        <f>IFERROR(IF(ISBLANK(M342),"",INDEX([1]Gen_Vessels!$A$3:$C$500,MATCH(CorrectiveMinor!$M342,[1]Gen_Vessels!$C$3:$C$500,0),1)),"")</f>
        <v/>
      </c>
      <c r="O342" s="2"/>
      <c r="P342" s="2" t="str">
        <f>IFERROR(IF(ISBLANK(O342),"",INDEX([1]Gen_Vessels!$A$3:$C$500,MATCH(CorrectiveMinor!$O342,[1]Gen_Vessels!$C$3:$C$500,0),1)),"")</f>
        <v/>
      </c>
      <c r="Q342" s="2"/>
      <c r="R342" s="2"/>
      <c r="S342" s="2"/>
      <c r="T342" s="2"/>
      <c r="U342" s="2"/>
      <c r="W342" s="2"/>
      <c r="X342" s="2"/>
      <c r="Y342" s="2"/>
      <c r="Z342" s="2"/>
      <c r="AA342" s="2"/>
      <c r="AB342" s="2"/>
      <c r="AC342" s="2"/>
    </row>
    <row r="343" spans="1:29" x14ac:dyDescent="0.25">
      <c r="A343" s="1" t="str">
        <f t="shared" si="5"/>
        <v/>
      </c>
      <c r="B343" s="2"/>
      <c r="C343" s="2"/>
      <c r="D343" s="13"/>
      <c r="E343" s="14"/>
      <c r="F343" s="15"/>
      <c r="G343" s="8"/>
      <c r="M343" s="2"/>
      <c r="N343" s="2" t="str">
        <f>IFERROR(IF(ISBLANK(M343),"",INDEX([1]Gen_Vessels!$A$3:$C$500,MATCH(CorrectiveMinor!$M343,[1]Gen_Vessels!$C$3:$C$500,0),1)),"")</f>
        <v/>
      </c>
      <c r="O343" s="2"/>
      <c r="P343" s="2" t="str">
        <f>IFERROR(IF(ISBLANK(O343),"",INDEX([1]Gen_Vessels!$A$3:$C$500,MATCH(CorrectiveMinor!$O343,[1]Gen_Vessels!$C$3:$C$500,0),1)),"")</f>
        <v/>
      </c>
      <c r="Q343" s="2"/>
      <c r="R343" s="2"/>
      <c r="S343" s="2"/>
      <c r="T343" s="2"/>
      <c r="U343" s="2"/>
      <c r="W343" s="2"/>
      <c r="X343" s="2"/>
      <c r="Y343" s="2"/>
      <c r="Z343" s="2"/>
      <c r="AA343" s="2"/>
      <c r="AB343" s="2"/>
      <c r="AC343" s="2"/>
    </row>
    <row r="344" spans="1:29" x14ac:dyDescent="0.25">
      <c r="A344" s="1" t="str">
        <f t="shared" si="5"/>
        <v/>
      </c>
      <c r="B344" s="2"/>
      <c r="C344" s="2"/>
      <c r="D344" s="13"/>
      <c r="E344" s="14"/>
      <c r="F344" s="15"/>
      <c r="G344" s="8"/>
      <c r="M344" s="2"/>
      <c r="N344" s="2" t="str">
        <f>IFERROR(IF(ISBLANK(M344),"",INDEX([1]Gen_Vessels!$A$3:$C$500,MATCH(CorrectiveMinor!$M344,[1]Gen_Vessels!$C$3:$C$500,0),1)),"")</f>
        <v/>
      </c>
      <c r="O344" s="2"/>
      <c r="P344" s="2" t="str">
        <f>IFERROR(IF(ISBLANK(O344),"",INDEX([1]Gen_Vessels!$A$3:$C$500,MATCH(CorrectiveMinor!$O344,[1]Gen_Vessels!$C$3:$C$500,0),1)),"")</f>
        <v/>
      </c>
      <c r="Q344" s="2"/>
      <c r="R344" s="2"/>
      <c r="S344" s="2"/>
      <c r="T344" s="2"/>
      <c r="U344" s="2"/>
      <c r="W344" s="2"/>
      <c r="X344" s="2"/>
      <c r="Y344" s="2"/>
      <c r="Z344" s="2"/>
      <c r="AA344" s="2"/>
      <c r="AB344" s="2"/>
      <c r="AC344" s="2"/>
    </row>
    <row r="345" spans="1:29" x14ac:dyDescent="0.25">
      <c r="A345" s="1" t="str">
        <f t="shared" si="5"/>
        <v/>
      </c>
      <c r="B345" s="2"/>
      <c r="C345" s="2"/>
      <c r="D345" s="13"/>
      <c r="E345" s="14"/>
      <c r="F345" s="15"/>
      <c r="G345" s="8"/>
      <c r="M345" s="2"/>
      <c r="N345" s="2" t="str">
        <f>IFERROR(IF(ISBLANK(M345),"",INDEX([1]Gen_Vessels!$A$3:$C$500,MATCH(CorrectiveMinor!$M345,[1]Gen_Vessels!$C$3:$C$500,0),1)),"")</f>
        <v/>
      </c>
      <c r="O345" s="2"/>
      <c r="P345" s="2" t="str">
        <f>IFERROR(IF(ISBLANK(O345),"",INDEX([1]Gen_Vessels!$A$3:$C$500,MATCH(CorrectiveMinor!$O345,[1]Gen_Vessels!$C$3:$C$500,0),1)),"")</f>
        <v/>
      </c>
      <c r="Q345" s="2"/>
      <c r="R345" s="2"/>
      <c r="S345" s="2"/>
      <c r="T345" s="2"/>
      <c r="U345" s="2"/>
      <c r="W345" s="2"/>
      <c r="X345" s="2"/>
      <c r="Y345" s="2"/>
      <c r="Z345" s="2"/>
      <c r="AA345" s="2"/>
      <c r="AB345" s="2"/>
      <c r="AC345" s="2"/>
    </row>
    <row r="346" spans="1:29" x14ac:dyDescent="0.25">
      <c r="A346" s="1" t="str">
        <f t="shared" si="5"/>
        <v/>
      </c>
      <c r="B346" s="2"/>
      <c r="C346" s="2"/>
      <c r="D346" s="13"/>
      <c r="E346" s="14"/>
      <c r="F346" s="15"/>
      <c r="G346" s="8"/>
      <c r="M346" s="2"/>
      <c r="N346" s="2" t="str">
        <f>IFERROR(IF(ISBLANK(M346),"",INDEX([1]Gen_Vessels!$A$3:$C$500,MATCH(CorrectiveMinor!$M346,[1]Gen_Vessels!$C$3:$C$500,0),1)),"")</f>
        <v/>
      </c>
      <c r="O346" s="2"/>
      <c r="P346" s="2" t="str">
        <f>IFERROR(IF(ISBLANK(O346),"",INDEX([1]Gen_Vessels!$A$3:$C$500,MATCH(CorrectiveMinor!$O346,[1]Gen_Vessels!$C$3:$C$500,0),1)),"")</f>
        <v/>
      </c>
      <c r="Q346" s="2"/>
      <c r="R346" s="2"/>
      <c r="S346" s="2"/>
      <c r="T346" s="2"/>
      <c r="U346" s="2"/>
      <c r="W346" s="2"/>
      <c r="X346" s="2"/>
      <c r="Y346" s="2"/>
      <c r="Z346" s="2"/>
      <c r="AA346" s="2"/>
      <c r="AB346" s="2"/>
      <c r="AC346" s="2"/>
    </row>
    <row r="347" spans="1:29" x14ac:dyDescent="0.25">
      <c r="A347" s="1" t="str">
        <f t="shared" si="5"/>
        <v/>
      </c>
      <c r="B347" s="2"/>
      <c r="C347" s="2"/>
      <c r="D347" s="13"/>
      <c r="E347" s="14"/>
      <c r="F347" s="15"/>
      <c r="G347" s="8"/>
      <c r="M347" s="2"/>
      <c r="N347" s="2" t="str">
        <f>IFERROR(IF(ISBLANK(M347),"",INDEX([1]Gen_Vessels!$A$3:$C$500,MATCH(CorrectiveMinor!$M347,[1]Gen_Vessels!$C$3:$C$500,0),1)),"")</f>
        <v/>
      </c>
      <c r="O347" s="2"/>
      <c r="P347" s="2" t="str">
        <f>IFERROR(IF(ISBLANK(O347),"",INDEX([1]Gen_Vessels!$A$3:$C$500,MATCH(CorrectiveMinor!$O347,[1]Gen_Vessels!$C$3:$C$500,0),1)),"")</f>
        <v/>
      </c>
      <c r="Q347" s="2"/>
      <c r="R347" s="2"/>
      <c r="S347" s="2"/>
      <c r="T347" s="2"/>
      <c r="U347" s="2"/>
      <c r="W347" s="2"/>
      <c r="X347" s="2"/>
      <c r="Y347" s="2"/>
      <c r="Z347" s="2"/>
      <c r="AA347" s="2"/>
      <c r="AB347" s="2"/>
      <c r="AC347" s="2"/>
    </row>
    <row r="348" spans="1:29" x14ac:dyDescent="0.25">
      <c r="A348" s="1" t="str">
        <f t="shared" si="5"/>
        <v/>
      </c>
      <c r="B348" s="2"/>
      <c r="C348" s="2"/>
      <c r="D348" s="13"/>
      <c r="E348" s="14"/>
      <c r="F348" s="15"/>
      <c r="G348" s="8"/>
      <c r="M348" s="2"/>
      <c r="N348" s="2" t="str">
        <f>IFERROR(IF(ISBLANK(M348),"",INDEX([1]Gen_Vessels!$A$3:$C$500,MATCH(CorrectiveMinor!$M348,[1]Gen_Vessels!$C$3:$C$500,0),1)),"")</f>
        <v/>
      </c>
      <c r="O348" s="2"/>
      <c r="P348" s="2" t="str">
        <f>IFERROR(IF(ISBLANK(O348),"",INDEX([1]Gen_Vessels!$A$3:$C$500,MATCH(CorrectiveMinor!$O348,[1]Gen_Vessels!$C$3:$C$500,0),1)),"")</f>
        <v/>
      </c>
      <c r="Q348" s="2"/>
      <c r="R348" s="2"/>
      <c r="S348" s="2"/>
      <c r="T348" s="2"/>
      <c r="U348" s="2"/>
      <c r="W348" s="2"/>
      <c r="X348" s="2"/>
      <c r="Y348" s="2"/>
      <c r="Z348" s="2"/>
      <c r="AA348" s="2"/>
      <c r="AB348" s="2"/>
      <c r="AC348" s="2"/>
    </row>
    <row r="349" spans="1:29" x14ac:dyDescent="0.25">
      <c r="A349" s="1" t="str">
        <f t="shared" si="5"/>
        <v/>
      </c>
      <c r="B349" s="2"/>
      <c r="C349" s="2"/>
      <c r="D349" s="13"/>
      <c r="E349" s="14"/>
      <c r="F349" s="15"/>
      <c r="G349" s="8"/>
      <c r="M349" s="2"/>
      <c r="N349" s="2" t="str">
        <f>IFERROR(IF(ISBLANK(M349),"",INDEX([1]Gen_Vessels!$A$3:$C$500,MATCH(CorrectiveMinor!$M349,[1]Gen_Vessels!$C$3:$C$500,0),1)),"")</f>
        <v/>
      </c>
      <c r="O349" s="2"/>
      <c r="P349" s="2" t="str">
        <f>IFERROR(IF(ISBLANK(O349),"",INDEX([1]Gen_Vessels!$A$3:$C$500,MATCH(CorrectiveMinor!$O349,[1]Gen_Vessels!$C$3:$C$500,0),1)),"")</f>
        <v/>
      </c>
      <c r="Q349" s="2"/>
      <c r="R349" s="2"/>
      <c r="S349" s="2"/>
      <c r="T349" s="2"/>
      <c r="U349" s="2"/>
      <c r="W349" s="2"/>
      <c r="X349" s="2"/>
      <c r="Y349" s="2"/>
      <c r="Z349" s="2"/>
      <c r="AA349" s="2"/>
      <c r="AB349" s="2"/>
      <c r="AC349" s="2"/>
    </row>
    <row r="350" spans="1:29" x14ac:dyDescent="0.25">
      <c r="A350" s="1" t="str">
        <f t="shared" si="5"/>
        <v/>
      </c>
      <c r="B350" s="2"/>
      <c r="C350" s="2"/>
      <c r="D350" s="13"/>
      <c r="E350" s="14"/>
      <c r="F350" s="15"/>
      <c r="G350" s="8"/>
      <c r="M350" s="2"/>
      <c r="N350" s="2" t="str">
        <f>IFERROR(IF(ISBLANK(M350),"",INDEX([1]Gen_Vessels!$A$3:$C$500,MATCH(CorrectiveMinor!$M350,[1]Gen_Vessels!$C$3:$C$500,0),1)),"")</f>
        <v/>
      </c>
      <c r="O350" s="2"/>
      <c r="P350" s="2" t="str">
        <f>IFERROR(IF(ISBLANK(O350),"",INDEX([1]Gen_Vessels!$A$3:$C$500,MATCH(CorrectiveMinor!$O350,[1]Gen_Vessels!$C$3:$C$500,0),1)),"")</f>
        <v/>
      </c>
      <c r="Q350" s="2"/>
      <c r="R350" s="2"/>
      <c r="S350" s="2"/>
      <c r="T350" s="2"/>
      <c r="U350" s="2"/>
      <c r="W350" s="2"/>
      <c r="X350" s="2"/>
      <c r="Y350" s="2"/>
      <c r="Z350" s="2"/>
      <c r="AA350" s="2"/>
      <c r="AB350" s="2"/>
      <c r="AC350" s="2"/>
    </row>
    <row r="351" spans="1:29" x14ac:dyDescent="0.25">
      <c r="A351" s="1" t="str">
        <f t="shared" si="5"/>
        <v/>
      </c>
      <c r="B351" s="2"/>
      <c r="C351" s="2"/>
      <c r="D351" s="13"/>
      <c r="E351" s="14"/>
      <c r="F351" s="15"/>
      <c r="G351" s="8"/>
      <c r="M351" s="2"/>
      <c r="N351" s="2" t="str">
        <f>IFERROR(IF(ISBLANK(M351),"",INDEX([1]Gen_Vessels!$A$3:$C$500,MATCH(CorrectiveMinor!$M351,[1]Gen_Vessels!$C$3:$C$500,0),1)),"")</f>
        <v/>
      </c>
      <c r="O351" s="2"/>
      <c r="P351" s="2" t="str">
        <f>IFERROR(IF(ISBLANK(O351),"",INDEX([1]Gen_Vessels!$A$3:$C$500,MATCH(CorrectiveMinor!$O351,[1]Gen_Vessels!$C$3:$C$500,0),1)),"")</f>
        <v/>
      </c>
      <c r="Q351" s="2"/>
      <c r="R351" s="2"/>
      <c r="S351" s="2"/>
      <c r="T351" s="2"/>
      <c r="U351" s="2"/>
      <c r="W351" s="2"/>
      <c r="X351" s="2"/>
      <c r="Y351" s="2"/>
      <c r="Z351" s="2"/>
      <c r="AA351" s="2"/>
      <c r="AB351" s="2"/>
      <c r="AC351" s="2"/>
    </row>
    <row r="352" spans="1:29" x14ac:dyDescent="0.25">
      <c r="A352" s="1" t="str">
        <f t="shared" si="5"/>
        <v/>
      </c>
      <c r="B352" s="2"/>
      <c r="C352" s="2"/>
      <c r="D352" s="13"/>
      <c r="E352" s="14"/>
      <c r="F352" s="15"/>
      <c r="G352" s="8"/>
      <c r="M352" s="2"/>
      <c r="N352" s="2" t="str">
        <f>IFERROR(IF(ISBLANK(M352),"",INDEX([1]Gen_Vessels!$A$3:$C$500,MATCH(CorrectiveMinor!$M352,[1]Gen_Vessels!$C$3:$C$500,0),1)),"")</f>
        <v/>
      </c>
      <c r="O352" s="2"/>
      <c r="P352" s="2" t="str">
        <f>IFERROR(IF(ISBLANK(O352),"",INDEX([1]Gen_Vessels!$A$3:$C$500,MATCH(CorrectiveMinor!$O352,[1]Gen_Vessels!$C$3:$C$500,0),1)),"")</f>
        <v/>
      </c>
      <c r="Q352" s="2"/>
      <c r="R352" s="2"/>
      <c r="S352" s="2"/>
      <c r="T352" s="2"/>
      <c r="U352" s="2"/>
      <c r="W352" s="2"/>
      <c r="X352" s="2"/>
      <c r="Y352" s="2"/>
      <c r="Z352" s="2"/>
      <c r="AA352" s="2"/>
      <c r="AB352" s="2"/>
      <c r="AC352" s="2"/>
    </row>
    <row r="353" spans="1:29" x14ac:dyDescent="0.25">
      <c r="A353" s="1" t="str">
        <f t="shared" si="5"/>
        <v/>
      </c>
      <c r="B353" s="2"/>
      <c r="C353" s="2"/>
      <c r="D353" s="13"/>
      <c r="E353" s="14"/>
      <c r="F353" s="15"/>
      <c r="G353" s="8"/>
      <c r="M353" s="2"/>
      <c r="N353" s="2" t="str">
        <f>IFERROR(IF(ISBLANK(M353),"",INDEX([1]Gen_Vessels!$A$3:$C$500,MATCH(CorrectiveMinor!$M353,[1]Gen_Vessels!$C$3:$C$500,0),1)),"")</f>
        <v/>
      </c>
      <c r="O353" s="2"/>
      <c r="P353" s="2" t="str">
        <f>IFERROR(IF(ISBLANK(O353),"",INDEX([1]Gen_Vessels!$A$3:$C$500,MATCH(CorrectiveMinor!$O353,[1]Gen_Vessels!$C$3:$C$500,0),1)),"")</f>
        <v/>
      </c>
      <c r="Q353" s="2"/>
      <c r="R353" s="2"/>
      <c r="S353" s="2"/>
      <c r="T353" s="2"/>
      <c r="U353" s="2"/>
      <c r="W353" s="2"/>
      <c r="X353" s="2"/>
      <c r="Y353" s="2"/>
      <c r="Z353" s="2"/>
      <c r="AA353" s="2"/>
      <c r="AB353" s="2"/>
      <c r="AC353" s="2"/>
    </row>
    <row r="354" spans="1:29" x14ac:dyDescent="0.25">
      <c r="A354" s="1" t="str">
        <f t="shared" si="5"/>
        <v/>
      </c>
      <c r="B354" s="2"/>
      <c r="C354" s="2"/>
      <c r="D354" s="13"/>
      <c r="E354" s="14"/>
      <c r="F354" s="15"/>
      <c r="G354" s="8"/>
      <c r="M354" s="2"/>
      <c r="N354" s="2" t="str">
        <f>IFERROR(IF(ISBLANK(M354),"",INDEX([1]Gen_Vessels!$A$3:$C$500,MATCH(CorrectiveMinor!$M354,[1]Gen_Vessels!$C$3:$C$500,0),1)),"")</f>
        <v/>
      </c>
      <c r="O354" s="2"/>
      <c r="P354" s="2" t="str">
        <f>IFERROR(IF(ISBLANK(O354),"",INDEX([1]Gen_Vessels!$A$3:$C$500,MATCH(CorrectiveMinor!$O354,[1]Gen_Vessels!$C$3:$C$500,0),1)),"")</f>
        <v/>
      </c>
      <c r="Q354" s="2"/>
      <c r="R354" s="2"/>
      <c r="S354" s="2"/>
      <c r="T354" s="2"/>
      <c r="U354" s="2"/>
      <c r="W354" s="2"/>
      <c r="X354" s="2"/>
      <c r="Y354" s="2"/>
      <c r="Z354" s="2"/>
      <c r="AA354" s="2"/>
      <c r="AB354" s="2"/>
      <c r="AC354" s="2"/>
    </row>
    <row r="355" spans="1:29" x14ac:dyDescent="0.25">
      <c r="A355" s="1" t="str">
        <f t="shared" si="5"/>
        <v/>
      </c>
      <c r="B355" s="2"/>
      <c r="C355" s="2"/>
      <c r="D355" s="13"/>
      <c r="E355" s="14"/>
      <c r="F355" s="15"/>
      <c r="G355" s="8"/>
      <c r="M355" s="2"/>
      <c r="N355" s="2" t="str">
        <f>IFERROR(IF(ISBLANK(M355),"",INDEX([1]Gen_Vessels!$A$3:$C$500,MATCH(CorrectiveMinor!$M355,[1]Gen_Vessels!$C$3:$C$500,0),1)),"")</f>
        <v/>
      </c>
      <c r="O355" s="2"/>
      <c r="P355" s="2" t="str">
        <f>IFERROR(IF(ISBLANK(O355),"",INDEX([1]Gen_Vessels!$A$3:$C$500,MATCH(CorrectiveMinor!$O355,[1]Gen_Vessels!$C$3:$C$500,0),1)),"")</f>
        <v/>
      </c>
      <c r="Q355" s="2"/>
      <c r="R355" s="2"/>
      <c r="S355" s="2"/>
      <c r="T355" s="2"/>
      <c r="U355" s="2"/>
      <c r="W355" s="2"/>
      <c r="X355" s="2"/>
      <c r="Y355" s="2"/>
      <c r="Z355" s="2"/>
      <c r="AA355" s="2"/>
      <c r="AB355" s="2"/>
      <c r="AC355" s="2"/>
    </row>
    <row r="356" spans="1:29" x14ac:dyDescent="0.25">
      <c r="A356" s="1" t="str">
        <f t="shared" si="5"/>
        <v/>
      </c>
      <c r="B356" s="2"/>
      <c r="C356" s="2"/>
      <c r="D356" s="13"/>
      <c r="E356" s="14"/>
      <c r="F356" s="15"/>
      <c r="G356" s="8"/>
      <c r="M356" s="2"/>
      <c r="N356" s="2" t="str">
        <f>IFERROR(IF(ISBLANK(M356),"",INDEX([1]Gen_Vessels!$A$3:$C$500,MATCH(CorrectiveMinor!$M356,[1]Gen_Vessels!$C$3:$C$500,0),1)),"")</f>
        <v/>
      </c>
      <c r="O356" s="2"/>
      <c r="P356" s="2" t="str">
        <f>IFERROR(IF(ISBLANK(O356),"",INDEX([1]Gen_Vessels!$A$3:$C$500,MATCH(CorrectiveMinor!$O356,[1]Gen_Vessels!$C$3:$C$500,0),1)),"")</f>
        <v/>
      </c>
      <c r="Q356" s="2"/>
      <c r="R356" s="2"/>
      <c r="S356" s="2"/>
      <c r="T356" s="2"/>
      <c r="U356" s="2"/>
      <c r="W356" s="2"/>
      <c r="X356" s="2"/>
      <c r="Y356" s="2"/>
      <c r="Z356" s="2"/>
      <c r="AA356" s="2"/>
      <c r="AB356" s="2"/>
      <c r="AC356" s="2"/>
    </row>
    <row r="357" spans="1:29" x14ac:dyDescent="0.25">
      <c r="A357" s="1" t="str">
        <f t="shared" si="5"/>
        <v/>
      </c>
      <c r="B357" s="2"/>
      <c r="C357" s="2"/>
      <c r="D357" s="13"/>
      <c r="E357" s="14"/>
      <c r="F357" s="15"/>
      <c r="G357" s="8"/>
      <c r="M357" s="2"/>
      <c r="N357" s="2" t="str">
        <f>IFERROR(IF(ISBLANK(M357),"",INDEX([1]Gen_Vessels!$A$3:$C$500,MATCH(CorrectiveMinor!$M357,[1]Gen_Vessels!$C$3:$C$500,0),1)),"")</f>
        <v/>
      </c>
      <c r="O357" s="2"/>
      <c r="P357" s="2" t="str">
        <f>IFERROR(IF(ISBLANK(O357),"",INDEX([1]Gen_Vessels!$A$3:$C$500,MATCH(CorrectiveMinor!$O357,[1]Gen_Vessels!$C$3:$C$500,0),1)),"")</f>
        <v/>
      </c>
      <c r="Q357" s="2"/>
      <c r="R357" s="2"/>
      <c r="S357" s="2"/>
      <c r="T357" s="2"/>
      <c r="U357" s="2"/>
      <c r="W357" s="2"/>
      <c r="X357" s="2"/>
      <c r="Y357" s="2"/>
      <c r="Z357" s="2"/>
      <c r="AA357" s="2"/>
      <c r="AB357" s="2"/>
      <c r="AC357" s="2"/>
    </row>
    <row r="358" spans="1:29" x14ac:dyDescent="0.25">
      <c r="A358" s="1" t="str">
        <f t="shared" si="5"/>
        <v/>
      </c>
      <c r="B358" s="2"/>
      <c r="C358" s="2"/>
      <c r="D358" s="13"/>
      <c r="E358" s="14"/>
      <c r="F358" s="15"/>
      <c r="G358" s="8"/>
      <c r="M358" s="2"/>
      <c r="N358" s="2" t="str">
        <f>IFERROR(IF(ISBLANK(M358),"",INDEX([1]Gen_Vessels!$A$3:$C$500,MATCH(CorrectiveMinor!$M358,[1]Gen_Vessels!$C$3:$C$500,0),1)),"")</f>
        <v/>
      </c>
      <c r="O358" s="2"/>
      <c r="P358" s="2" t="str">
        <f>IFERROR(IF(ISBLANK(O358),"",INDEX([1]Gen_Vessels!$A$3:$C$500,MATCH(CorrectiveMinor!$O358,[1]Gen_Vessels!$C$3:$C$500,0),1)),"")</f>
        <v/>
      </c>
      <c r="Q358" s="2"/>
      <c r="R358" s="2"/>
      <c r="S358" s="2"/>
      <c r="T358" s="2"/>
      <c r="U358" s="2"/>
      <c r="W358" s="2"/>
      <c r="X358" s="2"/>
      <c r="Y358" s="2"/>
      <c r="Z358" s="2"/>
      <c r="AA358" s="2"/>
      <c r="AB358" s="2"/>
      <c r="AC358" s="2"/>
    </row>
    <row r="359" spans="1:29" x14ac:dyDescent="0.25">
      <c r="A359" s="1" t="str">
        <f t="shared" si="5"/>
        <v/>
      </c>
      <c r="B359" s="2"/>
      <c r="C359" s="2"/>
      <c r="D359" s="13"/>
      <c r="E359" s="14"/>
      <c r="F359" s="15"/>
      <c r="G359" s="8"/>
      <c r="M359" s="2"/>
      <c r="N359" s="2" t="str">
        <f>IFERROR(IF(ISBLANK(M359),"",INDEX([1]Gen_Vessels!$A$3:$C$500,MATCH(CorrectiveMinor!$M359,[1]Gen_Vessels!$C$3:$C$500,0),1)),"")</f>
        <v/>
      </c>
      <c r="O359" s="2"/>
      <c r="P359" s="2" t="str">
        <f>IFERROR(IF(ISBLANK(O359),"",INDEX([1]Gen_Vessels!$A$3:$C$500,MATCH(CorrectiveMinor!$O359,[1]Gen_Vessels!$C$3:$C$500,0),1)),"")</f>
        <v/>
      </c>
      <c r="Q359" s="2"/>
      <c r="R359" s="2"/>
      <c r="S359" s="2"/>
      <c r="T359" s="2"/>
      <c r="U359" s="2"/>
      <c r="W359" s="2"/>
      <c r="X359" s="2"/>
      <c r="Y359" s="2"/>
      <c r="Z359" s="2"/>
      <c r="AA359" s="2"/>
      <c r="AB359" s="2"/>
      <c r="AC359" s="2"/>
    </row>
    <row r="360" spans="1:29" x14ac:dyDescent="0.25">
      <c r="A360" s="1" t="str">
        <f t="shared" si="5"/>
        <v/>
      </c>
      <c r="B360" s="2"/>
      <c r="C360" s="2"/>
      <c r="D360" s="13"/>
      <c r="E360" s="14"/>
      <c r="F360" s="15"/>
      <c r="G360" s="8"/>
      <c r="M360" s="2"/>
      <c r="N360" s="2" t="str">
        <f>IFERROR(IF(ISBLANK(M360),"",INDEX([1]Gen_Vessels!$A$3:$C$500,MATCH(CorrectiveMinor!$M360,[1]Gen_Vessels!$C$3:$C$500,0),1)),"")</f>
        <v/>
      </c>
      <c r="O360" s="2"/>
      <c r="P360" s="2" t="str">
        <f>IFERROR(IF(ISBLANK(O360),"",INDEX([1]Gen_Vessels!$A$3:$C$500,MATCH(CorrectiveMinor!$O360,[1]Gen_Vessels!$C$3:$C$500,0),1)),"")</f>
        <v/>
      </c>
      <c r="Q360" s="2"/>
      <c r="R360" s="2"/>
      <c r="S360" s="2"/>
      <c r="T360" s="2"/>
      <c r="U360" s="2"/>
      <c r="W360" s="2"/>
      <c r="X360" s="2"/>
      <c r="Y360" s="2"/>
      <c r="Z360" s="2"/>
      <c r="AA360" s="2"/>
      <c r="AB360" s="2"/>
      <c r="AC360" s="2"/>
    </row>
    <row r="361" spans="1:29" x14ac:dyDescent="0.25">
      <c r="A361" s="1" t="str">
        <f t="shared" si="5"/>
        <v/>
      </c>
      <c r="B361" s="2"/>
      <c r="C361" s="2"/>
      <c r="D361" s="13"/>
      <c r="E361" s="14"/>
      <c r="F361" s="15"/>
      <c r="G361" s="8"/>
      <c r="M361" s="2"/>
      <c r="N361" s="2" t="str">
        <f>IFERROR(IF(ISBLANK(M361),"",INDEX([1]Gen_Vessels!$A$3:$C$500,MATCH(CorrectiveMinor!$M361,[1]Gen_Vessels!$C$3:$C$500,0),1)),"")</f>
        <v/>
      </c>
      <c r="O361" s="2"/>
      <c r="P361" s="2" t="str">
        <f>IFERROR(IF(ISBLANK(O361),"",INDEX([1]Gen_Vessels!$A$3:$C$500,MATCH(CorrectiveMinor!$O361,[1]Gen_Vessels!$C$3:$C$500,0),1)),"")</f>
        <v/>
      </c>
      <c r="Q361" s="2"/>
      <c r="R361" s="2"/>
      <c r="S361" s="2"/>
      <c r="T361" s="2"/>
      <c r="U361" s="2"/>
      <c r="W361" s="2"/>
      <c r="X361" s="2"/>
      <c r="Y361" s="2"/>
      <c r="Z361" s="2"/>
      <c r="AA361" s="2"/>
      <c r="AB361" s="2"/>
      <c r="AC361" s="2"/>
    </row>
    <row r="362" spans="1:29" x14ac:dyDescent="0.25">
      <c r="A362" s="1" t="str">
        <f t="shared" si="5"/>
        <v/>
      </c>
      <c r="B362" s="2"/>
      <c r="C362" s="2"/>
      <c r="D362" s="13"/>
      <c r="E362" s="14"/>
      <c r="F362" s="15"/>
      <c r="G362" s="8"/>
      <c r="M362" s="2"/>
      <c r="N362" s="2" t="str">
        <f>IFERROR(IF(ISBLANK(M362),"",INDEX([1]Gen_Vessels!$A$3:$C$500,MATCH(CorrectiveMinor!$M362,[1]Gen_Vessels!$C$3:$C$500,0),1)),"")</f>
        <v/>
      </c>
      <c r="O362" s="2"/>
      <c r="P362" s="2" t="str">
        <f>IFERROR(IF(ISBLANK(O362),"",INDEX([1]Gen_Vessels!$A$3:$C$500,MATCH(CorrectiveMinor!$O362,[1]Gen_Vessels!$C$3:$C$500,0),1)),"")</f>
        <v/>
      </c>
      <c r="Q362" s="2"/>
      <c r="R362" s="2"/>
      <c r="S362" s="2"/>
      <c r="T362" s="2"/>
      <c r="U362" s="2"/>
      <c r="W362" s="2"/>
      <c r="X362" s="2"/>
      <c r="Y362" s="2"/>
      <c r="Z362" s="2"/>
      <c r="AA362" s="2"/>
      <c r="AB362" s="2"/>
      <c r="AC362" s="2"/>
    </row>
    <row r="363" spans="1:29" x14ac:dyDescent="0.25">
      <c r="A363" s="1" t="str">
        <f t="shared" si="5"/>
        <v/>
      </c>
      <c r="B363" s="2"/>
      <c r="C363" s="2"/>
      <c r="D363" s="13"/>
      <c r="E363" s="14"/>
      <c r="F363" s="15"/>
      <c r="G363" s="8"/>
      <c r="M363" s="2"/>
      <c r="N363" s="2" t="str">
        <f>IFERROR(IF(ISBLANK(M363),"",INDEX([1]Gen_Vessels!$A$3:$C$500,MATCH(CorrectiveMinor!$M363,[1]Gen_Vessels!$C$3:$C$500,0),1)),"")</f>
        <v/>
      </c>
      <c r="O363" s="2"/>
      <c r="P363" s="2" t="str">
        <f>IFERROR(IF(ISBLANK(O363),"",INDEX([1]Gen_Vessels!$A$3:$C$500,MATCH(CorrectiveMinor!$O363,[1]Gen_Vessels!$C$3:$C$500,0),1)),"")</f>
        <v/>
      </c>
      <c r="Q363" s="2"/>
      <c r="R363" s="2"/>
      <c r="S363" s="2"/>
      <c r="T363" s="2"/>
      <c r="U363" s="2"/>
      <c r="W363" s="2"/>
      <c r="X363" s="2"/>
      <c r="Y363" s="2"/>
      <c r="Z363" s="2"/>
      <c r="AA363" s="2"/>
      <c r="AB363" s="2"/>
      <c r="AC363" s="2"/>
    </row>
    <row r="364" spans="1:29" x14ac:dyDescent="0.25">
      <c r="A364" s="1" t="str">
        <f t="shared" si="5"/>
        <v/>
      </c>
      <c r="B364" s="2"/>
      <c r="C364" s="2"/>
      <c r="D364" s="13"/>
      <c r="E364" s="14"/>
      <c r="F364" s="15"/>
      <c r="G364" s="8"/>
      <c r="M364" s="2"/>
      <c r="N364" s="2" t="str">
        <f>IFERROR(IF(ISBLANK(M364),"",INDEX([1]Gen_Vessels!$A$3:$C$500,MATCH(CorrectiveMinor!$M364,[1]Gen_Vessels!$C$3:$C$500,0),1)),"")</f>
        <v/>
      </c>
      <c r="O364" s="2"/>
      <c r="P364" s="2" t="str">
        <f>IFERROR(IF(ISBLANK(O364),"",INDEX([1]Gen_Vessels!$A$3:$C$500,MATCH(CorrectiveMinor!$O364,[1]Gen_Vessels!$C$3:$C$500,0),1)),"")</f>
        <v/>
      </c>
      <c r="Q364" s="2"/>
      <c r="R364" s="2"/>
      <c r="S364" s="2"/>
      <c r="T364" s="2"/>
      <c r="U364" s="2"/>
      <c r="W364" s="2"/>
      <c r="X364" s="2"/>
      <c r="Y364" s="2"/>
      <c r="Z364" s="2"/>
      <c r="AA364" s="2"/>
      <c r="AB364" s="2"/>
      <c r="AC364" s="2"/>
    </row>
    <row r="365" spans="1:29" x14ac:dyDescent="0.25">
      <c r="A365" s="1" t="str">
        <f t="shared" si="5"/>
        <v/>
      </c>
      <c r="B365" s="2"/>
      <c r="C365" s="2"/>
      <c r="D365" s="13"/>
      <c r="E365" s="14"/>
      <c r="F365" s="15"/>
      <c r="G365" s="8"/>
      <c r="M365" s="2"/>
      <c r="N365" s="2" t="str">
        <f>IFERROR(IF(ISBLANK(M365),"",INDEX([1]Gen_Vessels!$A$3:$C$500,MATCH(CorrectiveMinor!$M365,[1]Gen_Vessels!$C$3:$C$500,0),1)),"")</f>
        <v/>
      </c>
      <c r="O365" s="2"/>
      <c r="P365" s="2" t="str">
        <f>IFERROR(IF(ISBLANK(O365),"",INDEX([1]Gen_Vessels!$A$3:$C$500,MATCH(CorrectiveMinor!$O365,[1]Gen_Vessels!$C$3:$C$500,0),1)),"")</f>
        <v/>
      </c>
      <c r="Q365" s="2"/>
      <c r="R365" s="2"/>
      <c r="S365" s="2"/>
      <c r="T365" s="2"/>
      <c r="U365" s="2"/>
      <c r="W365" s="2"/>
      <c r="X365" s="2"/>
      <c r="Y365" s="2"/>
      <c r="Z365" s="2"/>
      <c r="AA365" s="2"/>
      <c r="AB365" s="2"/>
      <c r="AC365" s="2"/>
    </row>
    <row r="366" spans="1:29" x14ac:dyDescent="0.25">
      <c r="A366" s="1" t="str">
        <f t="shared" si="5"/>
        <v/>
      </c>
      <c r="B366" s="2"/>
      <c r="C366" s="2"/>
      <c r="D366" s="13"/>
      <c r="E366" s="14"/>
      <c r="F366" s="15"/>
      <c r="G366" s="8"/>
      <c r="M366" s="2"/>
      <c r="N366" s="2" t="str">
        <f>IFERROR(IF(ISBLANK(M366),"",INDEX([1]Gen_Vessels!$A$3:$C$500,MATCH(CorrectiveMinor!$M366,[1]Gen_Vessels!$C$3:$C$500,0),1)),"")</f>
        <v/>
      </c>
      <c r="O366" s="2"/>
      <c r="P366" s="2" t="str">
        <f>IFERROR(IF(ISBLANK(O366),"",INDEX([1]Gen_Vessels!$A$3:$C$500,MATCH(CorrectiveMinor!$O366,[1]Gen_Vessels!$C$3:$C$500,0),1)),"")</f>
        <v/>
      </c>
      <c r="Q366" s="2"/>
      <c r="R366" s="2"/>
      <c r="S366" s="2"/>
      <c r="T366" s="2"/>
      <c r="U366" s="2"/>
      <c r="W366" s="2"/>
      <c r="X366" s="2"/>
      <c r="Y366" s="2"/>
      <c r="Z366" s="2"/>
      <c r="AA366" s="2"/>
      <c r="AB366" s="2"/>
      <c r="AC366" s="2"/>
    </row>
    <row r="367" spans="1:29" x14ac:dyDescent="0.25">
      <c r="A367" s="1" t="str">
        <f t="shared" si="5"/>
        <v/>
      </c>
      <c r="B367" s="2"/>
      <c r="C367" s="2"/>
      <c r="D367" s="13"/>
      <c r="E367" s="14"/>
      <c r="F367" s="15"/>
      <c r="G367" s="8"/>
      <c r="M367" s="2"/>
      <c r="N367" s="2" t="str">
        <f>IFERROR(IF(ISBLANK(M367),"",INDEX([1]Gen_Vessels!$A$3:$C$500,MATCH(CorrectiveMinor!$M367,[1]Gen_Vessels!$C$3:$C$500,0),1)),"")</f>
        <v/>
      </c>
      <c r="O367" s="2"/>
      <c r="P367" s="2" t="str">
        <f>IFERROR(IF(ISBLANK(O367),"",INDEX([1]Gen_Vessels!$A$3:$C$500,MATCH(CorrectiveMinor!$O367,[1]Gen_Vessels!$C$3:$C$500,0),1)),"")</f>
        <v/>
      </c>
      <c r="Q367" s="2"/>
      <c r="R367" s="2"/>
      <c r="S367" s="2"/>
      <c r="T367" s="2"/>
      <c r="U367" s="2"/>
      <c r="W367" s="2"/>
      <c r="X367" s="2"/>
      <c r="Y367" s="2"/>
      <c r="Z367" s="2"/>
      <c r="AA367" s="2"/>
      <c r="AB367" s="2"/>
      <c r="AC367" s="2"/>
    </row>
    <row r="368" spans="1:29" x14ac:dyDescent="0.25">
      <c r="A368" s="1" t="str">
        <f t="shared" si="5"/>
        <v/>
      </c>
      <c r="B368" s="2"/>
      <c r="C368" s="2"/>
      <c r="D368" s="13"/>
      <c r="E368" s="14"/>
      <c r="F368" s="15"/>
      <c r="G368" s="8"/>
      <c r="M368" s="2"/>
      <c r="N368" s="2" t="str">
        <f>IFERROR(IF(ISBLANK(M368),"",INDEX([1]Gen_Vessels!$A$3:$C$500,MATCH(CorrectiveMinor!$M368,[1]Gen_Vessels!$C$3:$C$500,0),1)),"")</f>
        <v/>
      </c>
      <c r="O368" s="2"/>
      <c r="P368" s="2" t="str">
        <f>IFERROR(IF(ISBLANK(O368),"",INDEX([1]Gen_Vessels!$A$3:$C$500,MATCH(CorrectiveMinor!$O368,[1]Gen_Vessels!$C$3:$C$500,0),1)),"")</f>
        <v/>
      </c>
      <c r="Q368" s="2"/>
      <c r="R368" s="2"/>
      <c r="S368" s="2"/>
      <c r="T368" s="2"/>
      <c r="U368" s="2"/>
      <c r="W368" s="2"/>
      <c r="X368" s="2"/>
      <c r="Y368" s="2"/>
      <c r="Z368" s="2"/>
      <c r="AA368" s="2"/>
      <c r="AB368" s="2"/>
      <c r="AC368" s="2"/>
    </row>
    <row r="369" spans="1:29" x14ac:dyDescent="0.25">
      <c r="A369" s="1" t="str">
        <f t="shared" si="5"/>
        <v/>
      </c>
      <c r="B369" s="2"/>
      <c r="C369" s="2"/>
      <c r="D369" s="13"/>
      <c r="E369" s="14"/>
      <c r="F369" s="15"/>
      <c r="G369" s="8"/>
      <c r="M369" s="2"/>
      <c r="N369" s="2" t="str">
        <f>IFERROR(IF(ISBLANK(M369),"",INDEX([1]Gen_Vessels!$A$3:$C$500,MATCH(CorrectiveMinor!$M369,[1]Gen_Vessels!$C$3:$C$500,0),1)),"")</f>
        <v/>
      </c>
      <c r="O369" s="2"/>
      <c r="P369" s="2" t="str">
        <f>IFERROR(IF(ISBLANK(O369),"",INDEX([1]Gen_Vessels!$A$3:$C$500,MATCH(CorrectiveMinor!$O369,[1]Gen_Vessels!$C$3:$C$500,0),1)),"")</f>
        <v/>
      </c>
      <c r="Q369" s="2"/>
      <c r="R369" s="2"/>
      <c r="S369" s="2"/>
      <c r="T369" s="2"/>
      <c r="U369" s="2"/>
      <c r="W369" s="2"/>
      <c r="X369" s="2"/>
      <c r="Y369" s="2"/>
      <c r="Z369" s="2"/>
      <c r="AA369" s="2"/>
      <c r="AB369" s="2"/>
      <c r="AC369" s="2"/>
    </row>
    <row r="370" spans="1:29" x14ac:dyDescent="0.25">
      <c r="A370" s="1" t="str">
        <f t="shared" si="5"/>
        <v/>
      </c>
      <c r="B370" s="2"/>
      <c r="C370" s="2"/>
      <c r="D370" s="13"/>
      <c r="E370" s="14"/>
      <c r="F370" s="15"/>
      <c r="G370" s="8"/>
      <c r="M370" s="2"/>
      <c r="N370" s="2" t="str">
        <f>IFERROR(IF(ISBLANK(M370),"",INDEX([1]Gen_Vessels!$A$3:$C$500,MATCH(CorrectiveMinor!$M370,[1]Gen_Vessels!$C$3:$C$500,0),1)),"")</f>
        <v/>
      </c>
      <c r="O370" s="2"/>
      <c r="P370" s="2" t="str">
        <f>IFERROR(IF(ISBLANK(O370),"",INDEX([1]Gen_Vessels!$A$3:$C$500,MATCH(CorrectiveMinor!$O370,[1]Gen_Vessels!$C$3:$C$500,0),1)),"")</f>
        <v/>
      </c>
      <c r="Q370" s="2"/>
      <c r="R370" s="2"/>
      <c r="S370" s="2"/>
      <c r="T370" s="2"/>
      <c r="U370" s="2"/>
      <c r="W370" s="2"/>
      <c r="X370" s="2"/>
      <c r="Y370" s="2"/>
      <c r="Z370" s="2"/>
      <c r="AA370" s="2"/>
      <c r="AB370" s="2"/>
      <c r="AC370" s="2"/>
    </row>
    <row r="371" spans="1:29" x14ac:dyDescent="0.25">
      <c r="A371" s="1" t="str">
        <f t="shared" si="5"/>
        <v/>
      </c>
      <c r="B371" s="2"/>
      <c r="C371" s="2"/>
      <c r="D371" s="13"/>
      <c r="E371" s="14"/>
      <c r="F371" s="15"/>
      <c r="G371" s="8"/>
      <c r="M371" s="2"/>
      <c r="N371" s="2" t="str">
        <f>IFERROR(IF(ISBLANK(M371),"",INDEX([1]Gen_Vessels!$A$3:$C$500,MATCH(CorrectiveMinor!$M371,[1]Gen_Vessels!$C$3:$C$500,0),1)),"")</f>
        <v/>
      </c>
      <c r="O371" s="2"/>
      <c r="P371" s="2" t="str">
        <f>IFERROR(IF(ISBLANK(O371),"",INDEX([1]Gen_Vessels!$A$3:$C$500,MATCH(CorrectiveMinor!$O371,[1]Gen_Vessels!$C$3:$C$500,0),1)),"")</f>
        <v/>
      </c>
      <c r="Q371" s="2"/>
      <c r="R371" s="2"/>
      <c r="S371" s="2"/>
      <c r="T371" s="2"/>
      <c r="U371" s="2"/>
      <c r="W371" s="2"/>
      <c r="X371" s="2"/>
      <c r="Y371" s="2"/>
      <c r="Z371" s="2"/>
      <c r="AA371" s="2"/>
      <c r="AB371" s="2"/>
      <c r="AC371" s="2"/>
    </row>
    <row r="372" spans="1:29" x14ac:dyDescent="0.25">
      <c r="A372" s="1" t="str">
        <f t="shared" si="5"/>
        <v/>
      </c>
      <c r="B372" s="2"/>
      <c r="C372" s="2"/>
      <c r="D372" s="13"/>
      <c r="E372" s="14"/>
      <c r="F372" s="15"/>
      <c r="G372" s="8"/>
      <c r="M372" s="2"/>
      <c r="N372" s="2" t="str">
        <f>IFERROR(IF(ISBLANK(M372),"",INDEX([1]Gen_Vessels!$A$3:$C$500,MATCH(CorrectiveMinor!$M372,[1]Gen_Vessels!$C$3:$C$500,0),1)),"")</f>
        <v/>
      </c>
      <c r="O372" s="2"/>
      <c r="P372" s="2" t="str">
        <f>IFERROR(IF(ISBLANK(O372),"",INDEX([1]Gen_Vessels!$A$3:$C$500,MATCH(CorrectiveMinor!$O372,[1]Gen_Vessels!$C$3:$C$500,0),1)),"")</f>
        <v/>
      </c>
      <c r="Q372" s="2"/>
      <c r="R372" s="2"/>
      <c r="S372" s="2"/>
      <c r="T372" s="2"/>
      <c r="U372" s="2"/>
      <c r="W372" s="2"/>
      <c r="X372" s="2"/>
      <c r="Y372" s="2"/>
      <c r="Z372" s="2"/>
      <c r="AA372" s="2"/>
      <c r="AB372" s="2"/>
      <c r="AC372" s="2"/>
    </row>
    <row r="373" spans="1:29" x14ac:dyDescent="0.25">
      <c r="A373" s="1" t="str">
        <f t="shared" si="5"/>
        <v/>
      </c>
      <c r="B373" s="2"/>
      <c r="C373" s="2"/>
      <c r="D373" s="13"/>
      <c r="E373" s="14"/>
      <c r="F373" s="15"/>
      <c r="G373" s="8"/>
      <c r="M373" s="2"/>
      <c r="N373" s="2" t="str">
        <f>IFERROR(IF(ISBLANK(M373),"",INDEX([1]Gen_Vessels!$A$3:$C$500,MATCH(CorrectiveMinor!$M373,[1]Gen_Vessels!$C$3:$C$500,0),1)),"")</f>
        <v/>
      </c>
      <c r="O373" s="2"/>
      <c r="P373" s="2" t="str">
        <f>IFERROR(IF(ISBLANK(O373),"",INDEX([1]Gen_Vessels!$A$3:$C$500,MATCH(CorrectiveMinor!$O373,[1]Gen_Vessels!$C$3:$C$500,0),1)),"")</f>
        <v/>
      </c>
      <c r="Q373" s="2"/>
      <c r="R373" s="2"/>
      <c r="S373" s="2"/>
      <c r="T373" s="2"/>
      <c r="U373" s="2"/>
      <c r="W373" s="2"/>
      <c r="X373" s="2"/>
      <c r="Y373" s="2"/>
      <c r="Z373" s="2"/>
      <c r="AA373" s="2"/>
      <c r="AB373" s="2"/>
      <c r="AC373" s="2"/>
    </row>
    <row r="374" spans="1:29" x14ac:dyDescent="0.25">
      <c r="A374" s="1" t="str">
        <f t="shared" si="5"/>
        <v/>
      </c>
      <c r="B374" s="2"/>
      <c r="C374" s="2"/>
      <c r="D374" s="13"/>
      <c r="E374" s="14"/>
      <c r="F374" s="15"/>
      <c r="G374" s="8"/>
      <c r="M374" s="2"/>
      <c r="N374" s="2" t="str">
        <f>IFERROR(IF(ISBLANK(M374),"",INDEX([1]Gen_Vessels!$A$3:$C$500,MATCH(CorrectiveMinor!$M374,[1]Gen_Vessels!$C$3:$C$500,0),1)),"")</f>
        <v/>
      </c>
      <c r="O374" s="2"/>
      <c r="P374" s="2" t="str">
        <f>IFERROR(IF(ISBLANK(O374),"",INDEX([1]Gen_Vessels!$A$3:$C$500,MATCH(CorrectiveMinor!$O374,[1]Gen_Vessels!$C$3:$C$500,0),1)),"")</f>
        <v/>
      </c>
      <c r="Q374" s="2"/>
      <c r="R374" s="2"/>
      <c r="S374" s="2"/>
      <c r="T374" s="2"/>
      <c r="U374" s="2"/>
      <c r="W374" s="2"/>
      <c r="X374" s="2"/>
      <c r="Y374" s="2"/>
      <c r="Z374" s="2"/>
      <c r="AA374" s="2"/>
      <c r="AB374" s="2"/>
      <c r="AC374" s="2"/>
    </row>
    <row r="375" spans="1:29" x14ac:dyDescent="0.25">
      <c r="A375" s="1" t="str">
        <f t="shared" si="5"/>
        <v/>
      </c>
      <c r="B375" s="2"/>
      <c r="C375" s="2"/>
      <c r="D375" s="13"/>
      <c r="E375" s="14"/>
      <c r="F375" s="15"/>
      <c r="G375" s="8"/>
      <c r="M375" s="2"/>
      <c r="N375" s="2" t="str">
        <f>IFERROR(IF(ISBLANK(M375),"",INDEX([1]Gen_Vessels!$A$3:$C$500,MATCH(CorrectiveMinor!$M375,[1]Gen_Vessels!$C$3:$C$500,0),1)),"")</f>
        <v/>
      </c>
      <c r="O375" s="2"/>
      <c r="P375" s="2" t="str">
        <f>IFERROR(IF(ISBLANK(O375),"",INDEX([1]Gen_Vessels!$A$3:$C$500,MATCH(CorrectiveMinor!$O375,[1]Gen_Vessels!$C$3:$C$500,0),1)),"")</f>
        <v/>
      </c>
      <c r="Q375" s="2"/>
      <c r="R375" s="2"/>
      <c r="S375" s="2"/>
      <c r="T375" s="2"/>
      <c r="U375" s="2"/>
      <c r="W375" s="2"/>
      <c r="X375" s="2"/>
      <c r="Y375" s="2"/>
      <c r="Z375" s="2"/>
      <c r="AA375" s="2"/>
      <c r="AB375" s="2"/>
      <c r="AC375" s="2"/>
    </row>
    <row r="376" spans="1:29" x14ac:dyDescent="0.25">
      <c r="A376" s="1" t="str">
        <f t="shared" si="5"/>
        <v/>
      </c>
      <c r="B376" s="2"/>
      <c r="C376" s="2"/>
      <c r="D376" s="13"/>
      <c r="E376" s="14"/>
      <c r="F376" s="15"/>
      <c r="G376" s="8"/>
      <c r="M376" s="2"/>
      <c r="N376" s="2" t="str">
        <f>IFERROR(IF(ISBLANK(M376),"",INDEX([1]Gen_Vessels!$A$3:$C$500,MATCH(CorrectiveMinor!$M376,[1]Gen_Vessels!$C$3:$C$500,0),1)),"")</f>
        <v/>
      </c>
      <c r="O376" s="2"/>
      <c r="P376" s="2" t="str">
        <f>IFERROR(IF(ISBLANK(O376),"",INDEX([1]Gen_Vessels!$A$3:$C$500,MATCH(CorrectiveMinor!$O376,[1]Gen_Vessels!$C$3:$C$500,0),1)),"")</f>
        <v/>
      </c>
      <c r="Q376" s="2"/>
      <c r="R376" s="2"/>
      <c r="S376" s="2"/>
      <c r="T376" s="2"/>
      <c r="U376" s="2"/>
      <c r="W376" s="2"/>
      <c r="X376" s="2"/>
      <c r="Y376" s="2"/>
      <c r="Z376" s="2"/>
      <c r="AA376" s="2"/>
      <c r="AB376" s="2"/>
      <c r="AC376" s="2"/>
    </row>
    <row r="377" spans="1:29" x14ac:dyDescent="0.25">
      <c r="A377" s="1" t="str">
        <f t="shared" si="5"/>
        <v/>
      </c>
      <c r="B377" s="2"/>
      <c r="C377" s="2"/>
      <c r="D377" s="13"/>
      <c r="E377" s="14"/>
      <c r="F377" s="15"/>
      <c r="G377" s="8"/>
      <c r="M377" s="2"/>
      <c r="N377" s="2" t="str">
        <f>IFERROR(IF(ISBLANK(M377),"",INDEX([1]Gen_Vessels!$A$3:$C$500,MATCH(CorrectiveMinor!$M377,[1]Gen_Vessels!$C$3:$C$500,0),1)),"")</f>
        <v/>
      </c>
      <c r="O377" s="2"/>
      <c r="P377" s="2" t="str">
        <f>IFERROR(IF(ISBLANK(O377),"",INDEX([1]Gen_Vessels!$A$3:$C$500,MATCH(CorrectiveMinor!$O377,[1]Gen_Vessels!$C$3:$C$500,0),1)),"")</f>
        <v/>
      </c>
      <c r="Q377" s="2"/>
      <c r="R377" s="2"/>
      <c r="S377" s="2"/>
      <c r="T377" s="2"/>
      <c r="U377" s="2"/>
      <c r="W377" s="2"/>
      <c r="X377" s="2"/>
      <c r="Y377" s="2"/>
      <c r="Z377" s="2"/>
      <c r="AA377" s="2"/>
      <c r="AB377" s="2"/>
      <c r="AC377" s="2"/>
    </row>
    <row r="378" spans="1:29" x14ac:dyDescent="0.25">
      <c r="A378" s="1" t="str">
        <f t="shared" si="5"/>
        <v/>
      </c>
      <c r="B378" s="2"/>
      <c r="C378" s="2"/>
      <c r="D378" s="13"/>
      <c r="E378" s="14"/>
      <c r="F378" s="15"/>
      <c r="G378" s="8"/>
      <c r="M378" s="2"/>
      <c r="N378" s="2" t="str">
        <f>IFERROR(IF(ISBLANK(M378),"",INDEX([1]Gen_Vessels!$A$3:$C$500,MATCH(CorrectiveMinor!$M378,[1]Gen_Vessels!$C$3:$C$500,0),1)),"")</f>
        <v/>
      </c>
      <c r="O378" s="2"/>
      <c r="P378" s="2" t="str">
        <f>IFERROR(IF(ISBLANK(O378),"",INDEX([1]Gen_Vessels!$A$3:$C$500,MATCH(CorrectiveMinor!$O378,[1]Gen_Vessels!$C$3:$C$500,0),1)),"")</f>
        <v/>
      </c>
      <c r="Q378" s="2"/>
      <c r="R378" s="2"/>
      <c r="S378" s="2"/>
      <c r="T378" s="2"/>
      <c r="U378" s="2"/>
      <c r="W378" s="2"/>
      <c r="X378" s="2"/>
      <c r="Y378" s="2"/>
      <c r="Z378" s="2"/>
      <c r="AA378" s="2"/>
      <c r="AB378" s="2"/>
      <c r="AC378" s="2"/>
    </row>
    <row r="379" spans="1:29" x14ac:dyDescent="0.25">
      <c r="A379" s="1" t="str">
        <f t="shared" si="5"/>
        <v/>
      </c>
      <c r="B379" s="2"/>
      <c r="C379" s="2"/>
      <c r="D379" s="13"/>
      <c r="E379" s="14"/>
      <c r="F379" s="15"/>
      <c r="G379" s="8"/>
      <c r="M379" s="2"/>
      <c r="N379" s="2" t="str">
        <f>IFERROR(IF(ISBLANK(M379),"",INDEX([1]Gen_Vessels!$A$3:$C$500,MATCH(CorrectiveMinor!$M379,[1]Gen_Vessels!$C$3:$C$500,0),1)),"")</f>
        <v/>
      </c>
      <c r="O379" s="2"/>
      <c r="P379" s="2" t="str">
        <f>IFERROR(IF(ISBLANK(O379),"",INDEX([1]Gen_Vessels!$A$3:$C$500,MATCH(CorrectiveMinor!$O379,[1]Gen_Vessels!$C$3:$C$500,0),1)),"")</f>
        <v/>
      </c>
      <c r="Q379" s="2"/>
      <c r="R379" s="2"/>
      <c r="S379" s="2"/>
      <c r="T379" s="2"/>
      <c r="U379" s="2"/>
      <c r="W379" s="2"/>
      <c r="X379" s="2"/>
      <c r="Y379" s="2"/>
      <c r="Z379" s="2"/>
      <c r="AA379" s="2"/>
      <c r="AB379" s="2"/>
      <c r="AC379" s="2"/>
    </row>
    <row r="380" spans="1:29" x14ac:dyDescent="0.25">
      <c r="A380" s="1" t="str">
        <f t="shared" si="5"/>
        <v/>
      </c>
      <c r="B380" s="2"/>
      <c r="C380" s="2"/>
      <c r="D380" s="13"/>
      <c r="E380" s="14"/>
      <c r="F380" s="15"/>
      <c r="G380" s="8"/>
      <c r="M380" s="2"/>
      <c r="N380" s="2" t="str">
        <f>IFERROR(IF(ISBLANK(M380),"",INDEX([1]Gen_Vessels!$A$3:$C$500,MATCH(CorrectiveMinor!$M380,[1]Gen_Vessels!$C$3:$C$500,0),1)),"")</f>
        <v/>
      </c>
      <c r="O380" s="2"/>
      <c r="P380" s="2" t="str">
        <f>IFERROR(IF(ISBLANK(O380),"",INDEX([1]Gen_Vessels!$A$3:$C$500,MATCH(CorrectiveMinor!$O380,[1]Gen_Vessels!$C$3:$C$500,0),1)),"")</f>
        <v/>
      </c>
      <c r="Q380" s="2"/>
      <c r="R380" s="2"/>
      <c r="S380" s="2"/>
      <c r="T380" s="2"/>
      <c r="U380" s="2"/>
      <c r="W380" s="2"/>
      <c r="X380" s="2"/>
      <c r="Y380" s="2"/>
      <c r="Z380" s="2"/>
      <c r="AA380" s="2"/>
      <c r="AB380" s="2"/>
      <c r="AC380" s="2"/>
    </row>
    <row r="381" spans="1:29" x14ac:dyDescent="0.25">
      <c r="A381" s="1" t="str">
        <f t="shared" si="5"/>
        <v/>
      </c>
      <c r="B381" s="2"/>
      <c r="C381" s="2"/>
      <c r="D381" s="13"/>
      <c r="E381" s="14"/>
      <c r="F381" s="15"/>
      <c r="G381" s="8"/>
      <c r="M381" s="2"/>
      <c r="N381" s="2" t="str">
        <f>IFERROR(IF(ISBLANK(M381),"",INDEX([1]Gen_Vessels!$A$3:$C$500,MATCH(CorrectiveMinor!$M381,[1]Gen_Vessels!$C$3:$C$500,0),1)),"")</f>
        <v/>
      </c>
      <c r="O381" s="2"/>
      <c r="P381" s="2" t="str">
        <f>IFERROR(IF(ISBLANK(O381),"",INDEX([1]Gen_Vessels!$A$3:$C$500,MATCH(CorrectiveMinor!$O381,[1]Gen_Vessels!$C$3:$C$500,0),1)),"")</f>
        <v/>
      </c>
      <c r="Q381" s="2"/>
      <c r="R381" s="2"/>
      <c r="S381" s="2"/>
      <c r="T381" s="2"/>
      <c r="U381" s="2"/>
      <c r="W381" s="2"/>
      <c r="X381" s="2"/>
      <c r="Y381" s="2"/>
      <c r="Z381" s="2"/>
      <c r="AA381" s="2"/>
      <c r="AB381" s="2"/>
      <c r="AC381" s="2"/>
    </row>
    <row r="382" spans="1:29" x14ac:dyDescent="0.25">
      <c r="A382" s="1" t="str">
        <f t="shared" si="5"/>
        <v/>
      </c>
      <c r="B382" s="2"/>
      <c r="C382" s="2"/>
      <c r="D382" s="13"/>
      <c r="E382" s="14"/>
      <c r="F382" s="15"/>
      <c r="G382" s="8"/>
      <c r="M382" s="2"/>
      <c r="N382" s="2" t="str">
        <f>IFERROR(IF(ISBLANK(M382),"",INDEX([1]Gen_Vessels!$A$3:$C$500,MATCH(CorrectiveMinor!$M382,[1]Gen_Vessels!$C$3:$C$500,0),1)),"")</f>
        <v/>
      </c>
      <c r="O382" s="2"/>
      <c r="P382" s="2" t="str">
        <f>IFERROR(IF(ISBLANK(O382),"",INDEX([1]Gen_Vessels!$A$3:$C$500,MATCH(CorrectiveMinor!$O382,[1]Gen_Vessels!$C$3:$C$500,0),1)),"")</f>
        <v/>
      </c>
      <c r="Q382" s="2"/>
      <c r="R382" s="2"/>
      <c r="S382" s="2"/>
      <c r="T382" s="2"/>
      <c r="U382" s="2"/>
      <c r="W382" s="2"/>
      <c r="X382" s="2"/>
      <c r="Y382" s="2"/>
      <c r="Z382" s="2"/>
      <c r="AA382" s="2"/>
      <c r="AB382" s="2"/>
      <c r="AC382" s="2"/>
    </row>
    <row r="383" spans="1:29" x14ac:dyDescent="0.25">
      <c r="A383" s="1" t="str">
        <f t="shared" si="5"/>
        <v/>
      </c>
      <c r="B383" s="2"/>
      <c r="C383" s="2"/>
      <c r="D383" s="13"/>
      <c r="E383" s="14"/>
      <c r="F383" s="15"/>
      <c r="G383" s="8"/>
      <c r="M383" s="2"/>
      <c r="N383" s="2" t="str">
        <f>IFERROR(IF(ISBLANK(M383),"",INDEX([1]Gen_Vessels!$A$3:$C$500,MATCH(CorrectiveMinor!$M383,[1]Gen_Vessels!$C$3:$C$500,0),1)),"")</f>
        <v/>
      </c>
      <c r="O383" s="2"/>
      <c r="P383" s="2" t="str">
        <f>IFERROR(IF(ISBLANK(O383),"",INDEX([1]Gen_Vessels!$A$3:$C$500,MATCH(CorrectiveMinor!$O383,[1]Gen_Vessels!$C$3:$C$500,0),1)),"")</f>
        <v/>
      </c>
      <c r="Q383" s="2"/>
      <c r="R383" s="2"/>
      <c r="S383" s="2"/>
      <c r="T383" s="2"/>
      <c r="U383" s="2"/>
      <c r="W383" s="2"/>
      <c r="X383" s="2"/>
      <c r="Y383" s="2"/>
      <c r="Z383" s="2"/>
      <c r="AA383" s="2"/>
      <c r="AB383" s="2"/>
      <c r="AC383" s="2"/>
    </row>
    <row r="384" spans="1:29" x14ac:dyDescent="0.25">
      <c r="A384" s="1" t="str">
        <f t="shared" si="5"/>
        <v/>
      </c>
      <c r="B384" s="2"/>
      <c r="C384" s="2"/>
      <c r="D384" s="13"/>
      <c r="E384" s="14"/>
      <c r="F384" s="15"/>
      <c r="G384" s="8"/>
      <c r="M384" s="2"/>
      <c r="N384" s="2" t="str">
        <f>IFERROR(IF(ISBLANK(M384),"",INDEX([1]Gen_Vessels!$A$3:$C$500,MATCH(CorrectiveMinor!$M384,[1]Gen_Vessels!$C$3:$C$500,0),1)),"")</f>
        <v/>
      </c>
      <c r="O384" s="2"/>
      <c r="P384" s="2" t="str">
        <f>IFERROR(IF(ISBLANK(O384),"",INDEX([1]Gen_Vessels!$A$3:$C$500,MATCH(CorrectiveMinor!$O384,[1]Gen_Vessels!$C$3:$C$500,0),1)),"")</f>
        <v/>
      </c>
      <c r="Q384" s="2"/>
      <c r="R384" s="2"/>
      <c r="S384" s="2"/>
      <c r="T384" s="2"/>
      <c r="U384" s="2"/>
      <c r="W384" s="2"/>
      <c r="X384" s="2"/>
      <c r="Y384" s="2"/>
      <c r="Z384" s="2"/>
      <c r="AA384" s="2"/>
      <c r="AB384" s="2"/>
      <c r="AC384" s="2"/>
    </row>
    <row r="385" spans="1:29" x14ac:dyDescent="0.25">
      <c r="A385" s="1" t="str">
        <f t="shared" si="5"/>
        <v/>
      </c>
      <c r="B385" s="2"/>
      <c r="C385" s="2"/>
      <c r="D385" s="13"/>
      <c r="E385" s="14"/>
      <c r="F385" s="15"/>
      <c r="G385" s="8"/>
      <c r="M385" s="2"/>
      <c r="N385" s="2" t="str">
        <f>IFERROR(IF(ISBLANK(M385),"",INDEX([1]Gen_Vessels!$A$3:$C$500,MATCH(CorrectiveMinor!$M385,[1]Gen_Vessels!$C$3:$C$500,0),1)),"")</f>
        <v/>
      </c>
      <c r="O385" s="2"/>
      <c r="P385" s="2" t="str">
        <f>IFERROR(IF(ISBLANK(O385),"",INDEX([1]Gen_Vessels!$A$3:$C$500,MATCH(CorrectiveMinor!$O385,[1]Gen_Vessels!$C$3:$C$500,0),1)),"")</f>
        <v/>
      </c>
      <c r="Q385" s="2"/>
      <c r="R385" s="2"/>
      <c r="S385" s="2"/>
      <c r="T385" s="2"/>
      <c r="U385" s="2"/>
      <c r="W385" s="2"/>
      <c r="X385" s="2"/>
      <c r="Y385" s="2"/>
      <c r="Z385" s="2"/>
      <c r="AA385" s="2"/>
      <c r="AB385" s="2"/>
      <c r="AC385" s="2"/>
    </row>
    <row r="386" spans="1:29" x14ac:dyDescent="0.25">
      <c r="A386" s="1" t="str">
        <f t="shared" si="5"/>
        <v/>
      </c>
      <c r="B386" s="2"/>
      <c r="C386" s="2"/>
      <c r="D386" s="13"/>
      <c r="E386" s="14"/>
      <c r="F386" s="15"/>
      <c r="G386" s="8"/>
      <c r="M386" s="2"/>
      <c r="N386" s="2" t="str">
        <f>IFERROR(IF(ISBLANK(M386),"",INDEX([1]Gen_Vessels!$A$3:$C$500,MATCH(CorrectiveMinor!$M386,[1]Gen_Vessels!$C$3:$C$500,0),1)),"")</f>
        <v/>
      </c>
      <c r="O386" s="2"/>
      <c r="P386" s="2" t="str">
        <f>IFERROR(IF(ISBLANK(O386),"",INDEX([1]Gen_Vessels!$A$3:$C$500,MATCH(CorrectiveMinor!$O386,[1]Gen_Vessels!$C$3:$C$500,0),1)),"")</f>
        <v/>
      </c>
      <c r="Q386" s="2"/>
      <c r="R386" s="2"/>
      <c r="S386" s="2"/>
      <c r="T386" s="2"/>
      <c r="U386" s="2"/>
      <c r="W386" s="2"/>
      <c r="X386" s="2"/>
      <c r="Y386" s="2"/>
      <c r="Z386" s="2"/>
      <c r="AA386" s="2"/>
      <c r="AB386" s="2"/>
      <c r="AC386" s="2"/>
    </row>
    <row r="387" spans="1:29" x14ac:dyDescent="0.25">
      <c r="A387" s="1" t="str">
        <f t="shared" ref="A387:A450" si="6">IF(ISBLANK($B387)=FALSE,IF(AND($D387&gt;0,$E387&lt;=0,$F387&lt;=0),_xlfn.CONCAT("ofw_",$B387),IF(AND($D387&lt;=0,$E387&gt;0,$F387&lt;=0),_xlfn.CONCAT("owc_",$B387),IF(AND($D387&lt;=0,$E387&lt;=0,$F387&gt;0),_xlfn.CONCAT("opv_",$B387),_xlfn.CONCAT("oce_",$B387)))),"")</f>
        <v/>
      </c>
      <c r="B387" s="2"/>
      <c r="C387" s="2"/>
      <c r="D387" s="13"/>
      <c r="E387" s="14"/>
      <c r="F387" s="15"/>
      <c r="G387" s="8"/>
      <c r="M387" s="2"/>
      <c r="N387" s="2" t="str">
        <f>IFERROR(IF(ISBLANK(M387),"",INDEX([1]Gen_Vessels!$A$3:$C$500,MATCH(CorrectiveMinor!$M387,[1]Gen_Vessels!$C$3:$C$500,0),1)),"")</f>
        <v/>
      </c>
      <c r="O387" s="2"/>
      <c r="P387" s="2" t="str">
        <f>IFERROR(IF(ISBLANK(O387),"",INDEX([1]Gen_Vessels!$A$3:$C$500,MATCH(CorrectiveMinor!$O387,[1]Gen_Vessels!$C$3:$C$500,0),1)),"")</f>
        <v/>
      </c>
      <c r="Q387" s="2"/>
      <c r="R387" s="2"/>
      <c r="S387" s="2"/>
      <c r="T387" s="2"/>
      <c r="U387" s="2"/>
      <c r="W387" s="2"/>
      <c r="X387" s="2"/>
      <c r="Y387" s="2"/>
      <c r="Z387" s="2"/>
      <c r="AA387" s="2"/>
      <c r="AB387" s="2"/>
      <c r="AC387" s="2"/>
    </row>
    <row r="388" spans="1:29" x14ac:dyDescent="0.25">
      <c r="A388" s="1" t="str">
        <f t="shared" si="6"/>
        <v/>
      </c>
      <c r="B388" s="2"/>
      <c r="C388" s="2"/>
      <c r="D388" s="13"/>
      <c r="E388" s="14"/>
      <c r="F388" s="15"/>
      <c r="G388" s="8"/>
      <c r="M388" s="2"/>
      <c r="N388" s="2" t="str">
        <f>IFERROR(IF(ISBLANK(M388),"",INDEX([1]Gen_Vessels!$A$3:$C$500,MATCH(CorrectiveMinor!$M388,[1]Gen_Vessels!$C$3:$C$500,0),1)),"")</f>
        <v/>
      </c>
      <c r="O388" s="2"/>
      <c r="P388" s="2" t="str">
        <f>IFERROR(IF(ISBLANK(O388),"",INDEX([1]Gen_Vessels!$A$3:$C$500,MATCH(CorrectiveMinor!$O388,[1]Gen_Vessels!$C$3:$C$500,0),1)),"")</f>
        <v/>
      </c>
      <c r="Q388" s="2"/>
      <c r="R388" s="2"/>
      <c r="S388" s="2"/>
      <c r="T388" s="2"/>
      <c r="U388" s="2"/>
      <c r="W388" s="2"/>
      <c r="X388" s="2"/>
      <c r="Y388" s="2"/>
      <c r="Z388" s="2"/>
      <c r="AA388" s="2"/>
      <c r="AB388" s="2"/>
      <c r="AC388" s="2"/>
    </row>
    <row r="389" spans="1:29" x14ac:dyDescent="0.25">
      <c r="A389" s="1" t="str">
        <f t="shared" si="6"/>
        <v/>
      </c>
      <c r="B389" s="2"/>
      <c r="C389" s="2"/>
      <c r="D389" s="13"/>
      <c r="E389" s="14"/>
      <c r="F389" s="15"/>
      <c r="G389" s="8"/>
      <c r="M389" s="2"/>
      <c r="N389" s="2" t="str">
        <f>IFERROR(IF(ISBLANK(M389),"",INDEX([1]Gen_Vessels!$A$3:$C$500,MATCH(CorrectiveMinor!$M389,[1]Gen_Vessels!$C$3:$C$500,0),1)),"")</f>
        <v/>
      </c>
      <c r="O389" s="2"/>
      <c r="P389" s="2" t="str">
        <f>IFERROR(IF(ISBLANK(O389),"",INDEX([1]Gen_Vessels!$A$3:$C$500,MATCH(CorrectiveMinor!$O389,[1]Gen_Vessels!$C$3:$C$500,0),1)),"")</f>
        <v/>
      </c>
      <c r="Q389" s="2"/>
      <c r="R389" s="2"/>
      <c r="S389" s="2"/>
      <c r="T389" s="2"/>
      <c r="U389" s="2"/>
      <c r="W389" s="2"/>
      <c r="X389" s="2"/>
      <c r="Y389" s="2"/>
      <c r="Z389" s="2"/>
      <c r="AA389" s="2"/>
      <c r="AB389" s="2"/>
      <c r="AC389" s="2"/>
    </row>
    <row r="390" spans="1:29" x14ac:dyDescent="0.25">
      <c r="A390" s="1" t="str">
        <f t="shared" si="6"/>
        <v/>
      </c>
      <c r="B390" s="2"/>
      <c r="C390" s="2"/>
      <c r="D390" s="13"/>
      <c r="E390" s="14"/>
      <c r="F390" s="15"/>
      <c r="G390" s="8"/>
      <c r="M390" s="2"/>
      <c r="N390" s="2" t="str">
        <f>IFERROR(IF(ISBLANK(M390),"",INDEX([1]Gen_Vessels!$A$3:$C$500,MATCH(CorrectiveMinor!$M390,[1]Gen_Vessels!$C$3:$C$500,0),1)),"")</f>
        <v/>
      </c>
      <c r="O390" s="2"/>
      <c r="P390" s="2" t="str">
        <f>IFERROR(IF(ISBLANK(O390),"",INDEX([1]Gen_Vessels!$A$3:$C$500,MATCH(CorrectiveMinor!$O390,[1]Gen_Vessels!$C$3:$C$500,0),1)),"")</f>
        <v/>
      </c>
      <c r="Q390" s="2"/>
      <c r="R390" s="2"/>
      <c r="S390" s="2"/>
      <c r="T390" s="2"/>
      <c r="U390" s="2"/>
      <c r="W390" s="2"/>
      <c r="X390" s="2"/>
      <c r="Y390" s="2"/>
      <c r="Z390" s="2"/>
      <c r="AA390" s="2"/>
      <c r="AB390" s="2"/>
      <c r="AC390" s="2"/>
    </row>
    <row r="391" spans="1:29" x14ac:dyDescent="0.25">
      <c r="A391" s="1" t="str">
        <f t="shared" si="6"/>
        <v/>
      </c>
      <c r="B391" s="2"/>
      <c r="C391" s="2"/>
      <c r="D391" s="13"/>
      <c r="E391" s="14"/>
      <c r="F391" s="15"/>
      <c r="G391" s="8"/>
      <c r="M391" s="2"/>
      <c r="N391" s="2" t="str">
        <f>IFERROR(IF(ISBLANK(M391),"",INDEX([1]Gen_Vessels!$A$3:$C$500,MATCH(CorrectiveMinor!$M391,[1]Gen_Vessels!$C$3:$C$500,0),1)),"")</f>
        <v/>
      </c>
      <c r="O391" s="2"/>
      <c r="P391" s="2" t="str">
        <f>IFERROR(IF(ISBLANK(O391),"",INDEX([1]Gen_Vessels!$A$3:$C$500,MATCH(CorrectiveMinor!$O391,[1]Gen_Vessels!$C$3:$C$500,0),1)),"")</f>
        <v/>
      </c>
      <c r="Q391" s="2"/>
      <c r="R391" s="2"/>
      <c r="S391" s="2"/>
      <c r="T391" s="2"/>
      <c r="U391" s="2"/>
      <c r="W391" s="2"/>
      <c r="X391" s="2"/>
      <c r="Y391" s="2"/>
      <c r="Z391" s="2"/>
      <c r="AA391" s="2"/>
      <c r="AB391" s="2"/>
      <c r="AC391" s="2"/>
    </row>
    <row r="392" spans="1:29" x14ac:dyDescent="0.25">
      <c r="A392" s="1" t="str">
        <f t="shared" si="6"/>
        <v/>
      </c>
      <c r="B392" s="2"/>
      <c r="C392" s="2"/>
      <c r="D392" s="13"/>
      <c r="E392" s="14"/>
      <c r="F392" s="15"/>
      <c r="G392" s="8"/>
      <c r="M392" s="2"/>
      <c r="N392" s="2" t="str">
        <f>IFERROR(IF(ISBLANK(M392),"",INDEX([1]Gen_Vessels!$A$3:$C$500,MATCH(CorrectiveMinor!$M392,[1]Gen_Vessels!$C$3:$C$500,0),1)),"")</f>
        <v/>
      </c>
      <c r="O392" s="2"/>
      <c r="P392" s="2" t="str">
        <f>IFERROR(IF(ISBLANK(O392),"",INDEX([1]Gen_Vessels!$A$3:$C$500,MATCH(CorrectiveMinor!$O392,[1]Gen_Vessels!$C$3:$C$500,0),1)),"")</f>
        <v/>
      </c>
      <c r="Q392" s="2"/>
      <c r="R392" s="2"/>
      <c r="S392" s="2"/>
      <c r="T392" s="2"/>
      <c r="U392" s="2"/>
      <c r="W392" s="2"/>
      <c r="X392" s="2"/>
      <c r="Y392" s="2"/>
      <c r="Z392" s="2"/>
      <c r="AA392" s="2"/>
      <c r="AB392" s="2"/>
      <c r="AC392" s="2"/>
    </row>
    <row r="393" spans="1:29" x14ac:dyDescent="0.25">
      <c r="A393" s="1" t="str">
        <f t="shared" si="6"/>
        <v/>
      </c>
      <c r="B393" s="2"/>
      <c r="C393" s="2"/>
      <c r="D393" s="13"/>
      <c r="E393" s="14"/>
      <c r="F393" s="15"/>
      <c r="G393" s="8"/>
      <c r="M393" s="2"/>
      <c r="N393" s="2" t="str">
        <f>IFERROR(IF(ISBLANK(M393),"",INDEX([1]Gen_Vessels!$A$3:$C$500,MATCH(CorrectiveMinor!$M393,[1]Gen_Vessels!$C$3:$C$500,0),1)),"")</f>
        <v/>
      </c>
      <c r="O393" s="2"/>
      <c r="P393" s="2" t="str">
        <f>IFERROR(IF(ISBLANK(O393),"",INDEX([1]Gen_Vessels!$A$3:$C$500,MATCH(CorrectiveMinor!$O393,[1]Gen_Vessels!$C$3:$C$500,0),1)),"")</f>
        <v/>
      </c>
      <c r="Q393" s="2"/>
      <c r="R393" s="2"/>
      <c r="S393" s="2"/>
      <c r="T393" s="2"/>
      <c r="U393" s="2"/>
      <c r="W393" s="2"/>
      <c r="X393" s="2"/>
      <c r="Y393" s="2"/>
      <c r="Z393" s="2"/>
      <c r="AA393" s="2"/>
      <c r="AB393" s="2"/>
      <c r="AC393" s="2"/>
    </row>
    <row r="394" spans="1:29" x14ac:dyDescent="0.25">
      <c r="A394" s="1" t="str">
        <f t="shared" si="6"/>
        <v/>
      </c>
      <c r="B394" s="2"/>
      <c r="C394" s="2"/>
      <c r="D394" s="13"/>
      <c r="E394" s="14"/>
      <c r="F394" s="15"/>
      <c r="G394" s="8"/>
      <c r="M394" s="2"/>
      <c r="N394" s="2" t="str">
        <f>IFERROR(IF(ISBLANK(M394),"",INDEX([1]Gen_Vessels!$A$3:$C$500,MATCH(CorrectiveMinor!$M394,[1]Gen_Vessels!$C$3:$C$500,0),1)),"")</f>
        <v/>
      </c>
      <c r="O394" s="2"/>
      <c r="P394" s="2" t="str">
        <f>IFERROR(IF(ISBLANK(O394),"",INDEX([1]Gen_Vessels!$A$3:$C$500,MATCH(CorrectiveMinor!$O394,[1]Gen_Vessels!$C$3:$C$500,0),1)),"")</f>
        <v/>
      </c>
      <c r="Q394" s="2"/>
      <c r="R394" s="2"/>
      <c r="S394" s="2"/>
      <c r="T394" s="2"/>
      <c r="U394" s="2"/>
      <c r="W394" s="2"/>
      <c r="X394" s="2"/>
      <c r="Y394" s="2"/>
      <c r="Z394" s="2"/>
      <c r="AA394" s="2"/>
      <c r="AB394" s="2"/>
      <c r="AC394" s="2"/>
    </row>
    <row r="395" spans="1:29" x14ac:dyDescent="0.25">
      <c r="A395" s="1" t="str">
        <f t="shared" si="6"/>
        <v/>
      </c>
      <c r="B395" s="2"/>
      <c r="C395" s="2"/>
      <c r="D395" s="13"/>
      <c r="E395" s="14"/>
      <c r="F395" s="15"/>
      <c r="G395" s="8"/>
      <c r="M395" s="2"/>
      <c r="N395" s="2" t="str">
        <f>IFERROR(IF(ISBLANK(M395),"",INDEX([1]Gen_Vessels!$A$3:$C$500,MATCH(CorrectiveMinor!$M395,[1]Gen_Vessels!$C$3:$C$500,0),1)),"")</f>
        <v/>
      </c>
      <c r="O395" s="2"/>
      <c r="P395" s="2" t="str">
        <f>IFERROR(IF(ISBLANK(O395),"",INDEX([1]Gen_Vessels!$A$3:$C$500,MATCH(CorrectiveMinor!$O395,[1]Gen_Vessels!$C$3:$C$500,0),1)),"")</f>
        <v/>
      </c>
      <c r="Q395" s="2"/>
      <c r="R395" s="2"/>
      <c r="S395" s="2"/>
      <c r="T395" s="2"/>
      <c r="U395" s="2"/>
      <c r="W395" s="2"/>
      <c r="X395" s="2"/>
      <c r="Y395" s="2"/>
      <c r="Z395" s="2"/>
      <c r="AA395" s="2"/>
      <c r="AB395" s="2"/>
      <c r="AC395" s="2"/>
    </row>
    <row r="396" spans="1:29" x14ac:dyDescent="0.25">
      <c r="A396" s="1" t="str">
        <f t="shared" si="6"/>
        <v/>
      </c>
      <c r="B396" s="2"/>
      <c r="C396" s="2"/>
      <c r="D396" s="13"/>
      <c r="E396" s="14"/>
      <c r="F396" s="15"/>
      <c r="G396" s="8"/>
      <c r="M396" s="2"/>
      <c r="N396" s="2" t="str">
        <f>IFERROR(IF(ISBLANK(M396),"",INDEX([1]Gen_Vessels!$A$3:$C$500,MATCH(CorrectiveMinor!$M396,[1]Gen_Vessels!$C$3:$C$500,0),1)),"")</f>
        <v/>
      </c>
      <c r="O396" s="2"/>
      <c r="P396" s="2" t="str">
        <f>IFERROR(IF(ISBLANK(O396),"",INDEX([1]Gen_Vessels!$A$3:$C$500,MATCH(CorrectiveMinor!$O396,[1]Gen_Vessels!$C$3:$C$500,0),1)),"")</f>
        <v/>
      </c>
      <c r="Q396" s="2"/>
      <c r="R396" s="2"/>
      <c r="S396" s="2"/>
      <c r="T396" s="2"/>
      <c r="U396" s="2"/>
      <c r="W396" s="2"/>
      <c r="X396" s="2"/>
      <c r="Y396" s="2"/>
      <c r="Z396" s="2"/>
      <c r="AA396" s="2"/>
      <c r="AB396" s="2"/>
      <c r="AC396" s="2"/>
    </row>
    <row r="397" spans="1:29" x14ac:dyDescent="0.25">
      <c r="A397" s="1" t="str">
        <f t="shared" si="6"/>
        <v/>
      </c>
      <c r="B397" s="2"/>
      <c r="C397" s="2"/>
      <c r="D397" s="13"/>
      <c r="E397" s="14"/>
      <c r="F397" s="15"/>
      <c r="G397" s="8"/>
      <c r="M397" s="2"/>
      <c r="N397" s="2" t="str">
        <f>IFERROR(IF(ISBLANK(M397),"",INDEX([1]Gen_Vessels!$A$3:$C$500,MATCH(CorrectiveMinor!$M397,[1]Gen_Vessels!$C$3:$C$500,0),1)),"")</f>
        <v/>
      </c>
      <c r="O397" s="2"/>
      <c r="P397" s="2" t="str">
        <f>IFERROR(IF(ISBLANK(O397),"",INDEX([1]Gen_Vessels!$A$3:$C$500,MATCH(CorrectiveMinor!$O397,[1]Gen_Vessels!$C$3:$C$500,0),1)),"")</f>
        <v/>
      </c>
      <c r="Q397" s="2"/>
      <c r="R397" s="2"/>
      <c r="S397" s="2"/>
      <c r="T397" s="2"/>
      <c r="U397" s="2"/>
      <c r="W397" s="2"/>
      <c r="X397" s="2"/>
      <c r="Y397" s="2"/>
      <c r="Z397" s="2"/>
      <c r="AA397" s="2"/>
      <c r="AB397" s="2"/>
      <c r="AC397" s="2"/>
    </row>
    <row r="398" spans="1:29" x14ac:dyDescent="0.25">
      <c r="A398" s="1" t="str">
        <f t="shared" si="6"/>
        <v/>
      </c>
      <c r="B398" s="2"/>
      <c r="C398" s="2"/>
      <c r="D398" s="13"/>
      <c r="E398" s="14"/>
      <c r="F398" s="15"/>
      <c r="G398" s="8"/>
      <c r="M398" s="2"/>
      <c r="N398" s="2" t="str">
        <f>IFERROR(IF(ISBLANK(M398),"",INDEX([1]Gen_Vessels!$A$3:$C$500,MATCH(CorrectiveMinor!$M398,[1]Gen_Vessels!$C$3:$C$500,0),1)),"")</f>
        <v/>
      </c>
      <c r="O398" s="2"/>
      <c r="P398" s="2" t="str">
        <f>IFERROR(IF(ISBLANK(O398),"",INDEX([1]Gen_Vessels!$A$3:$C$500,MATCH(CorrectiveMinor!$O398,[1]Gen_Vessels!$C$3:$C$500,0),1)),"")</f>
        <v/>
      </c>
      <c r="Q398" s="2"/>
      <c r="R398" s="2"/>
      <c r="S398" s="2"/>
      <c r="T398" s="2"/>
      <c r="U398" s="2"/>
      <c r="W398" s="2"/>
      <c r="X398" s="2"/>
      <c r="Y398" s="2"/>
      <c r="Z398" s="2"/>
      <c r="AA398" s="2"/>
      <c r="AB398" s="2"/>
      <c r="AC398" s="2"/>
    </row>
    <row r="399" spans="1:29" x14ac:dyDescent="0.25">
      <c r="A399" s="1" t="str">
        <f t="shared" si="6"/>
        <v/>
      </c>
      <c r="B399" s="2"/>
      <c r="C399" s="2"/>
      <c r="D399" s="13"/>
      <c r="E399" s="14"/>
      <c r="F399" s="15"/>
      <c r="G399" s="8"/>
      <c r="M399" s="2"/>
      <c r="N399" s="2" t="str">
        <f>IFERROR(IF(ISBLANK(M399),"",INDEX([1]Gen_Vessels!$A$3:$C$500,MATCH(CorrectiveMinor!$M399,[1]Gen_Vessels!$C$3:$C$500,0),1)),"")</f>
        <v/>
      </c>
      <c r="O399" s="2"/>
      <c r="P399" s="2" t="str">
        <f>IFERROR(IF(ISBLANK(O399),"",INDEX([1]Gen_Vessels!$A$3:$C$500,MATCH(CorrectiveMinor!$O399,[1]Gen_Vessels!$C$3:$C$500,0),1)),"")</f>
        <v/>
      </c>
      <c r="Q399" s="2"/>
      <c r="R399" s="2"/>
      <c r="S399" s="2"/>
      <c r="T399" s="2"/>
      <c r="U399" s="2"/>
      <c r="W399" s="2"/>
      <c r="X399" s="2"/>
      <c r="Y399" s="2"/>
      <c r="Z399" s="2"/>
      <c r="AA399" s="2"/>
      <c r="AB399" s="2"/>
      <c r="AC399" s="2"/>
    </row>
    <row r="400" spans="1:29" x14ac:dyDescent="0.25">
      <c r="A400" s="1" t="str">
        <f t="shared" si="6"/>
        <v/>
      </c>
      <c r="B400" s="2"/>
      <c r="C400" s="2"/>
      <c r="D400" s="13"/>
      <c r="E400" s="14"/>
      <c r="F400" s="15"/>
      <c r="G400" s="8"/>
      <c r="M400" s="2"/>
      <c r="N400" s="2" t="str">
        <f>IFERROR(IF(ISBLANK(M400),"",INDEX([1]Gen_Vessels!$A$3:$C$500,MATCH(CorrectiveMinor!$M400,[1]Gen_Vessels!$C$3:$C$500,0),1)),"")</f>
        <v/>
      </c>
      <c r="O400" s="2"/>
      <c r="P400" s="2" t="str">
        <f>IFERROR(IF(ISBLANK(O400),"",INDEX([1]Gen_Vessels!$A$3:$C$500,MATCH(CorrectiveMinor!$O400,[1]Gen_Vessels!$C$3:$C$500,0),1)),"")</f>
        <v/>
      </c>
      <c r="Q400" s="2"/>
      <c r="R400" s="2"/>
      <c r="S400" s="2"/>
      <c r="T400" s="2"/>
      <c r="U400" s="2"/>
      <c r="W400" s="2"/>
      <c r="X400" s="2"/>
      <c r="Y400" s="2"/>
      <c r="Z400" s="2"/>
      <c r="AA400" s="2"/>
      <c r="AB400" s="2"/>
      <c r="AC400" s="2"/>
    </row>
    <row r="401" spans="1:29" x14ac:dyDescent="0.25">
      <c r="A401" s="1" t="str">
        <f t="shared" si="6"/>
        <v/>
      </c>
      <c r="B401" s="2"/>
      <c r="C401" s="2"/>
      <c r="D401" s="13"/>
      <c r="E401" s="14"/>
      <c r="F401" s="15"/>
      <c r="G401" s="8"/>
      <c r="M401" s="2"/>
      <c r="N401" s="2" t="str">
        <f>IFERROR(IF(ISBLANK(M401),"",INDEX([1]Gen_Vessels!$A$3:$C$500,MATCH(CorrectiveMinor!$M401,[1]Gen_Vessels!$C$3:$C$500,0),1)),"")</f>
        <v/>
      </c>
      <c r="O401" s="2"/>
      <c r="P401" s="2" t="str">
        <f>IFERROR(IF(ISBLANK(O401),"",INDEX([1]Gen_Vessels!$A$3:$C$500,MATCH(CorrectiveMinor!$O401,[1]Gen_Vessels!$C$3:$C$500,0),1)),"")</f>
        <v/>
      </c>
      <c r="Q401" s="2"/>
      <c r="R401" s="2"/>
      <c r="S401" s="2"/>
      <c r="T401" s="2"/>
      <c r="U401" s="2"/>
      <c r="W401" s="2"/>
      <c r="X401" s="2"/>
      <c r="Y401" s="2"/>
      <c r="Z401" s="2"/>
      <c r="AA401" s="2"/>
      <c r="AB401" s="2"/>
      <c r="AC401" s="2"/>
    </row>
    <row r="402" spans="1:29" x14ac:dyDescent="0.25">
      <c r="A402" s="1" t="str">
        <f t="shared" si="6"/>
        <v/>
      </c>
      <c r="B402" s="2"/>
      <c r="C402" s="2"/>
      <c r="D402" s="13"/>
      <c r="E402" s="14"/>
      <c r="F402" s="15"/>
      <c r="G402" s="8"/>
      <c r="M402" s="2"/>
      <c r="N402" s="2" t="str">
        <f>IFERROR(IF(ISBLANK(M402),"",INDEX([1]Gen_Vessels!$A$3:$C$500,MATCH(CorrectiveMinor!$M402,[1]Gen_Vessels!$C$3:$C$500,0),1)),"")</f>
        <v/>
      </c>
      <c r="O402" s="2"/>
      <c r="P402" s="2" t="str">
        <f>IFERROR(IF(ISBLANK(O402),"",INDEX([1]Gen_Vessels!$A$3:$C$500,MATCH(CorrectiveMinor!$O402,[1]Gen_Vessels!$C$3:$C$500,0),1)),"")</f>
        <v/>
      </c>
      <c r="Q402" s="2"/>
      <c r="R402" s="2"/>
      <c r="S402" s="2"/>
      <c r="T402" s="2"/>
      <c r="U402" s="2"/>
      <c r="W402" s="2"/>
      <c r="X402" s="2"/>
      <c r="Y402" s="2"/>
      <c r="Z402" s="2"/>
      <c r="AA402" s="2"/>
      <c r="AB402" s="2"/>
      <c r="AC402" s="2"/>
    </row>
    <row r="403" spans="1:29" x14ac:dyDescent="0.25">
      <c r="A403" s="1" t="str">
        <f t="shared" si="6"/>
        <v/>
      </c>
      <c r="B403" s="2"/>
      <c r="C403" s="2"/>
      <c r="D403" s="13"/>
      <c r="E403" s="14"/>
      <c r="F403" s="15"/>
      <c r="G403" s="8"/>
      <c r="M403" s="2"/>
      <c r="N403" s="2" t="str">
        <f>IFERROR(IF(ISBLANK(M403),"",INDEX([1]Gen_Vessels!$A$3:$C$500,MATCH(CorrectiveMinor!$M403,[1]Gen_Vessels!$C$3:$C$500,0),1)),"")</f>
        <v/>
      </c>
      <c r="O403" s="2"/>
      <c r="P403" s="2" t="str">
        <f>IFERROR(IF(ISBLANK(O403),"",INDEX([1]Gen_Vessels!$A$3:$C$500,MATCH(CorrectiveMinor!$O403,[1]Gen_Vessels!$C$3:$C$500,0),1)),"")</f>
        <v/>
      </c>
      <c r="Q403" s="2"/>
      <c r="R403" s="2"/>
      <c r="S403" s="2"/>
      <c r="T403" s="2"/>
      <c r="U403" s="2"/>
      <c r="W403" s="2"/>
      <c r="X403" s="2"/>
      <c r="Y403" s="2"/>
      <c r="Z403" s="2"/>
      <c r="AA403" s="2"/>
      <c r="AB403" s="2"/>
      <c r="AC403" s="2"/>
    </row>
    <row r="404" spans="1:29" x14ac:dyDescent="0.25">
      <c r="A404" s="1" t="str">
        <f t="shared" si="6"/>
        <v/>
      </c>
      <c r="B404" s="2"/>
      <c r="C404" s="2"/>
      <c r="D404" s="13"/>
      <c r="E404" s="14"/>
      <c r="F404" s="15"/>
      <c r="G404" s="8"/>
      <c r="M404" s="2"/>
      <c r="N404" s="2" t="str">
        <f>IFERROR(IF(ISBLANK(M404),"",INDEX([1]Gen_Vessels!$A$3:$C$500,MATCH(CorrectiveMinor!$M404,[1]Gen_Vessels!$C$3:$C$500,0),1)),"")</f>
        <v/>
      </c>
      <c r="O404" s="2"/>
      <c r="P404" s="2" t="str">
        <f>IFERROR(IF(ISBLANK(O404),"",INDEX([1]Gen_Vessels!$A$3:$C$500,MATCH(CorrectiveMinor!$O404,[1]Gen_Vessels!$C$3:$C$500,0),1)),"")</f>
        <v/>
      </c>
      <c r="Q404" s="2"/>
      <c r="R404" s="2"/>
      <c r="S404" s="2"/>
      <c r="T404" s="2"/>
      <c r="U404" s="2"/>
      <c r="W404" s="2"/>
      <c r="X404" s="2"/>
      <c r="Y404" s="2"/>
      <c r="Z404" s="2"/>
      <c r="AA404" s="2"/>
      <c r="AB404" s="2"/>
      <c r="AC404" s="2"/>
    </row>
    <row r="405" spans="1:29" x14ac:dyDescent="0.25">
      <c r="A405" s="1" t="str">
        <f t="shared" si="6"/>
        <v/>
      </c>
      <c r="B405" s="2"/>
      <c r="C405" s="2"/>
      <c r="D405" s="13"/>
      <c r="E405" s="14"/>
      <c r="F405" s="15"/>
      <c r="G405" s="8"/>
      <c r="M405" s="2"/>
      <c r="N405" s="2" t="str">
        <f>IFERROR(IF(ISBLANK(M405),"",INDEX([1]Gen_Vessels!$A$3:$C$500,MATCH(CorrectiveMinor!$M405,[1]Gen_Vessels!$C$3:$C$500,0),1)),"")</f>
        <v/>
      </c>
      <c r="O405" s="2"/>
      <c r="P405" s="2" t="str">
        <f>IFERROR(IF(ISBLANK(O405),"",INDEX([1]Gen_Vessels!$A$3:$C$500,MATCH(CorrectiveMinor!$O405,[1]Gen_Vessels!$C$3:$C$500,0),1)),"")</f>
        <v/>
      </c>
      <c r="Q405" s="2"/>
      <c r="R405" s="2"/>
      <c r="S405" s="2"/>
      <c r="T405" s="2"/>
      <c r="U405" s="2"/>
      <c r="W405" s="2"/>
      <c r="X405" s="2"/>
      <c r="Y405" s="2"/>
      <c r="Z405" s="2"/>
      <c r="AA405" s="2"/>
      <c r="AB405" s="2"/>
      <c r="AC405" s="2"/>
    </row>
    <row r="406" spans="1:29" x14ac:dyDescent="0.25">
      <c r="A406" s="1" t="str">
        <f t="shared" si="6"/>
        <v/>
      </c>
      <c r="B406" s="2"/>
      <c r="C406" s="2"/>
      <c r="D406" s="13"/>
      <c r="E406" s="14"/>
      <c r="F406" s="15"/>
      <c r="G406" s="8"/>
      <c r="M406" s="2"/>
      <c r="N406" s="2" t="str">
        <f>IFERROR(IF(ISBLANK(M406),"",INDEX([1]Gen_Vessels!$A$3:$C$500,MATCH(CorrectiveMinor!$M406,[1]Gen_Vessels!$C$3:$C$500,0),1)),"")</f>
        <v/>
      </c>
      <c r="O406" s="2"/>
      <c r="P406" s="2" t="str">
        <f>IFERROR(IF(ISBLANK(O406),"",INDEX([1]Gen_Vessels!$A$3:$C$500,MATCH(CorrectiveMinor!$O406,[1]Gen_Vessels!$C$3:$C$500,0),1)),"")</f>
        <v/>
      </c>
      <c r="Q406" s="2"/>
      <c r="R406" s="2"/>
      <c r="S406" s="2"/>
      <c r="T406" s="2"/>
      <c r="U406" s="2"/>
      <c r="W406" s="2"/>
      <c r="X406" s="2"/>
      <c r="Y406" s="2"/>
      <c r="Z406" s="2"/>
      <c r="AA406" s="2"/>
      <c r="AB406" s="2"/>
      <c r="AC406" s="2"/>
    </row>
    <row r="407" spans="1:29" x14ac:dyDescent="0.25">
      <c r="A407" s="1" t="str">
        <f t="shared" si="6"/>
        <v/>
      </c>
      <c r="B407" s="2"/>
      <c r="C407" s="2"/>
      <c r="D407" s="13"/>
      <c r="E407" s="14"/>
      <c r="F407" s="15"/>
      <c r="G407" s="8"/>
      <c r="M407" s="2"/>
      <c r="N407" s="2" t="str">
        <f>IFERROR(IF(ISBLANK(M407),"",INDEX([1]Gen_Vessels!$A$3:$C$500,MATCH(CorrectiveMinor!$M407,[1]Gen_Vessels!$C$3:$C$500,0),1)),"")</f>
        <v/>
      </c>
      <c r="O407" s="2"/>
      <c r="P407" s="2" t="str">
        <f>IFERROR(IF(ISBLANK(O407),"",INDEX([1]Gen_Vessels!$A$3:$C$500,MATCH(CorrectiveMinor!$O407,[1]Gen_Vessels!$C$3:$C$500,0),1)),"")</f>
        <v/>
      </c>
      <c r="Q407" s="2"/>
      <c r="R407" s="2"/>
      <c r="S407" s="2"/>
      <c r="T407" s="2"/>
      <c r="U407" s="2"/>
      <c r="W407" s="2"/>
      <c r="X407" s="2"/>
      <c r="Y407" s="2"/>
      <c r="Z407" s="2"/>
      <c r="AA407" s="2"/>
      <c r="AB407" s="2"/>
      <c r="AC407" s="2"/>
    </row>
    <row r="408" spans="1:29" x14ac:dyDescent="0.25">
      <c r="A408" s="1" t="str">
        <f t="shared" si="6"/>
        <v/>
      </c>
      <c r="B408" s="2"/>
      <c r="C408" s="2"/>
      <c r="D408" s="13"/>
      <c r="E408" s="14"/>
      <c r="F408" s="15"/>
      <c r="G408" s="8"/>
      <c r="M408" s="2"/>
      <c r="N408" s="2" t="str">
        <f>IFERROR(IF(ISBLANK(M408),"",INDEX([1]Gen_Vessels!$A$3:$C$500,MATCH(CorrectiveMinor!$M408,[1]Gen_Vessels!$C$3:$C$500,0),1)),"")</f>
        <v/>
      </c>
      <c r="O408" s="2"/>
      <c r="P408" s="2" t="str">
        <f>IFERROR(IF(ISBLANK(O408),"",INDEX([1]Gen_Vessels!$A$3:$C$500,MATCH(CorrectiveMinor!$O408,[1]Gen_Vessels!$C$3:$C$500,0),1)),"")</f>
        <v/>
      </c>
      <c r="Q408" s="2"/>
      <c r="R408" s="2"/>
      <c r="S408" s="2"/>
      <c r="T408" s="2"/>
      <c r="U408" s="2"/>
      <c r="W408" s="2"/>
      <c r="X408" s="2"/>
      <c r="Y408" s="2"/>
      <c r="Z408" s="2"/>
      <c r="AA408" s="2"/>
      <c r="AB408" s="2"/>
      <c r="AC408" s="2"/>
    </row>
    <row r="409" spans="1:29" x14ac:dyDescent="0.25">
      <c r="A409" s="1" t="str">
        <f t="shared" si="6"/>
        <v/>
      </c>
      <c r="B409" s="2"/>
      <c r="C409" s="2"/>
      <c r="D409" s="13"/>
      <c r="E409" s="14"/>
      <c r="F409" s="15"/>
      <c r="G409" s="8"/>
      <c r="M409" s="2"/>
      <c r="N409" s="2" t="str">
        <f>IFERROR(IF(ISBLANK(M409),"",INDEX([1]Gen_Vessels!$A$3:$C$500,MATCH(CorrectiveMinor!$M409,[1]Gen_Vessels!$C$3:$C$500,0),1)),"")</f>
        <v/>
      </c>
      <c r="O409" s="2"/>
      <c r="P409" s="2" t="str">
        <f>IFERROR(IF(ISBLANK(O409),"",INDEX([1]Gen_Vessels!$A$3:$C$500,MATCH(CorrectiveMinor!$O409,[1]Gen_Vessels!$C$3:$C$500,0),1)),"")</f>
        <v/>
      </c>
      <c r="Q409" s="2"/>
      <c r="R409" s="2"/>
      <c r="S409" s="2"/>
      <c r="T409" s="2"/>
      <c r="U409" s="2"/>
      <c r="W409" s="2"/>
      <c r="X409" s="2"/>
      <c r="Y409" s="2"/>
      <c r="Z409" s="2"/>
      <c r="AA409" s="2"/>
      <c r="AB409" s="2"/>
      <c r="AC409" s="2"/>
    </row>
    <row r="410" spans="1:29" x14ac:dyDescent="0.25">
      <c r="A410" s="1" t="str">
        <f t="shared" si="6"/>
        <v/>
      </c>
      <c r="B410" s="2"/>
      <c r="C410" s="2"/>
      <c r="D410" s="13"/>
      <c r="E410" s="14"/>
      <c r="F410" s="15"/>
      <c r="G410" s="8"/>
      <c r="M410" s="2"/>
      <c r="N410" s="2" t="str">
        <f>IFERROR(IF(ISBLANK(M410),"",INDEX([1]Gen_Vessels!$A$3:$C$500,MATCH(CorrectiveMinor!$M410,[1]Gen_Vessels!$C$3:$C$500,0),1)),"")</f>
        <v/>
      </c>
      <c r="O410" s="2"/>
      <c r="P410" s="2" t="str">
        <f>IFERROR(IF(ISBLANK(O410),"",INDEX([1]Gen_Vessels!$A$3:$C$500,MATCH(CorrectiveMinor!$O410,[1]Gen_Vessels!$C$3:$C$500,0),1)),"")</f>
        <v/>
      </c>
      <c r="Q410" s="2"/>
      <c r="R410" s="2"/>
      <c r="S410" s="2"/>
      <c r="T410" s="2"/>
      <c r="U410" s="2"/>
      <c r="W410" s="2"/>
      <c r="X410" s="2"/>
      <c r="Y410" s="2"/>
      <c r="Z410" s="2"/>
      <c r="AA410" s="2"/>
      <c r="AB410" s="2"/>
      <c r="AC410" s="2"/>
    </row>
    <row r="411" spans="1:29" x14ac:dyDescent="0.25">
      <c r="A411" s="1" t="str">
        <f t="shared" si="6"/>
        <v/>
      </c>
      <c r="B411" s="2"/>
      <c r="C411" s="2"/>
      <c r="D411" s="13"/>
      <c r="E411" s="14"/>
      <c r="F411" s="15"/>
      <c r="G411" s="8"/>
      <c r="M411" s="2"/>
      <c r="N411" s="2" t="str">
        <f>IFERROR(IF(ISBLANK(M411),"",INDEX([1]Gen_Vessels!$A$3:$C$500,MATCH(CorrectiveMinor!$M411,[1]Gen_Vessels!$C$3:$C$500,0),1)),"")</f>
        <v/>
      </c>
      <c r="O411" s="2"/>
      <c r="P411" s="2" t="str">
        <f>IFERROR(IF(ISBLANK(O411),"",INDEX([1]Gen_Vessels!$A$3:$C$500,MATCH(CorrectiveMinor!$O411,[1]Gen_Vessels!$C$3:$C$500,0),1)),"")</f>
        <v/>
      </c>
      <c r="Q411" s="2"/>
      <c r="R411" s="2"/>
      <c r="S411" s="2"/>
      <c r="T411" s="2"/>
      <c r="U411" s="2"/>
      <c r="W411" s="2"/>
      <c r="X411" s="2"/>
      <c r="Y411" s="2"/>
      <c r="Z411" s="2"/>
      <c r="AA411" s="2"/>
      <c r="AB411" s="2"/>
      <c r="AC411" s="2"/>
    </row>
    <row r="412" spans="1:29" x14ac:dyDescent="0.25">
      <c r="A412" s="1" t="str">
        <f t="shared" si="6"/>
        <v/>
      </c>
      <c r="B412" s="2"/>
      <c r="C412" s="2"/>
      <c r="D412" s="13"/>
      <c r="E412" s="14"/>
      <c r="F412" s="15"/>
      <c r="G412" s="8"/>
      <c r="M412" s="2"/>
      <c r="N412" s="2" t="str">
        <f>IFERROR(IF(ISBLANK(M412),"",INDEX([1]Gen_Vessels!$A$3:$C$500,MATCH(CorrectiveMinor!$M412,[1]Gen_Vessels!$C$3:$C$500,0),1)),"")</f>
        <v/>
      </c>
      <c r="O412" s="2"/>
      <c r="P412" s="2" t="str">
        <f>IFERROR(IF(ISBLANK(O412),"",INDEX([1]Gen_Vessels!$A$3:$C$500,MATCH(CorrectiveMinor!$O412,[1]Gen_Vessels!$C$3:$C$500,0),1)),"")</f>
        <v/>
      </c>
      <c r="Q412" s="2"/>
      <c r="R412" s="2"/>
      <c r="S412" s="2"/>
      <c r="T412" s="2"/>
      <c r="U412" s="2"/>
      <c r="W412" s="2"/>
      <c r="X412" s="2"/>
      <c r="Y412" s="2"/>
      <c r="Z412" s="2"/>
      <c r="AA412" s="2"/>
      <c r="AB412" s="2"/>
      <c r="AC412" s="2"/>
    </row>
    <row r="413" spans="1:29" x14ac:dyDescent="0.25">
      <c r="A413" s="1" t="str">
        <f t="shared" si="6"/>
        <v/>
      </c>
      <c r="B413" s="2"/>
      <c r="C413" s="2"/>
      <c r="D413" s="13"/>
      <c r="E413" s="14"/>
      <c r="F413" s="15"/>
      <c r="G413" s="8"/>
      <c r="M413" s="2"/>
      <c r="N413" s="2" t="str">
        <f>IFERROR(IF(ISBLANK(M413),"",INDEX([1]Gen_Vessels!$A$3:$C$500,MATCH(CorrectiveMinor!$M413,[1]Gen_Vessels!$C$3:$C$500,0),1)),"")</f>
        <v/>
      </c>
      <c r="O413" s="2"/>
      <c r="P413" s="2" t="str">
        <f>IFERROR(IF(ISBLANK(O413),"",INDEX([1]Gen_Vessels!$A$3:$C$500,MATCH(CorrectiveMinor!$O413,[1]Gen_Vessels!$C$3:$C$500,0),1)),"")</f>
        <v/>
      </c>
      <c r="Q413" s="2"/>
      <c r="R413" s="2"/>
      <c r="S413" s="2"/>
      <c r="T413" s="2"/>
      <c r="U413" s="2"/>
      <c r="W413" s="2"/>
      <c r="X413" s="2"/>
      <c r="Y413" s="2"/>
      <c r="Z413" s="2"/>
      <c r="AA413" s="2"/>
      <c r="AB413" s="2"/>
      <c r="AC413" s="2"/>
    </row>
    <row r="414" spans="1:29" x14ac:dyDescent="0.25">
      <c r="A414" s="1" t="str">
        <f t="shared" si="6"/>
        <v/>
      </c>
      <c r="B414" s="2"/>
      <c r="C414" s="2"/>
      <c r="D414" s="13"/>
      <c r="E414" s="14"/>
      <c r="F414" s="15"/>
      <c r="G414" s="8"/>
      <c r="M414" s="2"/>
      <c r="N414" s="2" t="str">
        <f>IFERROR(IF(ISBLANK(M414),"",INDEX([1]Gen_Vessels!$A$3:$C$500,MATCH(CorrectiveMinor!$M414,[1]Gen_Vessels!$C$3:$C$500,0),1)),"")</f>
        <v/>
      </c>
      <c r="O414" s="2"/>
      <c r="P414" s="2" t="str">
        <f>IFERROR(IF(ISBLANK(O414),"",INDEX([1]Gen_Vessels!$A$3:$C$500,MATCH(CorrectiveMinor!$O414,[1]Gen_Vessels!$C$3:$C$500,0),1)),"")</f>
        <v/>
      </c>
      <c r="Q414" s="2"/>
      <c r="R414" s="2"/>
      <c r="S414" s="2"/>
      <c r="T414" s="2"/>
      <c r="U414" s="2"/>
      <c r="W414" s="2"/>
      <c r="X414" s="2"/>
      <c r="Y414" s="2"/>
      <c r="Z414" s="2"/>
      <c r="AA414" s="2"/>
      <c r="AB414" s="2"/>
      <c r="AC414" s="2"/>
    </row>
    <row r="415" spans="1:29" x14ac:dyDescent="0.25">
      <c r="A415" s="1" t="str">
        <f t="shared" si="6"/>
        <v/>
      </c>
      <c r="B415" s="2"/>
      <c r="C415" s="2"/>
      <c r="D415" s="13"/>
      <c r="E415" s="14"/>
      <c r="F415" s="15"/>
      <c r="G415" s="8"/>
      <c r="M415" s="2"/>
      <c r="N415" s="2" t="str">
        <f>IFERROR(IF(ISBLANK(M415),"",INDEX([1]Gen_Vessels!$A$3:$C$500,MATCH(CorrectiveMinor!$M415,[1]Gen_Vessels!$C$3:$C$500,0),1)),"")</f>
        <v/>
      </c>
      <c r="O415" s="2"/>
      <c r="P415" s="2" t="str">
        <f>IFERROR(IF(ISBLANK(O415),"",INDEX([1]Gen_Vessels!$A$3:$C$500,MATCH(CorrectiveMinor!$O415,[1]Gen_Vessels!$C$3:$C$500,0),1)),"")</f>
        <v/>
      </c>
      <c r="Q415" s="2"/>
      <c r="R415" s="2"/>
      <c r="S415" s="2"/>
      <c r="T415" s="2"/>
      <c r="U415" s="2"/>
      <c r="W415" s="2"/>
      <c r="X415" s="2"/>
      <c r="Y415" s="2"/>
      <c r="Z415" s="2"/>
      <c r="AA415" s="2"/>
      <c r="AB415" s="2"/>
      <c r="AC415" s="2"/>
    </row>
    <row r="416" spans="1:29" x14ac:dyDescent="0.25">
      <c r="A416" s="1" t="str">
        <f t="shared" si="6"/>
        <v/>
      </c>
      <c r="B416" s="2"/>
      <c r="C416" s="2"/>
      <c r="D416" s="13"/>
      <c r="E416" s="14"/>
      <c r="F416" s="15"/>
      <c r="G416" s="8"/>
      <c r="M416" s="2"/>
      <c r="N416" s="2" t="str">
        <f>IFERROR(IF(ISBLANK(M416),"",INDEX([1]Gen_Vessels!$A$3:$C$500,MATCH(CorrectiveMinor!$M416,[1]Gen_Vessels!$C$3:$C$500,0),1)),"")</f>
        <v/>
      </c>
      <c r="O416" s="2"/>
      <c r="P416" s="2" t="str">
        <f>IFERROR(IF(ISBLANK(O416),"",INDEX([1]Gen_Vessels!$A$3:$C$500,MATCH(CorrectiveMinor!$O416,[1]Gen_Vessels!$C$3:$C$500,0),1)),"")</f>
        <v/>
      </c>
      <c r="Q416" s="2"/>
      <c r="R416" s="2"/>
      <c r="S416" s="2"/>
      <c r="T416" s="2"/>
      <c r="U416" s="2"/>
      <c r="W416" s="2"/>
      <c r="X416" s="2"/>
      <c r="Y416" s="2"/>
      <c r="Z416" s="2"/>
      <c r="AA416" s="2"/>
      <c r="AB416" s="2"/>
      <c r="AC416" s="2"/>
    </row>
    <row r="417" spans="1:29" x14ac:dyDescent="0.25">
      <c r="A417" s="1" t="str">
        <f t="shared" si="6"/>
        <v/>
      </c>
      <c r="B417" s="2"/>
      <c r="C417" s="2"/>
      <c r="D417" s="13"/>
      <c r="E417" s="14"/>
      <c r="F417" s="15"/>
      <c r="G417" s="8"/>
      <c r="M417" s="2"/>
      <c r="N417" s="2" t="str">
        <f>IFERROR(IF(ISBLANK(M417),"",INDEX([1]Gen_Vessels!$A$3:$C$500,MATCH(CorrectiveMinor!$M417,[1]Gen_Vessels!$C$3:$C$500,0),1)),"")</f>
        <v/>
      </c>
      <c r="O417" s="2"/>
      <c r="P417" s="2" t="str">
        <f>IFERROR(IF(ISBLANK(O417),"",INDEX([1]Gen_Vessels!$A$3:$C$500,MATCH(CorrectiveMinor!$O417,[1]Gen_Vessels!$C$3:$C$500,0),1)),"")</f>
        <v/>
      </c>
      <c r="Q417" s="2"/>
      <c r="R417" s="2"/>
      <c r="S417" s="2"/>
      <c r="T417" s="2"/>
      <c r="U417" s="2"/>
      <c r="W417" s="2"/>
      <c r="X417" s="2"/>
      <c r="Y417" s="2"/>
      <c r="Z417" s="2"/>
      <c r="AA417" s="2"/>
      <c r="AB417" s="2"/>
      <c r="AC417" s="2"/>
    </row>
    <row r="418" spans="1:29" x14ac:dyDescent="0.25">
      <c r="A418" s="1" t="str">
        <f t="shared" si="6"/>
        <v/>
      </c>
      <c r="B418" s="2"/>
      <c r="C418" s="2"/>
      <c r="D418" s="13"/>
      <c r="E418" s="14"/>
      <c r="F418" s="15"/>
      <c r="G418" s="8"/>
      <c r="M418" s="2"/>
      <c r="N418" s="2" t="str">
        <f>IFERROR(IF(ISBLANK(M418),"",INDEX([1]Gen_Vessels!$A$3:$C$500,MATCH(CorrectiveMinor!$M418,[1]Gen_Vessels!$C$3:$C$500,0),1)),"")</f>
        <v/>
      </c>
      <c r="O418" s="2"/>
      <c r="P418" s="2" t="str">
        <f>IFERROR(IF(ISBLANK(O418),"",INDEX([1]Gen_Vessels!$A$3:$C$500,MATCH(CorrectiveMinor!$O418,[1]Gen_Vessels!$C$3:$C$500,0),1)),"")</f>
        <v/>
      </c>
      <c r="Q418" s="2"/>
      <c r="R418" s="2"/>
      <c r="S418" s="2"/>
      <c r="T418" s="2"/>
      <c r="U418" s="2"/>
      <c r="W418" s="2"/>
      <c r="X418" s="2"/>
      <c r="Y418" s="2"/>
      <c r="Z418" s="2"/>
      <c r="AA418" s="2"/>
      <c r="AB418" s="2"/>
      <c r="AC418" s="2"/>
    </row>
    <row r="419" spans="1:29" x14ac:dyDescent="0.25">
      <c r="A419" s="1" t="str">
        <f t="shared" si="6"/>
        <v/>
      </c>
      <c r="B419" s="2"/>
      <c r="C419" s="2"/>
      <c r="D419" s="13"/>
      <c r="E419" s="14"/>
      <c r="F419" s="15"/>
      <c r="G419" s="8"/>
      <c r="M419" s="2"/>
      <c r="N419" s="2" t="str">
        <f>IFERROR(IF(ISBLANK(M419),"",INDEX([1]Gen_Vessels!$A$3:$C$500,MATCH(CorrectiveMinor!$M419,[1]Gen_Vessels!$C$3:$C$500,0),1)),"")</f>
        <v/>
      </c>
      <c r="O419" s="2"/>
      <c r="P419" s="2" t="str">
        <f>IFERROR(IF(ISBLANK(O419),"",INDEX([1]Gen_Vessels!$A$3:$C$500,MATCH(CorrectiveMinor!$O419,[1]Gen_Vessels!$C$3:$C$500,0),1)),"")</f>
        <v/>
      </c>
      <c r="Q419" s="2"/>
      <c r="R419" s="2"/>
      <c r="S419" s="2"/>
      <c r="T419" s="2"/>
      <c r="U419" s="2"/>
      <c r="W419" s="2"/>
      <c r="X419" s="2"/>
      <c r="Y419" s="2"/>
      <c r="Z419" s="2"/>
      <c r="AA419" s="2"/>
      <c r="AB419" s="2"/>
      <c r="AC419" s="2"/>
    </row>
    <row r="420" spans="1:29" x14ac:dyDescent="0.25">
      <c r="A420" s="1" t="str">
        <f t="shared" si="6"/>
        <v/>
      </c>
      <c r="B420" s="2"/>
      <c r="C420" s="2"/>
      <c r="D420" s="13"/>
      <c r="E420" s="14"/>
      <c r="F420" s="15"/>
      <c r="G420" s="8"/>
      <c r="M420" s="2"/>
      <c r="N420" s="2" t="str">
        <f>IFERROR(IF(ISBLANK(M420),"",INDEX([1]Gen_Vessels!$A$3:$C$500,MATCH(CorrectiveMinor!$M420,[1]Gen_Vessels!$C$3:$C$500,0),1)),"")</f>
        <v/>
      </c>
      <c r="O420" s="2"/>
      <c r="P420" s="2" t="str">
        <f>IFERROR(IF(ISBLANK(O420),"",INDEX([1]Gen_Vessels!$A$3:$C$500,MATCH(CorrectiveMinor!$O420,[1]Gen_Vessels!$C$3:$C$500,0),1)),"")</f>
        <v/>
      </c>
      <c r="Q420" s="2"/>
      <c r="R420" s="2"/>
      <c r="S420" s="2"/>
      <c r="T420" s="2"/>
      <c r="U420" s="2"/>
      <c r="W420" s="2"/>
      <c r="X420" s="2"/>
      <c r="Y420" s="2"/>
      <c r="Z420" s="2"/>
      <c r="AA420" s="2"/>
      <c r="AB420" s="2"/>
      <c r="AC420" s="2"/>
    </row>
    <row r="421" spans="1:29" x14ac:dyDescent="0.25">
      <c r="A421" s="1" t="str">
        <f t="shared" si="6"/>
        <v/>
      </c>
      <c r="B421" s="2"/>
      <c r="C421" s="2"/>
      <c r="D421" s="13"/>
      <c r="E421" s="14"/>
      <c r="F421" s="15"/>
      <c r="G421" s="8"/>
      <c r="M421" s="2"/>
      <c r="N421" s="2" t="str">
        <f>IFERROR(IF(ISBLANK(M421),"",INDEX([1]Gen_Vessels!$A$3:$C$500,MATCH(CorrectiveMinor!$M421,[1]Gen_Vessels!$C$3:$C$500,0),1)),"")</f>
        <v/>
      </c>
      <c r="O421" s="2"/>
      <c r="P421" s="2" t="str">
        <f>IFERROR(IF(ISBLANK(O421),"",INDEX([1]Gen_Vessels!$A$3:$C$500,MATCH(CorrectiveMinor!$O421,[1]Gen_Vessels!$C$3:$C$500,0),1)),"")</f>
        <v/>
      </c>
      <c r="Q421" s="2"/>
      <c r="R421" s="2"/>
      <c r="S421" s="2"/>
      <c r="T421" s="2"/>
      <c r="U421" s="2"/>
      <c r="W421" s="2"/>
      <c r="X421" s="2"/>
      <c r="Y421" s="2"/>
      <c r="Z421" s="2"/>
      <c r="AA421" s="2"/>
      <c r="AB421" s="2"/>
      <c r="AC421" s="2"/>
    </row>
    <row r="422" spans="1:29" x14ac:dyDescent="0.25">
      <c r="A422" s="1" t="str">
        <f t="shared" si="6"/>
        <v/>
      </c>
      <c r="B422" s="2"/>
      <c r="C422" s="2"/>
      <c r="D422" s="13"/>
      <c r="E422" s="14"/>
      <c r="F422" s="15"/>
      <c r="G422" s="8"/>
      <c r="M422" s="2"/>
      <c r="N422" s="2" t="str">
        <f>IFERROR(IF(ISBLANK(M422),"",INDEX([1]Gen_Vessels!$A$3:$C$500,MATCH(CorrectiveMinor!$M422,[1]Gen_Vessels!$C$3:$C$500,0),1)),"")</f>
        <v/>
      </c>
      <c r="O422" s="2"/>
      <c r="P422" s="2" t="str">
        <f>IFERROR(IF(ISBLANK(O422),"",INDEX([1]Gen_Vessels!$A$3:$C$500,MATCH(CorrectiveMinor!$O422,[1]Gen_Vessels!$C$3:$C$500,0),1)),"")</f>
        <v/>
      </c>
      <c r="Q422" s="2"/>
      <c r="R422" s="2"/>
      <c r="S422" s="2"/>
      <c r="T422" s="2"/>
      <c r="U422" s="2"/>
      <c r="W422" s="2"/>
      <c r="X422" s="2"/>
      <c r="Y422" s="2"/>
      <c r="Z422" s="2"/>
      <c r="AA422" s="2"/>
      <c r="AB422" s="2"/>
      <c r="AC422" s="2"/>
    </row>
    <row r="423" spans="1:29" x14ac:dyDescent="0.25">
      <c r="A423" s="1" t="str">
        <f t="shared" si="6"/>
        <v/>
      </c>
      <c r="B423" s="2"/>
      <c r="C423" s="2"/>
      <c r="D423" s="13"/>
      <c r="E423" s="14"/>
      <c r="F423" s="15"/>
      <c r="G423" s="8"/>
      <c r="M423" s="2"/>
      <c r="N423" s="2" t="str">
        <f>IFERROR(IF(ISBLANK(M423),"",INDEX([1]Gen_Vessels!$A$3:$C$500,MATCH(CorrectiveMinor!$M423,[1]Gen_Vessels!$C$3:$C$500,0),1)),"")</f>
        <v/>
      </c>
      <c r="O423" s="2"/>
      <c r="P423" s="2" t="str">
        <f>IFERROR(IF(ISBLANK(O423),"",INDEX([1]Gen_Vessels!$A$3:$C$500,MATCH(CorrectiveMinor!$O423,[1]Gen_Vessels!$C$3:$C$500,0),1)),"")</f>
        <v/>
      </c>
      <c r="Q423" s="2"/>
      <c r="R423" s="2"/>
      <c r="S423" s="2"/>
      <c r="T423" s="2"/>
      <c r="U423" s="2"/>
      <c r="W423" s="2"/>
      <c r="X423" s="2"/>
      <c r="Y423" s="2"/>
      <c r="Z423" s="2"/>
      <c r="AA423" s="2"/>
      <c r="AB423" s="2"/>
      <c r="AC423" s="2"/>
    </row>
    <row r="424" spans="1:29" x14ac:dyDescent="0.25">
      <c r="A424" s="1" t="str">
        <f t="shared" si="6"/>
        <v/>
      </c>
      <c r="B424" s="2"/>
      <c r="C424" s="2"/>
      <c r="D424" s="13"/>
      <c r="E424" s="14"/>
      <c r="F424" s="15"/>
      <c r="G424" s="8"/>
      <c r="M424" s="2"/>
      <c r="N424" s="2" t="str">
        <f>IFERROR(IF(ISBLANK(M424),"",INDEX([1]Gen_Vessels!$A$3:$C$500,MATCH(CorrectiveMinor!$M424,[1]Gen_Vessels!$C$3:$C$500,0),1)),"")</f>
        <v/>
      </c>
      <c r="O424" s="2"/>
      <c r="P424" s="2" t="str">
        <f>IFERROR(IF(ISBLANK(O424),"",INDEX([1]Gen_Vessels!$A$3:$C$500,MATCH(CorrectiveMinor!$O424,[1]Gen_Vessels!$C$3:$C$500,0),1)),"")</f>
        <v/>
      </c>
      <c r="Q424" s="2"/>
      <c r="R424" s="2"/>
      <c r="S424" s="2"/>
      <c r="T424" s="2"/>
      <c r="U424" s="2"/>
      <c r="W424" s="2"/>
      <c r="X424" s="2"/>
      <c r="Y424" s="2"/>
      <c r="Z424" s="2"/>
      <c r="AA424" s="2"/>
      <c r="AB424" s="2"/>
      <c r="AC424" s="2"/>
    </row>
    <row r="425" spans="1:29" x14ac:dyDescent="0.25">
      <c r="A425" s="1" t="str">
        <f t="shared" si="6"/>
        <v/>
      </c>
      <c r="B425" s="2"/>
      <c r="C425" s="2"/>
      <c r="D425" s="13"/>
      <c r="E425" s="14"/>
      <c r="F425" s="15"/>
      <c r="G425" s="8"/>
      <c r="M425" s="2"/>
      <c r="N425" s="2" t="str">
        <f>IFERROR(IF(ISBLANK(M425),"",INDEX([1]Gen_Vessels!$A$3:$C$500,MATCH(CorrectiveMinor!$M425,[1]Gen_Vessels!$C$3:$C$500,0),1)),"")</f>
        <v/>
      </c>
      <c r="O425" s="2"/>
      <c r="P425" s="2" t="str">
        <f>IFERROR(IF(ISBLANK(O425),"",INDEX([1]Gen_Vessels!$A$3:$C$500,MATCH(CorrectiveMinor!$O425,[1]Gen_Vessels!$C$3:$C$500,0),1)),"")</f>
        <v/>
      </c>
      <c r="Q425" s="2"/>
      <c r="R425" s="2"/>
      <c r="S425" s="2"/>
      <c r="T425" s="2"/>
      <c r="U425" s="2"/>
      <c r="W425" s="2"/>
      <c r="X425" s="2"/>
      <c r="Y425" s="2"/>
      <c r="Z425" s="2"/>
      <c r="AA425" s="2"/>
      <c r="AB425" s="2"/>
      <c r="AC425" s="2"/>
    </row>
    <row r="426" spans="1:29" x14ac:dyDescent="0.25">
      <c r="A426" s="1" t="str">
        <f t="shared" si="6"/>
        <v/>
      </c>
      <c r="B426" s="2"/>
      <c r="C426" s="2"/>
      <c r="D426" s="13"/>
      <c r="E426" s="14"/>
      <c r="F426" s="15"/>
      <c r="G426" s="8"/>
      <c r="M426" s="2"/>
      <c r="N426" s="2" t="str">
        <f>IFERROR(IF(ISBLANK(M426),"",INDEX([1]Gen_Vessels!$A$3:$C$500,MATCH(CorrectiveMinor!$M426,[1]Gen_Vessels!$C$3:$C$500,0),1)),"")</f>
        <v/>
      </c>
      <c r="O426" s="2"/>
      <c r="P426" s="2" t="str">
        <f>IFERROR(IF(ISBLANK(O426),"",INDEX([1]Gen_Vessels!$A$3:$C$500,MATCH(CorrectiveMinor!$O426,[1]Gen_Vessels!$C$3:$C$500,0),1)),"")</f>
        <v/>
      </c>
      <c r="Q426" s="2"/>
      <c r="R426" s="2"/>
      <c r="S426" s="2"/>
      <c r="T426" s="2"/>
      <c r="U426" s="2"/>
      <c r="W426" s="2"/>
      <c r="X426" s="2"/>
      <c r="Y426" s="2"/>
      <c r="Z426" s="2"/>
      <c r="AA426" s="2"/>
      <c r="AB426" s="2"/>
      <c r="AC426" s="2"/>
    </row>
    <row r="427" spans="1:29" x14ac:dyDescent="0.25">
      <c r="A427" s="1" t="str">
        <f t="shared" si="6"/>
        <v/>
      </c>
      <c r="B427" s="2"/>
      <c r="C427" s="2"/>
      <c r="D427" s="13"/>
      <c r="E427" s="14"/>
      <c r="F427" s="15"/>
      <c r="G427" s="8"/>
      <c r="M427" s="2"/>
      <c r="N427" s="2" t="str">
        <f>IFERROR(IF(ISBLANK(M427),"",INDEX([1]Gen_Vessels!$A$3:$C$500,MATCH(CorrectiveMinor!$M427,[1]Gen_Vessels!$C$3:$C$500,0),1)),"")</f>
        <v/>
      </c>
      <c r="O427" s="2"/>
      <c r="P427" s="2" t="str">
        <f>IFERROR(IF(ISBLANK(O427),"",INDEX([1]Gen_Vessels!$A$3:$C$500,MATCH(CorrectiveMinor!$O427,[1]Gen_Vessels!$C$3:$C$500,0),1)),"")</f>
        <v/>
      </c>
      <c r="Q427" s="2"/>
      <c r="R427" s="2"/>
      <c r="S427" s="2"/>
      <c r="T427" s="2"/>
      <c r="U427" s="2"/>
      <c r="W427" s="2"/>
      <c r="X427" s="2"/>
      <c r="Y427" s="2"/>
      <c r="Z427" s="2"/>
      <c r="AA427" s="2"/>
      <c r="AB427" s="2"/>
      <c r="AC427" s="2"/>
    </row>
    <row r="428" spans="1:29" x14ac:dyDescent="0.25">
      <c r="A428" s="1" t="str">
        <f t="shared" si="6"/>
        <v/>
      </c>
      <c r="B428" s="2"/>
      <c r="C428" s="2"/>
      <c r="D428" s="13"/>
      <c r="E428" s="14"/>
      <c r="F428" s="15"/>
      <c r="G428" s="8"/>
      <c r="M428" s="2"/>
      <c r="N428" s="2" t="str">
        <f>IFERROR(IF(ISBLANK(M428),"",INDEX([1]Gen_Vessels!$A$3:$C$500,MATCH(CorrectiveMinor!$M428,[1]Gen_Vessels!$C$3:$C$500,0),1)),"")</f>
        <v/>
      </c>
      <c r="O428" s="2"/>
      <c r="P428" s="2" t="str">
        <f>IFERROR(IF(ISBLANK(O428),"",INDEX([1]Gen_Vessels!$A$3:$C$500,MATCH(CorrectiveMinor!$O428,[1]Gen_Vessels!$C$3:$C$500,0),1)),"")</f>
        <v/>
      </c>
      <c r="Q428" s="2"/>
      <c r="R428" s="2"/>
      <c r="S428" s="2"/>
      <c r="T428" s="2"/>
      <c r="U428" s="2"/>
      <c r="W428" s="2"/>
      <c r="X428" s="2"/>
      <c r="Y428" s="2"/>
      <c r="Z428" s="2"/>
      <c r="AA428" s="2"/>
      <c r="AB428" s="2"/>
      <c r="AC428" s="2"/>
    </row>
    <row r="429" spans="1:29" x14ac:dyDescent="0.25">
      <c r="A429" s="1" t="str">
        <f t="shared" si="6"/>
        <v/>
      </c>
      <c r="B429" s="2"/>
      <c r="C429" s="2"/>
      <c r="D429" s="13"/>
      <c r="E429" s="14"/>
      <c r="F429" s="15"/>
      <c r="G429" s="8"/>
      <c r="M429" s="2"/>
      <c r="N429" s="2" t="str">
        <f>IFERROR(IF(ISBLANK(M429),"",INDEX([1]Gen_Vessels!$A$3:$C$500,MATCH(CorrectiveMinor!$M429,[1]Gen_Vessels!$C$3:$C$500,0),1)),"")</f>
        <v/>
      </c>
      <c r="O429" s="2"/>
      <c r="P429" s="2" t="str">
        <f>IFERROR(IF(ISBLANK(O429),"",INDEX([1]Gen_Vessels!$A$3:$C$500,MATCH(CorrectiveMinor!$O429,[1]Gen_Vessels!$C$3:$C$500,0),1)),"")</f>
        <v/>
      </c>
      <c r="Q429" s="2"/>
      <c r="R429" s="2"/>
      <c r="S429" s="2"/>
      <c r="T429" s="2"/>
      <c r="U429" s="2"/>
      <c r="W429" s="2"/>
      <c r="X429" s="2"/>
      <c r="Y429" s="2"/>
      <c r="Z429" s="2"/>
      <c r="AA429" s="2"/>
      <c r="AB429" s="2"/>
      <c r="AC429" s="2"/>
    </row>
    <row r="430" spans="1:29" x14ac:dyDescent="0.25">
      <c r="A430" s="1" t="str">
        <f t="shared" si="6"/>
        <v/>
      </c>
      <c r="B430" s="2"/>
      <c r="C430" s="2"/>
      <c r="D430" s="13"/>
      <c r="E430" s="14"/>
      <c r="F430" s="15"/>
      <c r="G430" s="8"/>
      <c r="M430" s="2"/>
      <c r="N430" s="2" t="str">
        <f>IFERROR(IF(ISBLANK(M430),"",INDEX([1]Gen_Vessels!$A$3:$C$500,MATCH(CorrectiveMinor!$M430,[1]Gen_Vessels!$C$3:$C$500,0),1)),"")</f>
        <v/>
      </c>
      <c r="O430" s="2"/>
      <c r="P430" s="2" t="str">
        <f>IFERROR(IF(ISBLANK(O430),"",INDEX([1]Gen_Vessels!$A$3:$C$500,MATCH(CorrectiveMinor!$O430,[1]Gen_Vessels!$C$3:$C$500,0),1)),"")</f>
        <v/>
      </c>
      <c r="Q430" s="2"/>
      <c r="R430" s="2"/>
      <c r="S430" s="2"/>
      <c r="T430" s="2"/>
      <c r="U430" s="2"/>
      <c r="W430" s="2"/>
      <c r="X430" s="2"/>
      <c r="Y430" s="2"/>
      <c r="Z430" s="2"/>
      <c r="AA430" s="2"/>
      <c r="AB430" s="2"/>
      <c r="AC430" s="2"/>
    </row>
    <row r="431" spans="1:29" x14ac:dyDescent="0.25">
      <c r="A431" s="1" t="str">
        <f t="shared" si="6"/>
        <v/>
      </c>
      <c r="B431" s="2"/>
      <c r="C431" s="2"/>
      <c r="D431" s="13"/>
      <c r="E431" s="14"/>
      <c r="F431" s="15"/>
      <c r="G431" s="8"/>
      <c r="M431" s="2"/>
      <c r="N431" s="2" t="str">
        <f>IFERROR(IF(ISBLANK(M431),"",INDEX([1]Gen_Vessels!$A$3:$C$500,MATCH(CorrectiveMinor!$M431,[1]Gen_Vessels!$C$3:$C$500,0),1)),"")</f>
        <v/>
      </c>
      <c r="O431" s="2"/>
      <c r="P431" s="2" t="str">
        <f>IFERROR(IF(ISBLANK(O431),"",INDEX([1]Gen_Vessels!$A$3:$C$500,MATCH(CorrectiveMinor!$O431,[1]Gen_Vessels!$C$3:$C$500,0),1)),"")</f>
        <v/>
      </c>
      <c r="Q431" s="2"/>
      <c r="R431" s="2"/>
      <c r="S431" s="2"/>
      <c r="T431" s="2"/>
      <c r="U431" s="2"/>
      <c r="W431" s="2"/>
      <c r="X431" s="2"/>
      <c r="Y431" s="2"/>
      <c r="Z431" s="2"/>
      <c r="AA431" s="2"/>
      <c r="AB431" s="2"/>
      <c r="AC431" s="2"/>
    </row>
    <row r="432" spans="1:29" x14ac:dyDescent="0.25">
      <c r="A432" s="1" t="str">
        <f t="shared" si="6"/>
        <v/>
      </c>
      <c r="B432" s="2"/>
      <c r="C432" s="2"/>
      <c r="D432" s="13"/>
      <c r="E432" s="14"/>
      <c r="F432" s="15"/>
      <c r="G432" s="8"/>
      <c r="M432" s="2"/>
      <c r="N432" s="2" t="str">
        <f>IFERROR(IF(ISBLANK(M432),"",INDEX([1]Gen_Vessels!$A$3:$C$500,MATCH(CorrectiveMinor!$M432,[1]Gen_Vessels!$C$3:$C$500,0),1)),"")</f>
        <v/>
      </c>
      <c r="O432" s="2"/>
      <c r="P432" s="2" t="str">
        <f>IFERROR(IF(ISBLANK(O432),"",INDEX([1]Gen_Vessels!$A$3:$C$500,MATCH(CorrectiveMinor!$O432,[1]Gen_Vessels!$C$3:$C$500,0),1)),"")</f>
        <v/>
      </c>
      <c r="Q432" s="2"/>
      <c r="R432" s="2"/>
      <c r="S432" s="2"/>
      <c r="T432" s="2"/>
      <c r="U432" s="2"/>
      <c r="W432" s="2"/>
      <c r="X432" s="2"/>
      <c r="Y432" s="2"/>
      <c r="Z432" s="2"/>
      <c r="AA432" s="2"/>
      <c r="AB432" s="2"/>
      <c r="AC432" s="2"/>
    </row>
    <row r="433" spans="1:29" x14ac:dyDescent="0.25">
      <c r="A433" s="1" t="str">
        <f t="shared" si="6"/>
        <v/>
      </c>
      <c r="B433" s="2"/>
      <c r="C433" s="2"/>
      <c r="D433" s="13"/>
      <c r="E433" s="14"/>
      <c r="F433" s="15"/>
      <c r="G433" s="8"/>
      <c r="M433" s="2"/>
      <c r="N433" s="2" t="str">
        <f>IFERROR(IF(ISBLANK(M433),"",INDEX([1]Gen_Vessels!$A$3:$C$500,MATCH(CorrectiveMinor!$M433,[1]Gen_Vessels!$C$3:$C$500,0),1)),"")</f>
        <v/>
      </c>
      <c r="O433" s="2"/>
      <c r="P433" s="2" t="str">
        <f>IFERROR(IF(ISBLANK(O433),"",INDEX([1]Gen_Vessels!$A$3:$C$500,MATCH(CorrectiveMinor!$O433,[1]Gen_Vessels!$C$3:$C$500,0),1)),"")</f>
        <v/>
      </c>
      <c r="Q433" s="2"/>
      <c r="R433" s="2"/>
      <c r="S433" s="2"/>
      <c r="T433" s="2"/>
      <c r="U433" s="2"/>
      <c r="W433" s="2"/>
      <c r="X433" s="2"/>
      <c r="Y433" s="2"/>
      <c r="Z433" s="2"/>
      <c r="AA433" s="2"/>
      <c r="AB433" s="2"/>
      <c r="AC433" s="2"/>
    </row>
    <row r="434" spans="1:29" x14ac:dyDescent="0.25">
      <c r="A434" s="1" t="str">
        <f t="shared" si="6"/>
        <v/>
      </c>
      <c r="B434" s="2"/>
      <c r="C434" s="2"/>
      <c r="D434" s="13"/>
      <c r="E434" s="14"/>
      <c r="F434" s="15"/>
      <c r="G434" s="8"/>
      <c r="M434" s="2"/>
      <c r="N434" s="2" t="str">
        <f>IFERROR(IF(ISBLANK(M434),"",INDEX([1]Gen_Vessels!$A$3:$C$500,MATCH(CorrectiveMinor!$M434,[1]Gen_Vessels!$C$3:$C$500,0),1)),"")</f>
        <v/>
      </c>
      <c r="O434" s="2"/>
      <c r="P434" s="2" t="str">
        <f>IFERROR(IF(ISBLANK(O434),"",INDEX([1]Gen_Vessels!$A$3:$C$500,MATCH(CorrectiveMinor!$O434,[1]Gen_Vessels!$C$3:$C$500,0),1)),"")</f>
        <v/>
      </c>
      <c r="Q434" s="2"/>
      <c r="R434" s="2"/>
      <c r="S434" s="2"/>
      <c r="T434" s="2"/>
      <c r="U434" s="2"/>
      <c r="W434" s="2"/>
      <c r="X434" s="2"/>
      <c r="Y434" s="2"/>
      <c r="Z434" s="2"/>
      <c r="AA434" s="2"/>
      <c r="AB434" s="2"/>
      <c r="AC434" s="2"/>
    </row>
    <row r="435" spans="1:29" x14ac:dyDescent="0.25">
      <c r="A435" s="1" t="str">
        <f t="shared" si="6"/>
        <v/>
      </c>
      <c r="B435" s="2"/>
      <c r="C435" s="2"/>
      <c r="D435" s="13"/>
      <c r="E435" s="14"/>
      <c r="F435" s="15"/>
      <c r="G435" s="8"/>
      <c r="M435" s="2"/>
      <c r="N435" s="2" t="str">
        <f>IFERROR(IF(ISBLANK(M435),"",INDEX([1]Gen_Vessels!$A$3:$C$500,MATCH(CorrectiveMinor!$M435,[1]Gen_Vessels!$C$3:$C$500,0),1)),"")</f>
        <v/>
      </c>
      <c r="O435" s="2"/>
      <c r="P435" s="2" t="str">
        <f>IFERROR(IF(ISBLANK(O435),"",INDEX([1]Gen_Vessels!$A$3:$C$500,MATCH(CorrectiveMinor!$O435,[1]Gen_Vessels!$C$3:$C$500,0),1)),"")</f>
        <v/>
      </c>
      <c r="Q435" s="2"/>
      <c r="R435" s="2"/>
      <c r="S435" s="2"/>
      <c r="T435" s="2"/>
      <c r="U435" s="2"/>
      <c r="W435" s="2"/>
      <c r="X435" s="2"/>
      <c r="Y435" s="2"/>
      <c r="Z435" s="2"/>
      <c r="AA435" s="2"/>
      <c r="AB435" s="2"/>
      <c r="AC435" s="2"/>
    </row>
    <row r="436" spans="1:29" x14ac:dyDescent="0.25">
      <c r="A436" s="1" t="str">
        <f t="shared" si="6"/>
        <v/>
      </c>
      <c r="B436" s="2"/>
      <c r="C436" s="2"/>
      <c r="D436" s="13"/>
      <c r="E436" s="14"/>
      <c r="F436" s="15"/>
      <c r="G436" s="8"/>
      <c r="M436" s="2"/>
      <c r="N436" s="2" t="str">
        <f>IFERROR(IF(ISBLANK(M436),"",INDEX([1]Gen_Vessels!$A$3:$C$500,MATCH(CorrectiveMinor!$M436,[1]Gen_Vessels!$C$3:$C$500,0),1)),"")</f>
        <v/>
      </c>
      <c r="O436" s="2"/>
      <c r="P436" s="2" t="str">
        <f>IFERROR(IF(ISBLANK(O436),"",INDEX([1]Gen_Vessels!$A$3:$C$500,MATCH(CorrectiveMinor!$O436,[1]Gen_Vessels!$C$3:$C$500,0),1)),"")</f>
        <v/>
      </c>
      <c r="Q436" s="2"/>
      <c r="R436" s="2"/>
      <c r="S436" s="2"/>
      <c r="T436" s="2"/>
      <c r="U436" s="2"/>
      <c r="W436" s="2"/>
      <c r="X436" s="2"/>
      <c r="Y436" s="2"/>
      <c r="Z436" s="2"/>
      <c r="AA436" s="2"/>
      <c r="AB436" s="2"/>
      <c r="AC436" s="2"/>
    </row>
    <row r="437" spans="1:29" x14ac:dyDescent="0.25">
      <c r="A437" s="1" t="str">
        <f t="shared" si="6"/>
        <v/>
      </c>
      <c r="B437" s="2"/>
      <c r="C437" s="2"/>
      <c r="D437" s="13"/>
      <c r="E437" s="14"/>
      <c r="F437" s="15"/>
      <c r="G437" s="8"/>
      <c r="M437" s="2"/>
      <c r="N437" s="2" t="str">
        <f>IFERROR(IF(ISBLANK(M437),"",INDEX([1]Gen_Vessels!$A$3:$C$500,MATCH(CorrectiveMinor!$M437,[1]Gen_Vessels!$C$3:$C$500,0),1)),"")</f>
        <v/>
      </c>
      <c r="O437" s="2"/>
      <c r="P437" s="2" t="str">
        <f>IFERROR(IF(ISBLANK(O437),"",INDEX([1]Gen_Vessels!$A$3:$C$500,MATCH(CorrectiveMinor!$O437,[1]Gen_Vessels!$C$3:$C$500,0),1)),"")</f>
        <v/>
      </c>
      <c r="Q437" s="2"/>
      <c r="R437" s="2"/>
      <c r="S437" s="2"/>
      <c r="T437" s="2"/>
      <c r="U437" s="2"/>
      <c r="W437" s="2"/>
      <c r="X437" s="2"/>
      <c r="Y437" s="2"/>
      <c r="Z437" s="2"/>
      <c r="AA437" s="2"/>
      <c r="AB437" s="2"/>
      <c r="AC437" s="2"/>
    </row>
    <row r="438" spans="1:29" x14ac:dyDescent="0.25">
      <c r="A438" s="1" t="str">
        <f t="shared" si="6"/>
        <v/>
      </c>
      <c r="B438" s="2"/>
      <c r="C438" s="2"/>
      <c r="D438" s="13"/>
      <c r="E438" s="14"/>
      <c r="F438" s="15"/>
      <c r="G438" s="8"/>
      <c r="M438" s="2"/>
      <c r="N438" s="2" t="str">
        <f>IFERROR(IF(ISBLANK(M438),"",INDEX([1]Gen_Vessels!$A$3:$C$500,MATCH(CorrectiveMinor!$M438,[1]Gen_Vessels!$C$3:$C$500,0),1)),"")</f>
        <v/>
      </c>
      <c r="O438" s="2"/>
      <c r="P438" s="2" t="str">
        <f>IFERROR(IF(ISBLANK(O438),"",INDEX([1]Gen_Vessels!$A$3:$C$500,MATCH(CorrectiveMinor!$O438,[1]Gen_Vessels!$C$3:$C$500,0),1)),"")</f>
        <v/>
      </c>
      <c r="Q438" s="2"/>
      <c r="R438" s="2"/>
      <c r="S438" s="2"/>
      <c r="T438" s="2"/>
      <c r="U438" s="2"/>
      <c r="W438" s="2"/>
      <c r="X438" s="2"/>
      <c r="Y438" s="2"/>
      <c r="Z438" s="2"/>
      <c r="AA438" s="2"/>
      <c r="AB438" s="2"/>
      <c r="AC438" s="2"/>
    </row>
    <row r="439" spans="1:29" x14ac:dyDescent="0.25">
      <c r="A439" s="1" t="str">
        <f t="shared" si="6"/>
        <v/>
      </c>
      <c r="B439" s="2"/>
      <c r="C439" s="2"/>
      <c r="D439" s="13"/>
      <c r="E439" s="14"/>
      <c r="F439" s="15"/>
      <c r="G439" s="8"/>
      <c r="M439" s="2"/>
      <c r="N439" s="2" t="str">
        <f>IFERROR(IF(ISBLANK(M439),"",INDEX([1]Gen_Vessels!$A$3:$C$500,MATCH(CorrectiveMinor!$M439,[1]Gen_Vessels!$C$3:$C$500,0),1)),"")</f>
        <v/>
      </c>
      <c r="O439" s="2"/>
      <c r="P439" s="2" t="str">
        <f>IFERROR(IF(ISBLANK(O439),"",INDEX([1]Gen_Vessels!$A$3:$C$500,MATCH(CorrectiveMinor!$O439,[1]Gen_Vessels!$C$3:$C$500,0),1)),"")</f>
        <v/>
      </c>
      <c r="Q439" s="2"/>
      <c r="R439" s="2"/>
      <c r="S439" s="2"/>
      <c r="T439" s="2"/>
      <c r="U439" s="2"/>
      <c r="W439" s="2"/>
      <c r="X439" s="2"/>
      <c r="Y439" s="2"/>
      <c r="Z439" s="2"/>
      <c r="AA439" s="2"/>
      <c r="AB439" s="2"/>
      <c r="AC439" s="2"/>
    </row>
    <row r="440" spans="1:29" x14ac:dyDescent="0.25">
      <c r="A440" s="1" t="str">
        <f t="shared" si="6"/>
        <v/>
      </c>
      <c r="B440" s="2"/>
      <c r="C440" s="2"/>
      <c r="D440" s="13"/>
      <c r="E440" s="14"/>
      <c r="F440" s="15"/>
      <c r="G440" s="8"/>
      <c r="M440" s="2"/>
      <c r="N440" s="2" t="str">
        <f>IFERROR(IF(ISBLANK(M440),"",INDEX([1]Gen_Vessels!$A$3:$C$500,MATCH(CorrectiveMinor!$M440,[1]Gen_Vessels!$C$3:$C$500,0),1)),"")</f>
        <v/>
      </c>
      <c r="O440" s="2"/>
      <c r="P440" s="2" t="str">
        <f>IFERROR(IF(ISBLANK(O440),"",INDEX([1]Gen_Vessels!$A$3:$C$500,MATCH(CorrectiveMinor!$O440,[1]Gen_Vessels!$C$3:$C$500,0),1)),"")</f>
        <v/>
      </c>
      <c r="Q440" s="2"/>
      <c r="R440" s="2"/>
      <c r="S440" s="2"/>
      <c r="T440" s="2"/>
      <c r="U440" s="2"/>
      <c r="W440" s="2"/>
      <c r="X440" s="2"/>
      <c r="Y440" s="2"/>
      <c r="Z440" s="2"/>
      <c r="AA440" s="2"/>
      <c r="AB440" s="2"/>
      <c r="AC440" s="2"/>
    </row>
    <row r="441" spans="1:29" x14ac:dyDescent="0.25">
      <c r="A441" s="1" t="str">
        <f t="shared" si="6"/>
        <v/>
      </c>
      <c r="B441" s="2"/>
      <c r="C441" s="2"/>
      <c r="D441" s="13"/>
      <c r="E441" s="14"/>
      <c r="F441" s="15"/>
      <c r="G441" s="8"/>
      <c r="M441" s="2"/>
      <c r="N441" s="2" t="str">
        <f>IFERROR(IF(ISBLANK(M441),"",INDEX([1]Gen_Vessels!$A$3:$C$500,MATCH(CorrectiveMinor!$M441,[1]Gen_Vessels!$C$3:$C$500,0),1)),"")</f>
        <v/>
      </c>
      <c r="O441" s="2"/>
      <c r="P441" s="2" t="str">
        <f>IFERROR(IF(ISBLANK(O441),"",INDEX([1]Gen_Vessels!$A$3:$C$500,MATCH(CorrectiveMinor!$O441,[1]Gen_Vessels!$C$3:$C$500,0),1)),"")</f>
        <v/>
      </c>
      <c r="Q441" s="2"/>
      <c r="R441" s="2"/>
      <c r="S441" s="2"/>
      <c r="T441" s="2"/>
      <c r="U441" s="2"/>
      <c r="W441" s="2"/>
      <c r="X441" s="2"/>
      <c r="Y441" s="2"/>
      <c r="Z441" s="2"/>
      <c r="AA441" s="2"/>
      <c r="AB441" s="2"/>
      <c r="AC441" s="2"/>
    </row>
    <row r="442" spans="1:29" x14ac:dyDescent="0.25">
      <c r="A442" s="1" t="str">
        <f t="shared" si="6"/>
        <v/>
      </c>
      <c r="B442" s="2"/>
      <c r="C442" s="2"/>
      <c r="D442" s="13"/>
      <c r="E442" s="14"/>
      <c r="F442" s="15"/>
      <c r="G442" s="8"/>
      <c r="M442" s="2"/>
      <c r="N442" s="2" t="str">
        <f>IFERROR(IF(ISBLANK(M442),"",INDEX([1]Gen_Vessels!$A$3:$C$500,MATCH(CorrectiveMinor!$M442,[1]Gen_Vessels!$C$3:$C$500,0),1)),"")</f>
        <v/>
      </c>
      <c r="O442" s="2"/>
      <c r="P442" s="2" t="str">
        <f>IFERROR(IF(ISBLANK(O442),"",INDEX([1]Gen_Vessels!$A$3:$C$500,MATCH(CorrectiveMinor!$O442,[1]Gen_Vessels!$C$3:$C$500,0),1)),"")</f>
        <v/>
      </c>
      <c r="Q442" s="2"/>
      <c r="R442" s="2"/>
      <c r="S442" s="2"/>
      <c r="T442" s="2"/>
      <c r="U442" s="2"/>
      <c r="W442" s="2"/>
      <c r="X442" s="2"/>
      <c r="Y442" s="2"/>
      <c r="Z442" s="2"/>
      <c r="AA442" s="2"/>
      <c r="AB442" s="2"/>
      <c r="AC442" s="2"/>
    </row>
    <row r="443" spans="1:29" x14ac:dyDescent="0.25">
      <c r="A443" s="1" t="str">
        <f t="shared" si="6"/>
        <v/>
      </c>
      <c r="B443" s="2"/>
      <c r="C443" s="2"/>
      <c r="D443" s="13"/>
      <c r="E443" s="14"/>
      <c r="F443" s="15"/>
      <c r="G443" s="8"/>
      <c r="M443" s="2"/>
      <c r="N443" s="2" t="str">
        <f>IFERROR(IF(ISBLANK(M443),"",INDEX([1]Gen_Vessels!$A$3:$C$500,MATCH(CorrectiveMinor!$M443,[1]Gen_Vessels!$C$3:$C$500,0),1)),"")</f>
        <v/>
      </c>
      <c r="O443" s="2"/>
      <c r="P443" s="2" t="str">
        <f>IFERROR(IF(ISBLANK(O443),"",INDEX([1]Gen_Vessels!$A$3:$C$500,MATCH(CorrectiveMinor!$O443,[1]Gen_Vessels!$C$3:$C$500,0),1)),"")</f>
        <v/>
      </c>
      <c r="Q443" s="2"/>
      <c r="R443" s="2"/>
      <c r="S443" s="2"/>
      <c r="T443" s="2"/>
      <c r="U443" s="2"/>
      <c r="W443" s="2"/>
      <c r="X443" s="2"/>
      <c r="Y443" s="2"/>
      <c r="Z443" s="2"/>
      <c r="AA443" s="2"/>
      <c r="AB443" s="2"/>
      <c r="AC443" s="2"/>
    </row>
    <row r="444" spans="1:29" x14ac:dyDescent="0.25">
      <c r="A444" s="1" t="str">
        <f t="shared" si="6"/>
        <v/>
      </c>
      <c r="B444" s="2"/>
      <c r="C444" s="2"/>
      <c r="D444" s="13"/>
      <c r="E444" s="14"/>
      <c r="F444" s="15"/>
      <c r="G444" s="8"/>
      <c r="M444" s="2"/>
      <c r="N444" s="2" t="str">
        <f>IFERROR(IF(ISBLANK(M444),"",INDEX([1]Gen_Vessels!$A$3:$C$500,MATCH(CorrectiveMinor!$M444,[1]Gen_Vessels!$C$3:$C$500,0),1)),"")</f>
        <v/>
      </c>
      <c r="O444" s="2"/>
      <c r="P444" s="2" t="str">
        <f>IFERROR(IF(ISBLANK(O444),"",INDEX([1]Gen_Vessels!$A$3:$C$500,MATCH(CorrectiveMinor!$O444,[1]Gen_Vessels!$C$3:$C$500,0),1)),"")</f>
        <v/>
      </c>
      <c r="Q444" s="2"/>
      <c r="R444" s="2"/>
      <c r="S444" s="2"/>
      <c r="T444" s="2"/>
      <c r="U444" s="2"/>
      <c r="W444" s="2"/>
      <c r="X444" s="2"/>
      <c r="Y444" s="2"/>
      <c r="Z444" s="2"/>
      <c r="AA444" s="2"/>
      <c r="AB444" s="2"/>
      <c r="AC444" s="2"/>
    </row>
    <row r="445" spans="1:29" x14ac:dyDescent="0.25">
      <c r="A445" s="1" t="str">
        <f t="shared" si="6"/>
        <v/>
      </c>
      <c r="B445" s="2"/>
      <c r="C445" s="2"/>
      <c r="D445" s="13"/>
      <c r="E445" s="14"/>
      <c r="F445" s="15"/>
      <c r="G445" s="8"/>
      <c r="M445" s="2"/>
      <c r="N445" s="2" t="str">
        <f>IFERROR(IF(ISBLANK(M445),"",INDEX([1]Gen_Vessels!$A$3:$C$500,MATCH(CorrectiveMinor!$M445,[1]Gen_Vessels!$C$3:$C$500,0),1)),"")</f>
        <v/>
      </c>
      <c r="O445" s="2"/>
      <c r="P445" s="2" t="str">
        <f>IFERROR(IF(ISBLANK(O445),"",INDEX([1]Gen_Vessels!$A$3:$C$500,MATCH(CorrectiveMinor!$O445,[1]Gen_Vessels!$C$3:$C$500,0),1)),"")</f>
        <v/>
      </c>
      <c r="Q445" s="2"/>
      <c r="R445" s="2"/>
      <c r="S445" s="2"/>
      <c r="T445" s="2"/>
      <c r="U445" s="2"/>
      <c r="W445" s="2"/>
      <c r="X445" s="2"/>
      <c r="Y445" s="2"/>
      <c r="Z445" s="2"/>
      <c r="AA445" s="2"/>
      <c r="AB445" s="2"/>
      <c r="AC445" s="2"/>
    </row>
    <row r="446" spans="1:29" x14ac:dyDescent="0.25">
      <c r="A446" s="1" t="str">
        <f t="shared" si="6"/>
        <v/>
      </c>
      <c r="B446" s="2"/>
      <c r="C446" s="2"/>
      <c r="D446" s="13"/>
      <c r="E446" s="14"/>
      <c r="F446" s="15"/>
      <c r="G446" s="8"/>
      <c r="M446" s="2"/>
      <c r="N446" s="2" t="str">
        <f>IFERROR(IF(ISBLANK(M446),"",INDEX([1]Gen_Vessels!$A$3:$C$500,MATCH(CorrectiveMinor!$M446,[1]Gen_Vessels!$C$3:$C$500,0),1)),"")</f>
        <v/>
      </c>
      <c r="O446" s="2"/>
      <c r="P446" s="2" t="str">
        <f>IFERROR(IF(ISBLANK(O446),"",INDEX([1]Gen_Vessels!$A$3:$C$500,MATCH(CorrectiveMinor!$O446,[1]Gen_Vessels!$C$3:$C$500,0),1)),"")</f>
        <v/>
      </c>
      <c r="Q446" s="2"/>
      <c r="R446" s="2"/>
      <c r="S446" s="2"/>
      <c r="T446" s="2"/>
      <c r="U446" s="2"/>
      <c r="W446" s="2"/>
      <c r="X446" s="2"/>
      <c r="Y446" s="2"/>
      <c r="Z446" s="2"/>
      <c r="AA446" s="2"/>
      <c r="AB446" s="2"/>
      <c r="AC446" s="2"/>
    </row>
    <row r="447" spans="1:29" x14ac:dyDescent="0.25">
      <c r="A447" s="1" t="str">
        <f t="shared" si="6"/>
        <v/>
      </c>
      <c r="B447" s="2"/>
      <c r="C447" s="2"/>
      <c r="D447" s="13"/>
      <c r="E447" s="14"/>
      <c r="F447" s="15"/>
      <c r="G447" s="8"/>
      <c r="M447" s="2"/>
      <c r="N447" s="2" t="str">
        <f>IFERROR(IF(ISBLANK(M447),"",INDEX([1]Gen_Vessels!$A$3:$C$500,MATCH(CorrectiveMinor!$M447,[1]Gen_Vessels!$C$3:$C$500,0),1)),"")</f>
        <v/>
      </c>
      <c r="O447" s="2"/>
      <c r="P447" s="2" t="str">
        <f>IFERROR(IF(ISBLANK(O447),"",INDEX([1]Gen_Vessels!$A$3:$C$500,MATCH(CorrectiveMinor!$O447,[1]Gen_Vessels!$C$3:$C$500,0),1)),"")</f>
        <v/>
      </c>
      <c r="Q447" s="2"/>
      <c r="R447" s="2"/>
      <c r="S447" s="2"/>
      <c r="T447" s="2"/>
      <c r="U447" s="2"/>
      <c r="W447" s="2"/>
      <c r="X447" s="2"/>
      <c r="Y447" s="2"/>
      <c r="Z447" s="2"/>
      <c r="AA447" s="2"/>
      <c r="AB447" s="2"/>
      <c r="AC447" s="2"/>
    </row>
    <row r="448" spans="1:29" x14ac:dyDescent="0.25">
      <c r="A448" s="1" t="str">
        <f t="shared" si="6"/>
        <v/>
      </c>
      <c r="B448" s="2"/>
      <c r="C448" s="2"/>
      <c r="D448" s="13"/>
      <c r="E448" s="14"/>
      <c r="F448" s="15"/>
      <c r="G448" s="8"/>
      <c r="M448" s="2"/>
      <c r="N448" s="2" t="str">
        <f>IFERROR(IF(ISBLANK(M448),"",INDEX([1]Gen_Vessels!$A$3:$C$500,MATCH(CorrectiveMinor!$M448,[1]Gen_Vessels!$C$3:$C$500,0),1)),"")</f>
        <v/>
      </c>
      <c r="O448" s="2"/>
      <c r="P448" s="2" t="str">
        <f>IFERROR(IF(ISBLANK(O448),"",INDEX([1]Gen_Vessels!$A$3:$C$500,MATCH(CorrectiveMinor!$O448,[1]Gen_Vessels!$C$3:$C$500,0),1)),"")</f>
        <v/>
      </c>
      <c r="Q448" s="2"/>
      <c r="R448" s="2"/>
      <c r="S448" s="2"/>
      <c r="T448" s="2"/>
      <c r="U448" s="2"/>
      <c r="W448" s="2"/>
      <c r="X448" s="2"/>
      <c r="Y448" s="2"/>
      <c r="Z448" s="2"/>
      <c r="AA448" s="2"/>
      <c r="AB448" s="2"/>
      <c r="AC448" s="2"/>
    </row>
    <row r="449" spans="1:29" x14ac:dyDescent="0.25">
      <c r="A449" s="1" t="str">
        <f t="shared" si="6"/>
        <v/>
      </c>
      <c r="B449" s="2"/>
      <c r="C449" s="2"/>
      <c r="D449" s="13"/>
      <c r="E449" s="14"/>
      <c r="F449" s="15"/>
      <c r="G449" s="8"/>
      <c r="M449" s="2"/>
      <c r="N449" s="2" t="str">
        <f>IFERROR(IF(ISBLANK(M449),"",INDEX([1]Gen_Vessels!$A$3:$C$500,MATCH(CorrectiveMinor!$M449,[1]Gen_Vessels!$C$3:$C$500,0),1)),"")</f>
        <v/>
      </c>
      <c r="O449" s="2"/>
      <c r="P449" s="2" t="str">
        <f>IFERROR(IF(ISBLANK(O449),"",INDEX([1]Gen_Vessels!$A$3:$C$500,MATCH(CorrectiveMinor!$O449,[1]Gen_Vessels!$C$3:$C$500,0),1)),"")</f>
        <v/>
      </c>
      <c r="Q449" s="2"/>
      <c r="R449" s="2"/>
      <c r="S449" s="2"/>
      <c r="T449" s="2"/>
      <c r="U449" s="2"/>
      <c r="W449" s="2"/>
      <c r="X449" s="2"/>
      <c r="Y449" s="2"/>
      <c r="Z449" s="2"/>
      <c r="AA449" s="2"/>
      <c r="AB449" s="2"/>
      <c r="AC449" s="2"/>
    </row>
    <row r="450" spans="1:29" x14ac:dyDescent="0.25">
      <c r="A450" s="1" t="str">
        <f t="shared" si="6"/>
        <v/>
      </c>
      <c r="B450" s="2"/>
      <c r="C450" s="2"/>
      <c r="D450" s="13"/>
      <c r="E450" s="14"/>
      <c r="F450" s="15"/>
      <c r="G450" s="8"/>
      <c r="M450" s="2"/>
      <c r="N450" s="2" t="str">
        <f>IFERROR(IF(ISBLANK(M450),"",INDEX([1]Gen_Vessels!$A$3:$C$500,MATCH(CorrectiveMinor!$M450,[1]Gen_Vessels!$C$3:$C$500,0),1)),"")</f>
        <v/>
      </c>
      <c r="O450" s="2"/>
      <c r="P450" s="2" t="str">
        <f>IFERROR(IF(ISBLANK(O450),"",INDEX([1]Gen_Vessels!$A$3:$C$500,MATCH(CorrectiveMinor!$O450,[1]Gen_Vessels!$C$3:$C$500,0),1)),"")</f>
        <v/>
      </c>
      <c r="Q450" s="2"/>
      <c r="R450" s="2"/>
      <c r="S450" s="2"/>
      <c r="T450" s="2"/>
      <c r="U450" s="2"/>
      <c r="W450" s="2"/>
      <c r="X450" s="2"/>
      <c r="Y450" s="2"/>
      <c r="Z450" s="2"/>
      <c r="AA450" s="2"/>
      <c r="AB450" s="2"/>
      <c r="AC450" s="2"/>
    </row>
    <row r="451" spans="1:29" x14ac:dyDescent="0.25">
      <c r="A451" s="1" t="str">
        <f t="shared" ref="A451:A492" si="7">IF(ISBLANK($B451)=FALSE,IF(AND($D451&gt;0,$E451&lt;=0,$F451&lt;=0),_xlfn.CONCAT("ofw_",$B451),IF(AND($D451&lt;=0,$E451&gt;0,$F451&lt;=0),_xlfn.CONCAT("owc_",$B451),IF(AND($D451&lt;=0,$E451&lt;=0,$F451&gt;0),_xlfn.CONCAT("opv_",$B451),_xlfn.CONCAT("oce_",$B451)))),"")</f>
        <v/>
      </c>
      <c r="B451" s="2"/>
      <c r="C451" s="2"/>
      <c r="D451" s="13"/>
      <c r="E451" s="14"/>
      <c r="F451" s="15"/>
      <c r="G451" s="8"/>
      <c r="M451" s="2"/>
      <c r="N451" s="2" t="str">
        <f>IFERROR(IF(ISBLANK(M451),"",INDEX([1]Gen_Vessels!$A$3:$C$500,MATCH(CorrectiveMinor!$M451,[1]Gen_Vessels!$C$3:$C$500,0),1)),"")</f>
        <v/>
      </c>
      <c r="O451" s="2"/>
      <c r="P451" s="2" t="str">
        <f>IFERROR(IF(ISBLANK(O451),"",INDEX([1]Gen_Vessels!$A$3:$C$500,MATCH(CorrectiveMinor!$O451,[1]Gen_Vessels!$C$3:$C$500,0),1)),"")</f>
        <v/>
      </c>
      <c r="Q451" s="2"/>
      <c r="R451" s="2"/>
      <c r="S451" s="2"/>
      <c r="T451" s="2"/>
      <c r="U451" s="2"/>
      <c r="W451" s="2"/>
      <c r="X451" s="2"/>
      <c r="Y451" s="2"/>
      <c r="Z451" s="2"/>
      <c r="AA451" s="2"/>
      <c r="AB451" s="2"/>
      <c r="AC451" s="2"/>
    </row>
    <row r="452" spans="1:29" x14ac:dyDescent="0.25">
      <c r="A452" s="1" t="str">
        <f t="shared" si="7"/>
        <v/>
      </c>
      <c r="B452" s="2"/>
      <c r="C452" s="2"/>
      <c r="D452" s="13"/>
      <c r="E452" s="14"/>
      <c r="F452" s="15"/>
      <c r="G452" s="8"/>
      <c r="M452" s="2"/>
      <c r="N452" s="2" t="str">
        <f>IFERROR(IF(ISBLANK(M452),"",INDEX([1]Gen_Vessels!$A$3:$C$500,MATCH(CorrectiveMinor!$M452,[1]Gen_Vessels!$C$3:$C$500,0),1)),"")</f>
        <v/>
      </c>
      <c r="O452" s="2"/>
      <c r="P452" s="2" t="str">
        <f>IFERROR(IF(ISBLANK(O452),"",INDEX([1]Gen_Vessels!$A$3:$C$500,MATCH(CorrectiveMinor!$O452,[1]Gen_Vessels!$C$3:$C$500,0),1)),"")</f>
        <v/>
      </c>
      <c r="Q452" s="2"/>
      <c r="R452" s="2"/>
      <c r="S452" s="2"/>
      <c r="T452" s="2"/>
      <c r="U452" s="2"/>
      <c r="W452" s="2"/>
      <c r="X452" s="2"/>
      <c r="Y452" s="2"/>
      <c r="Z452" s="2"/>
      <c r="AA452" s="2"/>
      <c r="AB452" s="2"/>
      <c r="AC452" s="2"/>
    </row>
    <row r="453" spans="1:29" x14ac:dyDescent="0.25">
      <c r="A453" s="1" t="str">
        <f t="shared" si="7"/>
        <v/>
      </c>
      <c r="B453" s="2"/>
      <c r="C453" s="2"/>
      <c r="D453" s="13"/>
      <c r="E453" s="14"/>
      <c r="F453" s="15"/>
      <c r="G453" s="8"/>
      <c r="M453" s="2"/>
      <c r="N453" s="2" t="str">
        <f>IFERROR(IF(ISBLANK(M453),"",INDEX([1]Gen_Vessels!$A$3:$C$500,MATCH(CorrectiveMinor!$M453,[1]Gen_Vessels!$C$3:$C$500,0),1)),"")</f>
        <v/>
      </c>
      <c r="O453" s="2"/>
      <c r="P453" s="2" t="str">
        <f>IFERROR(IF(ISBLANK(O453),"",INDEX([1]Gen_Vessels!$A$3:$C$500,MATCH(CorrectiveMinor!$O453,[1]Gen_Vessels!$C$3:$C$500,0),1)),"")</f>
        <v/>
      </c>
      <c r="Q453" s="2"/>
      <c r="R453" s="2"/>
      <c r="S453" s="2"/>
      <c r="T453" s="2"/>
      <c r="U453" s="2"/>
      <c r="W453" s="2"/>
      <c r="X453" s="2"/>
      <c r="Y453" s="2"/>
      <c r="Z453" s="2"/>
      <c r="AA453" s="2"/>
      <c r="AB453" s="2"/>
      <c r="AC453" s="2"/>
    </row>
    <row r="454" spans="1:29" x14ac:dyDescent="0.25">
      <c r="A454" s="1" t="str">
        <f t="shared" si="7"/>
        <v/>
      </c>
      <c r="B454" s="2"/>
      <c r="C454" s="2"/>
      <c r="D454" s="13"/>
      <c r="E454" s="14"/>
      <c r="F454" s="15"/>
      <c r="G454" s="8"/>
      <c r="M454" s="2"/>
      <c r="N454" s="2" t="str">
        <f>IFERROR(IF(ISBLANK(M454),"",INDEX([1]Gen_Vessels!$A$3:$C$500,MATCH(CorrectiveMinor!$M454,[1]Gen_Vessels!$C$3:$C$500,0),1)),"")</f>
        <v/>
      </c>
      <c r="O454" s="2"/>
      <c r="P454" s="2" t="str">
        <f>IFERROR(IF(ISBLANK(O454),"",INDEX([1]Gen_Vessels!$A$3:$C$500,MATCH(CorrectiveMinor!$O454,[1]Gen_Vessels!$C$3:$C$500,0),1)),"")</f>
        <v/>
      </c>
      <c r="Q454" s="2"/>
      <c r="R454" s="2"/>
      <c r="S454" s="2"/>
      <c r="T454" s="2"/>
      <c r="U454" s="2"/>
      <c r="W454" s="2"/>
      <c r="X454" s="2"/>
      <c r="Y454" s="2"/>
      <c r="Z454" s="2"/>
      <c r="AA454" s="2"/>
      <c r="AB454" s="2"/>
      <c r="AC454" s="2"/>
    </row>
    <row r="455" spans="1:29" x14ac:dyDescent="0.25">
      <c r="A455" s="1" t="str">
        <f t="shared" si="7"/>
        <v/>
      </c>
      <c r="B455" s="2"/>
      <c r="C455" s="2"/>
      <c r="D455" s="13"/>
      <c r="E455" s="14"/>
      <c r="F455" s="15"/>
      <c r="G455" s="8"/>
      <c r="M455" s="2"/>
      <c r="N455" s="2" t="str">
        <f>IFERROR(IF(ISBLANK(M455),"",INDEX([1]Gen_Vessels!$A$3:$C$500,MATCH(CorrectiveMinor!$M455,[1]Gen_Vessels!$C$3:$C$500,0),1)),"")</f>
        <v/>
      </c>
      <c r="O455" s="2"/>
      <c r="P455" s="2" t="str">
        <f>IFERROR(IF(ISBLANK(O455),"",INDEX([1]Gen_Vessels!$A$3:$C$500,MATCH(CorrectiveMinor!$O455,[1]Gen_Vessels!$C$3:$C$500,0),1)),"")</f>
        <v/>
      </c>
      <c r="Q455" s="2"/>
      <c r="R455" s="2"/>
      <c r="S455" s="2"/>
      <c r="T455" s="2"/>
      <c r="U455" s="2"/>
      <c r="W455" s="2"/>
      <c r="X455" s="2"/>
      <c r="Y455" s="2"/>
      <c r="Z455" s="2"/>
      <c r="AA455" s="2"/>
      <c r="AB455" s="2"/>
      <c r="AC455" s="2"/>
    </row>
    <row r="456" spans="1:29" x14ac:dyDescent="0.25">
      <c r="A456" s="1" t="str">
        <f t="shared" si="7"/>
        <v/>
      </c>
      <c r="B456" s="2"/>
      <c r="C456" s="2"/>
      <c r="D456" s="13"/>
      <c r="E456" s="14"/>
      <c r="F456" s="15"/>
      <c r="G456" s="8"/>
      <c r="M456" s="2"/>
      <c r="N456" s="2" t="str">
        <f>IFERROR(IF(ISBLANK(M456),"",INDEX([1]Gen_Vessels!$A$3:$C$500,MATCH(CorrectiveMinor!$M456,[1]Gen_Vessels!$C$3:$C$500,0),1)),"")</f>
        <v/>
      </c>
      <c r="O456" s="2"/>
      <c r="P456" s="2" t="str">
        <f>IFERROR(IF(ISBLANK(O456),"",INDEX([1]Gen_Vessels!$A$3:$C$500,MATCH(CorrectiveMinor!$O456,[1]Gen_Vessels!$C$3:$C$500,0),1)),"")</f>
        <v/>
      </c>
      <c r="Q456" s="2"/>
      <c r="R456" s="2"/>
      <c r="S456" s="2"/>
      <c r="T456" s="2"/>
      <c r="U456" s="2"/>
      <c r="W456" s="2"/>
      <c r="X456" s="2"/>
      <c r="Y456" s="2"/>
      <c r="Z456" s="2"/>
      <c r="AA456" s="2"/>
      <c r="AB456" s="2"/>
      <c r="AC456" s="2"/>
    </row>
    <row r="457" spans="1:29" x14ac:dyDescent="0.25">
      <c r="A457" s="1" t="str">
        <f t="shared" si="7"/>
        <v/>
      </c>
      <c r="B457" s="2"/>
      <c r="C457" s="2"/>
      <c r="D457" s="13"/>
      <c r="E457" s="14"/>
      <c r="F457" s="15"/>
      <c r="G457" s="8"/>
      <c r="M457" s="2"/>
      <c r="N457" s="2" t="str">
        <f>IFERROR(IF(ISBLANK(M457),"",INDEX([1]Gen_Vessels!$A$3:$C$500,MATCH(CorrectiveMinor!$M457,[1]Gen_Vessels!$C$3:$C$500,0),1)),"")</f>
        <v/>
      </c>
      <c r="O457" s="2"/>
      <c r="P457" s="2" t="str">
        <f>IFERROR(IF(ISBLANK(O457),"",INDEX([1]Gen_Vessels!$A$3:$C$500,MATCH(CorrectiveMinor!$O457,[1]Gen_Vessels!$C$3:$C$500,0),1)),"")</f>
        <v/>
      </c>
      <c r="Q457" s="2"/>
      <c r="R457" s="2"/>
      <c r="S457" s="2"/>
      <c r="T457" s="2"/>
      <c r="U457" s="2"/>
      <c r="W457" s="2"/>
      <c r="X457" s="2"/>
      <c r="Y457" s="2"/>
      <c r="Z457" s="2"/>
      <c r="AA457" s="2"/>
      <c r="AB457" s="2"/>
      <c r="AC457" s="2"/>
    </row>
    <row r="458" spans="1:29" x14ac:dyDescent="0.25">
      <c r="A458" s="1" t="str">
        <f t="shared" si="7"/>
        <v/>
      </c>
      <c r="B458" s="2"/>
      <c r="C458" s="2"/>
      <c r="D458" s="13"/>
      <c r="E458" s="14"/>
      <c r="F458" s="15"/>
      <c r="G458" s="8"/>
      <c r="M458" s="2"/>
      <c r="N458" s="2" t="str">
        <f>IFERROR(IF(ISBLANK(M458),"",INDEX([1]Gen_Vessels!$A$3:$C$500,MATCH(CorrectiveMinor!$M458,[1]Gen_Vessels!$C$3:$C$500,0),1)),"")</f>
        <v/>
      </c>
      <c r="O458" s="2"/>
      <c r="P458" s="2" t="str">
        <f>IFERROR(IF(ISBLANK(O458),"",INDEX([1]Gen_Vessels!$A$3:$C$500,MATCH(CorrectiveMinor!$O458,[1]Gen_Vessels!$C$3:$C$500,0),1)),"")</f>
        <v/>
      </c>
      <c r="Q458" s="2"/>
      <c r="R458" s="2"/>
      <c r="S458" s="2"/>
      <c r="T458" s="2"/>
      <c r="U458" s="2"/>
      <c r="W458" s="2"/>
      <c r="X458" s="2"/>
      <c r="Y458" s="2"/>
      <c r="Z458" s="2"/>
      <c r="AA458" s="2"/>
      <c r="AB458" s="2"/>
      <c r="AC458" s="2"/>
    </row>
    <row r="459" spans="1:29" x14ac:dyDescent="0.25">
      <c r="A459" s="1" t="str">
        <f t="shared" si="7"/>
        <v/>
      </c>
      <c r="B459" s="2"/>
      <c r="C459" s="2"/>
      <c r="D459" s="13"/>
      <c r="E459" s="14"/>
      <c r="F459" s="15"/>
      <c r="G459" s="8"/>
      <c r="M459" s="2"/>
      <c r="N459" s="2" t="str">
        <f>IFERROR(IF(ISBLANK(M459),"",INDEX([1]Gen_Vessels!$A$3:$C$500,MATCH(CorrectiveMinor!$M459,[1]Gen_Vessels!$C$3:$C$500,0),1)),"")</f>
        <v/>
      </c>
      <c r="O459" s="2"/>
      <c r="P459" s="2" t="str">
        <f>IFERROR(IF(ISBLANK(O459),"",INDEX([1]Gen_Vessels!$A$3:$C$500,MATCH(CorrectiveMinor!$O459,[1]Gen_Vessels!$C$3:$C$500,0),1)),"")</f>
        <v/>
      </c>
      <c r="Q459" s="2"/>
      <c r="R459" s="2"/>
      <c r="S459" s="2"/>
      <c r="T459" s="2"/>
      <c r="U459" s="2"/>
      <c r="W459" s="2"/>
      <c r="X459" s="2"/>
      <c r="Y459" s="2"/>
      <c r="Z459" s="2"/>
      <c r="AA459" s="2"/>
      <c r="AB459" s="2"/>
      <c r="AC459" s="2"/>
    </row>
    <row r="460" spans="1:29" x14ac:dyDescent="0.25">
      <c r="A460" s="1" t="str">
        <f t="shared" si="7"/>
        <v/>
      </c>
      <c r="B460" s="2"/>
      <c r="C460" s="2"/>
      <c r="D460" s="13"/>
      <c r="E460" s="14"/>
      <c r="F460" s="15"/>
      <c r="G460" s="8"/>
      <c r="M460" s="2"/>
      <c r="N460" s="2" t="str">
        <f>IFERROR(IF(ISBLANK(M460),"",INDEX([1]Gen_Vessels!$A$3:$C$500,MATCH(CorrectiveMinor!$M460,[1]Gen_Vessels!$C$3:$C$500,0),1)),"")</f>
        <v/>
      </c>
      <c r="O460" s="2"/>
      <c r="P460" s="2" t="str">
        <f>IFERROR(IF(ISBLANK(O460),"",INDEX([1]Gen_Vessels!$A$3:$C$500,MATCH(CorrectiveMinor!$O460,[1]Gen_Vessels!$C$3:$C$500,0),1)),"")</f>
        <v/>
      </c>
      <c r="Q460" s="2"/>
      <c r="R460" s="2"/>
      <c r="S460" s="2"/>
      <c r="T460" s="2"/>
      <c r="U460" s="2"/>
      <c r="W460" s="2"/>
      <c r="X460" s="2"/>
      <c r="Y460" s="2"/>
      <c r="Z460" s="2"/>
      <c r="AA460" s="2"/>
      <c r="AB460" s="2"/>
      <c r="AC460" s="2"/>
    </row>
    <row r="461" spans="1:29" x14ac:dyDescent="0.25">
      <c r="A461" s="1" t="str">
        <f t="shared" si="7"/>
        <v/>
      </c>
      <c r="B461" s="2"/>
      <c r="C461" s="2"/>
      <c r="D461" s="13"/>
      <c r="E461" s="14"/>
      <c r="F461" s="15"/>
      <c r="G461" s="8"/>
      <c r="M461" s="2"/>
      <c r="N461" s="2" t="str">
        <f>IFERROR(IF(ISBLANK(M461),"",INDEX([1]Gen_Vessels!$A$3:$C$500,MATCH(CorrectiveMinor!$M461,[1]Gen_Vessels!$C$3:$C$500,0),1)),"")</f>
        <v/>
      </c>
      <c r="O461" s="2"/>
      <c r="P461" s="2" t="str">
        <f>IFERROR(IF(ISBLANK(O461),"",INDEX([1]Gen_Vessels!$A$3:$C$500,MATCH(CorrectiveMinor!$O461,[1]Gen_Vessels!$C$3:$C$500,0),1)),"")</f>
        <v/>
      </c>
      <c r="Q461" s="2"/>
      <c r="R461" s="2"/>
      <c r="S461" s="2"/>
      <c r="T461" s="2"/>
      <c r="U461" s="2"/>
      <c r="W461" s="2"/>
      <c r="X461" s="2"/>
      <c r="Y461" s="2"/>
      <c r="Z461" s="2"/>
      <c r="AA461" s="2"/>
      <c r="AB461" s="2"/>
      <c r="AC461" s="2"/>
    </row>
    <row r="462" spans="1:29" x14ac:dyDescent="0.25">
      <c r="A462" s="1" t="str">
        <f t="shared" si="7"/>
        <v/>
      </c>
      <c r="B462" s="2"/>
      <c r="C462" s="2"/>
      <c r="D462" s="13"/>
      <c r="E462" s="14"/>
      <c r="F462" s="15"/>
      <c r="G462" s="8"/>
      <c r="M462" s="2"/>
      <c r="N462" s="2" t="str">
        <f>IFERROR(IF(ISBLANK(M462),"",INDEX([1]Gen_Vessels!$A$3:$C$500,MATCH(CorrectiveMinor!$M462,[1]Gen_Vessels!$C$3:$C$500,0),1)),"")</f>
        <v/>
      </c>
      <c r="O462" s="2"/>
      <c r="P462" s="2" t="str">
        <f>IFERROR(IF(ISBLANK(O462),"",INDEX([1]Gen_Vessels!$A$3:$C$500,MATCH(CorrectiveMinor!$O462,[1]Gen_Vessels!$C$3:$C$500,0),1)),"")</f>
        <v/>
      </c>
      <c r="Q462" s="2"/>
      <c r="R462" s="2"/>
      <c r="S462" s="2"/>
      <c r="T462" s="2"/>
      <c r="U462" s="2"/>
      <c r="W462" s="2"/>
      <c r="X462" s="2"/>
      <c r="Y462" s="2"/>
      <c r="Z462" s="2"/>
      <c r="AA462" s="2"/>
      <c r="AB462" s="2"/>
      <c r="AC462" s="2"/>
    </row>
    <row r="463" spans="1:29" x14ac:dyDescent="0.25">
      <c r="A463" s="1" t="str">
        <f t="shared" si="7"/>
        <v/>
      </c>
      <c r="B463" s="2"/>
      <c r="C463" s="2"/>
      <c r="D463" s="13"/>
      <c r="E463" s="14"/>
      <c r="F463" s="15"/>
      <c r="G463" s="8"/>
      <c r="M463" s="2"/>
      <c r="N463" s="2" t="str">
        <f>IFERROR(IF(ISBLANK(M463),"",INDEX([1]Gen_Vessels!$A$3:$C$500,MATCH(CorrectiveMinor!$M463,[1]Gen_Vessels!$C$3:$C$500,0),1)),"")</f>
        <v/>
      </c>
      <c r="O463" s="2"/>
      <c r="P463" s="2" t="str">
        <f>IFERROR(IF(ISBLANK(O463),"",INDEX([1]Gen_Vessels!$A$3:$C$500,MATCH(CorrectiveMinor!$O463,[1]Gen_Vessels!$C$3:$C$500,0),1)),"")</f>
        <v/>
      </c>
      <c r="Q463" s="2"/>
      <c r="R463" s="2"/>
      <c r="S463" s="2"/>
      <c r="T463" s="2"/>
      <c r="U463" s="2"/>
      <c r="W463" s="2"/>
      <c r="X463" s="2"/>
      <c r="Y463" s="2"/>
      <c r="Z463" s="2"/>
      <c r="AA463" s="2"/>
      <c r="AB463" s="2"/>
      <c r="AC463" s="2"/>
    </row>
    <row r="464" spans="1:29" x14ac:dyDescent="0.25">
      <c r="A464" s="1" t="str">
        <f t="shared" si="7"/>
        <v/>
      </c>
      <c r="B464" s="2"/>
      <c r="C464" s="2"/>
      <c r="D464" s="13"/>
      <c r="E464" s="14"/>
      <c r="F464" s="15"/>
      <c r="G464" s="8"/>
      <c r="M464" s="2"/>
      <c r="N464" s="2" t="str">
        <f>IFERROR(IF(ISBLANK(M464),"",INDEX([1]Gen_Vessels!$A$3:$C$500,MATCH(CorrectiveMinor!$M464,[1]Gen_Vessels!$C$3:$C$500,0),1)),"")</f>
        <v/>
      </c>
      <c r="O464" s="2"/>
      <c r="P464" s="2" t="str">
        <f>IFERROR(IF(ISBLANK(O464),"",INDEX([1]Gen_Vessels!$A$3:$C$500,MATCH(CorrectiveMinor!$O464,[1]Gen_Vessels!$C$3:$C$500,0),1)),"")</f>
        <v/>
      </c>
      <c r="Q464" s="2"/>
      <c r="R464" s="2"/>
      <c r="S464" s="2"/>
      <c r="T464" s="2"/>
      <c r="U464" s="2"/>
      <c r="W464" s="2"/>
      <c r="X464" s="2"/>
      <c r="Y464" s="2"/>
      <c r="Z464" s="2"/>
      <c r="AA464" s="2"/>
      <c r="AB464" s="2"/>
      <c r="AC464" s="2"/>
    </row>
    <row r="465" spans="1:29" x14ac:dyDescent="0.25">
      <c r="A465" s="1" t="str">
        <f t="shared" si="7"/>
        <v/>
      </c>
      <c r="B465" s="2"/>
      <c r="C465" s="2"/>
      <c r="D465" s="13"/>
      <c r="E465" s="14"/>
      <c r="F465" s="15"/>
      <c r="G465" s="8"/>
      <c r="M465" s="2"/>
      <c r="N465" s="2" t="str">
        <f>IFERROR(IF(ISBLANK(M465),"",INDEX([1]Gen_Vessels!$A$3:$C$500,MATCH(CorrectiveMinor!$M465,[1]Gen_Vessels!$C$3:$C$500,0),1)),"")</f>
        <v/>
      </c>
      <c r="O465" s="2"/>
      <c r="P465" s="2" t="str">
        <f>IFERROR(IF(ISBLANK(O465),"",INDEX([1]Gen_Vessels!$A$3:$C$500,MATCH(CorrectiveMinor!$O465,[1]Gen_Vessels!$C$3:$C$500,0),1)),"")</f>
        <v/>
      </c>
      <c r="Q465" s="2"/>
      <c r="R465" s="2"/>
      <c r="S465" s="2"/>
      <c r="T465" s="2"/>
      <c r="U465" s="2"/>
      <c r="W465" s="2"/>
      <c r="X465" s="2"/>
      <c r="Y465" s="2"/>
      <c r="Z465" s="2"/>
      <c r="AA465" s="2"/>
      <c r="AB465" s="2"/>
      <c r="AC465" s="2"/>
    </row>
    <row r="466" spans="1:29" x14ac:dyDescent="0.25">
      <c r="A466" s="1" t="str">
        <f t="shared" si="7"/>
        <v/>
      </c>
      <c r="B466" s="2"/>
      <c r="C466" s="2"/>
      <c r="D466" s="13"/>
      <c r="E466" s="14"/>
      <c r="F466" s="15"/>
      <c r="G466" s="8"/>
      <c r="M466" s="2"/>
      <c r="N466" s="2" t="str">
        <f>IFERROR(IF(ISBLANK(M466),"",INDEX([1]Gen_Vessels!$A$3:$C$500,MATCH(CorrectiveMinor!$M466,[1]Gen_Vessels!$C$3:$C$500,0),1)),"")</f>
        <v/>
      </c>
      <c r="O466" s="2"/>
      <c r="P466" s="2" t="str">
        <f>IFERROR(IF(ISBLANK(O466),"",INDEX([1]Gen_Vessels!$A$3:$C$500,MATCH(CorrectiveMinor!$O466,[1]Gen_Vessels!$C$3:$C$500,0),1)),"")</f>
        <v/>
      </c>
      <c r="Q466" s="2"/>
      <c r="R466" s="2"/>
      <c r="S466" s="2"/>
      <c r="T466" s="2"/>
      <c r="U466" s="2"/>
      <c r="W466" s="2"/>
      <c r="X466" s="2"/>
      <c r="Y466" s="2"/>
      <c r="Z466" s="2"/>
      <c r="AA466" s="2"/>
      <c r="AB466" s="2"/>
      <c r="AC466" s="2"/>
    </row>
    <row r="467" spans="1:29" x14ac:dyDescent="0.25">
      <c r="A467" s="1" t="str">
        <f t="shared" si="7"/>
        <v/>
      </c>
      <c r="B467" s="2"/>
      <c r="C467" s="2"/>
      <c r="D467" s="13"/>
      <c r="E467" s="14"/>
      <c r="F467" s="15"/>
      <c r="G467" s="8"/>
      <c r="M467" s="2"/>
      <c r="N467" s="2" t="str">
        <f>IFERROR(IF(ISBLANK(M467),"",INDEX([1]Gen_Vessels!$A$3:$C$500,MATCH(CorrectiveMinor!$M467,[1]Gen_Vessels!$C$3:$C$500,0),1)),"")</f>
        <v/>
      </c>
      <c r="O467" s="2"/>
      <c r="P467" s="2" t="str">
        <f>IFERROR(IF(ISBLANK(O467),"",INDEX([1]Gen_Vessels!$A$3:$C$500,MATCH(CorrectiveMinor!$O467,[1]Gen_Vessels!$C$3:$C$500,0),1)),"")</f>
        <v/>
      </c>
      <c r="Q467" s="2"/>
      <c r="R467" s="2"/>
      <c r="S467" s="2"/>
      <c r="T467" s="2"/>
      <c r="U467" s="2"/>
      <c r="W467" s="2"/>
      <c r="X467" s="2"/>
      <c r="Y467" s="2"/>
      <c r="Z467" s="2"/>
      <c r="AA467" s="2"/>
      <c r="AB467" s="2"/>
      <c r="AC467" s="2"/>
    </row>
    <row r="468" spans="1:29" x14ac:dyDescent="0.25">
      <c r="A468" s="1" t="str">
        <f t="shared" si="7"/>
        <v/>
      </c>
      <c r="B468" s="2"/>
      <c r="C468" s="2"/>
      <c r="D468" s="13"/>
      <c r="E468" s="14"/>
      <c r="F468" s="15"/>
      <c r="G468" s="8"/>
      <c r="M468" s="2"/>
      <c r="N468" s="2" t="str">
        <f>IFERROR(IF(ISBLANK(M468),"",INDEX([1]Gen_Vessels!$A$3:$C$500,MATCH(CorrectiveMinor!$M468,[1]Gen_Vessels!$C$3:$C$500,0),1)),"")</f>
        <v/>
      </c>
      <c r="O468" s="2"/>
      <c r="P468" s="2" t="str">
        <f>IFERROR(IF(ISBLANK(O468),"",INDEX([1]Gen_Vessels!$A$3:$C$500,MATCH(CorrectiveMinor!$O468,[1]Gen_Vessels!$C$3:$C$500,0),1)),"")</f>
        <v/>
      </c>
      <c r="Q468" s="2"/>
      <c r="R468" s="2"/>
      <c r="S468" s="2"/>
      <c r="T468" s="2"/>
      <c r="U468" s="2"/>
      <c r="W468" s="2"/>
      <c r="X468" s="2"/>
      <c r="Y468" s="2"/>
      <c r="Z468" s="2"/>
      <c r="AA468" s="2"/>
      <c r="AB468" s="2"/>
      <c r="AC468" s="2"/>
    </row>
    <row r="469" spans="1:29" x14ac:dyDescent="0.25">
      <c r="A469" s="1" t="str">
        <f t="shared" si="7"/>
        <v/>
      </c>
      <c r="B469" s="2"/>
      <c r="C469" s="2"/>
      <c r="D469" s="13"/>
      <c r="E469" s="14"/>
      <c r="F469" s="15"/>
      <c r="G469" s="8"/>
      <c r="M469" s="2"/>
      <c r="N469" s="2" t="str">
        <f>IFERROR(IF(ISBLANK(M469),"",INDEX([1]Gen_Vessels!$A$3:$C$500,MATCH(CorrectiveMinor!$M469,[1]Gen_Vessels!$C$3:$C$500,0),1)),"")</f>
        <v/>
      </c>
      <c r="O469" s="2"/>
      <c r="P469" s="2" t="str">
        <f>IFERROR(IF(ISBLANK(O469),"",INDEX([1]Gen_Vessels!$A$3:$C$500,MATCH(CorrectiveMinor!$O469,[1]Gen_Vessels!$C$3:$C$500,0),1)),"")</f>
        <v/>
      </c>
      <c r="Q469" s="2"/>
      <c r="R469" s="2"/>
      <c r="S469" s="2"/>
      <c r="T469" s="2"/>
      <c r="U469" s="2"/>
      <c r="W469" s="2"/>
      <c r="X469" s="2"/>
      <c r="Y469" s="2"/>
      <c r="Z469" s="2"/>
      <c r="AA469" s="2"/>
      <c r="AB469" s="2"/>
      <c r="AC469" s="2"/>
    </row>
    <row r="470" spans="1:29" x14ac:dyDescent="0.25">
      <c r="A470" s="1" t="str">
        <f t="shared" si="7"/>
        <v/>
      </c>
      <c r="B470" s="2"/>
      <c r="C470" s="2"/>
      <c r="D470" s="13"/>
      <c r="E470" s="14"/>
      <c r="F470" s="15"/>
      <c r="G470" s="8"/>
      <c r="M470" s="2"/>
      <c r="N470" s="2" t="str">
        <f>IFERROR(IF(ISBLANK(M470),"",INDEX([1]Gen_Vessels!$A$3:$C$500,MATCH(CorrectiveMinor!$M470,[1]Gen_Vessels!$C$3:$C$500,0),1)),"")</f>
        <v/>
      </c>
      <c r="O470" s="2"/>
      <c r="P470" s="2" t="str">
        <f>IFERROR(IF(ISBLANK(O470),"",INDEX([1]Gen_Vessels!$A$3:$C$500,MATCH(CorrectiveMinor!$O470,[1]Gen_Vessels!$C$3:$C$500,0),1)),"")</f>
        <v/>
      </c>
      <c r="Q470" s="2"/>
      <c r="R470" s="2"/>
      <c r="S470" s="2"/>
      <c r="T470" s="2"/>
      <c r="U470" s="2"/>
      <c r="W470" s="2"/>
      <c r="X470" s="2"/>
      <c r="Y470" s="2"/>
      <c r="Z470" s="2"/>
      <c r="AA470" s="2"/>
      <c r="AB470" s="2"/>
      <c r="AC470" s="2"/>
    </row>
    <row r="471" spans="1:29" x14ac:dyDescent="0.25">
      <c r="A471" s="1" t="str">
        <f t="shared" si="7"/>
        <v/>
      </c>
      <c r="B471" s="2"/>
      <c r="C471" s="2"/>
      <c r="D471" s="13"/>
      <c r="E471" s="14"/>
      <c r="F471" s="15"/>
      <c r="G471" s="8"/>
      <c r="M471" s="2"/>
      <c r="N471" s="2" t="str">
        <f>IFERROR(IF(ISBLANK(M471),"",INDEX([1]Gen_Vessels!$A$3:$C$500,MATCH(CorrectiveMinor!$M471,[1]Gen_Vessels!$C$3:$C$500,0),1)),"")</f>
        <v/>
      </c>
      <c r="O471" s="2"/>
      <c r="P471" s="2" t="str">
        <f>IFERROR(IF(ISBLANK(O471),"",INDEX([1]Gen_Vessels!$A$3:$C$500,MATCH(CorrectiveMinor!$O471,[1]Gen_Vessels!$C$3:$C$500,0),1)),"")</f>
        <v/>
      </c>
      <c r="Q471" s="2"/>
      <c r="R471" s="2"/>
      <c r="S471" s="2"/>
      <c r="T471" s="2"/>
      <c r="U471" s="2"/>
      <c r="W471" s="2"/>
      <c r="X471" s="2"/>
      <c r="Y471" s="2"/>
      <c r="Z471" s="2"/>
      <c r="AA471" s="2"/>
      <c r="AB471" s="2"/>
      <c r="AC471" s="2"/>
    </row>
    <row r="472" spans="1:29" x14ac:dyDescent="0.25">
      <c r="A472" s="1" t="str">
        <f t="shared" si="7"/>
        <v/>
      </c>
      <c r="B472" s="2"/>
      <c r="C472" s="2"/>
      <c r="D472" s="13"/>
      <c r="E472" s="14"/>
      <c r="F472" s="15"/>
      <c r="G472" s="8"/>
      <c r="M472" s="2"/>
      <c r="N472" s="2" t="str">
        <f>IFERROR(IF(ISBLANK(M472),"",INDEX([1]Gen_Vessels!$A$3:$C$500,MATCH(CorrectiveMinor!$M472,[1]Gen_Vessels!$C$3:$C$500,0),1)),"")</f>
        <v/>
      </c>
      <c r="O472" s="2"/>
      <c r="P472" s="2" t="str">
        <f>IFERROR(IF(ISBLANK(O472),"",INDEX([1]Gen_Vessels!$A$3:$C$500,MATCH(CorrectiveMinor!$O472,[1]Gen_Vessels!$C$3:$C$500,0),1)),"")</f>
        <v/>
      </c>
      <c r="Q472" s="2"/>
      <c r="R472" s="2"/>
      <c r="S472" s="2"/>
      <c r="T472" s="2"/>
      <c r="U472" s="2"/>
      <c r="W472" s="2"/>
      <c r="X472" s="2"/>
      <c r="Y472" s="2"/>
      <c r="Z472" s="2"/>
      <c r="AA472" s="2"/>
      <c r="AB472" s="2"/>
      <c r="AC472" s="2"/>
    </row>
    <row r="473" spans="1:29" x14ac:dyDescent="0.25">
      <c r="A473" s="1" t="str">
        <f t="shared" si="7"/>
        <v/>
      </c>
      <c r="B473" s="2"/>
      <c r="C473" s="2"/>
      <c r="D473" s="13"/>
      <c r="E473" s="14"/>
      <c r="F473" s="15"/>
      <c r="G473" s="8"/>
      <c r="M473" s="2"/>
      <c r="N473" s="2" t="str">
        <f>IFERROR(IF(ISBLANK(M473),"",INDEX([1]Gen_Vessels!$A$3:$C$500,MATCH(CorrectiveMinor!$M473,[1]Gen_Vessels!$C$3:$C$500,0),1)),"")</f>
        <v/>
      </c>
      <c r="O473" s="2"/>
      <c r="P473" s="2" t="str">
        <f>IFERROR(IF(ISBLANK(O473),"",INDEX([1]Gen_Vessels!$A$3:$C$500,MATCH(CorrectiveMinor!$O473,[1]Gen_Vessels!$C$3:$C$500,0),1)),"")</f>
        <v/>
      </c>
      <c r="Q473" s="2"/>
      <c r="R473" s="2"/>
      <c r="S473" s="2"/>
      <c r="T473" s="2"/>
      <c r="U473" s="2"/>
      <c r="W473" s="2"/>
      <c r="X473" s="2"/>
      <c r="Y473" s="2"/>
      <c r="Z473" s="2"/>
      <c r="AA473" s="2"/>
      <c r="AB473" s="2"/>
      <c r="AC473" s="2"/>
    </row>
    <row r="474" spans="1:29" x14ac:dyDescent="0.25">
      <c r="A474" s="1" t="str">
        <f t="shared" si="7"/>
        <v/>
      </c>
      <c r="B474" s="2"/>
      <c r="C474" s="2"/>
      <c r="D474" s="13"/>
      <c r="E474" s="14"/>
      <c r="F474" s="15"/>
      <c r="G474" s="8"/>
      <c r="M474" s="2"/>
      <c r="N474" s="2" t="str">
        <f>IFERROR(IF(ISBLANK(M474),"",INDEX([1]Gen_Vessels!$A$3:$C$500,MATCH(CorrectiveMinor!$M474,[1]Gen_Vessels!$C$3:$C$500,0),1)),"")</f>
        <v/>
      </c>
      <c r="O474" s="2"/>
      <c r="P474" s="2" t="str">
        <f>IFERROR(IF(ISBLANK(O474),"",INDEX([1]Gen_Vessels!$A$3:$C$500,MATCH(CorrectiveMinor!$O474,[1]Gen_Vessels!$C$3:$C$500,0),1)),"")</f>
        <v/>
      </c>
      <c r="Q474" s="2"/>
      <c r="R474" s="2"/>
      <c r="S474" s="2"/>
      <c r="T474" s="2"/>
      <c r="U474" s="2"/>
      <c r="W474" s="2"/>
      <c r="X474" s="2"/>
      <c r="Y474" s="2"/>
      <c r="Z474" s="2"/>
      <c r="AA474" s="2"/>
      <c r="AB474" s="2"/>
      <c r="AC474" s="2"/>
    </row>
    <row r="475" spans="1:29" x14ac:dyDescent="0.25">
      <c r="A475" s="1" t="str">
        <f t="shared" si="7"/>
        <v/>
      </c>
      <c r="B475" s="2"/>
      <c r="C475" s="2"/>
      <c r="D475" s="13"/>
      <c r="E475" s="14"/>
      <c r="F475" s="15"/>
      <c r="G475" s="8"/>
      <c r="M475" s="2"/>
      <c r="N475" s="2" t="str">
        <f>IFERROR(IF(ISBLANK(M475),"",INDEX([1]Gen_Vessels!$A$3:$C$500,MATCH(CorrectiveMinor!$M475,[1]Gen_Vessels!$C$3:$C$500,0),1)),"")</f>
        <v/>
      </c>
      <c r="O475" s="2"/>
      <c r="P475" s="2" t="str">
        <f>IFERROR(IF(ISBLANK(O475),"",INDEX([1]Gen_Vessels!$A$3:$C$500,MATCH(CorrectiveMinor!$O475,[1]Gen_Vessels!$C$3:$C$500,0),1)),"")</f>
        <v/>
      </c>
      <c r="Q475" s="2"/>
      <c r="R475" s="2"/>
      <c r="S475" s="2"/>
      <c r="T475" s="2"/>
      <c r="U475" s="2"/>
      <c r="W475" s="2"/>
      <c r="X475" s="2"/>
      <c r="Y475" s="2"/>
      <c r="Z475" s="2"/>
      <c r="AA475" s="2"/>
      <c r="AB475" s="2"/>
      <c r="AC475" s="2"/>
    </row>
    <row r="476" spans="1:29" x14ac:dyDescent="0.25">
      <c r="A476" s="1" t="str">
        <f t="shared" si="7"/>
        <v/>
      </c>
      <c r="B476" s="2"/>
      <c r="C476" s="2"/>
      <c r="D476" s="13"/>
      <c r="E476" s="14"/>
      <c r="F476" s="15"/>
      <c r="G476" s="8"/>
      <c r="M476" s="2"/>
      <c r="N476" s="2" t="str">
        <f>IFERROR(IF(ISBLANK(M476),"",INDEX([1]Gen_Vessels!$A$3:$C$500,MATCH(CorrectiveMinor!$M476,[1]Gen_Vessels!$C$3:$C$500,0),1)),"")</f>
        <v/>
      </c>
      <c r="O476" s="2"/>
      <c r="P476" s="2" t="str">
        <f>IFERROR(IF(ISBLANK(O476),"",INDEX([1]Gen_Vessels!$A$3:$C$500,MATCH(CorrectiveMinor!$O476,[1]Gen_Vessels!$C$3:$C$500,0),1)),"")</f>
        <v/>
      </c>
      <c r="Q476" s="2"/>
      <c r="R476" s="2"/>
      <c r="S476" s="2"/>
      <c r="T476" s="2"/>
      <c r="U476" s="2"/>
      <c r="W476" s="2"/>
      <c r="X476" s="2"/>
      <c r="Y476" s="2"/>
      <c r="Z476" s="2"/>
      <c r="AA476" s="2"/>
      <c r="AB476" s="2"/>
      <c r="AC476" s="2"/>
    </row>
    <row r="477" spans="1:29" x14ac:dyDescent="0.25">
      <c r="A477" s="1" t="str">
        <f t="shared" si="7"/>
        <v/>
      </c>
      <c r="B477" s="2"/>
      <c r="C477" s="2"/>
      <c r="D477" s="13"/>
      <c r="E477" s="14"/>
      <c r="F477" s="15"/>
      <c r="G477" s="8"/>
      <c r="M477" s="2"/>
      <c r="N477" s="2" t="str">
        <f>IFERROR(IF(ISBLANK(M477),"",INDEX([1]Gen_Vessels!$A$3:$C$500,MATCH(CorrectiveMinor!$M477,[1]Gen_Vessels!$C$3:$C$500,0),1)),"")</f>
        <v/>
      </c>
      <c r="O477" s="2"/>
      <c r="P477" s="2" t="str">
        <f>IFERROR(IF(ISBLANK(O477),"",INDEX([1]Gen_Vessels!$A$3:$C$500,MATCH(CorrectiveMinor!$O477,[1]Gen_Vessels!$C$3:$C$500,0),1)),"")</f>
        <v/>
      </c>
      <c r="Q477" s="2"/>
      <c r="R477" s="2"/>
      <c r="S477" s="2"/>
      <c r="T477" s="2"/>
      <c r="U477" s="2"/>
      <c r="W477" s="2"/>
      <c r="X477" s="2"/>
      <c r="Y477" s="2"/>
      <c r="Z477" s="2"/>
      <c r="AA477" s="2"/>
      <c r="AB477" s="2"/>
      <c r="AC477" s="2"/>
    </row>
    <row r="478" spans="1:29" x14ac:dyDescent="0.25">
      <c r="A478" s="1" t="str">
        <f t="shared" si="7"/>
        <v/>
      </c>
      <c r="B478" s="2"/>
      <c r="C478" s="2"/>
      <c r="D478" s="13"/>
      <c r="E478" s="14"/>
      <c r="F478" s="15"/>
      <c r="G478" s="8"/>
      <c r="M478" s="2"/>
      <c r="N478" s="2" t="str">
        <f>IFERROR(IF(ISBLANK(M478),"",INDEX([1]Gen_Vessels!$A$3:$C$500,MATCH(CorrectiveMinor!$M478,[1]Gen_Vessels!$C$3:$C$500,0),1)),"")</f>
        <v/>
      </c>
      <c r="O478" s="2"/>
      <c r="P478" s="2" t="str">
        <f>IFERROR(IF(ISBLANK(O478),"",INDEX([1]Gen_Vessels!$A$3:$C$500,MATCH(CorrectiveMinor!$O478,[1]Gen_Vessels!$C$3:$C$500,0),1)),"")</f>
        <v/>
      </c>
      <c r="Q478" s="2"/>
      <c r="R478" s="2"/>
      <c r="S478" s="2"/>
      <c r="T478" s="2"/>
      <c r="U478" s="2"/>
      <c r="W478" s="2"/>
      <c r="X478" s="2"/>
      <c r="Y478" s="2"/>
      <c r="Z478" s="2"/>
      <c r="AA478" s="2"/>
      <c r="AB478" s="2"/>
      <c r="AC478" s="2"/>
    </row>
    <row r="479" spans="1:29" x14ac:dyDescent="0.25">
      <c r="A479" s="1" t="str">
        <f t="shared" si="7"/>
        <v/>
      </c>
      <c r="B479" s="2"/>
      <c r="C479" s="2"/>
      <c r="D479" s="13"/>
      <c r="E479" s="14"/>
      <c r="F479" s="15"/>
      <c r="G479" s="8"/>
      <c r="M479" s="2"/>
      <c r="N479" s="2" t="str">
        <f>IFERROR(IF(ISBLANK(M479),"",INDEX([1]Gen_Vessels!$A$3:$C$500,MATCH(CorrectiveMinor!$M479,[1]Gen_Vessels!$C$3:$C$500,0),1)),"")</f>
        <v/>
      </c>
      <c r="O479" s="2"/>
      <c r="P479" s="2" t="str">
        <f>IFERROR(IF(ISBLANK(O479),"",INDEX([1]Gen_Vessels!$A$3:$C$500,MATCH(CorrectiveMinor!$O479,[1]Gen_Vessels!$C$3:$C$500,0),1)),"")</f>
        <v/>
      </c>
      <c r="Q479" s="2"/>
      <c r="R479" s="2"/>
      <c r="S479" s="2"/>
      <c r="T479" s="2"/>
      <c r="U479" s="2"/>
      <c r="W479" s="2"/>
      <c r="X479" s="2"/>
      <c r="Y479" s="2"/>
      <c r="Z479" s="2"/>
      <c r="AA479" s="2"/>
      <c r="AB479" s="2"/>
      <c r="AC479" s="2"/>
    </row>
    <row r="480" spans="1:29" x14ac:dyDescent="0.25">
      <c r="A480" s="1" t="str">
        <f t="shared" si="7"/>
        <v/>
      </c>
      <c r="B480" s="2"/>
      <c r="C480" s="2"/>
      <c r="D480" s="13"/>
      <c r="E480" s="14"/>
      <c r="F480" s="15"/>
      <c r="G480" s="8"/>
      <c r="M480" s="2"/>
      <c r="N480" s="2" t="str">
        <f>IFERROR(IF(ISBLANK(M480),"",INDEX([1]Gen_Vessels!$A$3:$C$500,MATCH(CorrectiveMinor!$M480,[1]Gen_Vessels!$C$3:$C$500,0),1)),"")</f>
        <v/>
      </c>
      <c r="O480" s="2"/>
      <c r="P480" s="2" t="str">
        <f>IFERROR(IF(ISBLANK(O480),"",INDEX([1]Gen_Vessels!$A$3:$C$500,MATCH(CorrectiveMinor!$O480,[1]Gen_Vessels!$C$3:$C$500,0),1)),"")</f>
        <v/>
      </c>
      <c r="Q480" s="2"/>
      <c r="R480" s="2"/>
      <c r="S480" s="2"/>
      <c r="T480" s="2"/>
      <c r="U480" s="2"/>
      <c r="W480" s="2"/>
      <c r="X480" s="2"/>
      <c r="Y480" s="2"/>
      <c r="Z480" s="2"/>
      <c r="AA480" s="2"/>
      <c r="AB480" s="2"/>
      <c r="AC480" s="2"/>
    </row>
    <row r="481" spans="1:29" x14ac:dyDescent="0.25">
      <c r="A481" s="1" t="str">
        <f t="shared" si="7"/>
        <v/>
      </c>
      <c r="B481" s="2"/>
      <c r="C481" s="2"/>
      <c r="D481" s="13"/>
      <c r="E481" s="14"/>
      <c r="F481" s="15"/>
      <c r="G481" s="8"/>
      <c r="M481" s="2"/>
      <c r="N481" s="2" t="str">
        <f>IFERROR(IF(ISBLANK(M481),"",INDEX([1]Gen_Vessels!$A$3:$C$500,MATCH(CorrectiveMinor!$M481,[1]Gen_Vessels!$C$3:$C$500,0),1)),"")</f>
        <v/>
      </c>
      <c r="O481" s="2"/>
      <c r="P481" s="2" t="str">
        <f>IFERROR(IF(ISBLANK(O481),"",INDEX([1]Gen_Vessels!$A$3:$C$500,MATCH(CorrectiveMinor!$O481,[1]Gen_Vessels!$C$3:$C$500,0),1)),"")</f>
        <v/>
      </c>
      <c r="Q481" s="2"/>
      <c r="R481" s="2"/>
      <c r="S481" s="2"/>
      <c r="T481" s="2"/>
      <c r="U481" s="2"/>
      <c r="W481" s="2"/>
      <c r="X481" s="2"/>
      <c r="Y481" s="2"/>
      <c r="Z481" s="2"/>
      <c r="AA481" s="2"/>
      <c r="AB481" s="2"/>
      <c r="AC481" s="2"/>
    </row>
    <row r="482" spans="1:29" x14ac:dyDescent="0.25">
      <c r="A482" s="1" t="str">
        <f t="shared" si="7"/>
        <v/>
      </c>
      <c r="B482" s="2"/>
      <c r="C482" s="2"/>
      <c r="D482" s="13"/>
      <c r="E482" s="14"/>
      <c r="F482" s="15"/>
      <c r="G482" s="8"/>
      <c r="M482" s="2"/>
      <c r="N482" s="2" t="str">
        <f>IFERROR(IF(ISBLANK(M482),"",INDEX([1]Gen_Vessels!$A$3:$C$500,MATCH(CorrectiveMinor!$M482,[1]Gen_Vessels!$C$3:$C$500,0),1)),"")</f>
        <v/>
      </c>
      <c r="O482" s="2"/>
      <c r="P482" s="2" t="str">
        <f>IFERROR(IF(ISBLANK(O482),"",INDEX([1]Gen_Vessels!$A$3:$C$500,MATCH(CorrectiveMinor!$O482,[1]Gen_Vessels!$C$3:$C$500,0),1)),"")</f>
        <v/>
      </c>
      <c r="Q482" s="2"/>
      <c r="R482" s="2"/>
      <c r="S482" s="2"/>
      <c r="T482" s="2"/>
      <c r="U482" s="2"/>
      <c r="W482" s="2"/>
      <c r="X482" s="2"/>
      <c r="Y482" s="2"/>
      <c r="Z482" s="2"/>
      <c r="AA482" s="2"/>
      <c r="AB482" s="2"/>
      <c r="AC482" s="2"/>
    </row>
    <row r="483" spans="1:29" x14ac:dyDescent="0.25">
      <c r="A483" s="1" t="str">
        <f t="shared" si="7"/>
        <v/>
      </c>
      <c r="B483" s="2"/>
      <c r="C483" s="2"/>
      <c r="D483" s="13"/>
      <c r="E483" s="14"/>
      <c r="F483" s="15"/>
      <c r="G483" s="8"/>
      <c r="M483" s="2"/>
      <c r="N483" s="2" t="str">
        <f>IFERROR(IF(ISBLANK(M483),"",INDEX([1]Gen_Vessels!$A$3:$C$500,MATCH(CorrectiveMinor!$M483,[1]Gen_Vessels!$C$3:$C$500,0),1)),"")</f>
        <v/>
      </c>
      <c r="O483" s="2"/>
      <c r="P483" s="2" t="str">
        <f>IFERROR(IF(ISBLANK(O483),"",INDEX([1]Gen_Vessels!$A$3:$C$500,MATCH(CorrectiveMinor!$O483,[1]Gen_Vessels!$C$3:$C$500,0),1)),"")</f>
        <v/>
      </c>
      <c r="Q483" s="2"/>
      <c r="R483" s="2"/>
      <c r="S483" s="2"/>
      <c r="T483" s="2"/>
      <c r="U483" s="2"/>
      <c r="W483" s="2"/>
      <c r="X483" s="2"/>
      <c r="Y483" s="2"/>
      <c r="Z483" s="2"/>
      <c r="AA483" s="2"/>
      <c r="AB483" s="2"/>
      <c r="AC483" s="2"/>
    </row>
    <row r="484" spans="1:29" x14ac:dyDescent="0.25">
      <c r="A484" s="1" t="str">
        <f t="shared" si="7"/>
        <v/>
      </c>
      <c r="B484" s="2"/>
      <c r="C484" s="2"/>
      <c r="D484" s="13"/>
      <c r="E484" s="14"/>
      <c r="F484" s="15"/>
      <c r="G484" s="8"/>
      <c r="M484" s="2"/>
      <c r="N484" s="2" t="str">
        <f>IFERROR(IF(ISBLANK(M484),"",INDEX([1]Gen_Vessels!$A$3:$C$500,MATCH(CorrectiveMinor!$M484,[1]Gen_Vessels!$C$3:$C$500,0),1)),"")</f>
        <v/>
      </c>
      <c r="O484" s="2"/>
      <c r="P484" s="2" t="str">
        <f>IFERROR(IF(ISBLANK(O484),"",INDEX([1]Gen_Vessels!$A$3:$C$500,MATCH(CorrectiveMinor!$O484,[1]Gen_Vessels!$C$3:$C$500,0),1)),"")</f>
        <v/>
      </c>
      <c r="Q484" s="2"/>
      <c r="R484" s="2"/>
      <c r="S484" s="2"/>
      <c r="T484" s="2"/>
      <c r="U484" s="2"/>
      <c r="W484" s="2"/>
      <c r="X484" s="2"/>
      <c r="Y484" s="2"/>
      <c r="Z484" s="2"/>
      <c r="AA484" s="2"/>
      <c r="AB484" s="2"/>
      <c r="AC484" s="2"/>
    </row>
    <row r="485" spans="1:29" x14ac:dyDescent="0.25">
      <c r="A485" s="1" t="str">
        <f t="shared" si="7"/>
        <v/>
      </c>
      <c r="B485" s="2"/>
      <c r="C485" s="2"/>
      <c r="D485" s="13"/>
      <c r="E485" s="14"/>
      <c r="F485" s="15"/>
      <c r="G485" s="8"/>
      <c r="M485" s="2"/>
      <c r="N485" s="2" t="str">
        <f>IFERROR(IF(ISBLANK(M485),"",INDEX([1]Gen_Vessels!$A$3:$C$500,MATCH(CorrectiveMinor!$M485,[1]Gen_Vessels!$C$3:$C$500,0),1)),"")</f>
        <v/>
      </c>
      <c r="O485" s="2"/>
      <c r="P485" s="2" t="str">
        <f>IFERROR(IF(ISBLANK(O485),"",INDEX([1]Gen_Vessels!$A$3:$C$500,MATCH(CorrectiveMinor!$O485,[1]Gen_Vessels!$C$3:$C$500,0),1)),"")</f>
        <v/>
      </c>
      <c r="Q485" s="2"/>
      <c r="R485" s="2"/>
      <c r="S485" s="2"/>
      <c r="T485" s="2"/>
      <c r="U485" s="2"/>
      <c r="W485" s="2"/>
      <c r="X485" s="2"/>
      <c r="Y485" s="2"/>
      <c r="Z485" s="2"/>
      <c r="AA485" s="2"/>
      <c r="AB485" s="2"/>
      <c r="AC485" s="2"/>
    </row>
    <row r="486" spans="1:29" x14ac:dyDescent="0.25">
      <c r="A486" s="1" t="str">
        <f t="shared" si="7"/>
        <v/>
      </c>
      <c r="B486" s="2"/>
      <c r="C486" s="2"/>
      <c r="D486" s="13"/>
      <c r="E486" s="14"/>
      <c r="F486" s="15"/>
      <c r="G486" s="8"/>
      <c r="M486" s="2"/>
      <c r="N486" s="2" t="str">
        <f>IFERROR(IF(ISBLANK(M486),"",INDEX([1]Gen_Vessels!$A$3:$C$500,MATCH(CorrectiveMinor!$M486,[1]Gen_Vessels!$C$3:$C$500,0),1)),"")</f>
        <v/>
      </c>
      <c r="O486" s="2"/>
      <c r="P486" s="2" t="str">
        <f>IFERROR(IF(ISBLANK(O486),"",INDEX([1]Gen_Vessels!$A$3:$C$500,MATCH(CorrectiveMinor!$O486,[1]Gen_Vessels!$C$3:$C$500,0),1)),"")</f>
        <v/>
      </c>
      <c r="Q486" s="2"/>
      <c r="R486" s="2"/>
      <c r="S486" s="2"/>
      <c r="T486" s="2"/>
      <c r="U486" s="2"/>
      <c r="W486" s="2"/>
      <c r="X486" s="2"/>
      <c r="Y486" s="2"/>
      <c r="Z486" s="2"/>
      <c r="AA486" s="2"/>
      <c r="AB486" s="2"/>
      <c r="AC486" s="2"/>
    </row>
    <row r="487" spans="1:29" x14ac:dyDescent="0.25">
      <c r="A487" s="1" t="str">
        <f t="shared" si="7"/>
        <v/>
      </c>
      <c r="B487" s="2"/>
      <c r="C487" s="2"/>
      <c r="D487" s="13"/>
      <c r="E487" s="14"/>
      <c r="F487" s="15"/>
      <c r="G487" s="8"/>
      <c r="M487" s="2"/>
      <c r="N487" s="2" t="str">
        <f>IFERROR(IF(ISBLANK(M487),"",INDEX([1]Gen_Vessels!$A$3:$C$500,MATCH(CorrectiveMinor!$M487,[1]Gen_Vessels!$C$3:$C$500,0),1)),"")</f>
        <v/>
      </c>
      <c r="O487" s="2"/>
      <c r="P487" s="2" t="str">
        <f>IFERROR(IF(ISBLANK(O487),"",INDEX([1]Gen_Vessels!$A$3:$C$500,MATCH(CorrectiveMinor!$O487,[1]Gen_Vessels!$C$3:$C$500,0),1)),"")</f>
        <v/>
      </c>
      <c r="Q487" s="2"/>
      <c r="R487" s="2"/>
      <c r="S487" s="2"/>
      <c r="T487" s="2"/>
      <c r="U487" s="2"/>
      <c r="W487" s="2"/>
      <c r="X487" s="2"/>
      <c r="Y487" s="2"/>
      <c r="Z487" s="2"/>
      <c r="AA487" s="2"/>
      <c r="AB487" s="2"/>
      <c r="AC487" s="2"/>
    </row>
    <row r="488" spans="1:29" x14ac:dyDescent="0.25">
      <c r="A488" s="1" t="str">
        <f t="shared" si="7"/>
        <v/>
      </c>
      <c r="B488" s="2"/>
      <c r="C488" s="2"/>
      <c r="D488" s="13"/>
      <c r="E488" s="14"/>
      <c r="F488" s="15"/>
      <c r="G488" s="8"/>
      <c r="M488" s="2"/>
      <c r="N488" s="2" t="str">
        <f>IFERROR(IF(ISBLANK(M488),"",INDEX([1]Gen_Vessels!$A$3:$C$500,MATCH(CorrectiveMinor!$M488,[1]Gen_Vessels!$C$3:$C$500,0),1)),"")</f>
        <v/>
      </c>
      <c r="O488" s="2"/>
      <c r="P488" s="2" t="str">
        <f>IFERROR(IF(ISBLANK(O488),"",INDEX([1]Gen_Vessels!$A$3:$C$500,MATCH(CorrectiveMinor!$O488,[1]Gen_Vessels!$C$3:$C$500,0),1)),"")</f>
        <v/>
      </c>
      <c r="Q488" s="2"/>
      <c r="R488" s="2"/>
      <c r="S488" s="2"/>
      <c r="T488" s="2"/>
      <c r="U488" s="2"/>
      <c r="W488" s="2"/>
      <c r="X488" s="2"/>
      <c r="Y488" s="2"/>
      <c r="Z488" s="2"/>
      <c r="AA488" s="2"/>
      <c r="AB488" s="2"/>
      <c r="AC488" s="2"/>
    </row>
    <row r="489" spans="1:29" x14ac:dyDescent="0.25">
      <c r="A489" s="1" t="str">
        <f t="shared" si="7"/>
        <v/>
      </c>
      <c r="B489" s="2"/>
      <c r="C489" s="2"/>
      <c r="D489" s="13"/>
      <c r="E489" s="14"/>
      <c r="F489" s="15"/>
      <c r="G489" s="8"/>
      <c r="M489" s="2"/>
      <c r="N489" s="2" t="str">
        <f>IFERROR(IF(ISBLANK(M489),"",INDEX([1]Gen_Vessels!$A$3:$C$500,MATCH(CorrectiveMinor!$M489,[1]Gen_Vessels!$C$3:$C$500,0),1)),"")</f>
        <v/>
      </c>
      <c r="O489" s="2"/>
      <c r="P489" s="2" t="str">
        <f>IFERROR(IF(ISBLANK(O489),"",INDEX([1]Gen_Vessels!$A$3:$C$500,MATCH(CorrectiveMinor!$O489,[1]Gen_Vessels!$C$3:$C$500,0),1)),"")</f>
        <v/>
      </c>
      <c r="Q489" s="2"/>
      <c r="R489" s="2"/>
      <c r="S489" s="2"/>
      <c r="T489" s="2"/>
      <c r="U489" s="2"/>
      <c r="W489" s="2"/>
      <c r="X489" s="2"/>
      <c r="Y489" s="2"/>
      <c r="Z489" s="2"/>
      <c r="AA489" s="2"/>
      <c r="AB489" s="2"/>
      <c r="AC489" s="2"/>
    </row>
    <row r="490" spans="1:29" x14ac:dyDescent="0.25">
      <c r="A490" s="1" t="str">
        <f t="shared" si="7"/>
        <v/>
      </c>
      <c r="B490" s="2"/>
      <c r="C490" s="2"/>
      <c r="D490" s="13"/>
      <c r="E490" s="14"/>
      <c r="F490" s="15"/>
      <c r="G490" s="8"/>
      <c r="M490" s="2"/>
      <c r="N490" s="2" t="str">
        <f>IFERROR(IF(ISBLANK(M490),"",INDEX([1]Gen_Vessels!$A$3:$C$500,MATCH(CorrectiveMinor!$M490,[1]Gen_Vessels!$C$3:$C$500,0),1)),"")</f>
        <v/>
      </c>
      <c r="O490" s="2"/>
      <c r="P490" s="2" t="str">
        <f>IFERROR(IF(ISBLANK(O490),"",INDEX([1]Gen_Vessels!$A$3:$C$500,MATCH(CorrectiveMinor!$O490,[1]Gen_Vessels!$C$3:$C$500,0),1)),"")</f>
        <v/>
      </c>
      <c r="Q490" s="2"/>
      <c r="R490" s="2"/>
      <c r="S490" s="2"/>
      <c r="T490" s="2"/>
      <c r="U490" s="2"/>
      <c r="W490" s="2"/>
      <c r="X490" s="2"/>
      <c r="Y490" s="2"/>
      <c r="Z490" s="2"/>
      <c r="AA490" s="2"/>
      <c r="AB490" s="2"/>
      <c r="AC490" s="2"/>
    </row>
    <row r="491" spans="1:29" x14ac:dyDescent="0.25">
      <c r="A491" s="1" t="str">
        <f t="shared" si="7"/>
        <v/>
      </c>
      <c r="B491" s="2"/>
      <c r="C491" s="2"/>
      <c r="D491" s="13"/>
      <c r="E491" s="14"/>
      <c r="F491" s="15"/>
      <c r="G491" s="8"/>
      <c r="M491" s="2"/>
      <c r="N491" s="2" t="str">
        <f>IFERROR(IF(ISBLANK(M491),"",INDEX([1]Gen_Vessels!$A$3:$C$500,MATCH(CorrectiveMinor!$M491,[1]Gen_Vessels!$C$3:$C$500,0),1)),"")</f>
        <v/>
      </c>
      <c r="O491" s="2"/>
      <c r="P491" s="2" t="str">
        <f>IFERROR(IF(ISBLANK(O491),"",INDEX([1]Gen_Vessels!$A$3:$C$500,MATCH(CorrectiveMinor!$O491,[1]Gen_Vessels!$C$3:$C$500,0),1)),"")</f>
        <v/>
      </c>
      <c r="Q491" s="2"/>
      <c r="R491" s="2"/>
      <c r="S491" s="2"/>
      <c r="T491" s="2"/>
      <c r="U491" s="2"/>
      <c r="W491" s="2"/>
      <c r="X491" s="2"/>
      <c r="Y491" s="2"/>
      <c r="Z491" s="2"/>
      <c r="AA491" s="2"/>
      <c r="AB491" s="2"/>
      <c r="AC491" s="2"/>
    </row>
    <row r="492" spans="1:29" x14ac:dyDescent="0.25">
      <c r="A492" s="1" t="str">
        <f t="shared" si="7"/>
        <v/>
      </c>
      <c r="B492" s="2"/>
      <c r="C492" s="2"/>
      <c r="D492" s="13"/>
      <c r="E492" s="14"/>
      <c r="F492" s="15"/>
      <c r="G492" s="8"/>
      <c r="M492" s="2"/>
      <c r="N492" s="2" t="str">
        <f>IFERROR(IF(ISBLANK(M492),"",INDEX([1]Gen_Vessels!$A$3:$C$500,MATCH(CorrectiveMinor!$M492,[1]Gen_Vessels!$C$3:$C$500,0),1)),"")</f>
        <v/>
      </c>
      <c r="O492" s="2"/>
      <c r="P492" s="2" t="str">
        <f>IFERROR(IF(ISBLANK(O492),"",INDEX([1]Gen_Vessels!$A$3:$C$500,MATCH(CorrectiveMinor!$O492,[1]Gen_Vessels!$C$3:$C$500,0),1)),"")</f>
        <v/>
      </c>
      <c r="Q492" s="2"/>
      <c r="R492" s="2"/>
      <c r="S492" s="2"/>
      <c r="T492" s="2"/>
      <c r="U492" s="2"/>
      <c r="W492" s="2"/>
      <c r="X492" s="2"/>
      <c r="Y492" s="2"/>
      <c r="Z492" s="2"/>
      <c r="AA492" s="2"/>
      <c r="AB492" s="2"/>
      <c r="AC492" s="2"/>
    </row>
    <row r="493" spans="1:29" x14ac:dyDescent="0.25">
      <c r="N493" s="2" t="str">
        <f>IFERROR(IF(ISBLANK(M493),"",INDEX([1]Gen_Vessels!$A$3:$C$500,MATCH(CorrectiveMinor!$M493,[1]Gen_Vessels!$C$3:$C$500,0),1)),"")</f>
        <v/>
      </c>
      <c r="P493" s="2" t="str">
        <f>IFERROR(IF(ISBLANK(O493),"",INDEX([1]Gen_Vessels!$A$3:$C$500,MATCH(CorrectiveMinor!$O493,[1]Gen_Vessels!$C$3:$C$500,0),1)),"")</f>
        <v/>
      </c>
    </row>
    <row r="494" spans="1:29" x14ac:dyDescent="0.25">
      <c r="N494" s="2" t="str">
        <f>IFERROR(IF(ISBLANK(M494),"",INDEX([1]Gen_Vessels!$A$3:$C$500,MATCH(CorrectiveMinor!$M494,[1]Gen_Vessels!$C$3:$C$500,0),1)),"")</f>
        <v/>
      </c>
      <c r="P494" s="2" t="str">
        <f>IFERROR(IF(ISBLANK(O494),"",INDEX([1]Gen_Vessels!$A$3:$C$500,MATCH(CorrectiveMinor!$O494,[1]Gen_Vessels!$C$3:$C$500,0),1)),"")</f>
        <v/>
      </c>
    </row>
    <row r="495" spans="1:29" x14ac:dyDescent="0.25">
      <c r="N495" s="2" t="str">
        <f>IFERROR(IF(ISBLANK(M495),"",INDEX([1]Gen_Vessels!$A$3:$C$500,MATCH(CorrectiveMinor!$M495,[1]Gen_Vessels!$C$3:$C$500,0),1)),"")</f>
        <v/>
      </c>
      <c r="P495" s="2" t="str">
        <f>IFERROR(IF(ISBLANK(O495),"",INDEX([1]Gen_Vessels!$A$3:$C$500,MATCH(CorrectiveMinor!$O495,[1]Gen_Vessels!$C$3:$C$500,0),1)),"")</f>
        <v/>
      </c>
    </row>
    <row r="496" spans="1:29" x14ac:dyDescent="0.25">
      <c r="N496" s="2" t="str">
        <f>IFERROR(IF(ISBLANK(M496),"",INDEX([1]Gen_Vessels!$A$3:$C$500,MATCH(CorrectiveMinor!$M496,[1]Gen_Vessels!$C$3:$C$500,0),1)),"")</f>
        <v/>
      </c>
      <c r="P496" s="2" t="str">
        <f>IFERROR(IF(ISBLANK(O496),"",INDEX([1]Gen_Vessels!$A$3:$C$500,MATCH(CorrectiveMinor!$O496,[1]Gen_Vessels!$C$3:$C$500,0),1)),"")</f>
        <v/>
      </c>
    </row>
    <row r="497" spans="14:16" x14ac:dyDescent="0.25">
      <c r="N497" s="2" t="str">
        <f>IFERROR(IF(ISBLANK(M497),"",INDEX([1]Gen_Vessels!$A$3:$C$500,MATCH(CorrectiveMinor!$M497,[1]Gen_Vessels!$C$3:$C$500,0),1)),"")</f>
        <v/>
      </c>
      <c r="P497" s="2" t="str">
        <f>IFERROR(IF(ISBLANK(O497),"",INDEX([1]Gen_Vessels!$A$3:$C$500,MATCH(CorrectiveMinor!$O497,[1]Gen_Vessels!$C$3:$C$500,0),1)),"")</f>
        <v/>
      </c>
    </row>
    <row r="498" spans="14:16" x14ac:dyDescent="0.25">
      <c r="N498" s="2" t="str">
        <f>IFERROR(IF(ISBLANK(M498),"",INDEX([1]Gen_Vessels!$A$3:$C$500,MATCH(CorrectiveMinor!$M498,[1]Gen_Vessels!$C$3:$C$500,0),1)),"")</f>
        <v/>
      </c>
      <c r="P498" s="2" t="str">
        <f>IFERROR(IF(ISBLANK(O498),"",INDEX([1]Gen_Vessels!$A$3:$C$500,MATCH(CorrectiveMinor!$O498,[1]Gen_Vessels!$C$3:$C$500,0),1)),"")</f>
        <v/>
      </c>
    </row>
    <row r="499" spans="14:16" x14ac:dyDescent="0.25">
      <c r="N499" s="2" t="str">
        <f>IFERROR(IF(ISBLANK(M499),"",INDEX([1]Gen_Vessels!$A$3:$C$500,MATCH(CorrectiveMinor!$M499,[1]Gen_Vessels!$C$3:$C$500,0),1)),"")</f>
        <v/>
      </c>
      <c r="P499" s="2" t="str">
        <f>IFERROR(IF(ISBLANK(O499),"",INDEX([1]Gen_Vessels!$A$3:$C$500,MATCH(CorrectiveMinor!$O499,[1]Gen_Vessels!$C$3:$C$500,0),1)),"")</f>
        <v/>
      </c>
    </row>
    <row r="500" spans="14:16" x14ac:dyDescent="0.25">
      <c r="N500" s="2" t="str">
        <f>IFERROR(IF(ISBLANK(M500),"",INDEX([1]Gen_Vessels!$A$3:$C$500,MATCH(CorrectiveMinor!$M500,[1]Gen_Vessels!$C$3:$C$500,0),1)),"")</f>
        <v/>
      </c>
      <c r="P500" s="2" t="str">
        <f>IFERROR(IF(ISBLANK(O500),"",INDEX([1]Gen_Vessels!$A$3:$C$500,MATCH(CorrectiveMinor!$O500,[1]Gen_Vessels!$C$3:$C$500,0),1)),"")</f>
        <v/>
      </c>
    </row>
  </sheetData>
  <conditionalFormatting sqref="A1:B1048576">
    <cfRule type="expression" dxfId="4" priority="4">
      <formula>AND(COUNTIF(A:A,$A1)&gt;1,$A1&lt;&gt;"")</formula>
    </cfRule>
  </conditionalFormatting>
  <conditionalFormatting sqref="D3:F500">
    <cfRule type="expression" dxfId="3" priority="1">
      <formula>AND(NOT(ISBLANK($B3)),COUNTBLANK($D3:$F3)&lt;2)</formula>
    </cfRule>
    <cfRule type="expression" dxfId="2" priority="2">
      <formula>AND(NOT(ISBLANK($B3)),COUNTBLANK($D3:$F3)&gt;2)</formula>
    </cfRule>
  </conditionalFormatting>
  <conditionalFormatting sqref="V3:V500">
    <cfRule type="expression" dxfId="1" priority="3">
      <formula>IF(AND(NOT(ISBLANK($B3)),ISBLANK(V3)),TRUE,FALSE)</formula>
    </cfRule>
  </conditionalFormatting>
  <dataValidations count="9">
    <dataValidation type="custom" operator="greaterThanOrEqual" allowBlank="1" showInputMessage="1" showErrorMessage="1" errorTitle="Wrong character" error="Mark only one option with a cross &quot;X&quot;." sqref="D3:F500" xr:uid="{C5C69D37-8762-41A2-893F-C1A98CB67F05}">
      <formula1>OR(D3="x",D3="X")</formula1>
    </dataValidation>
    <dataValidation operator="greaterThan" allowBlank="1" showInputMessage="1" showErrorMessage="1" sqref="D2:G2" xr:uid="{6572C319-46B7-4FCC-8547-78562655B5E0}"/>
    <dataValidation type="whole" operator="greaterThanOrEqual" allowBlank="1" showInputMessage="1" showErrorMessage="1" sqref="R3:R488" xr:uid="{DBDC461A-520C-4F95-89BA-D86B4B96FED9}">
      <formula1>1</formula1>
    </dataValidation>
    <dataValidation type="decimal" operator="greaterThan" allowBlank="1" showInputMessage="1" showErrorMessage="1" sqref="G3:G492" xr:uid="{A2FD85E9-884D-4114-AFFA-4249188041C4}">
      <formula1>0</formula1>
    </dataValidation>
    <dataValidation type="decimal" operator="greaterThanOrEqual" allowBlank="1" showInputMessage="1" showErrorMessage="1" sqref="S3:U488" xr:uid="{F8459FF9-84A7-4B8A-99A6-BC97C71E1B2F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H3:L20" xr:uid="{39E6AE6F-AE14-417C-99EC-AF2F7EA91200}">
      <formula1>AND(ISNUMBER(H3),H3&gt;0)</formula1>
    </dataValidation>
    <dataValidation type="decimal" operator="greaterThan" allowBlank="1" showInputMessage="1" showErrorMessage="1" errorTitle="Wrong input" error="Leave it empy or it must be a decimal greater than 0.0." sqref="H21:L515" xr:uid="{C77BF110-1DAD-4D2E-B333-08345E0D0680}">
      <formula1>0</formula1>
    </dataValidation>
    <dataValidation type="list" allowBlank="1" showInputMessage="1" showErrorMessage="1" sqref="V3:V17" xr:uid="{6E664A7A-34DB-4595-A9B5-AEA6EBA21FCA}">
      <formula1>"device, array_cable, exp_cable, dyn_cable-sub"</formula1>
    </dataValidation>
    <dataValidation type="list" allowBlank="1" showInputMessage="1" showErrorMessage="1" sqref="V19:V174" xr:uid="{7E032070-05C2-46FC-B01B-A994099BCBD5}">
      <formula1>"opv-device, opv-cable, opv-inverter, opv-substation, opv-intercable, ofw-device, ofw-substation, ofw-intercable, owc-device, owc-substation, owc-intercable, owc-device, owc-substation, owc-intercable, exp_cable, substation"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08FE-B0F5-4245-9667-1C6B7FA4C129}">
  <sheetPr>
    <tabColor theme="4" tint="0.39997558519241921"/>
  </sheetPr>
  <dimension ref="A1:Y500"/>
  <sheetViews>
    <sheetView tabSelected="1"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H13" sqref="H13"/>
    </sheetView>
  </sheetViews>
  <sheetFormatPr defaultColWidth="9.28515625" defaultRowHeight="15" x14ac:dyDescent="0.25"/>
  <cols>
    <col min="1" max="1" width="18.7109375" style="1" customWidth="1"/>
    <col min="2" max="2" width="16.7109375" style="1" customWidth="1"/>
    <col min="3" max="3" width="40.7109375" style="1" customWidth="1"/>
    <col min="4" max="4" width="15.5703125" style="1" customWidth="1"/>
    <col min="5" max="5" width="15.5703125" style="1" hidden="1" customWidth="1"/>
    <col min="6" max="7" width="15.5703125" style="1" customWidth="1"/>
    <col min="8" max="8" width="10.28515625" style="1" bestFit="1" customWidth="1"/>
    <col min="9" max="9" width="10.28515625" style="1" customWidth="1"/>
    <col min="10" max="10" width="15.5703125" style="1" customWidth="1"/>
    <col min="11" max="12" width="21.42578125" style="1" customWidth="1"/>
    <col min="13" max="13" width="12.7109375" style="1" customWidth="1"/>
    <col min="14" max="16384" width="9.28515625" style="1"/>
  </cols>
  <sheetData>
    <row r="1" spans="1:25" x14ac:dyDescent="0.25">
      <c r="A1" s="1" t="s">
        <v>0</v>
      </c>
      <c r="B1" s="1" t="s">
        <v>27</v>
      </c>
      <c r="C1" s="1" t="s">
        <v>1</v>
      </c>
      <c r="D1" s="1" t="s">
        <v>64</v>
      </c>
      <c r="E1" s="1" t="s">
        <v>55</v>
      </c>
      <c r="F1" s="1" t="s">
        <v>84</v>
      </c>
      <c r="G1" s="1" t="s">
        <v>65</v>
      </c>
      <c r="H1" s="1" t="s">
        <v>56</v>
      </c>
      <c r="I1" s="1" t="s">
        <v>126</v>
      </c>
      <c r="J1" s="1" t="s">
        <v>18</v>
      </c>
      <c r="K1" s="1" t="s">
        <v>11</v>
      </c>
      <c r="L1" s="1" t="s">
        <v>12</v>
      </c>
      <c r="M1" s="1" t="s">
        <v>14</v>
      </c>
    </row>
    <row r="2" spans="1:25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5</v>
      </c>
      <c r="M2" s="1" t="s">
        <v>4</v>
      </c>
    </row>
    <row r="3" spans="1:25" x14ac:dyDescent="0.25">
      <c r="A3" s="1" t="str">
        <f>IF(ISBLANK($B3)=FALSE,_xlfn.CONCAT($B3,"_tow"),"")</f>
        <v>owc_removal_tow</v>
      </c>
      <c r="B3" s="2" t="s">
        <v>77</v>
      </c>
      <c r="C3" s="2" t="s">
        <v>20</v>
      </c>
      <c r="D3" s="1" t="s">
        <v>78</v>
      </c>
      <c r="E3" s="2" t="str">
        <f>IFERROR(IF(ISBLANK(D3),"",INDEX([1]Gen_Vessels!$A$3:$C$500,MATCH(D3,[1]Gen_Vessels!$C$3:$C$500,0),1)),"")</f>
        <v>V006</v>
      </c>
      <c r="F3" s="2"/>
      <c r="H3" s="2" t="str">
        <f>IFERROR(IF(ISBLANK(G3),"",INDEX([1]Gen_Vessels!$A$3:$C$500,MATCH(G3,[1]Gen_Vessels!$C$3:$C$500,0),1)),"")</f>
        <v/>
      </c>
      <c r="I3" s="2"/>
      <c r="K3" s="2">
        <v>1</v>
      </c>
      <c r="L3" s="2">
        <v>200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 t="str">
        <f t="shared" ref="A4:A67" si="0">IF(ISBLANK($B4)=FALSE,_xlfn.CONCAT($B4,"_tow"),"")</f>
        <v>owc_redeploy_removal_tow</v>
      </c>
      <c r="B4" s="2" t="s">
        <v>85</v>
      </c>
      <c r="C4" s="2" t="s">
        <v>86</v>
      </c>
      <c r="D4" s="1" t="s">
        <v>78</v>
      </c>
      <c r="E4" s="2" t="str">
        <f>IFERROR(IF(ISBLANK(D4),"",INDEX([1]Gen_Vessels!$A$3:$C$500,MATCH(D4,[1]Gen_Vessels!$C$3:$C$500,0),1)),"")</f>
        <v>V006</v>
      </c>
      <c r="F4" s="2"/>
      <c r="H4" s="2" t="str">
        <f>IFERROR(IF(ISBLANK(G4),"",INDEX([1]Gen_Vessels!$A$3:$C$500,MATCH(G4,[1]Gen_Vessels!$C$3:$C$500,0),1)),"")</f>
        <v/>
      </c>
      <c r="I4" s="2"/>
      <c r="K4" s="2">
        <v>1</v>
      </c>
      <c r="L4" s="2">
        <v>200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1" t="str">
        <f t="shared" si="0"/>
        <v>owc_redeploy_tow</v>
      </c>
      <c r="B5" s="2" t="s">
        <v>79</v>
      </c>
      <c r="C5" s="2" t="s">
        <v>23</v>
      </c>
      <c r="D5" s="1" t="s">
        <v>78</v>
      </c>
      <c r="E5" s="2" t="str">
        <f>IFERROR(IF(ISBLANK(D5),"",INDEX([1]Gen_Vessels!$A$3:$C$500,MATCH(D5,[1]Gen_Vessels!$C$3:$C$500,0),1)),"")</f>
        <v>V006</v>
      </c>
      <c r="F5" s="2"/>
      <c r="H5" s="2" t="str">
        <f>IFERROR(IF(ISBLANK(G5),"",INDEX([1]Gen_Vessels!$A$3:$C$500,MATCH(G5,[1]Gen_Vessels!$C$3:$C$500,0),1)),"")</f>
        <v/>
      </c>
      <c r="I5" s="2"/>
      <c r="K5" s="2">
        <v>1</v>
      </c>
      <c r="L5" s="2">
        <v>200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1" t="str">
        <f t="shared" si="0"/>
        <v>ofw_removal_tow</v>
      </c>
      <c r="B6" s="2" t="s">
        <v>87</v>
      </c>
      <c r="C6" s="2" t="s">
        <v>88</v>
      </c>
      <c r="D6" s="1" t="s">
        <v>75</v>
      </c>
      <c r="E6" s="2" t="str">
        <f>IFERROR(IF(ISBLANK(D6),"",INDEX([1]Gen_Vessels!$A$3:$C$500,MATCH(D6,[1]Gen_Vessels!$C$3:$C$500,0),1)),"")</f>
        <v>V001</v>
      </c>
      <c r="F6" s="2">
        <v>3</v>
      </c>
      <c r="H6" s="2" t="str">
        <f>IFERROR(IF(ISBLANK(G6),"",INDEX([1]Gen_Vessels!$A$3:$C$500,MATCH(G6,[1]Gen_Vessels!$C$3:$C$500,0),1)),"")</f>
        <v/>
      </c>
      <c r="I6" s="2"/>
      <c r="K6" s="2">
        <v>6</v>
      </c>
      <c r="L6" s="2">
        <v>200</v>
      </c>
      <c r="M6" s="1">
        <v>5000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1" t="str">
        <f t="shared" si="0"/>
        <v>ofw_redeploy_removal_tow</v>
      </c>
      <c r="B7" s="2" t="s">
        <v>89</v>
      </c>
      <c r="C7" s="2" t="s">
        <v>90</v>
      </c>
      <c r="D7" s="2" t="s">
        <v>75</v>
      </c>
      <c r="E7" s="2" t="str">
        <f>IFERROR(IF(ISBLANK(D7),"",INDEX([1]Gen_Vessels!$A$3:$C$500,MATCH(D7,[1]Gen_Vessels!$C$3:$C$500,0),1)),"")</f>
        <v>V001</v>
      </c>
      <c r="F7" s="2">
        <v>3</v>
      </c>
      <c r="G7" s="2"/>
      <c r="H7" s="2" t="str">
        <f>IFERROR(IF(ISBLANK(G7),"",INDEX([1]Gen_Vessels!$A$3:$C$500,MATCH(G7,[1]Gen_Vessels!$C$3:$C$500,0),1)),"")</f>
        <v/>
      </c>
      <c r="I7" s="2"/>
      <c r="J7" s="2"/>
      <c r="K7" s="2">
        <v>6</v>
      </c>
      <c r="L7" s="2">
        <v>200</v>
      </c>
      <c r="M7" s="1">
        <v>5000</v>
      </c>
      <c r="N7" s="2"/>
      <c r="O7" s="2"/>
      <c r="P7" s="2"/>
      <c r="Q7" s="2"/>
      <c r="R7" s="2"/>
      <c r="S7" s="2"/>
      <c r="T7" s="2"/>
      <c r="U7" s="2"/>
    </row>
    <row r="8" spans="1:25" x14ac:dyDescent="0.25">
      <c r="A8" s="1" t="str">
        <f t="shared" si="0"/>
        <v>ofw_redeploy_tow</v>
      </c>
      <c r="B8" s="2" t="s">
        <v>91</v>
      </c>
      <c r="C8" s="2" t="s">
        <v>92</v>
      </c>
      <c r="D8" s="2" t="s">
        <v>75</v>
      </c>
      <c r="E8" s="2" t="str">
        <f>IFERROR(IF(ISBLANK(D8),"",INDEX([1]Gen_Vessels!$A$3:$C$500,MATCH(D8,[1]Gen_Vessels!$C$3:$C$500,0),1)),"")</f>
        <v>V001</v>
      </c>
      <c r="F8" s="2">
        <v>3</v>
      </c>
      <c r="G8" s="2"/>
      <c r="H8" s="2" t="str">
        <f>IFERROR(IF(ISBLANK(G8),"",INDEX([1]Gen_Vessels!$A$3:$C$500,MATCH(G8,[1]Gen_Vessels!$C$3:$C$500,0),1)),"")</f>
        <v/>
      </c>
      <c r="I8" s="2"/>
      <c r="J8" s="2"/>
      <c r="K8" s="2">
        <v>6</v>
      </c>
      <c r="L8" s="2">
        <v>200</v>
      </c>
      <c r="M8" s="1">
        <v>5000</v>
      </c>
      <c r="N8" s="2"/>
      <c r="O8" s="2"/>
      <c r="P8" s="2"/>
      <c r="Q8" s="2"/>
      <c r="R8" s="2"/>
      <c r="S8" s="2"/>
      <c r="T8" s="2"/>
      <c r="U8" s="2"/>
    </row>
    <row r="9" spans="1:25" x14ac:dyDescent="0.25">
      <c r="A9" s="1" t="str">
        <f t="shared" si="0"/>
        <v/>
      </c>
      <c r="B9" s="2"/>
      <c r="C9" s="2"/>
      <c r="D9" s="2"/>
      <c r="E9" s="2" t="str">
        <f>IFERROR(IF(ISBLANK(D9),"",INDEX([1]Gen_Vessels!$A$3:$C$500,MATCH(D9,[1]Gen_Vessels!$C$3:$C$500,0),1)),"")</f>
        <v/>
      </c>
      <c r="F9" s="2"/>
      <c r="G9" s="2"/>
      <c r="H9" s="2" t="str">
        <f>IFERROR(IF(ISBLANK(G9),"",INDEX([1]Gen_Vessels!$A$3:$C$500,MATCH(G9,[1]Gen_Vessels!$C$3:$C$500,0),1)),"")</f>
        <v/>
      </c>
      <c r="I9" s="2"/>
      <c r="J9" s="2"/>
      <c r="K9" s="2"/>
      <c r="L9" s="2"/>
      <c r="N9" s="2"/>
      <c r="O9" s="2"/>
      <c r="P9" s="2"/>
      <c r="Q9" s="2"/>
      <c r="R9" s="2"/>
      <c r="S9" s="2"/>
      <c r="T9" s="2"/>
      <c r="U9" s="2"/>
    </row>
    <row r="10" spans="1:25" x14ac:dyDescent="0.25">
      <c r="A10" s="1" t="str">
        <f t="shared" si="0"/>
        <v/>
      </c>
      <c r="B10" s="2"/>
      <c r="C10" s="2"/>
      <c r="D10" s="2"/>
      <c r="E10" s="2" t="str">
        <f>IFERROR(IF(ISBLANK(D10),"",INDEX([1]Gen_Vessels!$A$3:$C$500,MATCH(D10,[1]Gen_Vessels!$C$3:$C$500,0),1)),"")</f>
        <v/>
      </c>
      <c r="F10" s="2"/>
      <c r="G10" s="2"/>
      <c r="H10" s="2" t="str">
        <f>IFERROR(IF(ISBLANK(G10),"",INDEX([1]Gen_Vessels!$A$3:$C$500,MATCH(G10,[1]Gen_Vessels!$C$3:$C$500,0),1)),"")</f>
        <v/>
      </c>
      <c r="I10" s="2"/>
      <c r="J10" s="2"/>
      <c r="K10" s="2"/>
      <c r="L10" s="2"/>
      <c r="N10" s="2"/>
      <c r="O10" s="2"/>
      <c r="P10" s="2"/>
      <c r="Q10" s="2"/>
      <c r="R10" s="2"/>
      <c r="S10" s="2"/>
      <c r="T10" s="2"/>
      <c r="U10" s="2"/>
    </row>
    <row r="11" spans="1:25" x14ac:dyDescent="0.25">
      <c r="A11" s="1" t="str">
        <f t="shared" si="0"/>
        <v/>
      </c>
      <c r="B11" s="2"/>
      <c r="C11" s="2"/>
      <c r="D11" s="2"/>
      <c r="E11" s="2" t="str">
        <f>IFERROR(IF(ISBLANK(D11),"",INDEX([1]Gen_Vessels!$A$3:$C$500,MATCH(D11,[1]Gen_Vessels!$C$3:$C$500,0),1)),"")</f>
        <v/>
      </c>
      <c r="F11" s="2"/>
      <c r="G11" s="2"/>
      <c r="H11" s="2" t="str">
        <f>IFERROR(IF(ISBLANK(G11),"",INDEX([1]Gen_Vessels!$A$3:$C$500,MATCH(G11,[1]Gen_Vessels!$C$3:$C$500,0),1)),"")</f>
        <v/>
      </c>
      <c r="I11" s="2"/>
      <c r="J11" s="2"/>
      <c r="K11" s="2"/>
      <c r="L11" s="2"/>
      <c r="N11" s="2"/>
      <c r="O11" s="2"/>
      <c r="P11" s="2"/>
      <c r="Q11" s="2"/>
      <c r="R11" s="2"/>
      <c r="S11" s="2"/>
      <c r="T11" s="2"/>
      <c r="U11" s="2"/>
    </row>
    <row r="12" spans="1:25" x14ac:dyDescent="0.25">
      <c r="A12" s="1" t="str">
        <f t="shared" si="0"/>
        <v/>
      </c>
      <c r="B12" s="2"/>
      <c r="C12" s="2"/>
      <c r="D12" s="2"/>
      <c r="E12" s="2" t="str">
        <f>IFERROR(IF(ISBLANK(D12),"",INDEX([1]Gen_Vessels!$A$3:$C$500,MATCH(D12,[1]Gen_Vessels!$C$3:$C$500,0),1)),"")</f>
        <v/>
      </c>
      <c r="F12" s="2"/>
      <c r="G12" s="2"/>
      <c r="H12" s="2" t="str">
        <f>IFERROR(IF(ISBLANK(G12),"",INDEX([1]Gen_Vessels!$A$3:$C$500,MATCH(G12,[1]Gen_Vessels!$C$3:$C$500,0),1)),"")</f>
        <v/>
      </c>
      <c r="I12" s="2"/>
      <c r="J12" s="2"/>
      <c r="K12" s="2"/>
      <c r="L12" s="2"/>
      <c r="N12" s="2"/>
      <c r="O12" s="2"/>
      <c r="P12" s="2"/>
      <c r="Q12" s="2"/>
      <c r="R12" s="2"/>
      <c r="S12" s="2"/>
      <c r="T12" s="2"/>
      <c r="U12" s="2"/>
    </row>
    <row r="13" spans="1:25" x14ac:dyDescent="0.25">
      <c r="A13" s="1" t="str">
        <f t="shared" si="0"/>
        <v/>
      </c>
      <c r="B13" s="2"/>
      <c r="C13" s="2"/>
      <c r="D13" s="2"/>
      <c r="E13" s="2" t="str">
        <f>IFERROR(IF(ISBLANK(D13),"",INDEX([1]Gen_Vessels!$A$3:$C$500,MATCH(D13,[1]Gen_Vessels!$C$3:$C$500,0),1)),"")</f>
        <v/>
      </c>
      <c r="F13" s="2"/>
      <c r="G13" s="2"/>
      <c r="H13" s="2" t="str">
        <f>IFERROR(IF(ISBLANK(G13),"",INDEX([1]Gen_Vessels!$A$3:$C$500,MATCH(G13,[1]Gen_Vessels!$C$3:$C$500,0),1)),"")</f>
        <v/>
      </c>
      <c r="I13" s="2"/>
      <c r="J13" s="2"/>
      <c r="K13" s="2"/>
      <c r="L13" s="2"/>
      <c r="N13" s="2"/>
      <c r="O13" s="2"/>
      <c r="P13" s="2"/>
      <c r="Q13" s="2"/>
      <c r="R13" s="2"/>
      <c r="S13" s="2"/>
      <c r="T13" s="2"/>
      <c r="U13" s="2"/>
    </row>
    <row r="14" spans="1:25" x14ac:dyDescent="0.25">
      <c r="A14" s="1" t="str">
        <f t="shared" si="0"/>
        <v/>
      </c>
      <c r="B14" s="2"/>
      <c r="C14" s="2"/>
      <c r="D14" s="2"/>
      <c r="E14" s="2" t="str">
        <f>IFERROR(IF(ISBLANK(D14),"",INDEX([1]Gen_Vessels!$A$3:$C$500,MATCH(D14,[1]Gen_Vessels!$C$3:$C$500,0),1)),"")</f>
        <v/>
      </c>
      <c r="F14" s="2"/>
      <c r="G14" s="2"/>
      <c r="H14" s="2" t="str">
        <f>IFERROR(IF(ISBLANK(G14),"",INDEX([1]Gen_Vessels!$A$3:$C$500,MATCH(G14,[1]Gen_Vessels!$C$3:$C$500,0),1)),"")</f>
        <v/>
      </c>
      <c r="I14" s="2"/>
      <c r="J14" s="2"/>
      <c r="K14" s="2"/>
      <c r="L14" s="2"/>
      <c r="N14" s="2"/>
      <c r="O14" s="2"/>
      <c r="P14" s="2"/>
      <c r="Q14" s="2"/>
      <c r="R14" s="2"/>
      <c r="S14" s="2"/>
      <c r="T14" s="2"/>
      <c r="U14" s="2"/>
    </row>
    <row r="15" spans="1:25" x14ac:dyDescent="0.25">
      <c r="A15" s="1" t="str">
        <f t="shared" si="0"/>
        <v/>
      </c>
      <c r="B15" s="2"/>
      <c r="C15" s="2"/>
      <c r="D15" s="2"/>
      <c r="E15" s="2" t="str">
        <f>IFERROR(IF(ISBLANK(D15),"",INDEX([1]Gen_Vessels!$A$3:$C$500,MATCH(D15,[1]Gen_Vessels!$C$3:$C$500,0),1)),"")</f>
        <v/>
      </c>
      <c r="F15" s="2"/>
      <c r="G15" s="2"/>
      <c r="H15" s="2" t="str">
        <f>IFERROR(IF(ISBLANK(G15),"",INDEX([1]Gen_Vessels!$A$3:$C$500,MATCH(G15,[1]Gen_Vessels!$C$3:$C$500,0),1)),"")</f>
        <v/>
      </c>
      <c r="I15" s="2"/>
      <c r="J15" s="2"/>
      <c r="K15" s="2"/>
      <c r="L15" s="2"/>
      <c r="N15" s="2"/>
      <c r="O15" s="2"/>
      <c r="P15" s="2"/>
      <c r="Q15" s="2"/>
      <c r="R15" s="2"/>
      <c r="S15" s="2"/>
      <c r="T15" s="2"/>
      <c r="U15" s="2"/>
    </row>
    <row r="16" spans="1:25" x14ac:dyDescent="0.25">
      <c r="A16" s="1" t="str">
        <f t="shared" si="0"/>
        <v/>
      </c>
      <c r="B16" s="2"/>
      <c r="C16" s="2"/>
      <c r="D16" s="2"/>
      <c r="E16" s="2" t="str">
        <f>IFERROR(IF(ISBLANK(D16),"",INDEX([1]Gen_Vessels!$A$3:$C$500,MATCH(D16,[1]Gen_Vessels!$C$3:$C$500,0),1)),"")</f>
        <v/>
      </c>
      <c r="F16" s="2"/>
      <c r="G16" s="2"/>
      <c r="H16" s="2" t="str">
        <f>IFERROR(IF(ISBLANK(G16),"",INDEX([1]Gen_Vessels!$A$3:$C$500,MATCH(G16,[1]Gen_Vessels!$C$3:$C$500,0),1)),"")</f>
        <v/>
      </c>
      <c r="I16" s="2"/>
      <c r="J16" s="2"/>
      <c r="K16" s="2"/>
      <c r="L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1" t="str">
        <f t="shared" si="0"/>
        <v/>
      </c>
      <c r="B17" s="2"/>
      <c r="C17" s="2"/>
      <c r="D17" s="2"/>
      <c r="E17" s="2" t="str">
        <f>IFERROR(IF(ISBLANK(D17),"",INDEX([1]Gen_Vessels!$A$3:$C$500,MATCH(D17,[1]Gen_Vessels!$C$3:$C$500,0),1)),"")</f>
        <v/>
      </c>
      <c r="F17" s="2"/>
      <c r="G17" s="2"/>
      <c r="H17" s="2" t="str">
        <f>IFERROR(IF(ISBLANK(G17),"",INDEX([1]Gen_Vessels!$A$3:$C$500,MATCH(G17,[1]Gen_Vessels!$C$3:$C$500,0),1)),"")</f>
        <v/>
      </c>
      <c r="I17" s="2"/>
      <c r="J17" s="2"/>
      <c r="K17" s="2"/>
      <c r="L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1" t="str">
        <f t="shared" si="0"/>
        <v/>
      </c>
      <c r="B18" s="2"/>
      <c r="C18" s="2"/>
      <c r="D18" s="2"/>
      <c r="E18" s="2" t="str">
        <f>IFERROR(IF(ISBLANK(D18),"",INDEX([1]Gen_Vessels!$A$3:$C$500,MATCH(D18,[1]Gen_Vessels!$C$3:$C$500,0),1)),"")</f>
        <v/>
      </c>
      <c r="F18" s="2"/>
      <c r="G18" s="2"/>
      <c r="H18" s="2" t="str">
        <f>IFERROR(IF(ISBLANK(G18),"",INDEX([1]Gen_Vessels!$A$3:$C$500,MATCH(G18,[1]Gen_Vessels!$C$3:$C$500,0),1)),"")</f>
        <v/>
      </c>
      <c r="I18" s="2"/>
      <c r="J18" s="2"/>
      <c r="K18" s="2"/>
      <c r="L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1" t="str">
        <f t="shared" si="0"/>
        <v/>
      </c>
      <c r="B19" s="2"/>
      <c r="C19" s="2"/>
      <c r="D19" s="2"/>
      <c r="E19" s="2" t="str">
        <f>IFERROR(IF(ISBLANK(D19),"",INDEX([1]Gen_Vessels!$A$3:$C$500,MATCH(D19,[1]Gen_Vessels!$C$3:$C$500,0),1)),"")</f>
        <v/>
      </c>
      <c r="F19" s="2"/>
      <c r="G19" s="2"/>
      <c r="H19" s="2" t="str">
        <f>IFERROR(IF(ISBLANK(G19),"",INDEX([1]Gen_Vessels!$A$3:$C$500,MATCH(G19,[1]Gen_Vessels!$C$3:$C$500,0),1)),"")</f>
        <v/>
      </c>
      <c r="I19" s="2"/>
      <c r="J19" s="2"/>
      <c r="K19" s="2"/>
      <c r="L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1" t="str">
        <f t="shared" si="0"/>
        <v/>
      </c>
      <c r="B20" s="2"/>
      <c r="C20" s="2"/>
      <c r="D20" s="2"/>
      <c r="E20" s="2" t="str">
        <f>IFERROR(IF(ISBLANK(D20),"",INDEX([1]Gen_Vessels!$A$3:$C$500,MATCH(D20,[1]Gen_Vessels!$C$3:$C$500,0),1)),"")</f>
        <v/>
      </c>
      <c r="F20" s="2"/>
      <c r="G20" s="2"/>
      <c r="H20" s="2" t="str">
        <f>IFERROR(IF(ISBLANK(G20),"",INDEX([1]Gen_Vessels!$A$3:$C$500,MATCH(G20,[1]Gen_Vessels!$C$3:$C$500,0),1)),"")</f>
        <v/>
      </c>
      <c r="I20" s="2"/>
      <c r="J20" s="2"/>
      <c r="K20" s="2"/>
      <c r="L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1" t="str">
        <f t="shared" si="0"/>
        <v/>
      </c>
      <c r="B21" s="2"/>
      <c r="C21" s="2"/>
      <c r="D21" s="2"/>
      <c r="E21" s="2" t="str">
        <f>IFERROR(IF(ISBLANK(D21),"",INDEX([1]Gen_Vessels!$A$3:$C$500,MATCH(D21,[1]Gen_Vessels!$C$3:$C$500,0),1)),"")</f>
        <v/>
      </c>
      <c r="F21" s="2"/>
      <c r="G21" s="2"/>
      <c r="H21" s="2" t="str">
        <f>IFERROR(IF(ISBLANK(G21),"",INDEX([1]Gen_Vessels!$A$3:$C$500,MATCH(G21,[1]Gen_Vessels!$C$3:$C$500,0),1)),"")</f>
        <v/>
      </c>
      <c r="I21" s="2"/>
      <c r="J21" s="2"/>
      <c r="K21" s="2"/>
      <c r="L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1" t="str">
        <f t="shared" si="0"/>
        <v/>
      </c>
      <c r="B22" s="2"/>
      <c r="C22" s="2"/>
      <c r="D22" s="2"/>
      <c r="E22" s="2" t="str">
        <f>IFERROR(IF(ISBLANK(D22),"",INDEX([1]Gen_Vessels!$A$3:$C$500,MATCH(D22,[1]Gen_Vessels!$C$3:$C$500,0),1)),"")</f>
        <v/>
      </c>
      <c r="F22" s="2"/>
      <c r="G22" s="2"/>
      <c r="H22" s="2" t="str">
        <f>IFERROR(IF(ISBLANK(G22),"",INDEX([1]Gen_Vessels!$A$3:$C$500,MATCH(G22,[1]Gen_Vessels!$C$3:$C$500,0),1)),"")</f>
        <v/>
      </c>
      <c r="I22" s="2"/>
      <c r="J22" s="2"/>
      <c r="K22" s="2"/>
      <c r="L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1" t="str">
        <f t="shared" si="0"/>
        <v/>
      </c>
      <c r="B23" s="2"/>
      <c r="C23" s="2"/>
      <c r="D23" s="2"/>
      <c r="E23" s="2" t="str">
        <f>IFERROR(IF(ISBLANK(D23),"",INDEX([1]Gen_Vessels!$A$3:$C$500,MATCH(D23,[1]Gen_Vessels!$C$3:$C$500,0),1)),"")</f>
        <v/>
      </c>
      <c r="F23" s="2"/>
      <c r="G23" s="2"/>
      <c r="H23" s="2" t="str">
        <f>IFERROR(IF(ISBLANK(G23),"",INDEX([1]Gen_Vessels!$A$3:$C$500,MATCH(G23,[1]Gen_Vessels!$C$3:$C$500,0),1)),"")</f>
        <v/>
      </c>
      <c r="I23" s="2"/>
      <c r="J23" s="2"/>
      <c r="K23" s="2"/>
      <c r="L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1" t="str">
        <f t="shared" si="0"/>
        <v/>
      </c>
      <c r="B24" s="2"/>
      <c r="C24" s="2"/>
      <c r="D24" s="2"/>
      <c r="E24" s="2" t="str">
        <f>IFERROR(IF(ISBLANK(D24),"",INDEX([1]Gen_Vessels!$A$3:$C$500,MATCH(D24,[1]Gen_Vessels!$C$3:$C$500,0),1)),"")</f>
        <v/>
      </c>
      <c r="F24" s="2"/>
      <c r="G24" s="2"/>
      <c r="H24" s="2" t="str">
        <f>IFERROR(IF(ISBLANK(G24),"",INDEX([1]Gen_Vessels!$A$3:$C$500,MATCH(G24,[1]Gen_Vessels!$C$3:$C$500,0),1)),"")</f>
        <v/>
      </c>
      <c r="I24" s="2"/>
      <c r="J24" s="2"/>
      <c r="K24" s="2"/>
      <c r="L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1" t="str">
        <f t="shared" si="0"/>
        <v/>
      </c>
      <c r="B25" s="2"/>
      <c r="C25" s="2"/>
      <c r="D25" s="2"/>
      <c r="E25" s="2" t="str">
        <f>IFERROR(IF(ISBLANK(D25),"",INDEX([1]Gen_Vessels!$A$3:$C$500,MATCH(D25,[1]Gen_Vessels!$C$3:$C$500,0),1)),"")</f>
        <v/>
      </c>
      <c r="F25" s="2"/>
      <c r="G25" s="2"/>
      <c r="H25" s="2" t="str">
        <f>IFERROR(IF(ISBLANK(G25),"",INDEX([1]Gen_Vessels!$A$3:$C$500,MATCH(G25,[1]Gen_Vessels!$C$3:$C$500,0),1)),"")</f>
        <v/>
      </c>
      <c r="I25" s="2"/>
      <c r="J25" s="2"/>
      <c r="K25" s="2"/>
      <c r="L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1" t="str">
        <f t="shared" si="0"/>
        <v/>
      </c>
      <c r="B26" s="2"/>
      <c r="C26" s="2"/>
      <c r="D26" s="2"/>
      <c r="E26" s="2" t="str">
        <f>IFERROR(IF(ISBLANK(D26),"",INDEX([1]Gen_Vessels!$A$3:$C$500,MATCH(D26,[1]Gen_Vessels!$C$3:$C$500,0),1)),"")</f>
        <v/>
      </c>
      <c r="F26" s="2"/>
      <c r="G26" s="2"/>
      <c r="H26" s="2" t="str">
        <f>IFERROR(IF(ISBLANK(G26),"",INDEX([1]Gen_Vessels!$A$3:$C$500,MATCH(G26,[1]Gen_Vessels!$C$3:$C$500,0),1)),"")</f>
        <v/>
      </c>
      <c r="I26" s="2"/>
      <c r="J26" s="2"/>
      <c r="K26" s="2"/>
      <c r="L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1" t="str">
        <f t="shared" si="0"/>
        <v/>
      </c>
      <c r="B27" s="2"/>
      <c r="C27" s="2"/>
      <c r="D27" s="2"/>
      <c r="E27" s="2" t="str">
        <f>IFERROR(IF(ISBLANK(D27),"",INDEX([1]Gen_Vessels!$A$3:$C$500,MATCH(D27,[1]Gen_Vessels!$C$3:$C$500,0),1)),"")</f>
        <v/>
      </c>
      <c r="F27" s="2"/>
      <c r="G27" s="2"/>
      <c r="H27" s="2" t="str">
        <f>IFERROR(IF(ISBLANK(G27),"",INDEX([1]Gen_Vessels!$A$3:$C$500,MATCH(G27,[1]Gen_Vessels!$C$3:$C$500,0),1)),"")</f>
        <v/>
      </c>
      <c r="I27" s="2"/>
      <c r="J27" s="2"/>
      <c r="K27" s="2"/>
      <c r="L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1" t="str">
        <f t="shared" si="0"/>
        <v/>
      </c>
      <c r="B28" s="2"/>
      <c r="C28" s="2"/>
      <c r="D28" s="2"/>
      <c r="E28" s="2" t="str">
        <f>IFERROR(IF(ISBLANK(D28),"",INDEX([1]Gen_Vessels!$A$3:$C$500,MATCH(D28,[1]Gen_Vessels!$C$3:$C$500,0),1)),"")</f>
        <v/>
      </c>
      <c r="F28" s="2"/>
      <c r="G28" s="2"/>
      <c r="H28" s="2" t="str">
        <f>IFERROR(IF(ISBLANK(G28),"",INDEX([1]Gen_Vessels!$A$3:$C$500,MATCH(G28,[1]Gen_Vessels!$C$3:$C$500,0),1)),"")</f>
        <v/>
      </c>
      <c r="I28" s="2"/>
      <c r="J28" s="2"/>
      <c r="K28" s="2"/>
      <c r="L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1" t="str">
        <f t="shared" si="0"/>
        <v/>
      </c>
      <c r="B29" s="2"/>
      <c r="C29" s="2"/>
      <c r="D29" s="2"/>
      <c r="E29" s="2" t="str">
        <f>IFERROR(IF(ISBLANK(D29),"",INDEX([1]Gen_Vessels!$A$3:$C$500,MATCH(D29,[1]Gen_Vessels!$C$3:$C$500,0),1)),"")</f>
        <v/>
      </c>
      <c r="F29" s="2"/>
      <c r="G29" s="2"/>
      <c r="H29" s="2" t="str">
        <f>IFERROR(IF(ISBLANK(G29),"",INDEX([1]Gen_Vessels!$A$3:$C$500,MATCH(G29,[1]Gen_Vessels!$C$3:$C$500,0),1)),"")</f>
        <v/>
      </c>
      <c r="I29" s="2"/>
      <c r="J29" s="2"/>
      <c r="K29" s="2"/>
      <c r="L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1" t="str">
        <f t="shared" si="0"/>
        <v/>
      </c>
      <c r="B30" s="2"/>
      <c r="C30" s="2"/>
      <c r="D30" s="2"/>
      <c r="E30" s="2" t="str">
        <f>IFERROR(IF(ISBLANK(D30),"",INDEX([1]Gen_Vessels!$A$3:$C$500,MATCH(D30,[1]Gen_Vessels!$C$3:$C$500,0),1)),"")</f>
        <v/>
      </c>
      <c r="F30" s="2"/>
      <c r="G30" s="2"/>
      <c r="H30" s="2" t="str">
        <f>IFERROR(IF(ISBLANK(G30),"",INDEX([1]Gen_Vessels!$A$3:$C$500,MATCH(G30,[1]Gen_Vessels!$C$3:$C$500,0),1)),"")</f>
        <v/>
      </c>
      <c r="I30" s="2"/>
      <c r="J30" s="2"/>
      <c r="K30" s="2"/>
      <c r="L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1" t="str">
        <f t="shared" si="0"/>
        <v/>
      </c>
      <c r="B31" s="2"/>
      <c r="C31" s="2"/>
      <c r="D31" s="2"/>
      <c r="E31" s="2" t="str">
        <f>IFERROR(IF(ISBLANK(D31),"",INDEX([1]Gen_Vessels!$A$3:$C$500,MATCH(D31,[1]Gen_Vessels!$C$3:$C$500,0),1)),"")</f>
        <v/>
      </c>
      <c r="F31" s="2"/>
      <c r="G31" s="2"/>
      <c r="H31" s="2" t="str">
        <f>IFERROR(IF(ISBLANK(G31),"",INDEX([1]Gen_Vessels!$A$3:$C$500,MATCH(G31,[1]Gen_Vessels!$C$3:$C$500,0),1)),"")</f>
        <v/>
      </c>
      <c r="I31" s="2"/>
      <c r="J31" s="2"/>
      <c r="K31" s="2"/>
      <c r="L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1" t="str">
        <f t="shared" si="0"/>
        <v/>
      </c>
      <c r="B32" s="2"/>
      <c r="C32" s="2"/>
      <c r="D32" s="2"/>
      <c r="E32" s="2" t="str">
        <f>IFERROR(IF(ISBLANK(D32),"",INDEX([1]Gen_Vessels!$A$3:$C$500,MATCH(D32,[1]Gen_Vessels!$C$3:$C$500,0),1)),"")</f>
        <v/>
      </c>
      <c r="F32" s="2"/>
      <c r="G32" s="2"/>
      <c r="H32" s="2" t="str">
        <f>IFERROR(IF(ISBLANK(G32),"",INDEX([1]Gen_Vessels!$A$3:$C$500,MATCH(G32,[1]Gen_Vessels!$C$3:$C$500,0),1)),"")</f>
        <v/>
      </c>
      <c r="I32" s="2"/>
      <c r="J32" s="2"/>
      <c r="K32" s="2"/>
      <c r="L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1" t="str">
        <f t="shared" si="0"/>
        <v/>
      </c>
      <c r="B33" s="2"/>
      <c r="C33" s="2"/>
      <c r="D33" s="2"/>
      <c r="E33" s="2" t="str">
        <f>IFERROR(IF(ISBLANK(D33),"",INDEX([1]Gen_Vessels!$A$3:$C$500,MATCH(D33,[1]Gen_Vessels!$C$3:$C$500,0),1)),"")</f>
        <v/>
      </c>
      <c r="F33" s="2"/>
      <c r="G33" s="2"/>
      <c r="H33" s="2" t="str">
        <f>IFERROR(IF(ISBLANK(G33),"",INDEX([1]Gen_Vessels!$A$3:$C$500,MATCH(G33,[1]Gen_Vessels!$C$3:$C$500,0),1)),"")</f>
        <v/>
      </c>
      <c r="I33" s="2"/>
      <c r="J33" s="2"/>
      <c r="K33" s="2"/>
      <c r="L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1" t="str">
        <f t="shared" si="0"/>
        <v/>
      </c>
      <c r="B34" s="2"/>
      <c r="C34" s="2"/>
      <c r="D34" s="2"/>
      <c r="E34" s="2" t="str">
        <f>IFERROR(IF(ISBLANK(D34),"",INDEX([1]Gen_Vessels!$A$3:$C$500,MATCH(D34,[1]Gen_Vessels!$C$3:$C$500,0),1)),"")</f>
        <v/>
      </c>
      <c r="F34" s="2"/>
      <c r="G34" s="2"/>
      <c r="H34" s="2" t="str">
        <f>IFERROR(IF(ISBLANK(G34),"",INDEX([1]Gen_Vessels!$A$3:$C$500,MATCH(G34,[1]Gen_Vessels!$C$3:$C$500,0),1)),"")</f>
        <v/>
      </c>
      <c r="I34" s="2"/>
      <c r="J34" s="2"/>
      <c r="K34" s="2"/>
      <c r="L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1" t="str">
        <f t="shared" si="0"/>
        <v/>
      </c>
      <c r="B35" s="2"/>
      <c r="C35" s="2"/>
      <c r="D35" s="2"/>
      <c r="E35" s="2" t="str">
        <f>IFERROR(IF(ISBLANK(D35),"",INDEX([1]Gen_Vessels!$A$3:$C$500,MATCH(D35,[1]Gen_Vessels!$C$3:$C$500,0),1)),"")</f>
        <v/>
      </c>
      <c r="F35" s="2"/>
      <c r="G35" s="2"/>
      <c r="H35" s="2" t="str">
        <f>IFERROR(IF(ISBLANK(G35),"",INDEX([1]Gen_Vessels!$A$3:$C$500,MATCH(G35,[1]Gen_Vessels!$C$3:$C$500,0),1)),"")</f>
        <v/>
      </c>
      <c r="I35" s="2"/>
      <c r="J35" s="2"/>
      <c r="K35" s="2"/>
      <c r="L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1" t="str">
        <f t="shared" si="0"/>
        <v/>
      </c>
      <c r="B36" s="2"/>
      <c r="C36" s="2"/>
      <c r="D36" s="2"/>
      <c r="E36" s="2" t="str">
        <f>IFERROR(IF(ISBLANK(D36),"",INDEX([1]Gen_Vessels!$A$3:$C$500,MATCH(D36,[1]Gen_Vessels!$C$3:$C$500,0),1)),"")</f>
        <v/>
      </c>
      <c r="F36" s="2"/>
      <c r="G36" s="2"/>
      <c r="H36" s="2" t="str">
        <f>IFERROR(IF(ISBLANK(G36),"",INDEX([1]Gen_Vessels!$A$3:$C$500,MATCH(G36,[1]Gen_Vessels!$C$3:$C$500,0),1)),"")</f>
        <v/>
      </c>
      <c r="I36" s="2"/>
      <c r="J36" s="2"/>
      <c r="K36" s="2"/>
      <c r="L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1" t="str">
        <f t="shared" si="0"/>
        <v/>
      </c>
      <c r="B37" s="2"/>
      <c r="C37" s="2"/>
      <c r="D37" s="2"/>
      <c r="E37" s="2" t="str">
        <f>IFERROR(IF(ISBLANK(D37),"",INDEX([1]Gen_Vessels!$A$3:$C$500,MATCH(D37,[1]Gen_Vessels!$C$3:$C$500,0),1)),"")</f>
        <v/>
      </c>
      <c r="F37" s="2"/>
      <c r="G37" s="2"/>
      <c r="H37" s="2" t="str">
        <f>IFERROR(IF(ISBLANK(G37),"",INDEX([1]Gen_Vessels!$A$3:$C$500,MATCH(G37,[1]Gen_Vessels!$C$3:$C$500,0),1)),"")</f>
        <v/>
      </c>
      <c r="I37" s="2"/>
      <c r="J37" s="2"/>
      <c r="K37" s="2"/>
      <c r="L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1" t="str">
        <f t="shared" si="0"/>
        <v/>
      </c>
      <c r="B38" s="2"/>
      <c r="C38" s="2"/>
      <c r="D38" s="2"/>
      <c r="E38" s="2" t="str">
        <f>IFERROR(IF(ISBLANK(D38),"",INDEX([1]Gen_Vessels!$A$3:$C$500,MATCH(D38,[1]Gen_Vessels!$C$3:$C$500,0),1)),"")</f>
        <v/>
      </c>
      <c r="F38" s="2"/>
      <c r="G38" s="2"/>
      <c r="H38" s="2" t="str">
        <f>IFERROR(IF(ISBLANK(G38),"",INDEX([1]Gen_Vessels!$A$3:$C$500,MATCH(G38,[1]Gen_Vessels!$C$3:$C$500,0),1)),"")</f>
        <v/>
      </c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1" t="str">
        <f t="shared" si="0"/>
        <v/>
      </c>
      <c r="B39" s="2"/>
      <c r="C39" s="2"/>
      <c r="D39" s="2"/>
      <c r="E39" s="2" t="str">
        <f>IFERROR(IF(ISBLANK(D39),"",INDEX([1]Gen_Vessels!$A$3:$C$500,MATCH(D39,[1]Gen_Vessels!$C$3:$C$500,0),1)),"")</f>
        <v/>
      </c>
      <c r="F39" s="2"/>
      <c r="G39" s="2"/>
      <c r="H39" s="2" t="str">
        <f>IFERROR(IF(ISBLANK(G39),"",INDEX([1]Gen_Vessels!$A$3:$C$500,MATCH(G39,[1]Gen_Vessels!$C$3:$C$500,0),1)),"")</f>
        <v/>
      </c>
      <c r="I39" s="2"/>
      <c r="J39" s="2"/>
      <c r="K39" s="2"/>
      <c r="L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1" t="str">
        <f t="shared" si="0"/>
        <v/>
      </c>
      <c r="B40" s="2"/>
      <c r="C40" s="2"/>
      <c r="D40" s="2"/>
      <c r="E40" s="2" t="str">
        <f>IFERROR(IF(ISBLANK(D40),"",INDEX([1]Gen_Vessels!$A$3:$C$500,MATCH(D40,[1]Gen_Vessels!$C$3:$C$500,0),1)),"")</f>
        <v/>
      </c>
      <c r="F40" s="2"/>
      <c r="G40" s="2"/>
      <c r="H40" s="2" t="str">
        <f>IFERROR(IF(ISBLANK(G40),"",INDEX([1]Gen_Vessels!$A$3:$C$500,MATCH(G40,[1]Gen_Vessels!$C$3:$C$500,0),1)),"")</f>
        <v/>
      </c>
      <c r="I40" s="2"/>
      <c r="J40" s="2"/>
      <c r="K40" s="2"/>
      <c r="L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1" t="str">
        <f t="shared" si="0"/>
        <v/>
      </c>
      <c r="B41" s="2"/>
      <c r="C41" s="2"/>
      <c r="D41" s="2"/>
      <c r="E41" s="2" t="str">
        <f>IFERROR(IF(ISBLANK(D41),"",INDEX([1]Gen_Vessels!$A$3:$C$500,MATCH(D41,[1]Gen_Vessels!$C$3:$C$500,0),1)),"")</f>
        <v/>
      </c>
      <c r="F41" s="2"/>
      <c r="G41" s="2"/>
      <c r="H41" s="2" t="str">
        <f>IFERROR(IF(ISBLANK(G41),"",INDEX([1]Gen_Vessels!$A$3:$C$500,MATCH(G41,[1]Gen_Vessels!$C$3:$C$500,0),1)),"")</f>
        <v/>
      </c>
      <c r="I41" s="2"/>
      <c r="J41" s="2"/>
      <c r="K41" s="2"/>
      <c r="L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1" t="str">
        <f t="shared" si="0"/>
        <v/>
      </c>
      <c r="B42" s="2"/>
      <c r="C42" s="2"/>
      <c r="D42" s="2"/>
      <c r="E42" s="2" t="str">
        <f>IFERROR(IF(ISBLANK(D42),"",INDEX([1]Gen_Vessels!$A$3:$C$500,MATCH(D42,[1]Gen_Vessels!$C$3:$C$500,0),1)),"")</f>
        <v/>
      </c>
      <c r="F42" s="2"/>
      <c r="G42" s="2"/>
      <c r="H42" s="2" t="str">
        <f>IFERROR(IF(ISBLANK(G42),"",INDEX([1]Gen_Vessels!$A$3:$C$500,MATCH(G42,[1]Gen_Vessels!$C$3:$C$500,0),1)),"")</f>
        <v/>
      </c>
      <c r="I42" s="2"/>
      <c r="J42" s="2"/>
      <c r="K42" s="2"/>
      <c r="L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1" t="str">
        <f t="shared" si="0"/>
        <v/>
      </c>
      <c r="B43" s="2"/>
      <c r="C43" s="2"/>
      <c r="D43" s="2"/>
      <c r="E43" s="2" t="str">
        <f>IFERROR(IF(ISBLANK(D43),"",INDEX([1]Gen_Vessels!$A$3:$C$500,MATCH(D43,[1]Gen_Vessels!$C$3:$C$500,0),1)),"")</f>
        <v/>
      </c>
      <c r="F43" s="2"/>
      <c r="G43" s="2"/>
      <c r="H43" s="2" t="str">
        <f>IFERROR(IF(ISBLANK(G43),"",INDEX([1]Gen_Vessels!$A$3:$C$500,MATCH(G43,[1]Gen_Vessels!$C$3:$C$500,0),1)),"")</f>
        <v/>
      </c>
      <c r="I43" s="2"/>
      <c r="J43" s="2"/>
      <c r="K43" s="2"/>
      <c r="L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1" t="str">
        <f t="shared" si="0"/>
        <v/>
      </c>
      <c r="B44" s="2"/>
      <c r="C44" s="2"/>
      <c r="D44" s="2"/>
      <c r="E44" s="2" t="str">
        <f>IFERROR(IF(ISBLANK(D44),"",INDEX([1]Gen_Vessels!$A$3:$C$500,MATCH(D44,[1]Gen_Vessels!$C$3:$C$500,0),1)),"")</f>
        <v/>
      </c>
      <c r="F44" s="2"/>
      <c r="G44" s="2"/>
      <c r="H44" s="2" t="str">
        <f>IFERROR(IF(ISBLANK(G44),"",INDEX([1]Gen_Vessels!$A$3:$C$500,MATCH(G44,[1]Gen_Vessels!$C$3:$C$500,0),1)),"")</f>
        <v/>
      </c>
      <c r="I44" s="2"/>
      <c r="J44" s="2"/>
      <c r="K44" s="2"/>
      <c r="L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1" t="str">
        <f t="shared" si="0"/>
        <v/>
      </c>
      <c r="B45" s="2"/>
      <c r="C45" s="2"/>
      <c r="D45" s="2"/>
      <c r="E45" s="2" t="str">
        <f>IFERROR(IF(ISBLANK(D45),"",INDEX([1]Gen_Vessels!$A$3:$C$500,MATCH(D45,[1]Gen_Vessels!$C$3:$C$500,0),1)),"")</f>
        <v/>
      </c>
      <c r="F45" s="2"/>
      <c r="G45" s="2"/>
      <c r="H45" s="2" t="str">
        <f>IFERROR(IF(ISBLANK(G45),"",INDEX([1]Gen_Vessels!$A$3:$C$500,MATCH(G45,[1]Gen_Vessels!$C$3:$C$500,0),1)),"")</f>
        <v/>
      </c>
      <c r="I45" s="2"/>
      <c r="J45" s="2"/>
      <c r="K45" s="2"/>
      <c r="L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1" t="str">
        <f t="shared" si="0"/>
        <v/>
      </c>
      <c r="B46" s="2"/>
      <c r="C46" s="2"/>
      <c r="D46" s="2"/>
      <c r="E46" s="2" t="str">
        <f>IFERROR(IF(ISBLANK(D46),"",INDEX([1]Gen_Vessels!$A$3:$C$500,MATCH(D46,[1]Gen_Vessels!$C$3:$C$500,0),1)),"")</f>
        <v/>
      </c>
      <c r="F46" s="2"/>
      <c r="G46" s="2"/>
      <c r="H46" s="2" t="str">
        <f>IFERROR(IF(ISBLANK(G46),"",INDEX([1]Gen_Vessels!$A$3:$C$500,MATCH(G46,[1]Gen_Vessels!$C$3:$C$500,0),1)),"")</f>
        <v/>
      </c>
      <c r="I46" s="2"/>
      <c r="J46" s="2"/>
      <c r="K46" s="2"/>
      <c r="L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 t="str">
        <f t="shared" si="0"/>
        <v/>
      </c>
      <c r="B47" s="2"/>
      <c r="C47" s="2"/>
      <c r="D47" s="2"/>
      <c r="E47" s="2" t="str">
        <f>IFERROR(IF(ISBLANK(D47),"",INDEX([1]Gen_Vessels!$A$3:$C$500,MATCH(D47,[1]Gen_Vessels!$C$3:$C$500,0),1)),"")</f>
        <v/>
      </c>
      <c r="F47" s="2"/>
      <c r="G47" s="2"/>
      <c r="H47" s="2" t="str">
        <f>IFERROR(IF(ISBLANK(G47),"",INDEX([1]Gen_Vessels!$A$3:$C$500,MATCH(G47,[1]Gen_Vessels!$C$3:$C$500,0),1)),"")</f>
        <v/>
      </c>
      <c r="I47" s="2"/>
      <c r="J47" s="2"/>
      <c r="K47" s="2"/>
      <c r="L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 t="str">
        <f t="shared" si="0"/>
        <v/>
      </c>
      <c r="B48" s="2"/>
      <c r="C48" s="2"/>
      <c r="D48" s="2"/>
      <c r="E48" s="2" t="str">
        <f>IFERROR(IF(ISBLANK(D48),"",INDEX([1]Gen_Vessels!$A$3:$C$500,MATCH(D48,[1]Gen_Vessels!$C$3:$C$500,0),1)),"")</f>
        <v/>
      </c>
      <c r="F48" s="2"/>
      <c r="G48" s="2"/>
      <c r="H48" s="2" t="str">
        <f>IFERROR(IF(ISBLANK(G48),"",INDEX([1]Gen_Vessels!$A$3:$C$500,MATCH(G48,[1]Gen_Vessels!$C$3:$C$500,0),1)),"")</f>
        <v/>
      </c>
      <c r="I48" s="2"/>
      <c r="J48" s="2"/>
      <c r="K48" s="2"/>
      <c r="L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 t="str">
        <f t="shared" si="0"/>
        <v/>
      </c>
      <c r="B49" s="2"/>
      <c r="C49" s="2"/>
      <c r="D49" s="2"/>
      <c r="E49" s="2" t="str">
        <f>IFERROR(IF(ISBLANK(D49),"",INDEX([1]Gen_Vessels!$A$3:$C$500,MATCH(D49,[1]Gen_Vessels!$C$3:$C$500,0),1)),"")</f>
        <v/>
      </c>
      <c r="F49" s="2"/>
      <c r="G49" s="2"/>
      <c r="H49" s="2" t="str">
        <f>IFERROR(IF(ISBLANK(G49),"",INDEX([1]Gen_Vessels!$A$3:$C$500,MATCH(G49,[1]Gen_Vessels!$C$3:$C$500,0),1)),"")</f>
        <v/>
      </c>
      <c r="I49" s="2"/>
      <c r="J49" s="2"/>
      <c r="K49" s="2"/>
      <c r="L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 t="str">
        <f t="shared" si="0"/>
        <v/>
      </c>
      <c r="B50" s="2"/>
      <c r="C50" s="2"/>
      <c r="D50" s="2"/>
      <c r="E50" s="2" t="str">
        <f>IFERROR(IF(ISBLANK(D50),"",INDEX([1]Gen_Vessels!$A$3:$C$500,MATCH(D50,[1]Gen_Vessels!$C$3:$C$500,0),1)),"")</f>
        <v/>
      </c>
      <c r="F50" s="2"/>
      <c r="G50" s="2"/>
      <c r="H50" s="2" t="str">
        <f>IFERROR(IF(ISBLANK(G50),"",INDEX([1]Gen_Vessels!$A$3:$C$500,MATCH(G50,[1]Gen_Vessels!$C$3:$C$500,0),1)),"")</f>
        <v/>
      </c>
      <c r="I50" s="2"/>
      <c r="J50" s="2"/>
      <c r="K50" s="2"/>
      <c r="L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 t="str">
        <f t="shared" si="0"/>
        <v/>
      </c>
      <c r="B51" s="2"/>
      <c r="C51" s="2"/>
      <c r="D51" s="2"/>
      <c r="E51" s="2" t="str">
        <f>IFERROR(IF(ISBLANK(D51),"",INDEX([1]Gen_Vessels!$A$3:$C$500,MATCH(D51,[1]Gen_Vessels!$C$3:$C$500,0),1)),"")</f>
        <v/>
      </c>
      <c r="F51" s="2"/>
      <c r="G51" s="2"/>
      <c r="H51" s="2" t="str">
        <f>IFERROR(IF(ISBLANK(G51),"",INDEX([1]Gen_Vessels!$A$3:$C$500,MATCH(G51,[1]Gen_Vessels!$C$3:$C$500,0),1)),"")</f>
        <v/>
      </c>
      <c r="I51" s="2"/>
      <c r="J51" s="2"/>
      <c r="K51" s="2"/>
      <c r="L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 t="str">
        <f t="shared" si="0"/>
        <v/>
      </c>
      <c r="B52" s="2"/>
      <c r="C52" s="2"/>
      <c r="D52" s="2"/>
      <c r="E52" s="2" t="str">
        <f>IFERROR(IF(ISBLANK(D52),"",INDEX([1]Gen_Vessels!$A$3:$C$500,MATCH(D52,[1]Gen_Vessels!$C$3:$C$500,0),1)),"")</f>
        <v/>
      </c>
      <c r="F52" s="2"/>
      <c r="G52" s="2"/>
      <c r="H52" s="2" t="str">
        <f>IFERROR(IF(ISBLANK(G52),"",INDEX([1]Gen_Vessels!$A$3:$C$500,MATCH(G52,[1]Gen_Vessels!$C$3:$C$500,0),1)),"")</f>
        <v/>
      </c>
      <c r="I52" s="2"/>
      <c r="J52" s="2"/>
      <c r="K52" s="2"/>
      <c r="L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 t="str">
        <f t="shared" si="0"/>
        <v/>
      </c>
      <c r="B53" s="2"/>
      <c r="C53" s="2"/>
      <c r="D53" s="2"/>
      <c r="E53" s="2" t="str">
        <f>IFERROR(IF(ISBLANK(D53),"",INDEX([1]Gen_Vessels!$A$3:$C$500,MATCH(D53,[1]Gen_Vessels!$C$3:$C$500,0),1)),"")</f>
        <v/>
      </c>
      <c r="F53" s="2"/>
      <c r="G53" s="2"/>
      <c r="H53" s="2" t="str">
        <f>IFERROR(IF(ISBLANK(G53),"",INDEX([1]Gen_Vessels!$A$3:$C$500,MATCH(G53,[1]Gen_Vessels!$C$3:$C$500,0),1)),"")</f>
        <v/>
      </c>
      <c r="I53" s="2"/>
      <c r="J53" s="2"/>
      <c r="K53" s="2"/>
      <c r="L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 t="str">
        <f t="shared" si="0"/>
        <v/>
      </c>
      <c r="B54" s="2"/>
      <c r="C54" s="2"/>
      <c r="D54" s="2"/>
      <c r="E54" s="2" t="str">
        <f>IFERROR(IF(ISBLANK(D54),"",INDEX([1]Gen_Vessels!$A$3:$C$500,MATCH(D54,[1]Gen_Vessels!$C$3:$C$500,0),1)),"")</f>
        <v/>
      </c>
      <c r="F54" s="2"/>
      <c r="G54" s="2"/>
      <c r="H54" s="2" t="str">
        <f>IFERROR(IF(ISBLANK(G54),"",INDEX([1]Gen_Vessels!$A$3:$C$500,MATCH(G54,[1]Gen_Vessels!$C$3:$C$500,0),1)),"")</f>
        <v/>
      </c>
      <c r="I54" s="2"/>
      <c r="J54" s="2"/>
      <c r="K54" s="2"/>
      <c r="L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 t="str">
        <f t="shared" si="0"/>
        <v/>
      </c>
      <c r="B55" s="2"/>
      <c r="C55" s="2"/>
      <c r="D55" s="2"/>
      <c r="E55" s="2" t="str">
        <f>IFERROR(IF(ISBLANK(D55),"",INDEX([1]Gen_Vessels!$A$3:$C$500,MATCH(D55,[1]Gen_Vessels!$C$3:$C$500,0),1)),"")</f>
        <v/>
      </c>
      <c r="F55" s="2"/>
      <c r="G55" s="2"/>
      <c r="H55" s="2" t="str">
        <f>IFERROR(IF(ISBLANK(G55),"",INDEX([1]Gen_Vessels!$A$3:$C$500,MATCH(G55,[1]Gen_Vessels!$C$3:$C$500,0),1)),"")</f>
        <v/>
      </c>
      <c r="I55" s="2"/>
      <c r="J55" s="2"/>
      <c r="K55" s="2"/>
      <c r="L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 t="str">
        <f t="shared" si="0"/>
        <v/>
      </c>
      <c r="B56" s="2"/>
      <c r="C56" s="2"/>
      <c r="D56" s="2"/>
      <c r="E56" s="2" t="str">
        <f>IFERROR(IF(ISBLANK(D56),"",INDEX([1]Gen_Vessels!$A$3:$C$500,MATCH(D56,[1]Gen_Vessels!$C$3:$C$500,0),1)),"")</f>
        <v/>
      </c>
      <c r="F56" s="2"/>
      <c r="G56" s="2"/>
      <c r="H56" s="2" t="str">
        <f>IFERROR(IF(ISBLANK(G56),"",INDEX([1]Gen_Vessels!$A$3:$C$500,MATCH(G56,[1]Gen_Vessels!$C$3:$C$500,0),1)),"")</f>
        <v/>
      </c>
      <c r="I56" s="2"/>
      <c r="J56" s="2"/>
      <c r="K56" s="2"/>
      <c r="L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 t="str">
        <f t="shared" si="0"/>
        <v/>
      </c>
      <c r="B57" s="2"/>
      <c r="C57" s="2"/>
      <c r="D57" s="2"/>
      <c r="E57" s="2" t="str">
        <f>IFERROR(IF(ISBLANK(D57),"",INDEX([1]Gen_Vessels!$A$3:$C$500,MATCH(D57,[1]Gen_Vessels!$C$3:$C$500,0),1)),"")</f>
        <v/>
      </c>
      <c r="F57" s="2"/>
      <c r="G57" s="2"/>
      <c r="H57" s="2" t="str">
        <f>IFERROR(IF(ISBLANK(G57),"",INDEX([1]Gen_Vessels!$A$3:$C$500,MATCH(G57,[1]Gen_Vessels!$C$3:$C$500,0),1)),"")</f>
        <v/>
      </c>
      <c r="I57" s="2"/>
      <c r="J57" s="2"/>
      <c r="K57" s="2"/>
      <c r="L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 t="str">
        <f t="shared" si="0"/>
        <v/>
      </c>
      <c r="B58" s="2"/>
      <c r="C58" s="2"/>
      <c r="D58" s="2"/>
      <c r="E58" s="2" t="str">
        <f>IFERROR(IF(ISBLANK(D58),"",INDEX([1]Gen_Vessels!$A$3:$C$500,MATCH(D58,[1]Gen_Vessels!$C$3:$C$500,0),1)),"")</f>
        <v/>
      </c>
      <c r="F58" s="2"/>
      <c r="G58" s="2"/>
      <c r="H58" s="2" t="str">
        <f>IFERROR(IF(ISBLANK(G58),"",INDEX([1]Gen_Vessels!$A$3:$C$500,MATCH(G58,[1]Gen_Vessels!$C$3:$C$500,0),1)),"")</f>
        <v/>
      </c>
      <c r="I58" s="2"/>
      <c r="J58" s="2"/>
      <c r="K58" s="2"/>
      <c r="L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 t="str">
        <f t="shared" si="0"/>
        <v/>
      </c>
      <c r="B59" s="2"/>
      <c r="C59" s="2"/>
      <c r="D59" s="2"/>
      <c r="E59" s="2" t="str">
        <f>IFERROR(IF(ISBLANK(D59),"",INDEX([1]Gen_Vessels!$A$3:$C$500,MATCH(D59,[1]Gen_Vessels!$C$3:$C$500,0),1)),"")</f>
        <v/>
      </c>
      <c r="F59" s="2"/>
      <c r="G59" s="2"/>
      <c r="H59" s="2" t="str">
        <f>IFERROR(IF(ISBLANK(G59),"",INDEX([1]Gen_Vessels!$A$3:$C$500,MATCH(G59,[1]Gen_Vessels!$C$3:$C$500,0),1)),"")</f>
        <v/>
      </c>
      <c r="I59" s="2"/>
      <c r="J59" s="2"/>
      <c r="K59" s="2"/>
      <c r="L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 t="str">
        <f t="shared" si="0"/>
        <v/>
      </c>
      <c r="B60" s="2"/>
      <c r="C60" s="2"/>
      <c r="D60" s="2"/>
      <c r="E60" s="2" t="str">
        <f>IFERROR(IF(ISBLANK(D60),"",INDEX([1]Gen_Vessels!$A$3:$C$500,MATCH(D60,[1]Gen_Vessels!$C$3:$C$500,0),1)),"")</f>
        <v/>
      </c>
      <c r="F60" s="2"/>
      <c r="G60" s="2"/>
      <c r="H60" s="2" t="str">
        <f>IFERROR(IF(ISBLANK(G60),"",INDEX([1]Gen_Vessels!$A$3:$C$500,MATCH(G60,[1]Gen_Vessels!$C$3:$C$500,0),1)),"")</f>
        <v/>
      </c>
      <c r="I60" s="2"/>
      <c r="J60" s="2"/>
      <c r="K60" s="2"/>
      <c r="L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1" t="str">
        <f t="shared" si="0"/>
        <v/>
      </c>
      <c r="B61" s="2"/>
      <c r="C61" s="2"/>
      <c r="D61" s="2"/>
      <c r="E61" s="2" t="str">
        <f>IFERROR(IF(ISBLANK(D61),"",INDEX([1]Gen_Vessels!$A$3:$C$500,MATCH(D61,[1]Gen_Vessels!$C$3:$C$500,0),1)),"")</f>
        <v/>
      </c>
      <c r="F61" s="2"/>
      <c r="G61" s="2"/>
      <c r="H61" s="2" t="str">
        <f>IFERROR(IF(ISBLANK(G61),"",INDEX([1]Gen_Vessels!$A$3:$C$500,MATCH(G61,[1]Gen_Vessels!$C$3:$C$500,0),1)),"")</f>
        <v/>
      </c>
      <c r="I61" s="2"/>
      <c r="J61" s="2"/>
      <c r="K61" s="2"/>
      <c r="L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1" t="str">
        <f t="shared" si="0"/>
        <v/>
      </c>
      <c r="B62" s="2"/>
      <c r="C62" s="2"/>
      <c r="D62" s="2"/>
      <c r="E62" s="2" t="str">
        <f>IFERROR(IF(ISBLANK(D62),"",INDEX([1]Gen_Vessels!$A$3:$C$500,MATCH(D62,[1]Gen_Vessels!$C$3:$C$500,0),1)),"")</f>
        <v/>
      </c>
      <c r="F62" s="2"/>
      <c r="G62" s="2"/>
      <c r="H62" s="2" t="str">
        <f>IFERROR(IF(ISBLANK(G62),"",INDEX([1]Gen_Vessels!$A$3:$C$500,MATCH(G62,[1]Gen_Vessels!$C$3:$C$500,0),1)),"")</f>
        <v/>
      </c>
      <c r="I62" s="2"/>
      <c r="J62" s="2"/>
      <c r="K62" s="2"/>
      <c r="L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1" t="str">
        <f t="shared" si="0"/>
        <v/>
      </c>
      <c r="B63" s="2"/>
      <c r="C63" s="2"/>
      <c r="D63" s="2"/>
      <c r="E63" s="2" t="str">
        <f>IFERROR(IF(ISBLANK(D63),"",INDEX([1]Gen_Vessels!$A$3:$C$500,MATCH(D63,[1]Gen_Vessels!$C$3:$C$500,0),1)),"")</f>
        <v/>
      </c>
      <c r="F63" s="2"/>
      <c r="G63" s="2"/>
      <c r="H63" s="2" t="str">
        <f>IFERROR(IF(ISBLANK(G63),"",INDEX([1]Gen_Vessels!$A$3:$C$500,MATCH(G63,[1]Gen_Vessels!$C$3:$C$500,0),1)),"")</f>
        <v/>
      </c>
      <c r="I63" s="2"/>
      <c r="J63" s="2"/>
      <c r="K63" s="2"/>
      <c r="L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1" t="str">
        <f t="shared" si="0"/>
        <v/>
      </c>
      <c r="B64" s="2"/>
      <c r="C64" s="2"/>
      <c r="D64" s="2"/>
      <c r="E64" s="2" t="str">
        <f>IFERROR(IF(ISBLANK(D64),"",INDEX([1]Gen_Vessels!$A$3:$C$500,MATCH(D64,[1]Gen_Vessels!$C$3:$C$500,0),1)),"")</f>
        <v/>
      </c>
      <c r="F64" s="2"/>
      <c r="G64" s="2"/>
      <c r="H64" s="2" t="str">
        <f>IFERROR(IF(ISBLANK(G64),"",INDEX([1]Gen_Vessels!$A$3:$C$500,MATCH(G64,[1]Gen_Vessels!$C$3:$C$500,0),1)),"")</f>
        <v/>
      </c>
      <c r="I64" s="2"/>
      <c r="J64" s="2"/>
      <c r="K64" s="2"/>
      <c r="L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1" t="str">
        <f t="shared" si="0"/>
        <v/>
      </c>
      <c r="B65" s="2"/>
      <c r="C65" s="2"/>
      <c r="D65" s="2"/>
      <c r="E65" s="2" t="str">
        <f>IFERROR(IF(ISBLANK(D65),"",INDEX([1]Gen_Vessels!$A$3:$C$500,MATCH(D65,[1]Gen_Vessels!$C$3:$C$500,0),1)),"")</f>
        <v/>
      </c>
      <c r="F65" s="2"/>
      <c r="G65" s="2"/>
      <c r="H65" s="2" t="str">
        <f>IFERROR(IF(ISBLANK(G65),"",INDEX([1]Gen_Vessels!$A$3:$C$500,MATCH(G65,[1]Gen_Vessels!$C$3:$C$500,0),1)),"")</f>
        <v/>
      </c>
      <c r="I65" s="2"/>
      <c r="J65" s="2"/>
      <c r="K65" s="2"/>
      <c r="L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1" t="str">
        <f t="shared" si="0"/>
        <v/>
      </c>
      <c r="B66" s="2"/>
      <c r="C66" s="2"/>
      <c r="D66" s="2"/>
      <c r="E66" s="2" t="str">
        <f>IFERROR(IF(ISBLANK(D66),"",INDEX([1]Gen_Vessels!$A$3:$C$500,MATCH(D66,[1]Gen_Vessels!$C$3:$C$500,0),1)),"")</f>
        <v/>
      </c>
      <c r="F66" s="2"/>
      <c r="G66" s="2"/>
      <c r="H66" s="2" t="str">
        <f>IFERROR(IF(ISBLANK(G66),"",INDEX([1]Gen_Vessels!$A$3:$C$500,MATCH(G66,[1]Gen_Vessels!$C$3:$C$500,0),1)),"")</f>
        <v/>
      </c>
      <c r="I66" s="2"/>
      <c r="J66" s="2"/>
      <c r="K66" s="2"/>
      <c r="L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1" t="str">
        <f t="shared" si="0"/>
        <v/>
      </c>
      <c r="B67" s="2"/>
      <c r="C67" s="2"/>
      <c r="D67" s="2"/>
      <c r="E67" s="2" t="str">
        <f>IFERROR(IF(ISBLANK(D67),"",INDEX([1]Gen_Vessels!$A$3:$C$500,MATCH(D67,[1]Gen_Vessels!$C$3:$C$500,0),1)),"")</f>
        <v/>
      </c>
      <c r="F67" s="2"/>
      <c r="G67" s="2"/>
      <c r="H67" s="2" t="str">
        <f>IFERROR(IF(ISBLANK(G67),"",INDEX([1]Gen_Vessels!$A$3:$C$500,MATCH(G67,[1]Gen_Vessels!$C$3:$C$500,0),1)),"")</f>
        <v/>
      </c>
      <c r="I67" s="2"/>
      <c r="J67" s="2"/>
      <c r="K67" s="2"/>
      <c r="L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1" t="str">
        <f t="shared" ref="A68:A131" si="1">IF(ISBLANK($B68)=FALSE,_xlfn.CONCAT($B68,"_tow"),"")</f>
        <v/>
      </c>
      <c r="B68" s="2"/>
      <c r="C68" s="2"/>
      <c r="D68" s="2"/>
      <c r="E68" s="2" t="str">
        <f>IFERROR(IF(ISBLANK(D68),"",INDEX([1]Gen_Vessels!$A$3:$C$500,MATCH(D68,[1]Gen_Vessels!$C$3:$C$500,0),1)),"")</f>
        <v/>
      </c>
      <c r="F68" s="2"/>
      <c r="G68" s="2"/>
      <c r="H68" s="2" t="str">
        <f>IFERROR(IF(ISBLANK(G68),"",INDEX([1]Gen_Vessels!$A$3:$C$500,MATCH(G68,[1]Gen_Vessels!$C$3:$C$500,0),1)),"")</f>
        <v/>
      </c>
      <c r="I68" s="2"/>
      <c r="J68" s="2"/>
      <c r="K68" s="2"/>
      <c r="L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1" t="str">
        <f t="shared" si="1"/>
        <v/>
      </c>
      <c r="B69" s="2"/>
      <c r="C69" s="2"/>
      <c r="D69" s="2"/>
      <c r="E69" s="2" t="str">
        <f>IFERROR(IF(ISBLANK(D69),"",INDEX([1]Gen_Vessels!$A$3:$C$500,MATCH(D69,[1]Gen_Vessels!$C$3:$C$500,0),1)),"")</f>
        <v/>
      </c>
      <c r="F69" s="2"/>
      <c r="G69" s="2"/>
      <c r="H69" s="2" t="str">
        <f>IFERROR(IF(ISBLANK(G69),"",INDEX([1]Gen_Vessels!$A$3:$C$500,MATCH(G69,[1]Gen_Vessels!$C$3:$C$500,0),1)),"")</f>
        <v/>
      </c>
      <c r="I69" s="2"/>
      <c r="J69" s="2"/>
      <c r="K69" s="2"/>
      <c r="L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1" t="str">
        <f t="shared" si="1"/>
        <v/>
      </c>
      <c r="B70" s="2"/>
      <c r="C70" s="2"/>
      <c r="D70" s="2"/>
      <c r="E70" s="2" t="str">
        <f>IFERROR(IF(ISBLANK(D70),"",INDEX([1]Gen_Vessels!$A$3:$C$500,MATCH(D70,[1]Gen_Vessels!$C$3:$C$500,0),1)),"")</f>
        <v/>
      </c>
      <c r="F70" s="2"/>
      <c r="G70" s="2"/>
      <c r="H70" s="2" t="str">
        <f>IFERROR(IF(ISBLANK(G70),"",INDEX([1]Gen_Vessels!$A$3:$C$500,MATCH(G70,[1]Gen_Vessels!$C$3:$C$500,0),1)),"")</f>
        <v/>
      </c>
      <c r="I70" s="2"/>
      <c r="J70" s="2"/>
      <c r="K70" s="2"/>
      <c r="L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1" t="str">
        <f t="shared" si="1"/>
        <v/>
      </c>
      <c r="B71" s="2"/>
      <c r="C71" s="2"/>
      <c r="D71" s="2"/>
      <c r="E71" s="2" t="str">
        <f>IFERROR(IF(ISBLANK(D71),"",INDEX([1]Gen_Vessels!$A$3:$C$500,MATCH(D71,[1]Gen_Vessels!$C$3:$C$500,0),1)),"")</f>
        <v/>
      </c>
      <c r="F71" s="2"/>
      <c r="G71" s="2"/>
      <c r="H71" s="2" t="str">
        <f>IFERROR(IF(ISBLANK(G71),"",INDEX([1]Gen_Vessels!$A$3:$C$500,MATCH(G71,[1]Gen_Vessels!$C$3:$C$500,0),1)),"")</f>
        <v/>
      </c>
      <c r="I71" s="2"/>
      <c r="J71" s="2"/>
      <c r="K71" s="2"/>
      <c r="L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1" t="str">
        <f t="shared" si="1"/>
        <v/>
      </c>
      <c r="B72" s="2"/>
      <c r="C72" s="2"/>
      <c r="D72" s="2"/>
      <c r="E72" s="2" t="str">
        <f>IFERROR(IF(ISBLANK(D72),"",INDEX([1]Gen_Vessels!$A$3:$C$500,MATCH(D72,[1]Gen_Vessels!$C$3:$C$500,0),1)),"")</f>
        <v/>
      </c>
      <c r="F72" s="2"/>
      <c r="G72" s="2"/>
      <c r="H72" s="2" t="str">
        <f>IFERROR(IF(ISBLANK(G72),"",INDEX([1]Gen_Vessels!$A$3:$C$500,MATCH(G72,[1]Gen_Vessels!$C$3:$C$500,0),1)),"")</f>
        <v/>
      </c>
      <c r="I72" s="2"/>
      <c r="J72" s="2"/>
      <c r="K72" s="2"/>
      <c r="L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1" t="str">
        <f t="shared" si="1"/>
        <v/>
      </c>
      <c r="B73" s="2"/>
      <c r="C73" s="2"/>
      <c r="D73" s="2"/>
      <c r="E73" s="2" t="str">
        <f>IFERROR(IF(ISBLANK(D73),"",INDEX([1]Gen_Vessels!$A$3:$C$500,MATCH(D73,[1]Gen_Vessels!$C$3:$C$500,0),1)),"")</f>
        <v/>
      </c>
      <c r="F73" s="2"/>
      <c r="G73" s="2"/>
      <c r="H73" s="2" t="str">
        <f>IFERROR(IF(ISBLANK(G73),"",INDEX([1]Gen_Vessels!$A$3:$C$500,MATCH(G73,[1]Gen_Vessels!$C$3:$C$500,0),1)),"")</f>
        <v/>
      </c>
      <c r="I73" s="2"/>
      <c r="J73" s="2"/>
      <c r="K73" s="2"/>
      <c r="L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1" t="str">
        <f t="shared" si="1"/>
        <v/>
      </c>
      <c r="B74" s="2"/>
      <c r="C74" s="2"/>
      <c r="D74" s="2"/>
      <c r="E74" s="2" t="str">
        <f>IFERROR(IF(ISBLANK(D74),"",INDEX([1]Gen_Vessels!$A$3:$C$500,MATCH(D74,[1]Gen_Vessels!$C$3:$C$500,0),1)),"")</f>
        <v/>
      </c>
      <c r="F74" s="2"/>
      <c r="G74" s="2"/>
      <c r="H74" s="2" t="str">
        <f>IFERROR(IF(ISBLANK(G74),"",INDEX([1]Gen_Vessels!$A$3:$C$500,MATCH(G74,[1]Gen_Vessels!$C$3:$C$500,0),1)),"")</f>
        <v/>
      </c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1" t="str">
        <f t="shared" si="1"/>
        <v/>
      </c>
      <c r="B75" s="2"/>
      <c r="C75" s="2"/>
      <c r="D75" s="2"/>
      <c r="E75" s="2" t="str">
        <f>IFERROR(IF(ISBLANK(D75),"",INDEX([1]Gen_Vessels!$A$3:$C$500,MATCH(D75,[1]Gen_Vessels!$C$3:$C$500,0),1)),"")</f>
        <v/>
      </c>
      <c r="F75" s="2"/>
      <c r="G75" s="2"/>
      <c r="H75" s="2" t="str">
        <f>IFERROR(IF(ISBLANK(G75),"",INDEX([1]Gen_Vessels!$A$3:$C$500,MATCH(G75,[1]Gen_Vessels!$C$3:$C$500,0),1)),"")</f>
        <v/>
      </c>
      <c r="I75" s="2"/>
      <c r="J75" s="2"/>
      <c r="K75" s="2"/>
      <c r="L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1" t="str">
        <f t="shared" si="1"/>
        <v/>
      </c>
      <c r="B76" s="2"/>
      <c r="C76" s="2"/>
      <c r="D76" s="2"/>
      <c r="E76" s="2" t="str">
        <f>IFERROR(IF(ISBLANK(D76),"",INDEX([1]Gen_Vessels!$A$3:$C$500,MATCH(D76,[1]Gen_Vessels!$C$3:$C$500,0),1)),"")</f>
        <v/>
      </c>
      <c r="F76" s="2"/>
      <c r="G76" s="2"/>
      <c r="H76" s="2" t="str">
        <f>IFERROR(IF(ISBLANK(G76),"",INDEX([1]Gen_Vessels!$A$3:$C$500,MATCH(G76,[1]Gen_Vessels!$C$3:$C$500,0),1)),"")</f>
        <v/>
      </c>
      <c r="I76" s="2"/>
      <c r="J76" s="2"/>
      <c r="K76" s="2"/>
      <c r="L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1" t="str">
        <f t="shared" si="1"/>
        <v/>
      </c>
      <c r="B77" s="2"/>
      <c r="C77" s="2"/>
      <c r="D77" s="2"/>
      <c r="E77" s="2" t="str">
        <f>IFERROR(IF(ISBLANK(D77),"",INDEX([1]Gen_Vessels!$A$3:$C$500,MATCH(D77,[1]Gen_Vessels!$C$3:$C$500,0),1)),"")</f>
        <v/>
      </c>
      <c r="F77" s="2"/>
      <c r="G77" s="2"/>
      <c r="H77" s="2" t="str">
        <f>IFERROR(IF(ISBLANK(G77),"",INDEX([1]Gen_Vessels!$A$3:$C$500,MATCH(G77,[1]Gen_Vessels!$C$3:$C$500,0),1)),"")</f>
        <v/>
      </c>
      <c r="I77" s="2"/>
      <c r="J77" s="2"/>
      <c r="K77" s="2"/>
      <c r="L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1" t="str">
        <f t="shared" si="1"/>
        <v/>
      </c>
      <c r="B78" s="2"/>
      <c r="C78" s="2"/>
      <c r="D78" s="2"/>
      <c r="E78" s="2" t="str">
        <f>IFERROR(IF(ISBLANK(D78),"",INDEX([1]Gen_Vessels!$A$3:$C$500,MATCH(D78,[1]Gen_Vessels!$C$3:$C$500,0),1)),"")</f>
        <v/>
      </c>
      <c r="F78" s="2"/>
      <c r="G78" s="2"/>
      <c r="H78" s="2" t="str">
        <f>IFERROR(IF(ISBLANK(G78),"",INDEX([1]Gen_Vessels!$A$3:$C$500,MATCH(G78,[1]Gen_Vessels!$C$3:$C$500,0),1)),"")</f>
        <v/>
      </c>
      <c r="I78" s="2"/>
      <c r="J78" s="2"/>
      <c r="K78" s="2"/>
      <c r="L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1" t="str">
        <f t="shared" si="1"/>
        <v/>
      </c>
      <c r="B79" s="2"/>
      <c r="C79" s="2"/>
      <c r="D79" s="2"/>
      <c r="E79" s="2" t="str">
        <f>IFERROR(IF(ISBLANK(D79),"",INDEX([1]Gen_Vessels!$A$3:$C$500,MATCH(D79,[1]Gen_Vessels!$C$3:$C$500,0),1)),"")</f>
        <v/>
      </c>
      <c r="F79" s="2"/>
      <c r="G79" s="2"/>
      <c r="H79" s="2" t="str">
        <f>IFERROR(IF(ISBLANK(G79),"",INDEX([1]Gen_Vessels!$A$3:$C$500,MATCH(G79,[1]Gen_Vessels!$C$3:$C$500,0),1)),"")</f>
        <v/>
      </c>
      <c r="I79" s="2"/>
      <c r="J79" s="2"/>
      <c r="K79" s="2"/>
      <c r="L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1" t="str">
        <f t="shared" si="1"/>
        <v/>
      </c>
      <c r="B80" s="2"/>
      <c r="C80" s="2"/>
      <c r="D80" s="2"/>
      <c r="E80" s="2" t="str">
        <f>IFERROR(IF(ISBLANK(D80),"",INDEX([1]Gen_Vessels!$A$3:$C$500,MATCH(D80,[1]Gen_Vessels!$C$3:$C$500,0),1)),"")</f>
        <v/>
      </c>
      <c r="F80" s="2"/>
      <c r="G80" s="2"/>
      <c r="H80" s="2" t="str">
        <f>IFERROR(IF(ISBLANK(G80),"",INDEX([1]Gen_Vessels!$A$3:$C$500,MATCH(G80,[1]Gen_Vessels!$C$3:$C$500,0),1)),"")</f>
        <v/>
      </c>
      <c r="I80" s="2"/>
      <c r="J80" s="2"/>
      <c r="K80" s="2"/>
      <c r="L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1" t="str">
        <f t="shared" si="1"/>
        <v/>
      </c>
      <c r="B81" s="2"/>
      <c r="C81" s="2"/>
      <c r="D81" s="2"/>
      <c r="E81" s="2" t="str">
        <f>IFERROR(IF(ISBLANK(D81),"",INDEX([1]Gen_Vessels!$A$3:$C$500,MATCH(D81,[1]Gen_Vessels!$C$3:$C$500,0),1)),"")</f>
        <v/>
      </c>
      <c r="F81" s="2"/>
      <c r="G81" s="2"/>
      <c r="H81" s="2" t="str">
        <f>IFERROR(IF(ISBLANK(G81),"",INDEX([1]Gen_Vessels!$A$3:$C$500,MATCH(G81,[1]Gen_Vessels!$C$3:$C$500,0),1)),"")</f>
        <v/>
      </c>
      <c r="I81" s="2"/>
      <c r="J81" s="2"/>
      <c r="K81" s="2"/>
      <c r="L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1" t="str">
        <f t="shared" si="1"/>
        <v/>
      </c>
      <c r="B82" s="2"/>
      <c r="C82" s="2"/>
      <c r="D82" s="2"/>
      <c r="E82" s="2" t="str">
        <f>IFERROR(IF(ISBLANK(D82),"",INDEX([1]Gen_Vessels!$A$3:$C$500,MATCH(D82,[1]Gen_Vessels!$C$3:$C$500,0),1)),"")</f>
        <v/>
      </c>
      <c r="F82" s="2"/>
      <c r="G82" s="2"/>
      <c r="H82" s="2" t="str">
        <f>IFERROR(IF(ISBLANK(G82),"",INDEX([1]Gen_Vessels!$A$3:$C$500,MATCH(G82,[1]Gen_Vessels!$C$3:$C$500,0),1)),"")</f>
        <v/>
      </c>
      <c r="I82" s="2"/>
      <c r="J82" s="2"/>
      <c r="K82" s="2"/>
      <c r="L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1" t="str">
        <f t="shared" si="1"/>
        <v/>
      </c>
      <c r="B83" s="2"/>
      <c r="C83" s="2"/>
      <c r="D83" s="2"/>
      <c r="E83" s="2" t="str">
        <f>IFERROR(IF(ISBLANK(D83),"",INDEX([1]Gen_Vessels!$A$3:$C$500,MATCH(D83,[1]Gen_Vessels!$C$3:$C$500,0),1)),"")</f>
        <v/>
      </c>
      <c r="F83" s="2"/>
      <c r="G83" s="2"/>
      <c r="H83" s="2" t="str">
        <f>IFERROR(IF(ISBLANK(G83),"",INDEX([1]Gen_Vessels!$A$3:$C$500,MATCH(G83,[1]Gen_Vessels!$C$3:$C$500,0),1)),"")</f>
        <v/>
      </c>
      <c r="I83" s="2"/>
      <c r="J83" s="2"/>
      <c r="K83" s="2"/>
      <c r="L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1" t="str">
        <f t="shared" si="1"/>
        <v/>
      </c>
      <c r="B84" s="2"/>
      <c r="C84" s="2"/>
      <c r="D84" s="2"/>
      <c r="E84" s="2" t="str">
        <f>IFERROR(IF(ISBLANK(D84),"",INDEX([1]Gen_Vessels!$A$3:$C$500,MATCH(D84,[1]Gen_Vessels!$C$3:$C$500,0),1)),"")</f>
        <v/>
      </c>
      <c r="F84" s="2"/>
      <c r="G84" s="2"/>
      <c r="H84" s="2" t="str">
        <f>IFERROR(IF(ISBLANK(G84),"",INDEX([1]Gen_Vessels!$A$3:$C$500,MATCH(G84,[1]Gen_Vessels!$C$3:$C$500,0),1)),"")</f>
        <v/>
      </c>
      <c r="I84" s="2"/>
      <c r="J84" s="2"/>
      <c r="K84" s="2"/>
      <c r="L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1" t="str">
        <f t="shared" si="1"/>
        <v/>
      </c>
      <c r="B85" s="2"/>
      <c r="C85" s="2"/>
      <c r="D85" s="2"/>
      <c r="E85" s="2" t="str">
        <f>IFERROR(IF(ISBLANK(D85),"",INDEX([1]Gen_Vessels!$A$3:$C$500,MATCH(D85,[1]Gen_Vessels!$C$3:$C$500,0),1)),"")</f>
        <v/>
      </c>
      <c r="F85" s="2"/>
      <c r="G85" s="2"/>
      <c r="H85" s="2" t="str">
        <f>IFERROR(IF(ISBLANK(G85),"",INDEX([1]Gen_Vessels!$A$3:$C$500,MATCH(G85,[1]Gen_Vessels!$C$3:$C$500,0),1)),"")</f>
        <v/>
      </c>
      <c r="I85" s="2"/>
      <c r="J85" s="2"/>
      <c r="K85" s="2"/>
      <c r="L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1" t="str">
        <f t="shared" si="1"/>
        <v/>
      </c>
      <c r="B86" s="2"/>
      <c r="C86" s="2"/>
      <c r="D86" s="2"/>
      <c r="E86" s="2" t="str">
        <f>IFERROR(IF(ISBLANK(D86),"",INDEX([1]Gen_Vessels!$A$3:$C$500,MATCH(D86,[1]Gen_Vessels!$C$3:$C$500,0),1)),"")</f>
        <v/>
      </c>
      <c r="F86" s="2"/>
      <c r="G86" s="2"/>
      <c r="H86" s="2" t="str">
        <f>IFERROR(IF(ISBLANK(G86),"",INDEX([1]Gen_Vessels!$A$3:$C$500,MATCH(G86,[1]Gen_Vessels!$C$3:$C$500,0),1)),"")</f>
        <v/>
      </c>
      <c r="I86" s="2"/>
      <c r="J86" s="2"/>
      <c r="K86" s="2"/>
      <c r="L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1" t="str">
        <f t="shared" si="1"/>
        <v/>
      </c>
      <c r="B87" s="2"/>
      <c r="C87" s="2"/>
      <c r="D87" s="2"/>
      <c r="E87" s="2" t="str">
        <f>IFERROR(IF(ISBLANK(D87),"",INDEX([1]Gen_Vessels!$A$3:$C$500,MATCH(D87,[1]Gen_Vessels!$C$3:$C$500,0),1)),"")</f>
        <v/>
      </c>
      <c r="F87" s="2"/>
      <c r="G87" s="2"/>
      <c r="H87" s="2" t="str">
        <f>IFERROR(IF(ISBLANK(G87),"",INDEX([1]Gen_Vessels!$A$3:$C$500,MATCH(G87,[1]Gen_Vessels!$C$3:$C$500,0),1)),"")</f>
        <v/>
      </c>
      <c r="I87" s="2"/>
      <c r="J87" s="2"/>
      <c r="K87" s="2"/>
      <c r="L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1" t="str">
        <f t="shared" si="1"/>
        <v/>
      </c>
      <c r="B88" s="2"/>
      <c r="C88" s="2"/>
      <c r="D88" s="2"/>
      <c r="E88" s="2" t="str">
        <f>IFERROR(IF(ISBLANK(D88),"",INDEX([1]Gen_Vessels!$A$3:$C$500,MATCH(D88,[1]Gen_Vessels!$C$3:$C$500,0),1)),"")</f>
        <v/>
      </c>
      <c r="F88" s="2"/>
      <c r="G88" s="2"/>
      <c r="H88" s="2" t="str">
        <f>IFERROR(IF(ISBLANK(G88),"",INDEX([1]Gen_Vessels!$A$3:$C$500,MATCH(G88,[1]Gen_Vessels!$C$3:$C$500,0),1)),"")</f>
        <v/>
      </c>
      <c r="I88" s="2"/>
      <c r="J88" s="2"/>
      <c r="K88" s="2"/>
      <c r="L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1" t="str">
        <f t="shared" si="1"/>
        <v/>
      </c>
      <c r="B89" s="2"/>
      <c r="C89" s="2"/>
      <c r="D89" s="2"/>
      <c r="E89" s="2" t="str">
        <f>IFERROR(IF(ISBLANK(D89),"",INDEX([1]Gen_Vessels!$A$3:$C$500,MATCH(D89,[1]Gen_Vessels!$C$3:$C$500,0),1)),"")</f>
        <v/>
      </c>
      <c r="F89" s="2"/>
      <c r="G89" s="2"/>
      <c r="H89" s="2" t="str">
        <f>IFERROR(IF(ISBLANK(G89),"",INDEX([1]Gen_Vessels!$A$3:$C$500,MATCH(G89,[1]Gen_Vessels!$C$3:$C$500,0),1)),"")</f>
        <v/>
      </c>
      <c r="I89" s="2"/>
      <c r="J89" s="2"/>
      <c r="K89" s="2"/>
      <c r="L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1" t="str">
        <f t="shared" si="1"/>
        <v/>
      </c>
      <c r="B90" s="2"/>
      <c r="C90" s="2"/>
      <c r="D90" s="2"/>
      <c r="E90" s="2" t="str">
        <f>IFERROR(IF(ISBLANK(D90),"",INDEX([1]Gen_Vessels!$A$3:$C$500,MATCH(D90,[1]Gen_Vessels!$C$3:$C$500,0),1)),"")</f>
        <v/>
      </c>
      <c r="F90" s="2"/>
      <c r="G90" s="2"/>
      <c r="H90" s="2" t="str">
        <f>IFERROR(IF(ISBLANK(G90),"",INDEX([1]Gen_Vessels!$A$3:$C$500,MATCH(G90,[1]Gen_Vessels!$C$3:$C$500,0),1)),"")</f>
        <v/>
      </c>
      <c r="I90" s="2"/>
      <c r="J90" s="2"/>
      <c r="K90" s="2"/>
      <c r="L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1" t="str">
        <f t="shared" si="1"/>
        <v/>
      </c>
      <c r="B91" s="2"/>
      <c r="C91" s="2"/>
      <c r="D91" s="2"/>
      <c r="E91" s="2" t="str">
        <f>IFERROR(IF(ISBLANK(D91),"",INDEX([1]Gen_Vessels!$A$3:$C$500,MATCH(D91,[1]Gen_Vessels!$C$3:$C$500,0),1)),"")</f>
        <v/>
      </c>
      <c r="F91" s="2"/>
      <c r="G91" s="2"/>
      <c r="H91" s="2" t="str">
        <f>IFERROR(IF(ISBLANK(G91),"",INDEX([1]Gen_Vessels!$A$3:$C$500,MATCH(G91,[1]Gen_Vessels!$C$3:$C$500,0),1)),"")</f>
        <v/>
      </c>
      <c r="I91" s="2"/>
      <c r="J91" s="2"/>
      <c r="K91" s="2"/>
      <c r="L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1" t="str">
        <f t="shared" si="1"/>
        <v/>
      </c>
      <c r="B92" s="2"/>
      <c r="C92" s="2"/>
      <c r="D92" s="2"/>
      <c r="E92" s="2" t="str">
        <f>IFERROR(IF(ISBLANK(D92),"",INDEX([1]Gen_Vessels!$A$3:$C$500,MATCH(D92,[1]Gen_Vessels!$C$3:$C$500,0),1)),"")</f>
        <v/>
      </c>
      <c r="F92" s="2"/>
      <c r="G92" s="2"/>
      <c r="H92" s="2" t="str">
        <f>IFERROR(IF(ISBLANK(G92),"",INDEX([1]Gen_Vessels!$A$3:$C$500,MATCH(G92,[1]Gen_Vessels!$C$3:$C$500,0),1)),"")</f>
        <v/>
      </c>
      <c r="I92" s="2"/>
      <c r="J92" s="2"/>
      <c r="K92" s="2"/>
      <c r="L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1" t="str">
        <f t="shared" si="1"/>
        <v/>
      </c>
      <c r="B93" s="2"/>
      <c r="C93" s="2"/>
      <c r="D93" s="2"/>
      <c r="E93" s="2" t="str">
        <f>IFERROR(IF(ISBLANK(D93),"",INDEX([1]Gen_Vessels!$A$3:$C$500,MATCH(D93,[1]Gen_Vessels!$C$3:$C$500,0),1)),"")</f>
        <v/>
      </c>
      <c r="F93" s="2"/>
      <c r="G93" s="2"/>
      <c r="H93" s="2" t="str">
        <f>IFERROR(IF(ISBLANK(G93),"",INDEX([1]Gen_Vessels!$A$3:$C$500,MATCH(G93,[1]Gen_Vessels!$C$3:$C$500,0),1)),"")</f>
        <v/>
      </c>
      <c r="I93" s="2"/>
      <c r="J93" s="2"/>
      <c r="K93" s="2"/>
      <c r="L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1" t="str">
        <f t="shared" si="1"/>
        <v/>
      </c>
      <c r="B94" s="2"/>
      <c r="C94" s="2"/>
      <c r="D94" s="2"/>
      <c r="E94" s="2" t="str">
        <f>IFERROR(IF(ISBLANK(D94),"",INDEX([1]Gen_Vessels!$A$3:$C$500,MATCH(D94,[1]Gen_Vessels!$C$3:$C$500,0),1)),"")</f>
        <v/>
      </c>
      <c r="F94" s="2"/>
      <c r="G94" s="2"/>
      <c r="H94" s="2" t="str">
        <f>IFERROR(IF(ISBLANK(G94),"",INDEX([1]Gen_Vessels!$A$3:$C$500,MATCH(G94,[1]Gen_Vessels!$C$3:$C$500,0),1)),"")</f>
        <v/>
      </c>
      <c r="I94" s="2"/>
      <c r="J94" s="2"/>
      <c r="K94" s="2"/>
      <c r="L94" s="2"/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1" t="str">
        <f t="shared" si="1"/>
        <v/>
      </c>
      <c r="B95" s="2"/>
      <c r="C95" s="2"/>
      <c r="D95" s="2"/>
      <c r="E95" s="2" t="str">
        <f>IFERROR(IF(ISBLANK(D95),"",INDEX([1]Gen_Vessels!$A$3:$C$500,MATCH(D95,[1]Gen_Vessels!$C$3:$C$500,0),1)),"")</f>
        <v/>
      </c>
      <c r="F95" s="2"/>
      <c r="G95" s="2"/>
      <c r="H95" s="2" t="str">
        <f>IFERROR(IF(ISBLANK(G95),"",INDEX([1]Gen_Vessels!$A$3:$C$500,MATCH(G95,[1]Gen_Vessels!$C$3:$C$500,0),1)),"")</f>
        <v/>
      </c>
      <c r="I95" s="2"/>
      <c r="J95" s="2"/>
      <c r="K95" s="2"/>
      <c r="L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1" t="str">
        <f t="shared" si="1"/>
        <v/>
      </c>
      <c r="B96" s="2"/>
      <c r="C96" s="2"/>
      <c r="D96" s="2"/>
      <c r="E96" s="2" t="str">
        <f>IFERROR(IF(ISBLANK(D96),"",INDEX([1]Gen_Vessels!$A$3:$C$500,MATCH(D96,[1]Gen_Vessels!$C$3:$C$500,0),1)),"")</f>
        <v/>
      </c>
      <c r="F96" s="2"/>
      <c r="G96" s="2"/>
      <c r="H96" s="2" t="str">
        <f>IFERROR(IF(ISBLANK(G96),"",INDEX([1]Gen_Vessels!$A$3:$C$500,MATCH(G96,[1]Gen_Vessels!$C$3:$C$500,0),1)),"")</f>
        <v/>
      </c>
      <c r="I96" s="2"/>
      <c r="J96" s="2"/>
      <c r="K96" s="2"/>
      <c r="L96" s="2"/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1" t="str">
        <f t="shared" si="1"/>
        <v/>
      </c>
      <c r="B97" s="2"/>
      <c r="C97" s="2"/>
      <c r="D97" s="2"/>
      <c r="E97" s="2" t="str">
        <f>IFERROR(IF(ISBLANK(D97),"",INDEX([1]Gen_Vessels!$A$3:$C$500,MATCH(D97,[1]Gen_Vessels!$C$3:$C$500,0),1)),"")</f>
        <v/>
      </c>
      <c r="F97" s="2"/>
      <c r="G97" s="2"/>
      <c r="H97" s="2" t="str">
        <f>IFERROR(IF(ISBLANK(G97),"",INDEX([1]Gen_Vessels!$A$3:$C$500,MATCH(G97,[1]Gen_Vessels!$C$3:$C$500,0),1)),"")</f>
        <v/>
      </c>
      <c r="I97" s="2"/>
      <c r="J97" s="2"/>
      <c r="K97" s="2"/>
      <c r="L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1" t="str">
        <f t="shared" si="1"/>
        <v/>
      </c>
      <c r="B98" s="2"/>
      <c r="C98" s="2"/>
      <c r="D98" s="2"/>
      <c r="E98" s="2" t="str">
        <f>IFERROR(IF(ISBLANK(D98),"",INDEX([1]Gen_Vessels!$A$3:$C$500,MATCH(D98,[1]Gen_Vessels!$C$3:$C$500,0),1)),"")</f>
        <v/>
      </c>
      <c r="F98" s="2"/>
      <c r="G98" s="2"/>
      <c r="H98" s="2" t="str">
        <f>IFERROR(IF(ISBLANK(G98),"",INDEX([1]Gen_Vessels!$A$3:$C$500,MATCH(G98,[1]Gen_Vessels!$C$3:$C$500,0),1)),"")</f>
        <v/>
      </c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</row>
    <row r="99" spans="1:21" x14ac:dyDescent="0.25">
      <c r="A99" s="1" t="str">
        <f t="shared" si="1"/>
        <v/>
      </c>
      <c r="B99" s="2"/>
      <c r="C99" s="2"/>
      <c r="D99" s="2"/>
      <c r="E99" s="2" t="str">
        <f>IFERROR(IF(ISBLANK(D99),"",INDEX([1]Gen_Vessels!$A$3:$C$500,MATCH(D99,[1]Gen_Vessels!$C$3:$C$500,0),1)),"")</f>
        <v/>
      </c>
      <c r="F99" s="2"/>
      <c r="G99" s="2"/>
      <c r="H99" s="2" t="str">
        <f>IFERROR(IF(ISBLANK(G99),"",INDEX([1]Gen_Vessels!$A$3:$C$500,MATCH(G99,[1]Gen_Vessels!$C$3:$C$500,0),1)),"")</f>
        <v/>
      </c>
      <c r="I99" s="2"/>
      <c r="J99" s="2"/>
      <c r="K99" s="2"/>
      <c r="L99" s="2"/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s="1" t="str">
        <f t="shared" si="1"/>
        <v/>
      </c>
      <c r="B100" s="2"/>
      <c r="C100" s="2"/>
      <c r="D100" s="2"/>
      <c r="E100" s="2" t="str">
        <f>IFERROR(IF(ISBLANK(D100),"",INDEX([1]Gen_Vessels!$A$3:$C$500,MATCH(D100,[1]Gen_Vessels!$C$3:$C$500,0),1)),"")</f>
        <v/>
      </c>
      <c r="F100" s="2"/>
      <c r="G100" s="2"/>
      <c r="H100" s="2" t="str">
        <f>IFERROR(IF(ISBLANK(G100),"",INDEX([1]Gen_Vessels!$A$3:$C$500,MATCH(G100,[1]Gen_Vessels!$C$3:$C$500,0),1)),"")</f>
        <v/>
      </c>
      <c r="I100" s="2"/>
      <c r="J100" s="2"/>
      <c r="K100" s="2"/>
      <c r="L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1" t="str">
        <f t="shared" si="1"/>
        <v/>
      </c>
      <c r="B101" s="2"/>
      <c r="C101" s="2"/>
      <c r="D101" s="2"/>
      <c r="E101" s="2" t="str">
        <f>IFERROR(IF(ISBLANK(D101),"",INDEX([1]Gen_Vessels!$A$3:$C$500,MATCH(D101,[1]Gen_Vessels!$C$3:$C$500,0),1)),"")</f>
        <v/>
      </c>
      <c r="F101" s="2"/>
      <c r="G101" s="2"/>
      <c r="H101" s="2" t="str">
        <f>IFERROR(IF(ISBLANK(G101),"",INDEX([1]Gen_Vessels!$A$3:$C$500,MATCH(G101,[1]Gen_Vessels!$C$3:$C$500,0),1)),"")</f>
        <v/>
      </c>
      <c r="I101" s="2"/>
      <c r="J101" s="2"/>
      <c r="K101" s="2"/>
      <c r="L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1" t="str">
        <f t="shared" si="1"/>
        <v/>
      </c>
      <c r="B102" s="2"/>
      <c r="C102" s="2"/>
      <c r="D102" s="2"/>
      <c r="E102" s="2" t="str">
        <f>IFERROR(IF(ISBLANK(D102),"",INDEX([1]Gen_Vessels!$A$3:$C$500,MATCH(D102,[1]Gen_Vessels!$C$3:$C$500,0),1)),"")</f>
        <v/>
      </c>
      <c r="F102" s="2"/>
      <c r="G102" s="2"/>
      <c r="H102" s="2" t="str">
        <f>IFERROR(IF(ISBLANK(G102),"",INDEX([1]Gen_Vessels!$A$3:$C$500,MATCH(G102,[1]Gen_Vessels!$C$3:$C$500,0),1)),"")</f>
        <v/>
      </c>
      <c r="I102" s="2"/>
      <c r="J102" s="2"/>
      <c r="K102" s="2"/>
      <c r="L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1" t="str">
        <f t="shared" si="1"/>
        <v/>
      </c>
      <c r="B103" s="2"/>
      <c r="C103" s="2"/>
      <c r="D103" s="2"/>
      <c r="E103" s="2" t="str">
        <f>IFERROR(IF(ISBLANK(D103),"",INDEX([1]Gen_Vessels!$A$3:$C$500,MATCH(D103,[1]Gen_Vessels!$C$3:$C$500,0),1)),"")</f>
        <v/>
      </c>
      <c r="F103" s="2"/>
      <c r="G103" s="2"/>
      <c r="H103" s="2" t="str">
        <f>IFERROR(IF(ISBLANK(G103),"",INDEX([1]Gen_Vessels!$A$3:$C$500,MATCH(G103,[1]Gen_Vessels!$C$3:$C$500,0),1)),"")</f>
        <v/>
      </c>
      <c r="I103" s="2"/>
      <c r="J103" s="2"/>
      <c r="K103" s="2"/>
      <c r="L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1" t="str">
        <f t="shared" si="1"/>
        <v/>
      </c>
      <c r="B104" s="2"/>
      <c r="C104" s="2"/>
      <c r="D104" s="2"/>
      <c r="E104" s="2" t="str">
        <f>IFERROR(IF(ISBLANK(D104),"",INDEX([1]Gen_Vessels!$A$3:$C$500,MATCH(D104,[1]Gen_Vessels!$C$3:$C$500,0),1)),"")</f>
        <v/>
      </c>
      <c r="F104" s="2"/>
      <c r="G104" s="2"/>
      <c r="H104" s="2" t="str">
        <f>IFERROR(IF(ISBLANK(G104),"",INDEX([1]Gen_Vessels!$A$3:$C$500,MATCH(G104,[1]Gen_Vessels!$C$3:$C$500,0),1)),"")</f>
        <v/>
      </c>
      <c r="I104" s="2"/>
      <c r="J104" s="2"/>
      <c r="K104" s="2"/>
      <c r="L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1" t="str">
        <f t="shared" si="1"/>
        <v/>
      </c>
      <c r="B105" s="2"/>
      <c r="C105" s="2"/>
      <c r="D105" s="2"/>
      <c r="E105" s="2" t="str">
        <f>IFERROR(IF(ISBLANK(D105),"",INDEX([1]Gen_Vessels!$A$3:$C$500,MATCH(D105,[1]Gen_Vessels!$C$3:$C$500,0),1)),"")</f>
        <v/>
      </c>
      <c r="F105" s="2"/>
      <c r="G105" s="2"/>
      <c r="H105" s="2" t="str">
        <f>IFERROR(IF(ISBLANK(G105),"",INDEX([1]Gen_Vessels!$A$3:$C$500,MATCH(G105,[1]Gen_Vessels!$C$3:$C$500,0),1)),"")</f>
        <v/>
      </c>
      <c r="I105" s="2"/>
      <c r="J105" s="2"/>
      <c r="K105" s="2"/>
      <c r="L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1" t="str">
        <f t="shared" si="1"/>
        <v/>
      </c>
      <c r="B106" s="2"/>
      <c r="C106" s="2"/>
      <c r="D106" s="2"/>
      <c r="E106" s="2" t="str">
        <f>IFERROR(IF(ISBLANK(D106),"",INDEX([1]Gen_Vessels!$A$3:$C$500,MATCH(D106,[1]Gen_Vessels!$C$3:$C$500,0),1)),"")</f>
        <v/>
      </c>
      <c r="F106" s="2"/>
      <c r="G106" s="2"/>
      <c r="H106" s="2" t="str">
        <f>IFERROR(IF(ISBLANK(G106),"",INDEX([1]Gen_Vessels!$A$3:$C$500,MATCH(G106,[1]Gen_Vessels!$C$3:$C$500,0),1)),"")</f>
        <v/>
      </c>
      <c r="I106" s="2"/>
      <c r="J106" s="2"/>
      <c r="K106" s="2"/>
      <c r="L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1" t="str">
        <f t="shared" si="1"/>
        <v/>
      </c>
      <c r="B107" s="2"/>
      <c r="C107" s="2"/>
      <c r="D107" s="2"/>
      <c r="E107" s="2" t="str">
        <f>IFERROR(IF(ISBLANK(D107),"",INDEX([1]Gen_Vessels!$A$3:$C$500,MATCH(D107,[1]Gen_Vessels!$C$3:$C$500,0),1)),"")</f>
        <v/>
      </c>
      <c r="F107" s="2"/>
      <c r="G107" s="2"/>
      <c r="H107" s="2" t="str">
        <f>IFERROR(IF(ISBLANK(G107),"",INDEX([1]Gen_Vessels!$A$3:$C$500,MATCH(G107,[1]Gen_Vessels!$C$3:$C$500,0),1)),"")</f>
        <v/>
      </c>
      <c r="I107" s="2"/>
      <c r="J107" s="2"/>
      <c r="K107" s="2"/>
      <c r="L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s="1" t="str">
        <f t="shared" si="1"/>
        <v/>
      </c>
      <c r="B108" s="2"/>
      <c r="C108" s="2"/>
      <c r="D108" s="2"/>
      <c r="E108" s="2" t="str">
        <f>IFERROR(IF(ISBLANK(D108),"",INDEX([1]Gen_Vessels!$A$3:$C$500,MATCH(D108,[1]Gen_Vessels!$C$3:$C$500,0),1)),"")</f>
        <v/>
      </c>
      <c r="F108" s="2"/>
      <c r="G108" s="2"/>
      <c r="H108" s="2" t="str">
        <f>IFERROR(IF(ISBLANK(G108),"",INDEX([1]Gen_Vessels!$A$3:$C$500,MATCH(G108,[1]Gen_Vessels!$C$3:$C$500,0),1)),"")</f>
        <v/>
      </c>
      <c r="I108" s="2"/>
      <c r="J108" s="2"/>
      <c r="K108" s="2"/>
      <c r="L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A109" s="1" t="str">
        <f t="shared" si="1"/>
        <v/>
      </c>
      <c r="B109" s="2"/>
      <c r="C109" s="2"/>
      <c r="D109" s="2"/>
      <c r="E109" s="2" t="str">
        <f>IFERROR(IF(ISBLANK(D109),"",INDEX([1]Gen_Vessels!$A$3:$C$500,MATCH(D109,[1]Gen_Vessels!$C$3:$C$500,0),1)),"")</f>
        <v/>
      </c>
      <c r="F109" s="2"/>
      <c r="G109" s="2"/>
      <c r="H109" s="2" t="str">
        <f>IFERROR(IF(ISBLANK(G109),"",INDEX([1]Gen_Vessels!$A$3:$C$500,MATCH(G109,[1]Gen_Vessels!$C$3:$C$500,0),1)),"")</f>
        <v/>
      </c>
      <c r="I109" s="2"/>
      <c r="J109" s="2"/>
      <c r="K109" s="2"/>
      <c r="L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A110" s="1" t="str">
        <f t="shared" si="1"/>
        <v/>
      </c>
      <c r="B110" s="2"/>
      <c r="C110" s="2"/>
      <c r="D110" s="2"/>
      <c r="E110" s="2" t="str">
        <f>IFERROR(IF(ISBLANK(D110),"",INDEX([1]Gen_Vessels!$A$3:$C$500,MATCH(D110,[1]Gen_Vessels!$C$3:$C$500,0),1)),"")</f>
        <v/>
      </c>
      <c r="F110" s="2"/>
      <c r="G110" s="2"/>
      <c r="H110" s="2" t="str">
        <f>IFERROR(IF(ISBLANK(G110),"",INDEX([1]Gen_Vessels!$A$3:$C$500,MATCH(G110,[1]Gen_Vessels!$C$3:$C$500,0),1)),"")</f>
        <v/>
      </c>
      <c r="I110" s="2"/>
      <c r="J110" s="2"/>
      <c r="K110" s="2"/>
      <c r="L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A111" s="1" t="str">
        <f t="shared" si="1"/>
        <v/>
      </c>
      <c r="B111" s="2"/>
      <c r="C111" s="2"/>
      <c r="D111" s="2"/>
      <c r="E111" s="2" t="str">
        <f>IFERROR(IF(ISBLANK(D111),"",INDEX([1]Gen_Vessels!$A$3:$C$500,MATCH(D111,[1]Gen_Vessels!$C$3:$C$500,0),1)),"")</f>
        <v/>
      </c>
      <c r="F111" s="2"/>
      <c r="G111" s="2"/>
      <c r="H111" s="2" t="str">
        <f>IFERROR(IF(ISBLANK(G111),"",INDEX([1]Gen_Vessels!$A$3:$C$500,MATCH(G111,[1]Gen_Vessels!$C$3:$C$500,0),1)),"")</f>
        <v/>
      </c>
      <c r="I111" s="2"/>
      <c r="J111" s="2"/>
      <c r="K111" s="2"/>
      <c r="L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A112" s="1" t="str">
        <f t="shared" si="1"/>
        <v/>
      </c>
      <c r="B112" s="2"/>
      <c r="C112" s="2"/>
      <c r="D112" s="2"/>
      <c r="E112" s="2" t="str">
        <f>IFERROR(IF(ISBLANK(D112),"",INDEX([1]Gen_Vessels!$A$3:$C$500,MATCH(D112,[1]Gen_Vessels!$C$3:$C$500,0),1)),"")</f>
        <v/>
      </c>
      <c r="F112" s="2"/>
      <c r="G112" s="2"/>
      <c r="H112" s="2" t="str">
        <f>IFERROR(IF(ISBLANK(G112),"",INDEX([1]Gen_Vessels!$A$3:$C$500,MATCH(G112,[1]Gen_Vessels!$C$3:$C$500,0),1)),"")</f>
        <v/>
      </c>
      <c r="I112" s="2"/>
      <c r="J112" s="2"/>
      <c r="K112" s="2"/>
      <c r="L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5">
      <c r="A113" s="1" t="str">
        <f t="shared" si="1"/>
        <v/>
      </c>
      <c r="B113" s="2"/>
      <c r="C113" s="2"/>
      <c r="D113" s="2"/>
      <c r="E113" s="2" t="str">
        <f>IFERROR(IF(ISBLANK(D113),"",INDEX([1]Gen_Vessels!$A$3:$C$500,MATCH(D113,[1]Gen_Vessels!$C$3:$C$500,0),1)),"")</f>
        <v/>
      </c>
      <c r="F113" s="2"/>
      <c r="G113" s="2"/>
      <c r="H113" s="2" t="str">
        <f>IFERROR(IF(ISBLANK(G113),"",INDEX([1]Gen_Vessels!$A$3:$C$500,MATCH(G113,[1]Gen_Vessels!$C$3:$C$500,0),1)),"")</f>
        <v/>
      </c>
      <c r="I113" s="2"/>
      <c r="J113" s="2"/>
      <c r="K113" s="2"/>
      <c r="L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25">
      <c r="A114" s="1" t="str">
        <f t="shared" si="1"/>
        <v/>
      </c>
      <c r="B114" s="2"/>
      <c r="C114" s="2"/>
      <c r="D114" s="2"/>
      <c r="E114" s="2" t="str">
        <f>IFERROR(IF(ISBLANK(D114),"",INDEX([1]Gen_Vessels!$A$3:$C$500,MATCH(D114,[1]Gen_Vessels!$C$3:$C$500,0),1)),"")</f>
        <v/>
      </c>
      <c r="F114" s="2"/>
      <c r="G114" s="2"/>
      <c r="H114" s="2" t="str">
        <f>IFERROR(IF(ISBLANK(G114),"",INDEX([1]Gen_Vessels!$A$3:$C$500,MATCH(G114,[1]Gen_Vessels!$C$3:$C$500,0),1)),"")</f>
        <v/>
      </c>
      <c r="I114" s="2"/>
      <c r="J114" s="2"/>
      <c r="K114" s="2"/>
      <c r="L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5">
      <c r="A115" s="1" t="str">
        <f t="shared" si="1"/>
        <v/>
      </c>
      <c r="B115" s="2"/>
      <c r="C115" s="2"/>
      <c r="D115" s="2"/>
      <c r="E115" s="2" t="str">
        <f>IFERROR(IF(ISBLANK(D115),"",INDEX([1]Gen_Vessels!$A$3:$C$500,MATCH(D115,[1]Gen_Vessels!$C$3:$C$500,0),1)),"")</f>
        <v/>
      </c>
      <c r="F115" s="2"/>
      <c r="G115" s="2"/>
      <c r="H115" s="2" t="str">
        <f>IFERROR(IF(ISBLANK(G115),"",INDEX([1]Gen_Vessels!$A$3:$C$500,MATCH(G115,[1]Gen_Vessels!$C$3:$C$500,0),1)),"")</f>
        <v/>
      </c>
      <c r="I115" s="2"/>
      <c r="J115" s="2"/>
      <c r="K115" s="2"/>
      <c r="L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25">
      <c r="A116" s="1" t="str">
        <f t="shared" si="1"/>
        <v/>
      </c>
      <c r="B116" s="2"/>
      <c r="C116" s="2"/>
      <c r="D116" s="2"/>
      <c r="E116" s="2" t="str">
        <f>IFERROR(IF(ISBLANK(D116),"",INDEX([1]Gen_Vessels!$A$3:$C$500,MATCH(D116,[1]Gen_Vessels!$C$3:$C$500,0),1)),"")</f>
        <v/>
      </c>
      <c r="F116" s="2"/>
      <c r="G116" s="2"/>
      <c r="H116" s="2" t="str">
        <f>IFERROR(IF(ISBLANK(G116),"",INDEX([1]Gen_Vessels!$A$3:$C$500,MATCH(G116,[1]Gen_Vessels!$C$3:$C$500,0),1)),"")</f>
        <v/>
      </c>
      <c r="I116" s="2"/>
      <c r="J116" s="2"/>
      <c r="K116" s="2"/>
      <c r="L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5">
      <c r="A117" s="1" t="str">
        <f t="shared" si="1"/>
        <v/>
      </c>
      <c r="B117" s="2"/>
      <c r="C117" s="2"/>
      <c r="D117" s="2"/>
      <c r="E117" s="2" t="str">
        <f>IFERROR(IF(ISBLANK(D117),"",INDEX([1]Gen_Vessels!$A$3:$C$500,MATCH(D117,[1]Gen_Vessels!$C$3:$C$500,0),1)),"")</f>
        <v/>
      </c>
      <c r="F117" s="2"/>
      <c r="G117" s="2"/>
      <c r="H117" s="2" t="str">
        <f>IFERROR(IF(ISBLANK(G117),"",INDEX([1]Gen_Vessels!$A$3:$C$500,MATCH(G117,[1]Gen_Vessels!$C$3:$C$500,0),1)),"")</f>
        <v/>
      </c>
      <c r="I117" s="2"/>
      <c r="J117" s="2"/>
      <c r="K117" s="2"/>
      <c r="L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25">
      <c r="A118" s="1" t="str">
        <f t="shared" si="1"/>
        <v/>
      </c>
      <c r="B118" s="2"/>
      <c r="C118" s="2"/>
      <c r="D118" s="2"/>
      <c r="E118" s="2" t="str">
        <f>IFERROR(IF(ISBLANK(D118),"",INDEX([1]Gen_Vessels!$A$3:$C$500,MATCH(D118,[1]Gen_Vessels!$C$3:$C$500,0),1)),"")</f>
        <v/>
      </c>
      <c r="F118" s="2"/>
      <c r="G118" s="2"/>
      <c r="H118" s="2" t="str">
        <f>IFERROR(IF(ISBLANK(G118),"",INDEX([1]Gen_Vessels!$A$3:$C$500,MATCH(G118,[1]Gen_Vessels!$C$3:$C$500,0),1)),"")</f>
        <v/>
      </c>
      <c r="I118" s="2"/>
      <c r="J118" s="2"/>
      <c r="K118" s="2"/>
      <c r="L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25">
      <c r="A119" s="1" t="str">
        <f t="shared" si="1"/>
        <v/>
      </c>
      <c r="B119" s="2"/>
      <c r="C119" s="2"/>
      <c r="D119" s="2"/>
      <c r="E119" s="2" t="str">
        <f>IFERROR(IF(ISBLANK(D119),"",INDEX([1]Gen_Vessels!$A$3:$C$500,MATCH(D119,[1]Gen_Vessels!$C$3:$C$500,0),1)),"")</f>
        <v/>
      </c>
      <c r="F119" s="2"/>
      <c r="G119" s="2"/>
      <c r="H119" s="2" t="str">
        <f>IFERROR(IF(ISBLANK(G119),"",INDEX([1]Gen_Vessels!$A$3:$C$500,MATCH(G119,[1]Gen_Vessels!$C$3:$C$500,0),1)),"")</f>
        <v/>
      </c>
      <c r="I119" s="2"/>
      <c r="J119" s="2"/>
      <c r="K119" s="2"/>
      <c r="L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25">
      <c r="A120" s="1" t="str">
        <f t="shared" si="1"/>
        <v/>
      </c>
      <c r="B120" s="2"/>
      <c r="C120" s="2"/>
      <c r="D120" s="2"/>
      <c r="E120" s="2" t="str">
        <f>IFERROR(IF(ISBLANK(D120),"",INDEX([1]Gen_Vessels!$A$3:$C$500,MATCH(D120,[1]Gen_Vessels!$C$3:$C$500,0),1)),"")</f>
        <v/>
      </c>
      <c r="F120" s="2"/>
      <c r="G120" s="2"/>
      <c r="H120" s="2" t="str">
        <f>IFERROR(IF(ISBLANK(G120),"",INDEX([1]Gen_Vessels!$A$3:$C$500,MATCH(G120,[1]Gen_Vessels!$C$3:$C$500,0),1)),"")</f>
        <v/>
      </c>
      <c r="I120" s="2"/>
      <c r="J120" s="2"/>
      <c r="K120" s="2"/>
      <c r="L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25">
      <c r="A121" s="1" t="str">
        <f t="shared" si="1"/>
        <v/>
      </c>
      <c r="B121" s="2"/>
      <c r="C121" s="2"/>
      <c r="D121" s="2"/>
      <c r="E121" s="2" t="str">
        <f>IFERROR(IF(ISBLANK(D121),"",INDEX([1]Gen_Vessels!$A$3:$C$500,MATCH(D121,[1]Gen_Vessels!$C$3:$C$500,0),1)),"")</f>
        <v/>
      </c>
      <c r="F121" s="2"/>
      <c r="G121" s="2"/>
      <c r="H121" s="2" t="str">
        <f>IFERROR(IF(ISBLANK(G121),"",INDEX([1]Gen_Vessels!$A$3:$C$500,MATCH(G121,[1]Gen_Vessels!$C$3:$C$500,0),1)),"")</f>
        <v/>
      </c>
      <c r="I121" s="2"/>
      <c r="J121" s="2"/>
      <c r="K121" s="2"/>
      <c r="L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25">
      <c r="A122" s="1" t="str">
        <f t="shared" si="1"/>
        <v/>
      </c>
      <c r="B122" s="2"/>
      <c r="C122" s="2"/>
      <c r="D122" s="2"/>
      <c r="E122" s="2" t="str">
        <f>IFERROR(IF(ISBLANK(D122),"",INDEX([1]Gen_Vessels!$A$3:$C$500,MATCH(D122,[1]Gen_Vessels!$C$3:$C$500,0),1)),"")</f>
        <v/>
      </c>
      <c r="F122" s="2"/>
      <c r="G122" s="2"/>
      <c r="H122" s="2" t="str">
        <f>IFERROR(IF(ISBLANK(G122),"",INDEX([1]Gen_Vessels!$A$3:$C$500,MATCH(G122,[1]Gen_Vessels!$C$3:$C$500,0),1)),"")</f>
        <v/>
      </c>
      <c r="I122" s="2"/>
      <c r="J122" s="2"/>
      <c r="K122" s="2"/>
      <c r="L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25">
      <c r="A123" s="1" t="str">
        <f t="shared" si="1"/>
        <v/>
      </c>
      <c r="B123" s="2"/>
      <c r="C123" s="2"/>
      <c r="D123" s="2"/>
      <c r="E123" s="2" t="str">
        <f>IFERROR(IF(ISBLANK(D123),"",INDEX([1]Gen_Vessels!$A$3:$C$500,MATCH(D123,[1]Gen_Vessels!$C$3:$C$500,0),1)),"")</f>
        <v/>
      </c>
      <c r="F123" s="2"/>
      <c r="G123" s="2"/>
      <c r="H123" s="2" t="str">
        <f>IFERROR(IF(ISBLANK(G123),"",INDEX([1]Gen_Vessels!$A$3:$C$500,MATCH(G123,[1]Gen_Vessels!$C$3:$C$500,0),1)),"")</f>
        <v/>
      </c>
      <c r="I123" s="2"/>
      <c r="J123" s="2"/>
      <c r="K123" s="2"/>
      <c r="L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25">
      <c r="A124" s="1" t="str">
        <f t="shared" si="1"/>
        <v/>
      </c>
      <c r="B124" s="2"/>
      <c r="C124" s="2"/>
      <c r="D124" s="2"/>
      <c r="E124" s="2" t="str">
        <f>IFERROR(IF(ISBLANK(D124),"",INDEX([1]Gen_Vessels!$A$3:$C$500,MATCH(D124,[1]Gen_Vessels!$C$3:$C$500,0),1)),"")</f>
        <v/>
      </c>
      <c r="F124" s="2"/>
      <c r="G124" s="2"/>
      <c r="H124" s="2" t="str">
        <f>IFERROR(IF(ISBLANK(G124),"",INDEX([1]Gen_Vessels!$A$3:$C$500,MATCH(G124,[1]Gen_Vessels!$C$3:$C$500,0),1)),"")</f>
        <v/>
      </c>
      <c r="I124" s="2"/>
      <c r="J124" s="2"/>
      <c r="K124" s="2"/>
      <c r="L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5">
      <c r="A125" s="1" t="str">
        <f t="shared" si="1"/>
        <v/>
      </c>
      <c r="B125" s="2"/>
      <c r="C125" s="2"/>
      <c r="D125" s="2"/>
      <c r="E125" s="2" t="str">
        <f>IFERROR(IF(ISBLANK(D125),"",INDEX([1]Gen_Vessels!$A$3:$C$500,MATCH(D125,[1]Gen_Vessels!$C$3:$C$500,0),1)),"")</f>
        <v/>
      </c>
      <c r="F125" s="2"/>
      <c r="G125" s="2"/>
      <c r="H125" s="2" t="str">
        <f>IFERROR(IF(ISBLANK(G125),"",INDEX([1]Gen_Vessels!$A$3:$C$500,MATCH(G125,[1]Gen_Vessels!$C$3:$C$500,0),1)),"")</f>
        <v/>
      </c>
      <c r="I125" s="2"/>
      <c r="J125" s="2"/>
      <c r="K125" s="2"/>
      <c r="L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5">
      <c r="A126" s="1" t="str">
        <f t="shared" si="1"/>
        <v/>
      </c>
      <c r="B126" s="2"/>
      <c r="C126" s="2"/>
      <c r="D126" s="2"/>
      <c r="E126" s="2" t="str">
        <f>IFERROR(IF(ISBLANK(D126),"",INDEX([1]Gen_Vessels!$A$3:$C$500,MATCH(D126,[1]Gen_Vessels!$C$3:$C$500,0),1)),"")</f>
        <v/>
      </c>
      <c r="F126" s="2"/>
      <c r="G126" s="2"/>
      <c r="H126" s="2" t="str">
        <f>IFERROR(IF(ISBLANK(G126),"",INDEX([1]Gen_Vessels!$A$3:$C$500,MATCH(G126,[1]Gen_Vessels!$C$3:$C$500,0),1)),"")</f>
        <v/>
      </c>
      <c r="I126" s="2"/>
      <c r="J126" s="2"/>
      <c r="K126" s="2"/>
      <c r="L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1" t="str">
        <f t="shared" si="1"/>
        <v/>
      </c>
      <c r="B127" s="2"/>
      <c r="C127" s="2"/>
      <c r="D127" s="2"/>
      <c r="E127" s="2" t="str">
        <f>IFERROR(IF(ISBLANK(D127),"",INDEX([1]Gen_Vessels!$A$3:$C$500,MATCH(D127,[1]Gen_Vessels!$C$3:$C$500,0),1)),"")</f>
        <v/>
      </c>
      <c r="F127" s="2"/>
      <c r="G127" s="2"/>
      <c r="H127" s="2" t="str">
        <f>IFERROR(IF(ISBLANK(G127),"",INDEX([1]Gen_Vessels!$A$3:$C$500,MATCH(G127,[1]Gen_Vessels!$C$3:$C$500,0),1)),"")</f>
        <v/>
      </c>
      <c r="I127" s="2"/>
      <c r="J127" s="2"/>
      <c r="K127" s="2"/>
      <c r="L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25">
      <c r="A128" s="1" t="str">
        <f t="shared" si="1"/>
        <v/>
      </c>
      <c r="B128" s="2"/>
      <c r="C128" s="2"/>
      <c r="D128" s="2"/>
      <c r="E128" s="2" t="str">
        <f>IFERROR(IF(ISBLANK(D128),"",INDEX([1]Gen_Vessels!$A$3:$C$500,MATCH(D128,[1]Gen_Vessels!$C$3:$C$500,0),1)),"")</f>
        <v/>
      </c>
      <c r="F128" s="2"/>
      <c r="G128" s="2"/>
      <c r="H128" s="2" t="str">
        <f>IFERROR(IF(ISBLANK(G128),"",INDEX([1]Gen_Vessels!$A$3:$C$500,MATCH(G128,[1]Gen_Vessels!$C$3:$C$500,0),1)),"")</f>
        <v/>
      </c>
      <c r="I128" s="2"/>
      <c r="J128" s="2"/>
      <c r="K128" s="2"/>
      <c r="L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25">
      <c r="A129" s="1" t="str">
        <f t="shared" si="1"/>
        <v/>
      </c>
      <c r="B129" s="2"/>
      <c r="C129" s="2"/>
      <c r="D129" s="2"/>
      <c r="E129" s="2" t="str">
        <f>IFERROR(IF(ISBLANK(D129),"",INDEX([1]Gen_Vessels!$A$3:$C$500,MATCH(D129,[1]Gen_Vessels!$C$3:$C$500,0),1)),"")</f>
        <v/>
      </c>
      <c r="F129" s="2"/>
      <c r="G129" s="2"/>
      <c r="H129" s="2" t="str">
        <f>IFERROR(IF(ISBLANK(G129),"",INDEX([1]Gen_Vessels!$A$3:$C$500,MATCH(G129,[1]Gen_Vessels!$C$3:$C$500,0),1)),"")</f>
        <v/>
      </c>
      <c r="I129" s="2"/>
      <c r="J129" s="2"/>
      <c r="K129" s="2"/>
      <c r="L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25">
      <c r="A130" s="1" t="str">
        <f t="shared" si="1"/>
        <v/>
      </c>
      <c r="B130" s="2"/>
      <c r="C130" s="2"/>
      <c r="D130" s="2"/>
      <c r="E130" s="2" t="str">
        <f>IFERROR(IF(ISBLANK(D130),"",INDEX([1]Gen_Vessels!$A$3:$C$500,MATCH(D130,[1]Gen_Vessels!$C$3:$C$500,0),1)),"")</f>
        <v/>
      </c>
      <c r="F130" s="2"/>
      <c r="G130" s="2"/>
      <c r="H130" s="2" t="str">
        <f>IFERROR(IF(ISBLANK(G130),"",INDEX([1]Gen_Vessels!$A$3:$C$500,MATCH(G130,[1]Gen_Vessels!$C$3:$C$500,0),1)),"")</f>
        <v/>
      </c>
      <c r="I130" s="2"/>
      <c r="J130" s="2"/>
      <c r="K130" s="2"/>
      <c r="L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5">
      <c r="A131" s="1" t="str">
        <f t="shared" si="1"/>
        <v/>
      </c>
      <c r="B131" s="2"/>
      <c r="C131" s="2"/>
      <c r="D131" s="2"/>
      <c r="E131" s="2" t="str">
        <f>IFERROR(IF(ISBLANK(D131),"",INDEX([1]Gen_Vessels!$A$3:$C$500,MATCH(D131,[1]Gen_Vessels!$C$3:$C$500,0),1)),"")</f>
        <v/>
      </c>
      <c r="F131" s="2"/>
      <c r="G131" s="2"/>
      <c r="H131" s="2" t="str">
        <f>IFERROR(IF(ISBLANK(G131),"",INDEX([1]Gen_Vessels!$A$3:$C$500,MATCH(G131,[1]Gen_Vessels!$C$3:$C$500,0),1)),"")</f>
        <v/>
      </c>
      <c r="I131" s="2"/>
      <c r="J131" s="2"/>
      <c r="K131" s="2"/>
      <c r="L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5">
      <c r="A132" s="1" t="str">
        <f t="shared" ref="A132:A195" si="2">IF(ISBLANK($B132)=FALSE,_xlfn.CONCAT($B132,"_tow"),"")</f>
        <v/>
      </c>
      <c r="B132" s="2"/>
      <c r="C132" s="2"/>
      <c r="D132" s="2"/>
      <c r="E132" s="2" t="str">
        <f>IFERROR(IF(ISBLANK(D132),"",INDEX([1]Gen_Vessels!$A$3:$C$500,MATCH(D132,[1]Gen_Vessels!$C$3:$C$500,0),1)),"")</f>
        <v/>
      </c>
      <c r="F132" s="2"/>
      <c r="G132" s="2"/>
      <c r="H132" s="2" t="str">
        <f>IFERROR(IF(ISBLANK(G132),"",INDEX([1]Gen_Vessels!$A$3:$C$500,MATCH(G132,[1]Gen_Vessels!$C$3:$C$500,0),1)),"")</f>
        <v/>
      </c>
      <c r="I132" s="2"/>
      <c r="J132" s="2"/>
      <c r="K132" s="2"/>
      <c r="L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25">
      <c r="A133" s="1" t="str">
        <f t="shared" si="2"/>
        <v/>
      </c>
      <c r="B133" s="2"/>
      <c r="C133" s="2"/>
      <c r="D133" s="2"/>
      <c r="E133" s="2" t="str">
        <f>IFERROR(IF(ISBLANK(D133),"",INDEX([1]Gen_Vessels!$A$3:$C$500,MATCH(D133,[1]Gen_Vessels!$C$3:$C$500,0),1)),"")</f>
        <v/>
      </c>
      <c r="F133" s="2"/>
      <c r="G133" s="2"/>
      <c r="H133" s="2" t="str">
        <f>IFERROR(IF(ISBLANK(G133),"",INDEX([1]Gen_Vessels!$A$3:$C$500,MATCH(G133,[1]Gen_Vessels!$C$3:$C$500,0),1)),"")</f>
        <v/>
      </c>
      <c r="I133" s="2"/>
      <c r="J133" s="2"/>
      <c r="K133" s="2"/>
      <c r="L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25">
      <c r="A134" s="1" t="str">
        <f t="shared" si="2"/>
        <v/>
      </c>
      <c r="B134" s="2"/>
      <c r="C134" s="2"/>
      <c r="D134" s="2"/>
      <c r="E134" s="2" t="str">
        <f>IFERROR(IF(ISBLANK(D134),"",INDEX([1]Gen_Vessels!$A$3:$C$500,MATCH(D134,[1]Gen_Vessels!$C$3:$C$500,0),1)),"")</f>
        <v/>
      </c>
      <c r="F134" s="2"/>
      <c r="G134" s="2"/>
      <c r="H134" s="2" t="str">
        <f>IFERROR(IF(ISBLANK(G134),"",INDEX([1]Gen_Vessels!$A$3:$C$500,MATCH(G134,[1]Gen_Vessels!$C$3:$C$500,0),1)),"")</f>
        <v/>
      </c>
      <c r="I134" s="2"/>
      <c r="J134" s="2"/>
      <c r="K134" s="2"/>
      <c r="L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25">
      <c r="A135" s="1" t="str">
        <f t="shared" si="2"/>
        <v/>
      </c>
      <c r="B135" s="2"/>
      <c r="C135" s="2"/>
      <c r="D135" s="2"/>
      <c r="E135" s="2" t="str">
        <f>IFERROR(IF(ISBLANK(D135),"",INDEX([1]Gen_Vessels!$A$3:$C$500,MATCH(D135,[1]Gen_Vessels!$C$3:$C$500,0),1)),"")</f>
        <v/>
      </c>
      <c r="F135" s="2"/>
      <c r="G135" s="2"/>
      <c r="H135" s="2" t="str">
        <f>IFERROR(IF(ISBLANK(G135),"",INDEX([1]Gen_Vessels!$A$3:$C$500,MATCH(G135,[1]Gen_Vessels!$C$3:$C$500,0),1)),"")</f>
        <v/>
      </c>
      <c r="I135" s="2"/>
      <c r="J135" s="2"/>
      <c r="K135" s="2"/>
      <c r="L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25">
      <c r="A136" s="1" t="str">
        <f t="shared" si="2"/>
        <v/>
      </c>
      <c r="B136" s="2"/>
      <c r="C136" s="2"/>
      <c r="D136" s="2"/>
      <c r="E136" s="2" t="str">
        <f>IFERROR(IF(ISBLANK(D136),"",INDEX([1]Gen_Vessels!$A$3:$C$500,MATCH(D136,[1]Gen_Vessels!$C$3:$C$500,0),1)),"")</f>
        <v/>
      </c>
      <c r="F136" s="2"/>
      <c r="G136" s="2"/>
      <c r="H136" s="2" t="str">
        <f>IFERROR(IF(ISBLANK(G136),"",INDEX([1]Gen_Vessels!$A$3:$C$500,MATCH(G136,[1]Gen_Vessels!$C$3:$C$500,0),1)),"")</f>
        <v/>
      </c>
      <c r="I136" s="2"/>
      <c r="J136" s="2"/>
      <c r="K136" s="2"/>
      <c r="L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25">
      <c r="A137" s="1" t="str">
        <f t="shared" si="2"/>
        <v/>
      </c>
      <c r="B137" s="2"/>
      <c r="C137" s="2"/>
      <c r="D137" s="2"/>
      <c r="E137" s="2" t="str">
        <f>IFERROR(IF(ISBLANK(D137),"",INDEX([1]Gen_Vessels!$A$3:$C$500,MATCH(D137,[1]Gen_Vessels!$C$3:$C$500,0),1)),"")</f>
        <v/>
      </c>
      <c r="F137" s="2"/>
      <c r="G137" s="2"/>
      <c r="H137" s="2" t="str">
        <f>IFERROR(IF(ISBLANK(G137),"",INDEX([1]Gen_Vessels!$A$3:$C$500,MATCH(G137,[1]Gen_Vessels!$C$3:$C$500,0),1)),"")</f>
        <v/>
      </c>
      <c r="I137" s="2"/>
      <c r="J137" s="2"/>
      <c r="K137" s="2"/>
      <c r="L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5">
      <c r="A138" s="1" t="str">
        <f t="shared" si="2"/>
        <v/>
      </c>
      <c r="B138" s="2"/>
      <c r="C138" s="2"/>
      <c r="D138" s="2"/>
      <c r="E138" s="2" t="str">
        <f>IFERROR(IF(ISBLANK(D138),"",INDEX([1]Gen_Vessels!$A$3:$C$500,MATCH(D138,[1]Gen_Vessels!$C$3:$C$500,0),1)),"")</f>
        <v/>
      </c>
      <c r="F138" s="2"/>
      <c r="G138" s="2"/>
      <c r="H138" s="2" t="str">
        <f>IFERROR(IF(ISBLANK(G138),"",INDEX([1]Gen_Vessels!$A$3:$C$500,MATCH(G138,[1]Gen_Vessels!$C$3:$C$500,0),1)),"")</f>
        <v/>
      </c>
      <c r="I138" s="2"/>
      <c r="J138" s="2"/>
      <c r="K138" s="2"/>
      <c r="L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5">
      <c r="A139" s="1" t="str">
        <f t="shared" si="2"/>
        <v/>
      </c>
      <c r="B139" s="2"/>
      <c r="C139" s="2"/>
      <c r="D139" s="2"/>
      <c r="E139" s="2" t="str">
        <f>IFERROR(IF(ISBLANK(D139),"",INDEX([1]Gen_Vessels!$A$3:$C$500,MATCH(D139,[1]Gen_Vessels!$C$3:$C$500,0),1)),"")</f>
        <v/>
      </c>
      <c r="F139" s="2"/>
      <c r="G139" s="2"/>
      <c r="H139" s="2" t="str">
        <f>IFERROR(IF(ISBLANK(G139),"",INDEX([1]Gen_Vessels!$A$3:$C$500,MATCH(G139,[1]Gen_Vessels!$C$3:$C$500,0),1)),"")</f>
        <v/>
      </c>
      <c r="I139" s="2"/>
      <c r="J139" s="2"/>
      <c r="K139" s="2"/>
      <c r="L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25">
      <c r="A140" s="1" t="str">
        <f t="shared" si="2"/>
        <v/>
      </c>
      <c r="B140" s="2"/>
      <c r="C140" s="2"/>
      <c r="D140" s="2"/>
      <c r="E140" s="2" t="str">
        <f>IFERROR(IF(ISBLANK(D140),"",INDEX([1]Gen_Vessels!$A$3:$C$500,MATCH(D140,[1]Gen_Vessels!$C$3:$C$500,0),1)),"")</f>
        <v/>
      </c>
      <c r="F140" s="2"/>
      <c r="G140" s="2"/>
      <c r="H140" s="2" t="str">
        <f>IFERROR(IF(ISBLANK(G140),"",INDEX([1]Gen_Vessels!$A$3:$C$500,MATCH(G140,[1]Gen_Vessels!$C$3:$C$500,0),1)),"")</f>
        <v/>
      </c>
      <c r="I140" s="2"/>
      <c r="J140" s="2"/>
      <c r="K140" s="2"/>
      <c r="L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25">
      <c r="A141" s="1" t="str">
        <f t="shared" si="2"/>
        <v/>
      </c>
      <c r="B141" s="2"/>
      <c r="C141" s="2"/>
      <c r="D141" s="2"/>
      <c r="E141" s="2" t="str">
        <f>IFERROR(IF(ISBLANK(D141),"",INDEX([1]Gen_Vessels!$A$3:$C$500,MATCH(D141,[1]Gen_Vessels!$C$3:$C$500,0),1)),"")</f>
        <v/>
      </c>
      <c r="F141" s="2"/>
      <c r="G141" s="2"/>
      <c r="H141" s="2" t="str">
        <f>IFERROR(IF(ISBLANK(G141),"",INDEX([1]Gen_Vessels!$A$3:$C$500,MATCH(G141,[1]Gen_Vessels!$C$3:$C$500,0),1)),"")</f>
        <v/>
      </c>
      <c r="I141" s="2"/>
      <c r="J141" s="2"/>
      <c r="K141" s="2"/>
      <c r="L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25">
      <c r="A142" s="1" t="str">
        <f t="shared" si="2"/>
        <v/>
      </c>
      <c r="B142" s="2"/>
      <c r="C142" s="2"/>
      <c r="D142" s="2"/>
      <c r="E142" s="2" t="str">
        <f>IFERROR(IF(ISBLANK(D142),"",INDEX([1]Gen_Vessels!$A$3:$C$500,MATCH(D142,[1]Gen_Vessels!$C$3:$C$500,0),1)),"")</f>
        <v/>
      </c>
      <c r="F142" s="2"/>
      <c r="G142" s="2"/>
      <c r="H142" s="2" t="str">
        <f>IFERROR(IF(ISBLANK(G142),"",INDEX([1]Gen_Vessels!$A$3:$C$500,MATCH(G142,[1]Gen_Vessels!$C$3:$C$500,0),1)),"")</f>
        <v/>
      </c>
      <c r="I142" s="2"/>
      <c r="J142" s="2"/>
      <c r="K142" s="2"/>
      <c r="L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25">
      <c r="A143" s="1" t="str">
        <f t="shared" si="2"/>
        <v/>
      </c>
      <c r="B143" s="2"/>
      <c r="C143" s="2"/>
      <c r="D143" s="2"/>
      <c r="E143" s="2" t="str">
        <f>IFERROR(IF(ISBLANK(D143),"",INDEX([1]Gen_Vessels!$A$3:$C$500,MATCH(D143,[1]Gen_Vessels!$C$3:$C$500,0),1)),"")</f>
        <v/>
      </c>
      <c r="F143" s="2"/>
      <c r="G143" s="2"/>
      <c r="H143" s="2" t="str">
        <f>IFERROR(IF(ISBLANK(G143),"",INDEX([1]Gen_Vessels!$A$3:$C$500,MATCH(G143,[1]Gen_Vessels!$C$3:$C$500,0),1)),"")</f>
        <v/>
      </c>
      <c r="I143" s="2"/>
      <c r="J143" s="2"/>
      <c r="K143" s="2"/>
      <c r="L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25">
      <c r="A144" s="1" t="str">
        <f t="shared" si="2"/>
        <v/>
      </c>
      <c r="B144" s="2"/>
      <c r="C144" s="2"/>
      <c r="D144" s="2"/>
      <c r="E144" s="2" t="str">
        <f>IFERROR(IF(ISBLANK(D144),"",INDEX([1]Gen_Vessels!$A$3:$C$500,MATCH(D144,[1]Gen_Vessels!$C$3:$C$500,0),1)),"")</f>
        <v/>
      </c>
      <c r="F144" s="2"/>
      <c r="G144" s="2"/>
      <c r="H144" s="2" t="str">
        <f>IFERROR(IF(ISBLANK(G144),"",INDEX([1]Gen_Vessels!$A$3:$C$500,MATCH(G144,[1]Gen_Vessels!$C$3:$C$500,0),1)),"")</f>
        <v/>
      </c>
      <c r="I144" s="2"/>
      <c r="J144" s="2"/>
      <c r="K144" s="2"/>
      <c r="L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25">
      <c r="A145" s="1" t="str">
        <f t="shared" si="2"/>
        <v/>
      </c>
      <c r="B145" s="2"/>
      <c r="C145" s="2"/>
      <c r="D145" s="2"/>
      <c r="E145" s="2" t="str">
        <f>IFERROR(IF(ISBLANK(D145),"",INDEX([1]Gen_Vessels!$A$3:$C$500,MATCH(D145,[1]Gen_Vessels!$C$3:$C$500,0),1)),"")</f>
        <v/>
      </c>
      <c r="F145" s="2"/>
      <c r="G145" s="2"/>
      <c r="H145" s="2" t="str">
        <f>IFERROR(IF(ISBLANK(G145),"",INDEX([1]Gen_Vessels!$A$3:$C$500,MATCH(G145,[1]Gen_Vessels!$C$3:$C$500,0),1)),"")</f>
        <v/>
      </c>
      <c r="I145" s="2"/>
      <c r="J145" s="2"/>
      <c r="K145" s="2"/>
      <c r="L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25">
      <c r="A146" s="1" t="str">
        <f t="shared" si="2"/>
        <v/>
      </c>
      <c r="B146" s="2"/>
      <c r="C146" s="2"/>
      <c r="D146" s="2"/>
      <c r="E146" s="2" t="str">
        <f>IFERROR(IF(ISBLANK(D146),"",INDEX([1]Gen_Vessels!$A$3:$C$500,MATCH(D146,[1]Gen_Vessels!$C$3:$C$500,0),1)),"")</f>
        <v/>
      </c>
      <c r="F146" s="2"/>
      <c r="G146" s="2"/>
      <c r="H146" s="2" t="str">
        <f>IFERROR(IF(ISBLANK(G146),"",INDEX([1]Gen_Vessels!$A$3:$C$500,MATCH(G146,[1]Gen_Vessels!$C$3:$C$500,0),1)),"")</f>
        <v/>
      </c>
      <c r="I146" s="2"/>
      <c r="J146" s="2"/>
      <c r="K146" s="2"/>
      <c r="L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25">
      <c r="A147" s="1" t="str">
        <f t="shared" si="2"/>
        <v/>
      </c>
      <c r="B147" s="2"/>
      <c r="C147" s="2"/>
      <c r="D147" s="2"/>
      <c r="E147" s="2" t="str">
        <f>IFERROR(IF(ISBLANK(D147),"",INDEX([1]Gen_Vessels!$A$3:$C$500,MATCH(D147,[1]Gen_Vessels!$C$3:$C$500,0),1)),"")</f>
        <v/>
      </c>
      <c r="F147" s="2"/>
      <c r="G147" s="2"/>
      <c r="H147" s="2" t="str">
        <f>IFERROR(IF(ISBLANK(G147),"",INDEX([1]Gen_Vessels!$A$3:$C$500,MATCH(G147,[1]Gen_Vessels!$C$3:$C$500,0),1)),"")</f>
        <v/>
      </c>
      <c r="I147" s="2"/>
      <c r="J147" s="2"/>
      <c r="K147" s="2"/>
      <c r="L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25">
      <c r="A148" s="1" t="str">
        <f t="shared" si="2"/>
        <v/>
      </c>
      <c r="B148" s="2"/>
      <c r="C148" s="2"/>
      <c r="D148" s="2"/>
      <c r="E148" s="2" t="str">
        <f>IFERROR(IF(ISBLANK(D148),"",INDEX([1]Gen_Vessels!$A$3:$C$500,MATCH(D148,[1]Gen_Vessels!$C$3:$C$500,0),1)),"")</f>
        <v/>
      </c>
      <c r="F148" s="2"/>
      <c r="G148" s="2"/>
      <c r="H148" s="2" t="str">
        <f>IFERROR(IF(ISBLANK(G148),"",INDEX([1]Gen_Vessels!$A$3:$C$500,MATCH(G148,[1]Gen_Vessels!$C$3:$C$500,0),1)),"")</f>
        <v/>
      </c>
      <c r="I148" s="2"/>
      <c r="J148" s="2"/>
      <c r="K148" s="2"/>
      <c r="L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25">
      <c r="A149" s="1" t="str">
        <f t="shared" si="2"/>
        <v/>
      </c>
      <c r="B149" s="2"/>
      <c r="C149" s="2"/>
      <c r="D149" s="2"/>
      <c r="E149" s="2" t="str">
        <f>IFERROR(IF(ISBLANK(D149),"",INDEX([1]Gen_Vessels!$A$3:$C$500,MATCH(D149,[1]Gen_Vessels!$C$3:$C$500,0),1)),"")</f>
        <v/>
      </c>
      <c r="F149" s="2"/>
      <c r="G149" s="2"/>
      <c r="H149" s="2" t="str">
        <f>IFERROR(IF(ISBLANK(G149),"",INDEX([1]Gen_Vessels!$A$3:$C$500,MATCH(G149,[1]Gen_Vessels!$C$3:$C$500,0),1)),"")</f>
        <v/>
      </c>
      <c r="I149" s="2"/>
      <c r="J149" s="2"/>
      <c r="K149" s="2"/>
      <c r="L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25">
      <c r="A150" s="1" t="str">
        <f t="shared" si="2"/>
        <v/>
      </c>
      <c r="B150" s="2"/>
      <c r="C150" s="2"/>
      <c r="D150" s="2"/>
      <c r="E150" s="2" t="str">
        <f>IFERROR(IF(ISBLANK(D150),"",INDEX([1]Gen_Vessels!$A$3:$C$500,MATCH(D150,[1]Gen_Vessels!$C$3:$C$500,0),1)),"")</f>
        <v/>
      </c>
      <c r="F150" s="2"/>
      <c r="G150" s="2"/>
      <c r="H150" s="2" t="str">
        <f>IFERROR(IF(ISBLANK(G150),"",INDEX([1]Gen_Vessels!$A$3:$C$500,MATCH(G150,[1]Gen_Vessels!$C$3:$C$500,0),1)),"")</f>
        <v/>
      </c>
      <c r="I150" s="2"/>
      <c r="J150" s="2"/>
      <c r="K150" s="2"/>
      <c r="L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25">
      <c r="A151" s="1" t="str">
        <f t="shared" si="2"/>
        <v/>
      </c>
      <c r="B151" s="2"/>
      <c r="C151" s="2"/>
      <c r="D151" s="2"/>
      <c r="E151" s="2" t="str">
        <f>IFERROR(IF(ISBLANK(D151),"",INDEX([1]Gen_Vessels!$A$3:$C$500,MATCH(D151,[1]Gen_Vessels!$C$3:$C$500,0),1)),"")</f>
        <v/>
      </c>
      <c r="F151" s="2"/>
      <c r="G151" s="2"/>
      <c r="H151" s="2" t="str">
        <f>IFERROR(IF(ISBLANK(G151),"",INDEX([1]Gen_Vessels!$A$3:$C$500,MATCH(G151,[1]Gen_Vessels!$C$3:$C$500,0),1)),"")</f>
        <v/>
      </c>
      <c r="I151" s="2"/>
      <c r="J151" s="2"/>
      <c r="K151" s="2"/>
      <c r="L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25">
      <c r="A152" s="1" t="str">
        <f t="shared" si="2"/>
        <v/>
      </c>
      <c r="B152" s="2"/>
      <c r="C152" s="2"/>
      <c r="D152" s="2"/>
      <c r="E152" s="2" t="str">
        <f>IFERROR(IF(ISBLANK(D152),"",INDEX([1]Gen_Vessels!$A$3:$C$500,MATCH(D152,[1]Gen_Vessels!$C$3:$C$500,0),1)),"")</f>
        <v/>
      </c>
      <c r="F152" s="2"/>
      <c r="G152" s="2"/>
      <c r="H152" s="2" t="str">
        <f>IFERROR(IF(ISBLANK(G152),"",INDEX([1]Gen_Vessels!$A$3:$C$500,MATCH(G152,[1]Gen_Vessels!$C$3:$C$500,0),1)),"")</f>
        <v/>
      </c>
      <c r="I152" s="2"/>
      <c r="J152" s="2"/>
      <c r="K152" s="2"/>
      <c r="L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25">
      <c r="A153" s="1" t="str">
        <f t="shared" si="2"/>
        <v/>
      </c>
      <c r="B153" s="2"/>
      <c r="C153" s="2"/>
      <c r="D153" s="2"/>
      <c r="E153" s="2" t="str">
        <f>IFERROR(IF(ISBLANK(D153),"",INDEX([1]Gen_Vessels!$A$3:$C$500,MATCH(D153,[1]Gen_Vessels!$C$3:$C$500,0),1)),"")</f>
        <v/>
      </c>
      <c r="F153" s="2"/>
      <c r="G153" s="2"/>
      <c r="H153" s="2" t="str">
        <f>IFERROR(IF(ISBLANK(G153),"",INDEX([1]Gen_Vessels!$A$3:$C$500,MATCH(G153,[1]Gen_Vessels!$C$3:$C$500,0),1)),"")</f>
        <v/>
      </c>
      <c r="I153" s="2"/>
      <c r="J153" s="2"/>
      <c r="K153" s="2"/>
      <c r="L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25">
      <c r="A154" s="1" t="str">
        <f t="shared" si="2"/>
        <v/>
      </c>
      <c r="B154" s="2"/>
      <c r="C154" s="2"/>
      <c r="D154" s="2"/>
      <c r="E154" s="2" t="str">
        <f>IFERROR(IF(ISBLANK(D154),"",INDEX([1]Gen_Vessels!$A$3:$C$500,MATCH(D154,[1]Gen_Vessels!$C$3:$C$500,0),1)),"")</f>
        <v/>
      </c>
      <c r="F154" s="2"/>
      <c r="G154" s="2"/>
      <c r="H154" s="2" t="str">
        <f>IFERROR(IF(ISBLANK(G154),"",INDEX([1]Gen_Vessels!$A$3:$C$500,MATCH(G154,[1]Gen_Vessels!$C$3:$C$500,0),1)),"")</f>
        <v/>
      </c>
      <c r="I154" s="2"/>
      <c r="J154" s="2"/>
      <c r="K154" s="2"/>
      <c r="L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25">
      <c r="A155" s="1" t="str">
        <f t="shared" si="2"/>
        <v/>
      </c>
      <c r="B155" s="2"/>
      <c r="C155" s="2"/>
      <c r="D155" s="2"/>
      <c r="E155" s="2" t="str">
        <f>IFERROR(IF(ISBLANK(D155),"",INDEX([1]Gen_Vessels!$A$3:$C$500,MATCH(D155,[1]Gen_Vessels!$C$3:$C$500,0),1)),"")</f>
        <v/>
      </c>
      <c r="F155" s="2"/>
      <c r="G155" s="2"/>
      <c r="H155" s="2" t="str">
        <f>IFERROR(IF(ISBLANK(G155),"",INDEX([1]Gen_Vessels!$A$3:$C$500,MATCH(G155,[1]Gen_Vessels!$C$3:$C$500,0),1)),"")</f>
        <v/>
      </c>
      <c r="I155" s="2"/>
      <c r="J155" s="2"/>
      <c r="K155" s="2"/>
      <c r="L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25">
      <c r="A156" s="1" t="str">
        <f t="shared" si="2"/>
        <v/>
      </c>
      <c r="B156" s="2"/>
      <c r="C156" s="2"/>
      <c r="D156" s="2"/>
      <c r="E156" s="2" t="str">
        <f>IFERROR(IF(ISBLANK(D156),"",INDEX([1]Gen_Vessels!$A$3:$C$500,MATCH(D156,[1]Gen_Vessels!$C$3:$C$500,0),1)),"")</f>
        <v/>
      </c>
      <c r="F156" s="2"/>
      <c r="G156" s="2"/>
      <c r="H156" s="2" t="str">
        <f>IFERROR(IF(ISBLANK(G156),"",INDEX([1]Gen_Vessels!$A$3:$C$500,MATCH(G156,[1]Gen_Vessels!$C$3:$C$500,0),1)),"")</f>
        <v/>
      </c>
      <c r="I156" s="2"/>
      <c r="J156" s="2"/>
      <c r="K156" s="2"/>
      <c r="L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25">
      <c r="A157" s="1" t="str">
        <f t="shared" si="2"/>
        <v/>
      </c>
      <c r="B157" s="2"/>
      <c r="C157" s="2"/>
      <c r="D157" s="2"/>
      <c r="E157" s="2" t="str">
        <f>IFERROR(IF(ISBLANK(D157),"",INDEX([1]Gen_Vessels!$A$3:$C$500,MATCH(D157,[1]Gen_Vessels!$C$3:$C$500,0),1)),"")</f>
        <v/>
      </c>
      <c r="F157" s="2"/>
      <c r="G157" s="2"/>
      <c r="H157" s="2" t="str">
        <f>IFERROR(IF(ISBLANK(G157),"",INDEX([1]Gen_Vessels!$A$3:$C$500,MATCH(G157,[1]Gen_Vessels!$C$3:$C$500,0),1)),"")</f>
        <v/>
      </c>
      <c r="I157" s="2"/>
      <c r="J157" s="2"/>
      <c r="K157" s="2"/>
      <c r="L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25">
      <c r="A158" s="1" t="str">
        <f t="shared" si="2"/>
        <v/>
      </c>
      <c r="B158" s="2"/>
      <c r="C158" s="2"/>
      <c r="D158" s="2"/>
      <c r="E158" s="2" t="str">
        <f>IFERROR(IF(ISBLANK(D158),"",INDEX([1]Gen_Vessels!$A$3:$C$500,MATCH(D158,[1]Gen_Vessels!$C$3:$C$500,0),1)),"")</f>
        <v/>
      </c>
      <c r="F158" s="2"/>
      <c r="G158" s="2"/>
      <c r="H158" s="2" t="str">
        <f>IFERROR(IF(ISBLANK(G158),"",INDEX([1]Gen_Vessels!$A$3:$C$500,MATCH(G158,[1]Gen_Vessels!$C$3:$C$500,0),1)),"")</f>
        <v/>
      </c>
      <c r="I158" s="2"/>
      <c r="J158" s="2"/>
      <c r="K158" s="2"/>
      <c r="L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25">
      <c r="A159" s="1" t="str">
        <f t="shared" si="2"/>
        <v/>
      </c>
      <c r="B159" s="2"/>
      <c r="C159" s="2"/>
      <c r="D159" s="2"/>
      <c r="E159" s="2" t="str">
        <f>IFERROR(IF(ISBLANK(D159),"",INDEX([1]Gen_Vessels!$A$3:$C$500,MATCH(D159,[1]Gen_Vessels!$C$3:$C$500,0),1)),"")</f>
        <v/>
      </c>
      <c r="F159" s="2"/>
      <c r="G159" s="2"/>
      <c r="H159" s="2" t="str">
        <f>IFERROR(IF(ISBLANK(G159),"",INDEX([1]Gen_Vessels!$A$3:$C$500,MATCH(G159,[1]Gen_Vessels!$C$3:$C$500,0),1)),"")</f>
        <v/>
      </c>
      <c r="I159" s="2"/>
      <c r="J159" s="2"/>
      <c r="K159" s="2"/>
      <c r="L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25">
      <c r="A160" s="1" t="str">
        <f t="shared" si="2"/>
        <v/>
      </c>
      <c r="B160" s="2"/>
      <c r="C160" s="2"/>
      <c r="D160" s="2"/>
      <c r="E160" s="2" t="str">
        <f>IFERROR(IF(ISBLANK(D160),"",INDEX([1]Gen_Vessels!$A$3:$C$500,MATCH(D160,[1]Gen_Vessels!$C$3:$C$500,0),1)),"")</f>
        <v/>
      </c>
      <c r="F160" s="2"/>
      <c r="G160" s="2"/>
      <c r="H160" s="2" t="str">
        <f>IFERROR(IF(ISBLANK(G160),"",INDEX([1]Gen_Vessels!$A$3:$C$500,MATCH(G160,[1]Gen_Vessels!$C$3:$C$500,0),1)),"")</f>
        <v/>
      </c>
      <c r="I160" s="2"/>
      <c r="J160" s="2"/>
      <c r="K160" s="2"/>
      <c r="L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25">
      <c r="A161" s="1" t="str">
        <f t="shared" si="2"/>
        <v/>
      </c>
      <c r="B161" s="2"/>
      <c r="C161" s="2"/>
      <c r="D161" s="2"/>
      <c r="E161" s="2" t="str">
        <f>IFERROR(IF(ISBLANK(D161),"",INDEX([1]Gen_Vessels!$A$3:$C$500,MATCH(D161,[1]Gen_Vessels!$C$3:$C$500,0),1)),"")</f>
        <v/>
      </c>
      <c r="F161" s="2"/>
      <c r="G161" s="2"/>
      <c r="H161" s="2" t="str">
        <f>IFERROR(IF(ISBLANK(G161),"",INDEX([1]Gen_Vessels!$A$3:$C$500,MATCH(G161,[1]Gen_Vessels!$C$3:$C$500,0),1)),"")</f>
        <v/>
      </c>
      <c r="I161" s="2"/>
      <c r="J161" s="2"/>
      <c r="K161" s="2"/>
      <c r="L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25">
      <c r="A162" s="1" t="str">
        <f t="shared" si="2"/>
        <v/>
      </c>
      <c r="B162" s="2"/>
      <c r="C162" s="2"/>
      <c r="D162" s="2"/>
      <c r="E162" s="2" t="str">
        <f>IFERROR(IF(ISBLANK(D162),"",INDEX([1]Gen_Vessels!$A$3:$C$500,MATCH(D162,[1]Gen_Vessels!$C$3:$C$500,0),1)),"")</f>
        <v/>
      </c>
      <c r="F162" s="2"/>
      <c r="G162" s="2"/>
      <c r="H162" s="2" t="str">
        <f>IFERROR(IF(ISBLANK(G162),"",INDEX([1]Gen_Vessels!$A$3:$C$500,MATCH(G162,[1]Gen_Vessels!$C$3:$C$500,0),1)),"")</f>
        <v/>
      </c>
      <c r="I162" s="2"/>
      <c r="J162" s="2"/>
      <c r="K162" s="2"/>
      <c r="L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25">
      <c r="A163" s="1" t="str">
        <f t="shared" si="2"/>
        <v/>
      </c>
      <c r="B163" s="2"/>
      <c r="C163" s="2"/>
      <c r="D163" s="2"/>
      <c r="E163" s="2" t="str">
        <f>IFERROR(IF(ISBLANK(D163),"",INDEX([1]Gen_Vessels!$A$3:$C$500,MATCH(D163,[1]Gen_Vessels!$C$3:$C$500,0),1)),"")</f>
        <v/>
      </c>
      <c r="F163" s="2"/>
      <c r="G163" s="2"/>
      <c r="H163" s="2" t="str">
        <f>IFERROR(IF(ISBLANK(G163),"",INDEX([1]Gen_Vessels!$A$3:$C$500,MATCH(G163,[1]Gen_Vessels!$C$3:$C$500,0),1)),"")</f>
        <v/>
      </c>
      <c r="I163" s="2"/>
      <c r="J163" s="2"/>
      <c r="K163" s="2"/>
      <c r="L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25">
      <c r="A164" s="1" t="str">
        <f t="shared" si="2"/>
        <v/>
      </c>
      <c r="B164" s="2"/>
      <c r="C164" s="2"/>
      <c r="D164" s="2"/>
      <c r="E164" s="2" t="str">
        <f>IFERROR(IF(ISBLANK(D164),"",INDEX([1]Gen_Vessels!$A$3:$C$500,MATCH(D164,[1]Gen_Vessels!$C$3:$C$500,0),1)),"")</f>
        <v/>
      </c>
      <c r="F164" s="2"/>
      <c r="G164" s="2"/>
      <c r="H164" s="2" t="str">
        <f>IFERROR(IF(ISBLANK(G164),"",INDEX([1]Gen_Vessels!$A$3:$C$500,MATCH(G164,[1]Gen_Vessels!$C$3:$C$500,0),1)),"")</f>
        <v/>
      </c>
      <c r="I164" s="2"/>
      <c r="J164" s="2"/>
      <c r="K164" s="2"/>
      <c r="L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25">
      <c r="A165" s="1" t="str">
        <f t="shared" si="2"/>
        <v/>
      </c>
      <c r="B165" s="2"/>
      <c r="C165" s="2"/>
      <c r="D165" s="2"/>
      <c r="E165" s="2" t="str">
        <f>IFERROR(IF(ISBLANK(D165),"",INDEX([1]Gen_Vessels!$A$3:$C$500,MATCH(D165,[1]Gen_Vessels!$C$3:$C$500,0),1)),"")</f>
        <v/>
      </c>
      <c r="F165" s="2"/>
      <c r="G165" s="2"/>
      <c r="H165" s="2" t="str">
        <f>IFERROR(IF(ISBLANK(G165),"",INDEX([1]Gen_Vessels!$A$3:$C$500,MATCH(G165,[1]Gen_Vessels!$C$3:$C$500,0),1)),"")</f>
        <v/>
      </c>
      <c r="I165" s="2"/>
      <c r="J165" s="2"/>
      <c r="K165" s="2"/>
      <c r="L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25">
      <c r="A166" s="1" t="str">
        <f t="shared" si="2"/>
        <v/>
      </c>
      <c r="B166" s="2"/>
      <c r="C166" s="2"/>
      <c r="D166" s="2"/>
      <c r="E166" s="2" t="str">
        <f>IFERROR(IF(ISBLANK(D166),"",INDEX([1]Gen_Vessels!$A$3:$C$500,MATCH(D166,[1]Gen_Vessels!$C$3:$C$500,0),1)),"")</f>
        <v/>
      </c>
      <c r="F166" s="2"/>
      <c r="G166" s="2"/>
      <c r="H166" s="2" t="str">
        <f>IFERROR(IF(ISBLANK(G166),"",INDEX([1]Gen_Vessels!$A$3:$C$500,MATCH(G166,[1]Gen_Vessels!$C$3:$C$500,0),1)),"")</f>
        <v/>
      </c>
      <c r="I166" s="2"/>
      <c r="J166" s="2"/>
      <c r="K166" s="2"/>
      <c r="L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25">
      <c r="A167" s="1" t="str">
        <f t="shared" si="2"/>
        <v/>
      </c>
      <c r="B167" s="2"/>
      <c r="C167" s="2"/>
      <c r="D167" s="2"/>
      <c r="E167" s="2" t="str">
        <f>IFERROR(IF(ISBLANK(D167),"",INDEX([1]Gen_Vessels!$A$3:$C$500,MATCH(D167,[1]Gen_Vessels!$C$3:$C$500,0),1)),"")</f>
        <v/>
      </c>
      <c r="F167" s="2"/>
      <c r="G167" s="2"/>
      <c r="H167" s="2" t="str">
        <f>IFERROR(IF(ISBLANK(G167),"",INDEX([1]Gen_Vessels!$A$3:$C$500,MATCH(G167,[1]Gen_Vessels!$C$3:$C$500,0),1)),"")</f>
        <v/>
      </c>
      <c r="I167" s="2"/>
      <c r="J167" s="2"/>
      <c r="K167" s="2"/>
      <c r="L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25">
      <c r="A168" s="1" t="str">
        <f t="shared" si="2"/>
        <v/>
      </c>
      <c r="B168" s="2"/>
      <c r="C168" s="2"/>
      <c r="D168" s="2"/>
      <c r="E168" s="2" t="str">
        <f>IFERROR(IF(ISBLANK(D168),"",INDEX([1]Gen_Vessels!$A$3:$C$500,MATCH(D168,[1]Gen_Vessels!$C$3:$C$500,0),1)),"")</f>
        <v/>
      </c>
      <c r="F168" s="2"/>
      <c r="G168" s="2"/>
      <c r="H168" s="2" t="str">
        <f>IFERROR(IF(ISBLANK(G168),"",INDEX([1]Gen_Vessels!$A$3:$C$500,MATCH(G168,[1]Gen_Vessels!$C$3:$C$500,0),1)),"")</f>
        <v/>
      </c>
      <c r="I168" s="2"/>
      <c r="J168" s="2"/>
      <c r="K168" s="2"/>
      <c r="L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25">
      <c r="A169" s="1" t="str">
        <f t="shared" si="2"/>
        <v/>
      </c>
      <c r="B169" s="2"/>
      <c r="C169" s="2"/>
      <c r="D169" s="2"/>
      <c r="E169" s="2" t="str">
        <f>IFERROR(IF(ISBLANK(D169),"",INDEX([1]Gen_Vessels!$A$3:$C$500,MATCH(D169,[1]Gen_Vessels!$C$3:$C$500,0),1)),"")</f>
        <v/>
      </c>
      <c r="F169" s="2"/>
      <c r="G169" s="2"/>
      <c r="H169" s="2" t="str">
        <f>IFERROR(IF(ISBLANK(G169),"",INDEX([1]Gen_Vessels!$A$3:$C$500,MATCH(G169,[1]Gen_Vessels!$C$3:$C$500,0),1)),"")</f>
        <v/>
      </c>
      <c r="I169" s="2"/>
      <c r="J169" s="2"/>
      <c r="K169" s="2"/>
      <c r="L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25">
      <c r="A170" s="1" t="str">
        <f t="shared" si="2"/>
        <v/>
      </c>
      <c r="B170" s="2"/>
      <c r="C170" s="2"/>
      <c r="D170" s="2"/>
      <c r="E170" s="2" t="str">
        <f>IFERROR(IF(ISBLANK(D170),"",INDEX([1]Gen_Vessels!$A$3:$C$500,MATCH(D170,[1]Gen_Vessels!$C$3:$C$500,0),1)),"")</f>
        <v/>
      </c>
      <c r="F170" s="2"/>
      <c r="G170" s="2"/>
      <c r="H170" s="2" t="str">
        <f>IFERROR(IF(ISBLANK(G170),"",INDEX([1]Gen_Vessels!$A$3:$C$500,MATCH(G170,[1]Gen_Vessels!$C$3:$C$500,0),1)),"")</f>
        <v/>
      </c>
      <c r="I170" s="2"/>
      <c r="J170" s="2"/>
      <c r="K170" s="2"/>
      <c r="L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25">
      <c r="A171" s="1" t="str">
        <f t="shared" si="2"/>
        <v/>
      </c>
      <c r="B171" s="2"/>
      <c r="C171" s="2"/>
      <c r="D171" s="2"/>
      <c r="E171" s="2" t="str">
        <f>IFERROR(IF(ISBLANK(D171),"",INDEX([1]Gen_Vessels!$A$3:$C$500,MATCH(D171,[1]Gen_Vessels!$C$3:$C$500,0),1)),"")</f>
        <v/>
      </c>
      <c r="F171" s="2"/>
      <c r="G171" s="2"/>
      <c r="H171" s="2" t="str">
        <f>IFERROR(IF(ISBLANK(G171),"",INDEX([1]Gen_Vessels!$A$3:$C$500,MATCH(G171,[1]Gen_Vessels!$C$3:$C$500,0),1)),"")</f>
        <v/>
      </c>
      <c r="I171" s="2"/>
      <c r="J171" s="2"/>
      <c r="K171" s="2"/>
      <c r="L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25">
      <c r="A172" s="1" t="str">
        <f t="shared" si="2"/>
        <v/>
      </c>
      <c r="B172" s="2"/>
      <c r="C172" s="2"/>
      <c r="D172" s="2"/>
      <c r="E172" s="2" t="str">
        <f>IFERROR(IF(ISBLANK(D172),"",INDEX([1]Gen_Vessels!$A$3:$C$500,MATCH(D172,[1]Gen_Vessels!$C$3:$C$500,0),1)),"")</f>
        <v/>
      </c>
      <c r="F172" s="2"/>
      <c r="G172" s="2"/>
      <c r="H172" s="2" t="str">
        <f>IFERROR(IF(ISBLANK(G172),"",INDEX([1]Gen_Vessels!$A$3:$C$500,MATCH(G172,[1]Gen_Vessels!$C$3:$C$500,0),1)),"")</f>
        <v/>
      </c>
      <c r="I172" s="2"/>
      <c r="J172" s="2"/>
      <c r="K172" s="2"/>
      <c r="L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25">
      <c r="A173" s="1" t="str">
        <f t="shared" si="2"/>
        <v/>
      </c>
      <c r="B173" s="2"/>
      <c r="C173" s="2"/>
      <c r="D173" s="2"/>
      <c r="E173" s="2" t="str">
        <f>IFERROR(IF(ISBLANK(D173),"",INDEX([1]Gen_Vessels!$A$3:$C$500,MATCH(D173,[1]Gen_Vessels!$C$3:$C$500,0),1)),"")</f>
        <v/>
      </c>
      <c r="F173" s="2"/>
      <c r="G173" s="2"/>
      <c r="H173" s="2" t="str">
        <f>IFERROR(IF(ISBLANK(G173),"",INDEX([1]Gen_Vessels!$A$3:$C$500,MATCH(G173,[1]Gen_Vessels!$C$3:$C$500,0),1)),"")</f>
        <v/>
      </c>
      <c r="I173" s="2"/>
      <c r="J173" s="2"/>
      <c r="K173" s="2"/>
      <c r="L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25">
      <c r="A174" s="1" t="str">
        <f t="shared" si="2"/>
        <v/>
      </c>
      <c r="B174" s="2"/>
      <c r="C174" s="2"/>
      <c r="D174" s="2"/>
      <c r="E174" s="2" t="str">
        <f>IFERROR(IF(ISBLANK(D174),"",INDEX([1]Gen_Vessels!$A$3:$C$500,MATCH(D174,[1]Gen_Vessels!$C$3:$C$500,0),1)),"")</f>
        <v/>
      </c>
      <c r="F174" s="2"/>
      <c r="G174" s="2"/>
      <c r="H174" s="2" t="str">
        <f>IFERROR(IF(ISBLANK(G174),"",INDEX([1]Gen_Vessels!$A$3:$C$500,MATCH(G174,[1]Gen_Vessels!$C$3:$C$500,0),1)),"")</f>
        <v/>
      </c>
      <c r="I174" s="2"/>
      <c r="J174" s="2"/>
      <c r="K174" s="2"/>
      <c r="L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25">
      <c r="A175" s="1" t="str">
        <f t="shared" si="2"/>
        <v/>
      </c>
      <c r="B175" s="2"/>
      <c r="C175" s="2"/>
      <c r="D175" s="2"/>
      <c r="E175" s="2" t="str">
        <f>IFERROR(IF(ISBLANK(D175),"",INDEX([1]Gen_Vessels!$A$3:$C$500,MATCH(D175,[1]Gen_Vessels!$C$3:$C$500,0),1)),"")</f>
        <v/>
      </c>
      <c r="F175" s="2"/>
      <c r="G175" s="2"/>
      <c r="H175" s="2" t="str">
        <f>IFERROR(IF(ISBLANK(G175),"",INDEX([1]Gen_Vessels!$A$3:$C$500,MATCH(G175,[1]Gen_Vessels!$C$3:$C$500,0),1)),"")</f>
        <v/>
      </c>
      <c r="I175" s="2"/>
      <c r="J175" s="2"/>
      <c r="K175" s="2"/>
      <c r="L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25">
      <c r="A176" s="1" t="str">
        <f t="shared" si="2"/>
        <v/>
      </c>
      <c r="B176" s="2"/>
      <c r="C176" s="2"/>
      <c r="D176" s="2"/>
      <c r="E176" s="2" t="str">
        <f>IFERROR(IF(ISBLANK(D176),"",INDEX([1]Gen_Vessels!$A$3:$C$500,MATCH(D176,[1]Gen_Vessels!$C$3:$C$500,0),1)),"")</f>
        <v/>
      </c>
      <c r="F176" s="2"/>
      <c r="G176" s="2"/>
      <c r="H176" s="2" t="str">
        <f>IFERROR(IF(ISBLANK(G176),"",INDEX([1]Gen_Vessels!$A$3:$C$500,MATCH(G176,[1]Gen_Vessels!$C$3:$C$500,0),1)),"")</f>
        <v/>
      </c>
      <c r="I176" s="2"/>
      <c r="J176" s="2"/>
      <c r="K176" s="2"/>
      <c r="L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25">
      <c r="A177" s="1" t="str">
        <f t="shared" si="2"/>
        <v/>
      </c>
      <c r="B177" s="2"/>
      <c r="C177" s="2"/>
      <c r="D177" s="2"/>
      <c r="E177" s="2" t="str">
        <f>IFERROR(IF(ISBLANK(D177),"",INDEX([1]Gen_Vessels!$A$3:$C$500,MATCH(D177,[1]Gen_Vessels!$C$3:$C$500,0),1)),"")</f>
        <v/>
      </c>
      <c r="F177" s="2"/>
      <c r="G177" s="2"/>
      <c r="H177" s="2" t="str">
        <f>IFERROR(IF(ISBLANK(G177),"",INDEX([1]Gen_Vessels!$A$3:$C$500,MATCH(G177,[1]Gen_Vessels!$C$3:$C$500,0),1)),"")</f>
        <v/>
      </c>
      <c r="I177" s="2"/>
      <c r="J177" s="2"/>
      <c r="K177" s="2"/>
      <c r="L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25">
      <c r="A178" s="1" t="str">
        <f t="shared" si="2"/>
        <v/>
      </c>
      <c r="B178" s="2"/>
      <c r="C178" s="2"/>
      <c r="D178" s="2"/>
      <c r="E178" s="2" t="str">
        <f>IFERROR(IF(ISBLANK(D178),"",INDEX([1]Gen_Vessels!$A$3:$C$500,MATCH(D178,[1]Gen_Vessels!$C$3:$C$500,0),1)),"")</f>
        <v/>
      </c>
      <c r="F178" s="2"/>
      <c r="G178" s="2"/>
      <c r="H178" s="2" t="str">
        <f>IFERROR(IF(ISBLANK(G178),"",INDEX([1]Gen_Vessels!$A$3:$C$500,MATCH(G178,[1]Gen_Vessels!$C$3:$C$500,0),1)),"")</f>
        <v/>
      </c>
      <c r="I178" s="2"/>
      <c r="J178" s="2"/>
      <c r="K178" s="2"/>
      <c r="L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25">
      <c r="A179" s="1" t="str">
        <f t="shared" si="2"/>
        <v/>
      </c>
      <c r="B179" s="2"/>
      <c r="C179" s="2"/>
      <c r="D179" s="2"/>
      <c r="E179" s="2" t="str">
        <f>IFERROR(IF(ISBLANK(D179),"",INDEX([1]Gen_Vessels!$A$3:$C$500,MATCH(D179,[1]Gen_Vessels!$C$3:$C$500,0),1)),"")</f>
        <v/>
      </c>
      <c r="F179" s="2"/>
      <c r="G179" s="2"/>
      <c r="H179" s="2" t="str">
        <f>IFERROR(IF(ISBLANK(G179),"",INDEX([1]Gen_Vessels!$A$3:$C$500,MATCH(G179,[1]Gen_Vessels!$C$3:$C$500,0),1)),"")</f>
        <v/>
      </c>
      <c r="I179" s="2"/>
      <c r="J179" s="2"/>
      <c r="K179" s="2"/>
      <c r="L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25">
      <c r="A180" s="1" t="str">
        <f t="shared" si="2"/>
        <v/>
      </c>
      <c r="B180" s="2"/>
      <c r="C180" s="2"/>
      <c r="D180" s="2"/>
      <c r="E180" s="2" t="str">
        <f>IFERROR(IF(ISBLANK(D180),"",INDEX([1]Gen_Vessels!$A$3:$C$500,MATCH(D180,[1]Gen_Vessels!$C$3:$C$500,0),1)),"")</f>
        <v/>
      </c>
      <c r="F180" s="2"/>
      <c r="G180" s="2"/>
      <c r="H180" s="2" t="str">
        <f>IFERROR(IF(ISBLANK(G180),"",INDEX([1]Gen_Vessels!$A$3:$C$500,MATCH(G180,[1]Gen_Vessels!$C$3:$C$500,0),1)),"")</f>
        <v/>
      </c>
      <c r="I180" s="2"/>
      <c r="J180" s="2"/>
      <c r="K180" s="2"/>
      <c r="L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25">
      <c r="A181" s="1" t="str">
        <f t="shared" si="2"/>
        <v/>
      </c>
      <c r="B181" s="2"/>
      <c r="C181" s="2"/>
      <c r="D181" s="2"/>
      <c r="E181" s="2" t="str">
        <f>IFERROR(IF(ISBLANK(D181),"",INDEX([1]Gen_Vessels!$A$3:$C$500,MATCH(D181,[1]Gen_Vessels!$C$3:$C$500,0),1)),"")</f>
        <v/>
      </c>
      <c r="F181" s="2"/>
      <c r="G181" s="2"/>
      <c r="H181" s="2" t="str">
        <f>IFERROR(IF(ISBLANK(G181),"",INDEX([1]Gen_Vessels!$A$3:$C$500,MATCH(G181,[1]Gen_Vessels!$C$3:$C$500,0),1)),"")</f>
        <v/>
      </c>
      <c r="I181" s="2"/>
      <c r="J181" s="2"/>
      <c r="K181" s="2"/>
      <c r="L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25">
      <c r="A182" s="1" t="str">
        <f t="shared" si="2"/>
        <v/>
      </c>
      <c r="B182" s="2"/>
      <c r="C182" s="2"/>
      <c r="D182" s="2"/>
      <c r="E182" s="2" t="str">
        <f>IFERROR(IF(ISBLANK(D182),"",INDEX([1]Gen_Vessels!$A$3:$C$500,MATCH(D182,[1]Gen_Vessels!$C$3:$C$500,0),1)),"")</f>
        <v/>
      </c>
      <c r="F182" s="2"/>
      <c r="G182" s="2"/>
      <c r="H182" s="2" t="str">
        <f>IFERROR(IF(ISBLANK(G182),"",INDEX([1]Gen_Vessels!$A$3:$C$500,MATCH(G182,[1]Gen_Vessels!$C$3:$C$500,0),1)),"")</f>
        <v/>
      </c>
      <c r="I182" s="2"/>
      <c r="J182" s="2"/>
      <c r="K182" s="2"/>
      <c r="L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25">
      <c r="A183" s="1" t="str">
        <f t="shared" si="2"/>
        <v/>
      </c>
      <c r="B183" s="2"/>
      <c r="C183" s="2"/>
      <c r="D183" s="2"/>
      <c r="E183" s="2" t="str">
        <f>IFERROR(IF(ISBLANK(D183),"",INDEX([1]Gen_Vessels!$A$3:$C$500,MATCH(D183,[1]Gen_Vessels!$C$3:$C$500,0),1)),"")</f>
        <v/>
      </c>
      <c r="F183" s="2"/>
      <c r="G183" s="2"/>
      <c r="H183" s="2" t="str">
        <f>IFERROR(IF(ISBLANK(G183),"",INDEX([1]Gen_Vessels!$A$3:$C$500,MATCH(G183,[1]Gen_Vessels!$C$3:$C$500,0),1)),"")</f>
        <v/>
      </c>
      <c r="I183" s="2"/>
      <c r="J183" s="2"/>
      <c r="K183" s="2"/>
      <c r="L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25">
      <c r="A184" s="1" t="str">
        <f t="shared" si="2"/>
        <v/>
      </c>
      <c r="B184" s="2"/>
      <c r="C184" s="2"/>
      <c r="D184" s="2"/>
      <c r="E184" s="2" t="str">
        <f>IFERROR(IF(ISBLANK(D184),"",INDEX([1]Gen_Vessels!$A$3:$C$500,MATCH(D184,[1]Gen_Vessels!$C$3:$C$500,0),1)),"")</f>
        <v/>
      </c>
      <c r="F184" s="2"/>
      <c r="G184" s="2"/>
      <c r="H184" s="2" t="str">
        <f>IFERROR(IF(ISBLANK(G184),"",INDEX([1]Gen_Vessels!$A$3:$C$500,MATCH(G184,[1]Gen_Vessels!$C$3:$C$500,0),1)),"")</f>
        <v/>
      </c>
      <c r="I184" s="2"/>
      <c r="J184" s="2"/>
      <c r="K184" s="2"/>
      <c r="L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25">
      <c r="A185" s="1" t="str">
        <f t="shared" si="2"/>
        <v/>
      </c>
      <c r="B185" s="2"/>
      <c r="C185" s="2"/>
      <c r="D185" s="2"/>
      <c r="E185" s="2" t="str">
        <f>IFERROR(IF(ISBLANK(D185),"",INDEX([1]Gen_Vessels!$A$3:$C$500,MATCH(D185,[1]Gen_Vessels!$C$3:$C$500,0),1)),"")</f>
        <v/>
      </c>
      <c r="F185" s="2"/>
      <c r="G185" s="2"/>
      <c r="H185" s="2" t="str">
        <f>IFERROR(IF(ISBLANK(G185),"",INDEX([1]Gen_Vessels!$A$3:$C$500,MATCH(G185,[1]Gen_Vessels!$C$3:$C$500,0),1)),"")</f>
        <v/>
      </c>
      <c r="I185" s="2"/>
      <c r="J185" s="2"/>
      <c r="K185" s="2"/>
      <c r="L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25">
      <c r="A186" s="1" t="str">
        <f t="shared" si="2"/>
        <v/>
      </c>
      <c r="B186" s="2"/>
      <c r="C186" s="2"/>
      <c r="D186" s="2"/>
      <c r="E186" s="2" t="str">
        <f>IFERROR(IF(ISBLANK(D186),"",INDEX([1]Gen_Vessels!$A$3:$C$500,MATCH(D186,[1]Gen_Vessels!$C$3:$C$500,0),1)),"")</f>
        <v/>
      </c>
      <c r="F186" s="2"/>
      <c r="G186" s="2"/>
      <c r="H186" s="2" t="str">
        <f>IFERROR(IF(ISBLANK(G186),"",INDEX([1]Gen_Vessels!$A$3:$C$500,MATCH(G186,[1]Gen_Vessels!$C$3:$C$500,0),1)),"")</f>
        <v/>
      </c>
      <c r="I186" s="2"/>
      <c r="J186" s="2"/>
      <c r="K186" s="2"/>
      <c r="L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25">
      <c r="A187" s="1" t="str">
        <f t="shared" si="2"/>
        <v/>
      </c>
      <c r="B187" s="2"/>
      <c r="C187" s="2"/>
      <c r="D187" s="2"/>
      <c r="E187" s="2" t="str">
        <f>IFERROR(IF(ISBLANK(D187),"",INDEX([1]Gen_Vessels!$A$3:$C$500,MATCH(D187,[1]Gen_Vessels!$C$3:$C$500,0),1)),"")</f>
        <v/>
      </c>
      <c r="F187" s="2"/>
      <c r="G187" s="2"/>
      <c r="H187" s="2" t="str">
        <f>IFERROR(IF(ISBLANK(G187),"",INDEX([1]Gen_Vessels!$A$3:$C$500,MATCH(G187,[1]Gen_Vessels!$C$3:$C$500,0),1)),"")</f>
        <v/>
      </c>
      <c r="I187" s="2"/>
      <c r="J187" s="2"/>
      <c r="K187" s="2"/>
      <c r="L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25">
      <c r="A188" s="1" t="str">
        <f t="shared" si="2"/>
        <v/>
      </c>
      <c r="B188" s="2"/>
      <c r="C188" s="2"/>
      <c r="D188" s="2"/>
      <c r="E188" s="2" t="str">
        <f>IFERROR(IF(ISBLANK(D188),"",INDEX([1]Gen_Vessels!$A$3:$C$500,MATCH(D188,[1]Gen_Vessels!$C$3:$C$500,0),1)),"")</f>
        <v/>
      </c>
      <c r="F188" s="2"/>
      <c r="G188" s="2"/>
      <c r="H188" s="2" t="str">
        <f>IFERROR(IF(ISBLANK(G188),"",INDEX([1]Gen_Vessels!$A$3:$C$500,MATCH(G188,[1]Gen_Vessels!$C$3:$C$500,0),1)),"")</f>
        <v/>
      </c>
      <c r="I188" s="2"/>
      <c r="J188" s="2"/>
      <c r="K188" s="2"/>
      <c r="L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25">
      <c r="A189" s="1" t="str">
        <f t="shared" si="2"/>
        <v/>
      </c>
      <c r="B189" s="2"/>
      <c r="C189" s="2"/>
      <c r="D189" s="2"/>
      <c r="E189" s="2" t="str">
        <f>IFERROR(IF(ISBLANK(D189),"",INDEX([1]Gen_Vessels!$A$3:$C$500,MATCH(D189,[1]Gen_Vessels!$C$3:$C$500,0),1)),"")</f>
        <v/>
      </c>
      <c r="F189" s="2"/>
      <c r="G189" s="2"/>
      <c r="H189" s="2" t="str">
        <f>IFERROR(IF(ISBLANK(G189),"",INDEX([1]Gen_Vessels!$A$3:$C$500,MATCH(G189,[1]Gen_Vessels!$C$3:$C$500,0),1)),"")</f>
        <v/>
      </c>
      <c r="I189" s="2"/>
      <c r="J189" s="2"/>
      <c r="K189" s="2"/>
      <c r="L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25">
      <c r="A190" s="1" t="str">
        <f t="shared" si="2"/>
        <v/>
      </c>
      <c r="B190" s="2"/>
      <c r="C190" s="2"/>
      <c r="D190" s="2"/>
      <c r="E190" s="2" t="str">
        <f>IFERROR(IF(ISBLANK(D190),"",INDEX([1]Gen_Vessels!$A$3:$C$500,MATCH(D190,[1]Gen_Vessels!$C$3:$C$500,0),1)),"")</f>
        <v/>
      </c>
      <c r="F190" s="2"/>
      <c r="G190" s="2"/>
      <c r="H190" s="2" t="str">
        <f>IFERROR(IF(ISBLANK(G190),"",INDEX([1]Gen_Vessels!$A$3:$C$500,MATCH(G190,[1]Gen_Vessels!$C$3:$C$500,0),1)),"")</f>
        <v/>
      </c>
      <c r="I190" s="2"/>
      <c r="J190" s="2"/>
      <c r="K190" s="2"/>
      <c r="L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25">
      <c r="A191" s="1" t="str">
        <f t="shared" si="2"/>
        <v/>
      </c>
      <c r="B191" s="2"/>
      <c r="C191" s="2"/>
      <c r="D191" s="2"/>
      <c r="E191" s="2" t="str">
        <f>IFERROR(IF(ISBLANK(D191),"",INDEX([1]Gen_Vessels!$A$3:$C$500,MATCH(D191,[1]Gen_Vessels!$C$3:$C$500,0),1)),"")</f>
        <v/>
      </c>
      <c r="F191" s="2"/>
      <c r="G191" s="2"/>
      <c r="H191" s="2" t="str">
        <f>IFERROR(IF(ISBLANK(G191),"",INDEX([1]Gen_Vessels!$A$3:$C$500,MATCH(G191,[1]Gen_Vessels!$C$3:$C$500,0),1)),"")</f>
        <v/>
      </c>
      <c r="I191" s="2"/>
      <c r="J191" s="2"/>
      <c r="K191" s="2"/>
      <c r="L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25">
      <c r="A192" s="1" t="str">
        <f t="shared" si="2"/>
        <v/>
      </c>
      <c r="B192" s="2"/>
      <c r="C192" s="2"/>
      <c r="D192" s="2"/>
      <c r="E192" s="2" t="str">
        <f>IFERROR(IF(ISBLANK(D192),"",INDEX([1]Gen_Vessels!$A$3:$C$500,MATCH(D192,[1]Gen_Vessels!$C$3:$C$500,0),1)),"")</f>
        <v/>
      </c>
      <c r="F192" s="2"/>
      <c r="G192" s="2"/>
      <c r="H192" s="2" t="str">
        <f>IFERROR(IF(ISBLANK(G192),"",INDEX([1]Gen_Vessels!$A$3:$C$500,MATCH(G192,[1]Gen_Vessels!$C$3:$C$500,0),1)),"")</f>
        <v/>
      </c>
      <c r="I192" s="2"/>
      <c r="J192" s="2"/>
      <c r="K192" s="2"/>
      <c r="L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25">
      <c r="A193" s="1" t="str">
        <f t="shared" si="2"/>
        <v/>
      </c>
      <c r="B193" s="2"/>
      <c r="C193" s="2"/>
      <c r="D193" s="2"/>
      <c r="E193" s="2" t="str">
        <f>IFERROR(IF(ISBLANK(D193),"",INDEX([1]Gen_Vessels!$A$3:$C$500,MATCH(D193,[1]Gen_Vessels!$C$3:$C$500,0),1)),"")</f>
        <v/>
      </c>
      <c r="F193" s="2"/>
      <c r="G193" s="2"/>
      <c r="H193" s="2" t="str">
        <f>IFERROR(IF(ISBLANK(G193),"",INDEX([1]Gen_Vessels!$A$3:$C$500,MATCH(G193,[1]Gen_Vessels!$C$3:$C$500,0),1)),"")</f>
        <v/>
      </c>
      <c r="I193" s="2"/>
      <c r="J193" s="2"/>
      <c r="K193" s="2"/>
      <c r="L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25">
      <c r="A194" s="1" t="str">
        <f t="shared" si="2"/>
        <v/>
      </c>
      <c r="B194" s="2"/>
      <c r="C194" s="2"/>
      <c r="D194" s="2"/>
      <c r="E194" s="2" t="str">
        <f>IFERROR(IF(ISBLANK(D194),"",INDEX([1]Gen_Vessels!$A$3:$C$500,MATCH(D194,[1]Gen_Vessels!$C$3:$C$500,0),1)),"")</f>
        <v/>
      </c>
      <c r="F194" s="2"/>
      <c r="G194" s="2"/>
      <c r="H194" s="2" t="str">
        <f>IFERROR(IF(ISBLANK(G194),"",INDEX([1]Gen_Vessels!$A$3:$C$500,MATCH(G194,[1]Gen_Vessels!$C$3:$C$500,0),1)),"")</f>
        <v/>
      </c>
      <c r="I194" s="2"/>
      <c r="J194" s="2"/>
      <c r="K194" s="2"/>
      <c r="L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25">
      <c r="A195" s="1" t="str">
        <f t="shared" si="2"/>
        <v/>
      </c>
      <c r="B195" s="2"/>
      <c r="C195" s="2"/>
      <c r="D195" s="2"/>
      <c r="E195" s="2" t="str">
        <f>IFERROR(IF(ISBLANK(D195),"",INDEX([1]Gen_Vessels!$A$3:$C$500,MATCH(D195,[1]Gen_Vessels!$C$3:$C$500,0),1)),"")</f>
        <v/>
      </c>
      <c r="F195" s="2"/>
      <c r="G195" s="2"/>
      <c r="H195" s="2" t="str">
        <f>IFERROR(IF(ISBLANK(G195),"",INDEX([1]Gen_Vessels!$A$3:$C$500,MATCH(G195,[1]Gen_Vessels!$C$3:$C$500,0),1)),"")</f>
        <v/>
      </c>
      <c r="I195" s="2"/>
      <c r="J195" s="2"/>
      <c r="K195" s="2"/>
      <c r="L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25">
      <c r="A196" s="1" t="str">
        <f t="shared" ref="A196:A259" si="3">IF(ISBLANK($B196)=FALSE,_xlfn.CONCAT($B196,"_tow"),"")</f>
        <v/>
      </c>
      <c r="B196" s="2"/>
      <c r="C196" s="2"/>
      <c r="D196" s="2"/>
      <c r="E196" s="2" t="str">
        <f>IFERROR(IF(ISBLANK(D196),"",INDEX([1]Gen_Vessels!$A$3:$C$500,MATCH(D196,[1]Gen_Vessels!$C$3:$C$500,0),1)),"")</f>
        <v/>
      </c>
      <c r="F196" s="2"/>
      <c r="G196" s="2"/>
      <c r="H196" s="2" t="str">
        <f>IFERROR(IF(ISBLANK(G196),"",INDEX([1]Gen_Vessels!$A$3:$C$500,MATCH(G196,[1]Gen_Vessels!$C$3:$C$500,0),1)),"")</f>
        <v/>
      </c>
      <c r="I196" s="2"/>
      <c r="J196" s="2"/>
      <c r="K196" s="2"/>
      <c r="L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25">
      <c r="A197" s="1" t="str">
        <f t="shared" si="3"/>
        <v/>
      </c>
      <c r="B197" s="2"/>
      <c r="C197" s="2"/>
      <c r="D197" s="2"/>
      <c r="E197" s="2" t="str">
        <f>IFERROR(IF(ISBLANK(D197),"",INDEX([1]Gen_Vessels!$A$3:$C$500,MATCH(D197,[1]Gen_Vessels!$C$3:$C$500,0),1)),"")</f>
        <v/>
      </c>
      <c r="F197" s="2"/>
      <c r="G197" s="2"/>
      <c r="H197" s="2" t="str">
        <f>IFERROR(IF(ISBLANK(G197),"",INDEX([1]Gen_Vessels!$A$3:$C$500,MATCH(G197,[1]Gen_Vessels!$C$3:$C$500,0),1)),"")</f>
        <v/>
      </c>
      <c r="I197" s="2"/>
      <c r="J197" s="2"/>
      <c r="K197" s="2"/>
      <c r="L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25">
      <c r="A198" s="1" t="str">
        <f t="shared" si="3"/>
        <v/>
      </c>
      <c r="B198" s="2"/>
      <c r="C198" s="2"/>
      <c r="D198" s="2"/>
      <c r="E198" s="2" t="str">
        <f>IFERROR(IF(ISBLANK(D198),"",INDEX([1]Gen_Vessels!$A$3:$C$500,MATCH(D198,[1]Gen_Vessels!$C$3:$C$500,0),1)),"")</f>
        <v/>
      </c>
      <c r="F198" s="2"/>
      <c r="G198" s="2"/>
      <c r="H198" s="2" t="str">
        <f>IFERROR(IF(ISBLANK(G198),"",INDEX([1]Gen_Vessels!$A$3:$C$500,MATCH(G198,[1]Gen_Vessels!$C$3:$C$500,0),1)),"")</f>
        <v/>
      </c>
      <c r="I198" s="2"/>
      <c r="J198" s="2"/>
      <c r="K198" s="2"/>
      <c r="L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25">
      <c r="A199" s="1" t="str">
        <f t="shared" si="3"/>
        <v/>
      </c>
      <c r="B199" s="2"/>
      <c r="C199" s="2"/>
      <c r="D199" s="2"/>
      <c r="E199" s="2" t="str">
        <f>IFERROR(IF(ISBLANK(D199),"",INDEX([1]Gen_Vessels!$A$3:$C$500,MATCH(D199,[1]Gen_Vessels!$C$3:$C$500,0),1)),"")</f>
        <v/>
      </c>
      <c r="F199" s="2"/>
      <c r="G199" s="2"/>
      <c r="H199" s="2" t="str">
        <f>IFERROR(IF(ISBLANK(G199),"",INDEX([1]Gen_Vessels!$A$3:$C$500,MATCH(G199,[1]Gen_Vessels!$C$3:$C$500,0),1)),"")</f>
        <v/>
      </c>
      <c r="I199" s="2"/>
      <c r="J199" s="2"/>
      <c r="K199" s="2"/>
      <c r="L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25">
      <c r="A200" s="1" t="str">
        <f t="shared" si="3"/>
        <v/>
      </c>
      <c r="B200" s="2"/>
      <c r="C200" s="2"/>
      <c r="D200" s="2"/>
      <c r="E200" s="2" t="str">
        <f>IFERROR(IF(ISBLANK(D200),"",INDEX([1]Gen_Vessels!$A$3:$C$500,MATCH(D200,[1]Gen_Vessels!$C$3:$C$500,0),1)),"")</f>
        <v/>
      </c>
      <c r="F200" s="2"/>
      <c r="G200" s="2"/>
      <c r="H200" s="2" t="str">
        <f>IFERROR(IF(ISBLANK(G200),"",INDEX([1]Gen_Vessels!$A$3:$C$500,MATCH(G200,[1]Gen_Vessels!$C$3:$C$500,0),1)),"")</f>
        <v/>
      </c>
      <c r="I200" s="2"/>
      <c r="J200" s="2"/>
      <c r="K200" s="2"/>
      <c r="L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25">
      <c r="A201" s="1" t="str">
        <f t="shared" si="3"/>
        <v/>
      </c>
      <c r="B201" s="2"/>
      <c r="C201" s="2"/>
      <c r="D201" s="2"/>
      <c r="E201" s="2" t="str">
        <f>IFERROR(IF(ISBLANK(D201),"",INDEX([1]Gen_Vessels!$A$3:$C$500,MATCH(D201,[1]Gen_Vessels!$C$3:$C$500,0),1)),"")</f>
        <v/>
      </c>
      <c r="F201" s="2"/>
      <c r="G201" s="2"/>
      <c r="H201" s="2" t="str">
        <f>IFERROR(IF(ISBLANK(G201),"",INDEX([1]Gen_Vessels!$A$3:$C$500,MATCH(G201,[1]Gen_Vessels!$C$3:$C$500,0),1)),"")</f>
        <v/>
      </c>
      <c r="I201" s="2"/>
      <c r="J201" s="2"/>
      <c r="K201" s="2"/>
      <c r="L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25">
      <c r="A202" s="1" t="str">
        <f t="shared" si="3"/>
        <v/>
      </c>
      <c r="B202" s="2"/>
      <c r="C202" s="2"/>
      <c r="D202" s="2"/>
      <c r="E202" s="2" t="str">
        <f>IFERROR(IF(ISBLANK(D202),"",INDEX([1]Gen_Vessels!$A$3:$C$500,MATCH(D202,[1]Gen_Vessels!$C$3:$C$500,0),1)),"")</f>
        <v/>
      </c>
      <c r="F202" s="2"/>
      <c r="G202" s="2"/>
      <c r="H202" s="2" t="str">
        <f>IFERROR(IF(ISBLANK(G202),"",INDEX([1]Gen_Vessels!$A$3:$C$500,MATCH(G202,[1]Gen_Vessels!$C$3:$C$500,0),1)),"")</f>
        <v/>
      </c>
      <c r="I202" s="2"/>
      <c r="J202" s="2"/>
      <c r="K202" s="2"/>
      <c r="L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25">
      <c r="A203" s="1" t="str">
        <f t="shared" si="3"/>
        <v/>
      </c>
      <c r="B203" s="2"/>
      <c r="C203" s="2"/>
      <c r="D203" s="2"/>
      <c r="E203" s="2" t="str">
        <f>IFERROR(IF(ISBLANK(D203),"",INDEX([1]Gen_Vessels!$A$3:$C$500,MATCH(D203,[1]Gen_Vessels!$C$3:$C$500,0),1)),"")</f>
        <v/>
      </c>
      <c r="F203" s="2"/>
      <c r="G203" s="2"/>
      <c r="H203" s="2" t="str">
        <f>IFERROR(IF(ISBLANK(G203),"",INDEX([1]Gen_Vessels!$A$3:$C$500,MATCH(G203,[1]Gen_Vessels!$C$3:$C$500,0),1)),"")</f>
        <v/>
      </c>
      <c r="I203" s="2"/>
      <c r="J203" s="2"/>
      <c r="K203" s="2"/>
      <c r="L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25">
      <c r="A204" s="1" t="str">
        <f t="shared" si="3"/>
        <v/>
      </c>
      <c r="B204" s="2"/>
      <c r="C204" s="2"/>
      <c r="D204" s="2"/>
      <c r="E204" s="2" t="str">
        <f>IFERROR(IF(ISBLANK(D204),"",INDEX([1]Gen_Vessels!$A$3:$C$500,MATCH(D204,[1]Gen_Vessels!$C$3:$C$500,0),1)),"")</f>
        <v/>
      </c>
      <c r="F204" s="2"/>
      <c r="G204" s="2"/>
      <c r="H204" s="2" t="str">
        <f>IFERROR(IF(ISBLANK(G204),"",INDEX([1]Gen_Vessels!$A$3:$C$500,MATCH(G204,[1]Gen_Vessels!$C$3:$C$500,0),1)),"")</f>
        <v/>
      </c>
      <c r="I204" s="2"/>
      <c r="J204" s="2"/>
      <c r="K204" s="2"/>
      <c r="L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25">
      <c r="A205" s="1" t="str">
        <f t="shared" si="3"/>
        <v/>
      </c>
      <c r="B205" s="2"/>
      <c r="C205" s="2"/>
      <c r="D205" s="2"/>
      <c r="E205" s="2" t="str">
        <f>IFERROR(IF(ISBLANK(D205),"",INDEX([1]Gen_Vessels!$A$3:$C$500,MATCH(D205,[1]Gen_Vessels!$C$3:$C$500,0),1)),"")</f>
        <v/>
      </c>
      <c r="F205" s="2"/>
      <c r="G205" s="2"/>
      <c r="H205" s="2" t="str">
        <f>IFERROR(IF(ISBLANK(G205),"",INDEX([1]Gen_Vessels!$A$3:$C$500,MATCH(G205,[1]Gen_Vessels!$C$3:$C$500,0),1)),"")</f>
        <v/>
      </c>
      <c r="I205" s="2"/>
      <c r="J205" s="2"/>
      <c r="K205" s="2"/>
      <c r="L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25">
      <c r="A206" s="1" t="str">
        <f t="shared" si="3"/>
        <v/>
      </c>
      <c r="B206" s="2"/>
      <c r="C206" s="2"/>
      <c r="D206" s="2"/>
      <c r="E206" s="2" t="str">
        <f>IFERROR(IF(ISBLANK(D206),"",INDEX([1]Gen_Vessels!$A$3:$C$500,MATCH(D206,[1]Gen_Vessels!$C$3:$C$500,0),1)),"")</f>
        <v/>
      </c>
      <c r="F206" s="2"/>
      <c r="G206" s="2"/>
      <c r="H206" s="2" t="str">
        <f>IFERROR(IF(ISBLANK(G206),"",INDEX([1]Gen_Vessels!$A$3:$C$500,MATCH(G206,[1]Gen_Vessels!$C$3:$C$500,0),1)),"")</f>
        <v/>
      </c>
      <c r="I206" s="2"/>
      <c r="J206" s="2"/>
      <c r="K206" s="2"/>
      <c r="L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25">
      <c r="A207" s="1" t="str">
        <f t="shared" si="3"/>
        <v/>
      </c>
      <c r="B207" s="2"/>
      <c r="C207" s="2"/>
      <c r="D207" s="2"/>
      <c r="E207" s="2" t="str">
        <f>IFERROR(IF(ISBLANK(D207),"",INDEX([1]Gen_Vessels!$A$3:$C$500,MATCH(D207,[1]Gen_Vessels!$C$3:$C$500,0),1)),"")</f>
        <v/>
      </c>
      <c r="F207" s="2"/>
      <c r="G207" s="2"/>
      <c r="H207" s="2" t="str">
        <f>IFERROR(IF(ISBLANK(G207),"",INDEX([1]Gen_Vessels!$A$3:$C$500,MATCH(G207,[1]Gen_Vessels!$C$3:$C$500,0),1)),"")</f>
        <v/>
      </c>
      <c r="I207" s="2"/>
      <c r="J207" s="2"/>
      <c r="K207" s="2"/>
      <c r="L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25">
      <c r="A208" s="1" t="str">
        <f t="shared" si="3"/>
        <v/>
      </c>
      <c r="B208" s="2"/>
      <c r="C208" s="2"/>
      <c r="D208" s="2"/>
      <c r="E208" s="2" t="str">
        <f>IFERROR(IF(ISBLANK(D208),"",INDEX([1]Gen_Vessels!$A$3:$C$500,MATCH(D208,[1]Gen_Vessels!$C$3:$C$500,0),1)),"")</f>
        <v/>
      </c>
      <c r="F208" s="2"/>
      <c r="G208" s="2"/>
      <c r="H208" s="2" t="str">
        <f>IFERROR(IF(ISBLANK(G208),"",INDEX([1]Gen_Vessels!$A$3:$C$500,MATCH(G208,[1]Gen_Vessels!$C$3:$C$500,0),1)),"")</f>
        <v/>
      </c>
      <c r="I208" s="2"/>
      <c r="J208" s="2"/>
      <c r="K208" s="2"/>
      <c r="L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25">
      <c r="A209" s="1" t="str">
        <f t="shared" si="3"/>
        <v/>
      </c>
      <c r="B209" s="2"/>
      <c r="C209" s="2"/>
      <c r="D209" s="2"/>
      <c r="E209" s="2" t="str">
        <f>IFERROR(IF(ISBLANK(D209),"",INDEX([1]Gen_Vessels!$A$3:$C$500,MATCH(D209,[1]Gen_Vessels!$C$3:$C$500,0),1)),"")</f>
        <v/>
      </c>
      <c r="F209" s="2"/>
      <c r="G209" s="2"/>
      <c r="H209" s="2" t="str">
        <f>IFERROR(IF(ISBLANK(G209),"",INDEX([1]Gen_Vessels!$A$3:$C$500,MATCH(G209,[1]Gen_Vessels!$C$3:$C$500,0),1)),"")</f>
        <v/>
      </c>
      <c r="I209" s="2"/>
      <c r="J209" s="2"/>
      <c r="K209" s="2"/>
      <c r="L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25">
      <c r="A210" s="1" t="str">
        <f t="shared" si="3"/>
        <v/>
      </c>
      <c r="B210" s="2"/>
      <c r="C210" s="2"/>
      <c r="D210" s="2"/>
      <c r="E210" s="2" t="str">
        <f>IFERROR(IF(ISBLANK(D210),"",INDEX([1]Gen_Vessels!$A$3:$C$500,MATCH(D210,[1]Gen_Vessels!$C$3:$C$500,0),1)),"")</f>
        <v/>
      </c>
      <c r="F210" s="2"/>
      <c r="G210" s="2"/>
      <c r="H210" s="2" t="str">
        <f>IFERROR(IF(ISBLANK(G210),"",INDEX([1]Gen_Vessels!$A$3:$C$500,MATCH(G210,[1]Gen_Vessels!$C$3:$C$500,0),1)),"")</f>
        <v/>
      </c>
      <c r="I210" s="2"/>
      <c r="J210" s="2"/>
      <c r="K210" s="2"/>
      <c r="L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25">
      <c r="A211" s="1" t="str">
        <f t="shared" si="3"/>
        <v/>
      </c>
      <c r="B211" s="2"/>
      <c r="C211" s="2"/>
      <c r="D211" s="2"/>
      <c r="E211" s="2" t="str">
        <f>IFERROR(IF(ISBLANK(D211),"",INDEX([1]Gen_Vessels!$A$3:$C$500,MATCH(D211,[1]Gen_Vessels!$C$3:$C$500,0),1)),"")</f>
        <v/>
      </c>
      <c r="F211" s="2"/>
      <c r="G211" s="2"/>
      <c r="H211" s="2" t="str">
        <f>IFERROR(IF(ISBLANK(G211),"",INDEX([1]Gen_Vessels!$A$3:$C$500,MATCH(G211,[1]Gen_Vessels!$C$3:$C$500,0),1)),"")</f>
        <v/>
      </c>
      <c r="I211" s="2"/>
      <c r="J211" s="2"/>
      <c r="K211" s="2"/>
      <c r="L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25">
      <c r="A212" s="1" t="str">
        <f t="shared" si="3"/>
        <v/>
      </c>
      <c r="B212" s="2"/>
      <c r="C212" s="2"/>
      <c r="D212" s="2"/>
      <c r="E212" s="2" t="str">
        <f>IFERROR(IF(ISBLANK(D212),"",INDEX([1]Gen_Vessels!$A$3:$C$500,MATCH(D212,[1]Gen_Vessels!$C$3:$C$500,0),1)),"")</f>
        <v/>
      </c>
      <c r="F212" s="2"/>
      <c r="G212" s="2"/>
      <c r="H212" s="2" t="str">
        <f>IFERROR(IF(ISBLANK(G212),"",INDEX([1]Gen_Vessels!$A$3:$C$500,MATCH(G212,[1]Gen_Vessels!$C$3:$C$500,0),1)),"")</f>
        <v/>
      </c>
      <c r="I212" s="2"/>
      <c r="J212" s="2"/>
      <c r="K212" s="2"/>
      <c r="L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25">
      <c r="A213" s="1" t="str">
        <f t="shared" si="3"/>
        <v/>
      </c>
      <c r="B213" s="2"/>
      <c r="C213" s="2"/>
      <c r="D213" s="2"/>
      <c r="E213" s="2" t="str">
        <f>IFERROR(IF(ISBLANK(D213),"",INDEX([1]Gen_Vessels!$A$3:$C$500,MATCH(D213,[1]Gen_Vessels!$C$3:$C$500,0),1)),"")</f>
        <v/>
      </c>
      <c r="F213" s="2"/>
      <c r="G213" s="2"/>
      <c r="H213" s="2" t="str">
        <f>IFERROR(IF(ISBLANK(G213),"",INDEX([1]Gen_Vessels!$A$3:$C$500,MATCH(G213,[1]Gen_Vessels!$C$3:$C$500,0),1)),"")</f>
        <v/>
      </c>
      <c r="I213" s="2"/>
      <c r="J213" s="2"/>
      <c r="K213" s="2"/>
      <c r="L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25">
      <c r="A214" s="1" t="str">
        <f t="shared" si="3"/>
        <v/>
      </c>
      <c r="B214" s="2"/>
      <c r="C214" s="2"/>
      <c r="D214" s="2"/>
      <c r="E214" s="2" t="str">
        <f>IFERROR(IF(ISBLANK(D214),"",INDEX([1]Gen_Vessels!$A$3:$C$500,MATCH(D214,[1]Gen_Vessels!$C$3:$C$500,0),1)),"")</f>
        <v/>
      </c>
      <c r="F214" s="2"/>
      <c r="G214" s="2"/>
      <c r="H214" s="2" t="str">
        <f>IFERROR(IF(ISBLANK(G214),"",INDEX([1]Gen_Vessels!$A$3:$C$500,MATCH(G214,[1]Gen_Vessels!$C$3:$C$500,0),1)),"")</f>
        <v/>
      </c>
      <c r="I214" s="2"/>
      <c r="J214" s="2"/>
      <c r="K214" s="2"/>
      <c r="L214" s="2"/>
      <c r="N214" s="2"/>
      <c r="O214" s="2"/>
      <c r="P214" s="2"/>
      <c r="Q214" s="2"/>
      <c r="R214" s="2"/>
      <c r="S214" s="2"/>
      <c r="T214" s="2"/>
      <c r="U214" s="2"/>
    </row>
    <row r="215" spans="1:21" x14ac:dyDescent="0.25">
      <c r="A215" s="1" t="str">
        <f t="shared" si="3"/>
        <v/>
      </c>
      <c r="B215" s="2"/>
      <c r="C215" s="2"/>
      <c r="D215" s="2"/>
      <c r="E215" s="2" t="str">
        <f>IFERROR(IF(ISBLANK(D215),"",INDEX([1]Gen_Vessels!$A$3:$C$500,MATCH(D215,[1]Gen_Vessels!$C$3:$C$500,0),1)),"")</f>
        <v/>
      </c>
      <c r="F215" s="2"/>
      <c r="G215" s="2"/>
      <c r="H215" s="2" t="str">
        <f>IFERROR(IF(ISBLANK(G215),"",INDEX([1]Gen_Vessels!$A$3:$C$500,MATCH(G215,[1]Gen_Vessels!$C$3:$C$500,0),1)),"")</f>
        <v/>
      </c>
      <c r="I215" s="2"/>
      <c r="J215" s="2"/>
      <c r="K215" s="2"/>
      <c r="L215" s="2"/>
      <c r="N215" s="2"/>
      <c r="O215" s="2"/>
      <c r="P215" s="2"/>
      <c r="Q215" s="2"/>
      <c r="R215" s="2"/>
      <c r="S215" s="2"/>
      <c r="T215" s="2"/>
      <c r="U215" s="2"/>
    </row>
    <row r="216" spans="1:21" x14ac:dyDescent="0.25">
      <c r="A216" s="1" t="str">
        <f t="shared" si="3"/>
        <v/>
      </c>
      <c r="B216" s="2"/>
      <c r="C216" s="2"/>
      <c r="D216" s="2"/>
      <c r="E216" s="2" t="str">
        <f>IFERROR(IF(ISBLANK(D216),"",INDEX([1]Gen_Vessels!$A$3:$C$500,MATCH(D216,[1]Gen_Vessels!$C$3:$C$500,0),1)),"")</f>
        <v/>
      </c>
      <c r="F216" s="2"/>
      <c r="G216" s="2"/>
      <c r="H216" s="2" t="str">
        <f>IFERROR(IF(ISBLANK(G216),"",INDEX([1]Gen_Vessels!$A$3:$C$500,MATCH(G216,[1]Gen_Vessels!$C$3:$C$500,0),1)),"")</f>
        <v/>
      </c>
      <c r="I216" s="2"/>
      <c r="J216" s="2"/>
      <c r="K216" s="2"/>
      <c r="L216" s="2"/>
      <c r="N216" s="2"/>
      <c r="O216" s="2"/>
      <c r="P216" s="2"/>
      <c r="Q216" s="2"/>
      <c r="R216" s="2"/>
      <c r="S216" s="2"/>
      <c r="T216" s="2"/>
      <c r="U216" s="2"/>
    </row>
    <row r="217" spans="1:21" x14ac:dyDescent="0.25">
      <c r="A217" s="1" t="str">
        <f t="shared" si="3"/>
        <v/>
      </c>
      <c r="B217" s="2"/>
      <c r="C217" s="2"/>
      <c r="D217" s="2"/>
      <c r="E217" s="2" t="str">
        <f>IFERROR(IF(ISBLANK(D217),"",INDEX([1]Gen_Vessels!$A$3:$C$500,MATCH(D217,[1]Gen_Vessels!$C$3:$C$500,0),1)),"")</f>
        <v/>
      </c>
      <c r="F217" s="2"/>
      <c r="G217" s="2"/>
      <c r="H217" s="2" t="str">
        <f>IFERROR(IF(ISBLANK(G217),"",INDEX([1]Gen_Vessels!$A$3:$C$500,MATCH(G217,[1]Gen_Vessels!$C$3:$C$500,0),1)),"")</f>
        <v/>
      </c>
      <c r="I217" s="2"/>
      <c r="J217" s="2"/>
      <c r="K217" s="2"/>
      <c r="L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25">
      <c r="A218" s="1" t="str">
        <f t="shared" si="3"/>
        <v/>
      </c>
      <c r="B218" s="2"/>
      <c r="C218" s="2"/>
      <c r="D218" s="2"/>
      <c r="E218" s="2" t="str">
        <f>IFERROR(IF(ISBLANK(D218),"",INDEX([1]Gen_Vessels!$A$3:$C$500,MATCH(D218,[1]Gen_Vessels!$C$3:$C$500,0),1)),"")</f>
        <v/>
      </c>
      <c r="F218" s="2"/>
      <c r="G218" s="2"/>
      <c r="H218" s="2" t="str">
        <f>IFERROR(IF(ISBLANK(G218),"",INDEX([1]Gen_Vessels!$A$3:$C$500,MATCH(G218,[1]Gen_Vessels!$C$3:$C$500,0),1)),"")</f>
        <v/>
      </c>
      <c r="I218" s="2"/>
      <c r="J218" s="2"/>
      <c r="K218" s="2"/>
      <c r="L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25">
      <c r="A219" s="1" t="str">
        <f t="shared" si="3"/>
        <v/>
      </c>
      <c r="B219" s="2"/>
      <c r="C219" s="2"/>
      <c r="D219" s="2"/>
      <c r="E219" s="2" t="str">
        <f>IFERROR(IF(ISBLANK(D219),"",INDEX([1]Gen_Vessels!$A$3:$C$500,MATCH(D219,[1]Gen_Vessels!$C$3:$C$500,0),1)),"")</f>
        <v/>
      </c>
      <c r="F219" s="2"/>
      <c r="G219" s="2"/>
      <c r="H219" s="2" t="str">
        <f>IFERROR(IF(ISBLANK(G219),"",INDEX([1]Gen_Vessels!$A$3:$C$500,MATCH(G219,[1]Gen_Vessels!$C$3:$C$500,0),1)),"")</f>
        <v/>
      </c>
      <c r="I219" s="2"/>
      <c r="J219" s="2"/>
      <c r="K219" s="2"/>
      <c r="L219" s="2"/>
      <c r="N219" s="2"/>
      <c r="O219" s="2"/>
      <c r="P219" s="2"/>
      <c r="Q219" s="2"/>
      <c r="R219" s="2"/>
      <c r="S219" s="2"/>
      <c r="T219" s="2"/>
      <c r="U219" s="2"/>
    </row>
    <row r="220" spans="1:21" x14ac:dyDescent="0.25">
      <c r="A220" s="1" t="str">
        <f t="shared" si="3"/>
        <v/>
      </c>
      <c r="B220" s="2"/>
      <c r="C220" s="2"/>
      <c r="D220" s="2"/>
      <c r="E220" s="2" t="str">
        <f>IFERROR(IF(ISBLANK(D220),"",INDEX([1]Gen_Vessels!$A$3:$C$500,MATCH(D220,[1]Gen_Vessels!$C$3:$C$500,0),1)),"")</f>
        <v/>
      </c>
      <c r="F220" s="2"/>
      <c r="G220" s="2"/>
      <c r="H220" s="2" t="str">
        <f>IFERROR(IF(ISBLANK(G220),"",INDEX([1]Gen_Vessels!$A$3:$C$500,MATCH(G220,[1]Gen_Vessels!$C$3:$C$500,0),1)),"")</f>
        <v/>
      </c>
      <c r="I220" s="2"/>
      <c r="J220" s="2"/>
      <c r="K220" s="2"/>
      <c r="L220" s="2"/>
      <c r="N220" s="2"/>
      <c r="O220" s="2"/>
      <c r="P220" s="2"/>
      <c r="Q220" s="2"/>
      <c r="R220" s="2"/>
      <c r="S220" s="2"/>
      <c r="T220" s="2"/>
      <c r="U220" s="2"/>
    </row>
    <row r="221" spans="1:21" x14ac:dyDescent="0.25">
      <c r="A221" s="1" t="str">
        <f t="shared" si="3"/>
        <v/>
      </c>
      <c r="B221" s="2"/>
      <c r="C221" s="2"/>
      <c r="D221" s="2"/>
      <c r="E221" s="2" t="str">
        <f>IFERROR(IF(ISBLANK(D221),"",INDEX([1]Gen_Vessels!$A$3:$C$500,MATCH(D221,[1]Gen_Vessels!$C$3:$C$500,0),1)),"")</f>
        <v/>
      </c>
      <c r="F221" s="2"/>
      <c r="G221" s="2"/>
      <c r="H221" s="2" t="str">
        <f>IFERROR(IF(ISBLANK(G221),"",INDEX([1]Gen_Vessels!$A$3:$C$500,MATCH(G221,[1]Gen_Vessels!$C$3:$C$500,0),1)),"")</f>
        <v/>
      </c>
      <c r="I221" s="2"/>
      <c r="J221" s="2"/>
      <c r="K221" s="2"/>
      <c r="L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25">
      <c r="A222" s="1" t="str">
        <f t="shared" si="3"/>
        <v/>
      </c>
      <c r="B222" s="2"/>
      <c r="C222" s="2"/>
      <c r="D222" s="2"/>
      <c r="E222" s="2" t="str">
        <f>IFERROR(IF(ISBLANK(D222),"",INDEX([1]Gen_Vessels!$A$3:$C$500,MATCH(D222,[1]Gen_Vessels!$C$3:$C$500,0),1)),"")</f>
        <v/>
      </c>
      <c r="F222" s="2"/>
      <c r="G222" s="2"/>
      <c r="H222" s="2" t="str">
        <f>IFERROR(IF(ISBLANK(G222),"",INDEX([1]Gen_Vessels!$A$3:$C$500,MATCH(G222,[1]Gen_Vessels!$C$3:$C$500,0),1)),"")</f>
        <v/>
      </c>
      <c r="I222" s="2"/>
      <c r="J222" s="2"/>
      <c r="K222" s="2"/>
      <c r="L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25">
      <c r="A223" s="1" t="str">
        <f t="shared" si="3"/>
        <v/>
      </c>
      <c r="B223" s="2"/>
      <c r="C223" s="2"/>
      <c r="D223" s="2"/>
      <c r="E223" s="2" t="str">
        <f>IFERROR(IF(ISBLANK(D223),"",INDEX([1]Gen_Vessels!$A$3:$C$500,MATCH(D223,[1]Gen_Vessels!$C$3:$C$500,0),1)),"")</f>
        <v/>
      </c>
      <c r="F223" s="2"/>
      <c r="G223" s="2"/>
      <c r="H223" s="2" t="str">
        <f>IFERROR(IF(ISBLANK(G223),"",INDEX([1]Gen_Vessels!$A$3:$C$500,MATCH(G223,[1]Gen_Vessels!$C$3:$C$500,0),1)),"")</f>
        <v/>
      </c>
      <c r="I223" s="2"/>
      <c r="J223" s="2"/>
      <c r="K223" s="2"/>
      <c r="L223" s="2"/>
      <c r="N223" s="2"/>
      <c r="O223" s="2"/>
      <c r="P223" s="2"/>
      <c r="Q223" s="2"/>
      <c r="R223" s="2"/>
      <c r="S223" s="2"/>
      <c r="T223" s="2"/>
      <c r="U223" s="2"/>
    </row>
    <row r="224" spans="1:21" x14ac:dyDescent="0.25">
      <c r="A224" s="1" t="str">
        <f t="shared" si="3"/>
        <v/>
      </c>
      <c r="B224" s="2"/>
      <c r="C224" s="2"/>
      <c r="D224" s="2"/>
      <c r="E224" s="2" t="str">
        <f>IFERROR(IF(ISBLANK(D224),"",INDEX([1]Gen_Vessels!$A$3:$C$500,MATCH(D224,[1]Gen_Vessels!$C$3:$C$500,0),1)),"")</f>
        <v/>
      </c>
      <c r="F224" s="2"/>
      <c r="G224" s="2"/>
      <c r="H224" s="2" t="str">
        <f>IFERROR(IF(ISBLANK(G224),"",INDEX([1]Gen_Vessels!$A$3:$C$500,MATCH(G224,[1]Gen_Vessels!$C$3:$C$500,0),1)),"")</f>
        <v/>
      </c>
      <c r="I224" s="2"/>
      <c r="J224" s="2"/>
      <c r="K224" s="2"/>
      <c r="L224" s="2"/>
      <c r="N224" s="2"/>
      <c r="O224" s="2"/>
      <c r="P224" s="2"/>
      <c r="Q224" s="2"/>
      <c r="R224" s="2"/>
      <c r="S224" s="2"/>
      <c r="T224" s="2"/>
      <c r="U224" s="2"/>
    </row>
    <row r="225" spans="1:21" x14ac:dyDescent="0.25">
      <c r="A225" s="1" t="str">
        <f t="shared" si="3"/>
        <v/>
      </c>
      <c r="B225" s="2"/>
      <c r="C225" s="2"/>
      <c r="D225" s="2"/>
      <c r="E225" s="2" t="str">
        <f>IFERROR(IF(ISBLANK(D225),"",INDEX([1]Gen_Vessels!$A$3:$C$500,MATCH(D225,[1]Gen_Vessels!$C$3:$C$500,0),1)),"")</f>
        <v/>
      </c>
      <c r="F225" s="2"/>
      <c r="G225" s="2"/>
      <c r="H225" s="2" t="str">
        <f>IFERROR(IF(ISBLANK(G225),"",INDEX([1]Gen_Vessels!$A$3:$C$500,MATCH(G225,[1]Gen_Vessels!$C$3:$C$500,0),1)),"")</f>
        <v/>
      </c>
      <c r="I225" s="2"/>
      <c r="J225" s="2"/>
      <c r="K225" s="2"/>
      <c r="L225" s="2"/>
      <c r="N225" s="2"/>
      <c r="O225" s="2"/>
      <c r="P225" s="2"/>
      <c r="Q225" s="2"/>
      <c r="R225" s="2"/>
      <c r="S225" s="2"/>
      <c r="T225" s="2"/>
      <c r="U225" s="2"/>
    </row>
    <row r="226" spans="1:21" x14ac:dyDescent="0.25">
      <c r="A226" s="1" t="str">
        <f t="shared" si="3"/>
        <v/>
      </c>
      <c r="B226" s="2"/>
      <c r="C226" s="2"/>
      <c r="D226" s="2"/>
      <c r="E226" s="2" t="str">
        <f>IFERROR(IF(ISBLANK(D226),"",INDEX([1]Gen_Vessels!$A$3:$C$500,MATCH(D226,[1]Gen_Vessels!$C$3:$C$500,0),1)),"")</f>
        <v/>
      </c>
      <c r="F226" s="2"/>
      <c r="G226" s="2"/>
      <c r="H226" s="2" t="str">
        <f>IFERROR(IF(ISBLANK(G226),"",INDEX([1]Gen_Vessels!$A$3:$C$500,MATCH(G226,[1]Gen_Vessels!$C$3:$C$500,0),1)),"")</f>
        <v/>
      </c>
      <c r="I226" s="2"/>
      <c r="J226" s="2"/>
      <c r="K226" s="2"/>
      <c r="L226" s="2"/>
      <c r="N226" s="2"/>
      <c r="O226" s="2"/>
      <c r="P226" s="2"/>
      <c r="Q226" s="2"/>
      <c r="R226" s="2"/>
      <c r="S226" s="2"/>
      <c r="T226" s="2"/>
      <c r="U226" s="2"/>
    </row>
    <row r="227" spans="1:21" x14ac:dyDescent="0.25">
      <c r="A227" s="1" t="str">
        <f t="shared" si="3"/>
        <v/>
      </c>
      <c r="B227" s="2"/>
      <c r="C227" s="2"/>
      <c r="D227" s="2"/>
      <c r="E227" s="2" t="str">
        <f>IFERROR(IF(ISBLANK(D227),"",INDEX([1]Gen_Vessels!$A$3:$C$500,MATCH(D227,[1]Gen_Vessels!$C$3:$C$500,0),1)),"")</f>
        <v/>
      </c>
      <c r="F227" s="2"/>
      <c r="G227" s="2"/>
      <c r="H227" s="2" t="str">
        <f>IFERROR(IF(ISBLANK(G227),"",INDEX([1]Gen_Vessels!$A$3:$C$500,MATCH(G227,[1]Gen_Vessels!$C$3:$C$500,0),1)),"")</f>
        <v/>
      </c>
      <c r="I227" s="2"/>
      <c r="J227" s="2"/>
      <c r="K227" s="2"/>
      <c r="L227" s="2"/>
      <c r="N227" s="2"/>
      <c r="O227" s="2"/>
      <c r="P227" s="2"/>
      <c r="Q227" s="2"/>
      <c r="R227" s="2"/>
      <c r="S227" s="2"/>
      <c r="T227" s="2"/>
      <c r="U227" s="2"/>
    </row>
    <row r="228" spans="1:21" x14ac:dyDescent="0.25">
      <c r="A228" s="1" t="str">
        <f t="shared" si="3"/>
        <v/>
      </c>
      <c r="B228" s="2"/>
      <c r="C228" s="2"/>
      <c r="D228" s="2"/>
      <c r="E228" s="2" t="str">
        <f>IFERROR(IF(ISBLANK(D228),"",INDEX([1]Gen_Vessels!$A$3:$C$500,MATCH(D228,[1]Gen_Vessels!$C$3:$C$500,0),1)),"")</f>
        <v/>
      </c>
      <c r="F228" s="2"/>
      <c r="G228" s="2"/>
      <c r="H228" s="2" t="str">
        <f>IFERROR(IF(ISBLANK(G228),"",INDEX([1]Gen_Vessels!$A$3:$C$500,MATCH(G228,[1]Gen_Vessels!$C$3:$C$500,0),1)),"")</f>
        <v/>
      </c>
      <c r="I228" s="2"/>
      <c r="J228" s="2"/>
      <c r="K228" s="2"/>
      <c r="L228" s="2"/>
      <c r="N228" s="2"/>
      <c r="O228" s="2"/>
      <c r="P228" s="2"/>
      <c r="Q228" s="2"/>
      <c r="R228" s="2"/>
      <c r="S228" s="2"/>
      <c r="T228" s="2"/>
      <c r="U228" s="2"/>
    </row>
    <row r="229" spans="1:21" x14ac:dyDescent="0.25">
      <c r="A229" s="1" t="str">
        <f t="shared" si="3"/>
        <v/>
      </c>
      <c r="B229" s="2"/>
      <c r="C229" s="2"/>
      <c r="D229" s="2"/>
      <c r="E229" s="2" t="str">
        <f>IFERROR(IF(ISBLANK(D229),"",INDEX([1]Gen_Vessels!$A$3:$C$500,MATCH(D229,[1]Gen_Vessels!$C$3:$C$500,0),1)),"")</f>
        <v/>
      </c>
      <c r="F229" s="2"/>
      <c r="G229" s="2"/>
      <c r="H229" s="2" t="str">
        <f>IFERROR(IF(ISBLANK(G229),"",INDEX([1]Gen_Vessels!$A$3:$C$500,MATCH(G229,[1]Gen_Vessels!$C$3:$C$500,0),1)),"")</f>
        <v/>
      </c>
      <c r="I229" s="2"/>
      <c r="J229" s="2"/>
      <c r="K229" s="2"/>
      <c r="L229" s="2"/>
      <c r="N229" s="2"/>
      <c r="O229" s="2"/>
      <c r="P229" s="2"/>
      <c r="Q229" s="2"/>
      <c r="R229" s="2"/>
      <c r="S229" s="2"/>
      <c r="T229" s="2"/>
      <c r="U229" s="2"/>
    </row>
    <row r="230" spans="1:21" x14ac:dyDescent="0.25">
      <c r="A230" s="1" t="str">
        <f t="shared" si="3"/>
        <v/>
      </c>
      <c r="B230" s="2"/>
      <c r="C230" s="2"/>
      <c r="D230" s="2"/>
      <c r="E230" s="2" t="str">
        <f>IFERROR(IF(ISBLANK(D230),"",INDEX([1]Gen_Vessels!$A$3:$C$500,MATCH(D230,[1]Gen_Vessels!$C$3:$C$500,0),1)),"")</f>
        <v/>
      </c>
      <c r="F230" s="2"/>
      <c r="G230" s="2"/>
      <c r="H230" s="2" t="str">
        <f>IFERROR(IF(ISBLANK(G230),"",INDEX([1]Gen_Vessels!$A$3:$C$500,MATCH(G230,[1]Gen_Vessels!$C$3:$C$500,0),1)),"")</f>
        <v/>
      </c>
      <c r="I230" s="2"/>
      <c r="J230" s="2"/>
      <c r="K230" s="2"/>
      <c r="L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25">
      <c r="A231" s="1" t="str">
        <f t="shared" si="3"/>
        <v/>
      </c>
      <c r="B231" s="2"/>
      <c r="C231" s="2"/>
      <c r="D231" s="2"/>
      <c r="E231" s="2" t="str">
        <f>IFERROR(IF(ISBLANK(D231),"",INDEX([1]Gen_Vessels!$A$3:$C$500,MATCH(D231,[1]Gen_Vessels!$C$3:$C$500,0),1)),"")</f>
        <v/>
      </c>
      <c r="F231" s="2"/>
      <c r="G231" s="2"/>
      <c r="H231" s="2" t="str">
        <f>IFERROR(IF(ISBLANK(G231),"",INDEX([1]Gen_Vessels!$A$3:$C$500,MATCH(G231,[1]Gen_Vessels!$C$3:$C$500,0),1)),"")</f>
        <v/>
      </c>
      <c r="I231" s="2"/>
      <c r="J231" s="2"/>
      <c r="K231" s="2"/>
      <c r="L231" s="2"/>
      <c r="N231" s="2"/>
      <c r="O231" s="2"/>
      <c r="P231" s="2"/>
      <c r="Q231" s="2"/>
      <c r="R231" s="2"/>
      <c r="S231" s="2"/>
      <c r="T231" s="2"/>
      <c r="U231" s="2"/>
    </row>
    <row r="232" spans="1:21" x14ac:dyDescent="0.25">
      <c r="A232" s="1" t="str">
        <f t="shared" si="3"/>
        <v/>
      </c>
      <c r="B232" s="2"/>
      <c r="C232" s="2"/>
      <c r="D232" s="2"/>
      <c r="E232" s="2" t="str">
        <f>IFERROR(IF(ISBLANK(D232),"",INDEX([1]Gen_Vessels!$A$3:$C$500,MATCH(D232,[1]Gen_Vessels!$C$3:$C$500,0),1)),"")</f>
        <v/>
      </c>
      <c r="F232" s="2"/>
      <c r="G232" s="2"/>
      <c r="H232" s="2" t="str">
        <f>IFERROR(IF(ISBLANK(G232),"",INDEX([1]Gen_Vessels!$A$3:$C$500,MATCH(G232,[1]Gen_Vessels!$C$3:$C$500,0),1)),"")</f>
        <v/>
      </c>
      <c r="I232" s="2"/>
      <c r="J232" s="2"/>
      <c r="K232" s="2"/>
      <c r="L232" s="2"/>
      <c r="N232" s="2"/>
      <c r="O232" s="2"/>
      <c r="P232" s="2"/>
      <c r="Q232" s="2"/>
      <c r="R232" s="2"/>
      <c r="S232" s="2"/>
      <c r="T232" s="2"/>
      <c r="U232" s="2"/>
    </row>
    <row r="233" spans="1:21" x14ac:dyDescent="0.25">
      <c r="A233" s="1" t="str">
        <f t="shared" si="3"/>
        <v/>
      </c>
      <c r="B233" s="2"/>
      <c r="C233" s="2"/>
      <c r="D233" s="2"/>
      <c r="E233" s="2" t="str">
        <f>IFERROR(IF(ISBLANK(D233),"",INDEX([1]Gen_Vessels!$A$3:$C$500,MATCH(D233,[1]Gen_Vessels!$C$3:$C$500,0),1)),"")</f>
        <v/>
      </c>
      <c r="F233" s="2"/>
      <c r="G233" s="2"/>
      <c r="H233" s="2" t="str">
        <f>IFERROR(IF(ISBLANK(G233),"",INDEX([1]Gen_Vessels!$A$3:$C$500,MATCH(G233,[1]Gen_Vessels!$C$3:$C$500,0),1)),"")</f>
        <v/>
      </c>
      <c r="I233" s="2"/>
      <c r="J233" s="2"/>
      <c r="K233" s="2"/>
      <c r="L233" s="2"/>
      <c r="N233" s="2"/>
      <c r="O233" s="2"/>
      <c r="P233" s="2"/>
      <c r="Q233" s="2"/>
      <c r="R233" s="2"/>
      <c r="S233" s="2"/>
      <c r="T233" s="2"/>
      <c r="U233" s="2"/>
    </row>
    <row r="234" spans="1:21" x14ac:dyDescent="0.25">
      <c r="A234" s="1" t="str">
        <f t="shared" si="3"/>
        <v/>
      </c>
      <c r="B234" s="2"/>
      <c r="C234" s="2"/>
      <c r="D234" s="2"/>
      <c r="E234" s="2" t="str">
        <f>IFERROR(IF(ISBLANK(D234),"",INDEX([1]Gen_Vessels!$A$3:$C$500,MATCH(D234,[1]Gen_Vessels!$C$3:$C$500,0),1)),"")</f>
        <v/>
      </c>
      <c r="F234" s="2"/>
      <c r="G234" s="2"/>
      <c r="H234" s="2" t="str">
        <f>IFERROR(IF(ISBLANK(G234),"",INDEX([1]Gen_Vessels!$A$3:$C$500,MATCH(G234,[1]Gen_Vessels!$C$3:$C$500,0),1)),"")</f>
        <v/>
      </c>
      <c r="I234" s="2"/>
      <c r="J234" s="2"/>
      <c r="K234" s="2"/>
      <c r="L234" s="2"/>
      <c r="N234" s="2"/>
      <c r="O234" s="2"/>
      <c r="P234" s="2"/>
      <c r="Q234" s="2"/>
      <c r="R234" s="2"/>
      <c r="S234" s="2"/>
      <c r="T234" s="2"/>
      <c r="U234" s="2"/>
    </row>
    <row r="235" spans="1:21" x14ac:dyDescent="0.25">
      <c r="A235" s="1" t="str">
        <f t="shared" si="3"/>
        <v/>
      </c>
      <c r="B235" s="2"/>
      <c r="C235" s="2"/>
      <c r="D235" s="2"/>
      <c r="E235" s="2" t="str">
        <f>IFERROR(IF(ISBLANK(D235),"",INDEX([1]Gen_Vessels!$A$3:$C$500,MATCH(D235,[1]Gen_Vessels!$C$3:$C$500,0),1)),"")</f>
        <v/>
      </c>
      <c r="F235" s="2"/>
      <c r="G235" s="2"/>
      <c r="H235" s="2" t="str">
        <f>IFERROR(IF(ISBLANK(G235),"",INDEX([1]Gen_Vessels!$A$3:$C$500,MATCH(G235,[1]Gen_Vessels!$C$3:$C$500,0),1)),"")</f>
        <v/>
      </c>
      <c r="I235" s="2"/>
      <c r="J235" s="2"/>
      <c r="K235" s="2"/>
      <c r="L235" s="2"/>
      <c r="N235" s="2"/>
      <c r="O235" s="2"/>
      <c r="P235" s="2"/>
      <c r="Q235" s="2"/>
      <c r="R235" s="2"/>
      <c r="S235" s="2"/>
      <c r="T235" s="2"/>
      <c r="U235" s="2"/>
    </row>
    <row r="236" spans="1:21" x14ac:dyDescent="0.25">
      <c r="A236" s="1" t="str">
        <f t="shared" si="3"/>
        <v/>
      </c>
      <c r="B236" s="2"/>
      <c r="C236" s="2"/>
      <c r="D236" s="2"/>
      <c r="E236" s="2" t="str">
        <f>IFERROR(IF(ISBLANK(D236),"",INDEX([1]Gen_Vessels!$A$3:$C$500,MATCH(D236,[1]Gen_Vessels!$C$3:$C$500,0),1)),"")</f>
        <v/>
      </c>
      <c r="F236" s="2"/>
      <c r="G236" s="2"/>
      <c r="H236" s="2" t="str">
        <f>IFERROR(IF(ISBLANK(G236),"",INDEX([1]Gen_Vessels!$A$3:$C$500,MATCH(G236,[1]Gen_Vessels!$C$3:$C$500,0),1)),"")</f>
        <v/>
      </c>
      <c r="I236" s="2"/>
      <c r="J236" s="2"/>
      <c r="K236" s="2"/>
      <c r="L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25">
      <c r="A237" s="1" t="str">
        <f t="shared" si="3"/>
        <v/>
      </c>
      <c r="B237" s="2"/>
      <c r="C237" s="2"/>
      <c r="D237" s="2"/>
      <c r="E237" s="2" t="str">
        <f>IFERROR(IF(ISBLANK(D237),"",INDEX([1]Gen_Vessels!$A$3:$C$500,MATCH(D237,[1]Gen_Vessels!$C$3:$C$500,0),1)),"")</f>
        <v/>
      </c>
      <c r="F237" s="2"/>
      <c r="G237" s="2"/>
      <c r="H237" s="2" t="str">
        <f>IFERROR(IF(ISBLANK(G237),"",INDEX([1]Gen_Vessels!$A$3:$C$500,MATCH(G237,[1]Gen_Vessels!$C$3:$C$500,0),1)),"")</f>
        <v/>
      </c>
      <c r="I237" s="2"/>
      <c r="J237" s="2"/>
      <c r="K237" s="2"/>
      <c r="L237" s="2"/>
      <c r="N237" s="2"/>
      <c r="O237" s="2"/>
      <c r="P237" s="2"/>
      <c r="Q237" s="2"/>
      <c r="R237" s="2"/>
      <c r="S237" s="2"/>
      <c r="T237" s="2"/>
      <c r="U237" s="2"/>
    </row>
    <row r="238" spans="1:21" x14ac:dyDescent="0.25">
      <c r="A238" s="1" t="str">
        <f t="shared" si="3"/>
        <v/>
      </c>
      <c r="B238" s="2"/>
      <c r="C238" s="2"/>
      <c r="D238" s="2"/>
      <c r="E238" s="2" t="str">
        <f>IFERROR(IF(ISBLANK(D238),"",INDEX([1]Gen_Vessels!$A$3:$C$500,MATCH(D238,[1]Gen_Vessels!$C$3:$C$500,0),1)),"")</f>
        <v/>
      </c>
      <c r="F238" s="2"/>
      <c r="G238" s="2"/>
      <c r="H238" s="2" t="str">
        <f>IFERROR(IF(ISBLANK(G238),"",INDEX([1]Gen_Vessels!$A$3:$C$500,MATCH(G238,[1]Gen_Vessels!$C$3:$C$500,0),1)),"")</f>
        <v/>
      </c>
      <c r="I238" s="2"/>
      <c r="J238" s="2"/>
      <c r="K238" s="2"/>
      <c r="L238" s="2"/>
      <c r="N238" s="2"/>
      <c r="O238" s="2"/>
      <c r="P238" s="2"/>
      <c r="Q238" s="2"/>
      <c r="R238" s="2"/>
      <c r="S238" s="2"/>
      <c r="T238" s="2"/>
      <c r="U238" s="2"/>
    </row>
    <row r="239" spans="1:21" x14ac:dyDescent="0.25">
      <c r="A239" s="1" t="str">
        <f t="shared" si="3"/>
        <v/>
      </c>
      <c r="B239" s="2"/>
      <c r="C239" s="2"/>
      <c r="D239" s="2"/>
      <c r="E239" s="2" t="str">
        <f>IFERROR(IF(ISBLANK(D239),"",INDEX([1]Gen_Vessels!$A$3:$C$500,MATCH(D239,[1]Gen_Vessels!$C$3:$C$500,0),1)),"")</f>
        <v/>
      </c>
      <c r="F239" s="2"/>
      <c r="G239" s="2"/>
      <c r="H239" s="2" t="str">
        <f>IFERROR(IF(ISBLANK(G239),"",INDEX([1]Gen_Vessels!$A$3:$C$500,MATCH(G239,[1]Gen_Vessels!$C$3:$C$500,0),1)),"")</f>
        <v/>
      </c>
      <c r="I239" s="2"/>
      <c r="J239" s="2"/>
      <c r="K239" s="2"/>
      <c r="L239" s="2"/>
      <c r="N239" s="2"/>
      <c r="O239" s="2"/>
      <c r="P239" s="2"/>
      <c r="Q239" s="2"/>
      <c r="R239" s="2"/>
      <c r="S239" s="2"/>
      <c r="T239" s="2"/>
      <c r="U239" s="2"/>
    </row>
    <row r="240" spans="1:21" x14ac:dyDescent="0.25">
      <c r="A240" s="1" t="str">
        <f t="shared" si="3"/>
        <v/>
      </c>
      <c r="B240" s="2"/>
      <c r="C240" s="2"/>
      <c r="D240" s="2"/>
      <c r="E240" s="2" t="str">
        <f>IFERROR(IF(ISBLANK(D240),"",INDEX([1]Gen_Vessels!$A$3:$C$500,MATCH(D240,[1]Gen_Vessels!$C$3:$C$500,0),1)),"")</f>
        <v/>
      </c>
      <c r="F240" s="2"/>
      <c r="G240" s="2"/>
      <c r="H240" s="2" t="str">
        <f>IFERROR(IF(ISBLANK(G240),"",INDEX([1]Gen_Vessels!$A$3:$C$500,MATCH(G240,[1]Gen_Vessels!$C$3:$C$500,0),1)),"")</f>
        <v/>
      </c>
      <c r="I240" s="2"/>
      <c r="J240" s="2"/>
      <c r="K240" s="2"/>
      <c r="L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25">
      <c r="A241" s="1" t="str">
        <f t="shared" si="3"/>
        <v/>
      </c>
      <c r="B241" s="2"/>
      <c r="C241" s="2"/>
      <c r="D241" s="2"/>
      <c r="E241" s="2" t="str">
        <f>IFERROR(IF(ISBLANK(D241),"",INDEX([1]Gen_Vessels!$A$3:$C$500,MATCH(D241,[1]Gen_Vessels!$C$3:$C$500,0),1)),"")</f>
        <v/>
      </c>
      <c r="F241" s="2"/>
      <c r="G241" s="2"/>
      <c r="H241" s="2" t="str">
        <f>IFERROR(IF(ISBLANK(G241),"",INDEX([1]Gen_Vessels!$A$3:$C$500,MATCH(G241,[1]Gen_Vessels!$C$3:$C$500,0),1)),"")</f>
        <v/>
      </c>
      <c r="I241" s="2"/>
      <c r="J241" s="2"/>
      <c r="K241" s="2"/>
      <c r="L241" s="2"/>
      <c r="N241" s="2"/>
      <c r="O241" s="2"/>
      <c r="P241" s="2"/>
      <c r="Q241" s="2"/>
      <c r="R241" s="2"/>
      <c r="S241" s="2"/>
      <c r="T241" s="2"/>
      <c r="U241" s="2"/>
    </row>
    <row r="242" spans="1:21" x14ac:dyDescent="0.25">
      <c r="A242" s="1" t="str">
        <f t="shared" si="3"/>
        <v/>
      </c>
      <c r="B242" s="2"/>
      <c r="C242" s="2"/>
      <c r="D242" s="2"/>
      <c r="E242" s="2" t="str">
        <f>IFERROR(IF(ISBLANK(D242),"",INDEX([1]Gen_Vessels!$A$3:$C$500,MATCH(D242,[1]Gen_Vessels!$C$3:$C$500,0),1)),"")</f>
        <v/>
      </c>
      <c r="F242" s="2"/>
      <c r="G242" s="2"/>
      <c r="H242" s="2" t="str">
        <f>IFERROR(IF(ISBLANK(G242),"",INDEX([1]Gen_Vessels!$A$3:$C$500,MATCH(G242,[1]Gen_Vessels!$C$3:$C$500,0),1)),"")</f>
        <v/>
      </c>
      <c r="I242" s="2"/>
      <c r="J242" s="2"/>
      <c r="K242" s="2"/>
      <c r="L242" s="2"/>
      <c r="N242" s="2"/>
      <c r="O242" s="2"/>
      <c r="P242" s="2"/>
      <c r="Q242" s="2"/>
      <c r="R242" s="2"/>
      <c r="S242" s="2"/>
      <c r="T242" s="2"/>
      <c r="U242" s="2"/>
    </row>
    <row r="243" spans="1:21" x14ac:dyDescent="0.25">
      <c r="A243" s="1" t="str">
        <f t="shared" si="3"/>
        <v/>
      </c>
      <c r="B243" s="2"/>
      <c r="C243" s="2"/>
      <c r="D243" s="2"/>
      <c r="E243" s="2" t="str">
        <f>IFERROR(IF(ISBLANK(D243),"",INDEX([1]Gen_Vessels!$A$3:$C$500,MATCH(D243,[1]Gen_Vessels!$C$3:$C$500,0),1)),"")</f>
        <v/>
      </c>
      <c r="F243" s="2"/>
      <c r="G243" s="2"/>
      <c r="H243" s="2" t="str">
        <f>IFERROR(IF(ISBLANK(G243),"",INDEX([1]Gen_Vessels!$A$3:$C$500,MATCH(G243,[1]Gen_Vessels!$C$3:$C$500,0),1)),"")</f>
        <v/>
      </c>
      <c r="I243" s="2"/>
      <c r="J243" s="2"/>
      <c r="K243" s="2"/>
      <c r="L243" s="2"/>
      <c r="N243" s="2"/>
      <c r="O243" s="2"/>
      <c r="P243" s="2"/>
      <c r="Q243" s="2"/>
      <c r="R243" s="2"/>
      <c r="S243" s="2"/>
      <c r="T243" s="2"/>
      <c r="U243" s="2"/>
    </row>
    <row r="244" spans="1:21" x14ac:dyDescent="0.25">
      <c r="A244" s="1" t="str">
        <f t="shared" si="3"/>
        <v/>
      </c>
      <c r="B244" s="2"/>
      <c r="C244" s="2"/>
      <c r="D244" s="2"/>
      <c r="E244" s="2" t="str">
        <f>IFERROR(IF(ISBLANK(D244),"",INDEX([1]Gen_Vessels!$A$3:$C$500,MATCH(D244,[1]Gen_Vessels!$C$3:$C$500,0),1)),"")</f>
        <v/>
      </c>
      <c r="F244" s="2"/>
      <c r="G244" s="2"/>
      <c r="H244" s="2" t="str">
        <f>IFERROR(IF(ISBLANK(G244),"",INDEX([1]Gen_Vessels!$A$3:$C$500,MATCH(G244,[1]Gen_Vessels!$C$3:$C$500,0),1)),"")</f>
        <v/>
      </c>
      <c r="I244" s="2"/>
      <c r="J244" s="2"/>
      <c r="K244" s="2"/>
      <c r="L244" s="2"/>
      <c r="N244" s="2"/>
      <c r="O244" s="2"/>
      <c r="P244" s="2"/>
      <c r="Q244" s="2"/>
      <c r="R244" s="2"/>
      <c r="S244" s="2"/>
      <c r="T244" s="2"/>
      <c r="U244" s="2"/>
    </row>
    <row r="245" spans="1:21" x14ac:dyDescent="0.25">
      <c r="A245" s="1" t="str">
        <f t="shared" si="3"/>
        <v/>
      </c>
      <c r="B245" s="2"/>
      <c r="C245" s="2"/>
      <c r="D245" s="2"/>
      <c r="E245" s="2" t="str">
        <f>IFERROR(IF(ISBLANK(D245),"",INDEX([1]Gen_Vessels!$A$3:$C$500,MATCH(D245,[1]Gen_Vessels!$C$3:$C$500,0),1)),"")</f>
        <v/>
      </c>
      <c r="F245" s="2"/>
      <c r="G245" s="2"/>
      <c r="H245" s="2" t="str">
        <f>IFERROR(IF(ISBLANK(G245),"",INDEX([1]Gen_Vessels!$A$3:$C$500,MATCH(G245,[1]Gen_Vessels!$C$3:$C$500,0),1)),"")</f>
        <v/>
      </c>
      <c r="I245" s="2"/>
      <c r="J245" s="2"/>
      <c r="K245" s="2"/>
      <c r="L245" s="2"/>
      <c r="N245" s="2"/>
      <c r="O245" s="2"/>
      <c r="P245" s="2"/>
      <c r="Q245" s="2"/>
      <c r="R245" s="2"/>
      <c r="S245" s="2"/>
      <c r="T245" s="2"/>
      <c r="U245" s="2"/>
    </row>
    <row r="246" spans="1:21" x14ac:dyDescent="0.25">
      <c r="A246" s="1" t="str">
        <f t="shared" si="3"/>
        <v/>
      </c>
      <c r="B246" s="2"/>
      <c r="C246" s="2"/>
      <c r="D246" s="2"/>
      <c r="E246" s="2" t="str">
        <f>IFERROR(IF(ISBLANK(D246),"",INDEX([1]Gen_Vessels!$A$3:$C$500,MATCH(D246,[1]Gen_Vessels!$C$3:$C$500,0),1)),"")</f>
        <v/>
      </c>
      <c r="F246" s="2"/>
      <c r="G246" s="2"/>
      <c r="H246" s="2" t="str">
        <f>IFERROR(IF(ISBLANK(G246),"",INDEX([1]Gen_Vessels!$A$3:$C$500,MATCH(G246,[1]Gen_Vessels!$C$3:$C$500,0),1)),"")</f>
        <v/>
      </c>
      <c r="I246" s="2"/>
      <c r="J246" s="2"/>
      <c r="K246" s="2"/>
      <c r="L246" s="2"/>
      <c r="N246" s="2"/>
      <c r="O246" s="2"/>
      <c r="P246" s="2"/>
      <c r="Q246" s="2"/>
      <c r="R246" s="2"/>
      <c r="S246" s="2"/>
      <c r="T246" s="2"/>
      <c r="U246" s="2"/>
    </row>
    <row r="247" spans="1:21" x14ac:dyDescent="0.25">
      <c r="A247" s="1" t="str">
        <f t="shared" si="3"/>
        <v/>
      </c>
      <c r="B247" s="2"/>
      <c r="C247" s="2"/>
      <c r="D247" s="2"/>
      <c r="E247" s="2" t="str">
        <f>IFERROR(IF(ISBLANK(D247),"",INDEX([1]Gen_Vessels!$A$3:$C$500,MATCH(D247,[1]Gen_Vessels!$C$3:$C$500,0),1)),"")</f>
        <v/>
      </c>
      <c r="F247" s="2"/>
      <c r="G247" s="2"/>
      <c r="H247" s="2" t="str">
        <f>IFERROR(IF(ISBLANK(G247),"",INDEX([1]Gen_Vessels!$A$3:$C$500,MATCH(G247,[1]Gen_Vessels!$C$3:$C$500,0),1)),"")</f>
        <v/>
      </c>
      <c r="I247" s="2"/>
      <c r="J247" s="2"/>
      <c r="K247" s="2"/>
      <c r="L247" s="2"/>
      <c r="N247" s="2"/>
      <c r="O247" s="2"/>
      <c r="P247" s="2"/>
      <c r="Q247" s="2"/>
      <c r="R247" s="2"/>
      <c r="S247" s="2"/>
      <c r="T247" s="2"/>
      <c r="U247" s="2"/>
    </row>
    <row r="248" spans="1:21" x14ac:dyDescent="0.25">
      <c r="A248" s="1" t="str">
        <f t="shared" si="3"/>
        <v/>
      </c>
      <c r="B248" s="2"/>
      <c r="C248" s="2"/>
      <c r="D248" s="2"/>
      <c r="E248" s="2" t="str">
        <f>IFERROR(IF(ISBLANK(D248),"",INDEX([1]Gen_Vessels!$A$3:$C$500,MATCH(D248,[1]Gen_Vessels!$C$3:$C$500,0),1)),"")</f>
        <v/>
      </c>
      <c r="F248" s="2"/>
      <c r="G248" s="2"/>
      <c r="H248" s="2" t="str">
        <f>IFERROR(IF(ISBLANK(G248),"",INDEX([1]Gen_Vessels!$A$3:$C$500,MATCH(G248,[1]Gen_Vessels!$C$3:$C$500,0),1)),"")</f>
        <v/>
      </c>
      <c r="I248" s="2"/>
      <c r="J248" s="2"/>
      <c r="K248" s="2"/>
      <c r="L248" s="2"/>
      <c r="N248" s="2"/>
      <c r="O248" s="2"/>
      <c r="P248" s="2"/>
      <c r="Q248" s="2"/>
      <c r="R248" s="2"/>
      <c r="S248" s="2"/>
      <c r="T248" s="2"/>
      <c r="U248" s="2"/>
    </row>
    <row r="249" spans="1:21" x14ac:dyDescent="0.25">
      <c r="A249" s="1" t="str">
        <f t="shared" si="3"/>
        <v/>
      </c>
      <c r="B249" s="2"/>
      <c r="C249" s="2"/>
      <c r="D249" s="2"/>
      <c r="E249" s="2" t="str">
        <f>IFERROR(IF(ISBLANK(D249),"",INDEX([1]Gen_Vessels!$A$3:$C$500,MATCH(D249,[1]Gen_Vessels!$C$3:$C$500,0),1)),"")</f>
        <v/>
      </c>
      <c r="F249" s="2"/>
      <c r="G249" s="2"/>
      <c r="H249" s="2" t="str">
        <f>IFERROR(IF(ISBLANK(G249),"",INDEX([1]Gen_Vessels!$A$3:$C$500,MATCH(G249,[1]Gen_Vessels!$C$3:$C$500,0),1)),"")</f>
        <v/>
      </c>
      <c r="I249" s="2"/>
      <c r="J249" s="2"/>
      <c r="K249" s="2"/>
      <c r="L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25">
      <c r="A250" s="1" t="str">
        <f t="shared" si="3"/>
        <v/>
      </c>
      <c r="B250" s="2"/>
      <c r="C250" s="2"/>
      <c r="D250" s="2"/>
      <c r="E250" s="2" t="str">
        <f>IFERROR(IF(ISBLANK(D250),"",INDEX([1]Gen_Vessels!$A$3:$C$500,MATCH(D250,[1]Gen_Vessels!$C$3:$C$500,0),1)),"")</f>
        <v/>
      </c>
      <c r="F250" s="2"/>
      <c r="G250" s="2"/>
      <c r="H250" s="2" t="str">
        <f>IFERROR(IF(ISBLANK(G250),"",INDEX([1]Gen_Vessels!$A$3:$C$500,MATCH(G250,[1]Gen_Vessels!$C$3:$C$500,0),1)),"")</f>
        <v/>
      </c>
      <c r="I250" s="2"/>
      <c r="J250" s="2"/>
      <c r="K250" s="2"/>
      <c r="L250" s="2"/>
      <c r="N250" s="2"/>
      <c r="O250" s="2"/>
      <c r="P250" s="2"/>
      <c r="Q250" s="2"/>
      <c r="R250" s="2"/>
      <c r="S250" s="2"/>
      <c r="T250" s="2"/>
      <c r="U250" s="2"/>
    </row>
    <row r="251" spans="1:21" x14ac:dyDescent="0.25">
      <c r="A251" s="1" t="str">
        <f t="shared" si="3"/>
        <v/>
      </c>
      <c r="B251" s="2"/>
      <c r="C251" s="2"/>
      <c r="D251" s="2"/>
      <c r="E251" s="2" t="str">
        <f>IFERROR(IF(ISBLANK(D251),"",INDEX([1]Gen_Vessels!$A$3:$C$500,MATCH(D251,[1]Gen_Vessels!$C$3:$C$500,0),1)),"")</f>
        <v/>
      </c>
      <c r="F251" s="2"/>
      <c r="G251" s="2"/>
      <c r="H251" s="2" t="str">
        <f>IFERROR(IF(ISBLANK(G251),"",INDEX([1]Gen_Vessels!$A$3:$C$500,MATCH(G251,[1]Gen_Vessels!$C$3:$C$500,0),1)),"")</f>
        <v/>
      </c>
      <c r="I251" s="2"/>
      <c r="J251" s="2"/>
      <c r="K251" s="2"/>
      <c r="L251" s="2"/>
      <c r="N251" s="2"/>
      <c r="O251" s="2"/>
      <c r="P251" s="2"/>
      <c r="Q251" s="2"/>
      <c r="R251" s="2"/>
      <c r="S251" s="2"/>
      <c r="T251" s="2"/>
      <c r="U251" s="2"/>
    </row>
    <row r="252" spans="1:21" x14ac:dyDescent="0.25">
      <c r="A252" s="1" t="str">
        <f t="shared" si="3"/>
        <v/>
      </c>
      <c r="B252" s="2"/>
      <c r="C252" s="2"/>
      <c r="D252" s="2"/>
      <c r="E252" s="2" t="str">
        <f>IFERROR(IF(ISBLANK(D252),"",INDEX([1]Gen_Vessels!$A$3:$C$500,MATCH(D252,[1]Gen_Vessels!$C$3:$C$500,0),1)),"")</f>
        <v/>
      </c>
      <c r="F252" s="2"/>
      <c r="G252" s="2"/>
      <c r="H252" s="2" t="str">
        <f>IFERROR(IF(ISBLANK(G252),"",INDEX([1]Gen_Vessels!$A$3:$C$500,MATCH(G252,[1]Gen_Vessels!$C$3:$C$500,0),1)),"")</f>
        <v/>
      </c>
      <c r="I252" s="2"/>
      <c r="J252" s="2"/>
      <c r="K252" s="2"/>
      <c r="L252" s="2"/>
      <c r="N252" s="2"/>
      <c r="O252" s="2"/>
      <c r="P252" s="2"/>
      <c r="Q252" s="2"/>
      <c r="R252" s="2"/>
      <c r="S252" s="2"/>
      <c r="T252" s="2"/>
      <c r="U252" s="2"/>
    </row>
    <row r="253" spans="1:21" x14ac:dyDescent="0.25">
      <c r="A253" s="1" t="str">
        <f t="shared" si="3"/>
        <v/>
      </c>
      <c r="B253" s="2"/>
      <c r="C253" s="2"/>
      <c r="D253" s="2"/>
      <c r="E253" s="2" t="str">
        <f>IFERROR(IF(ISBLANK(D253),"",INDEX([1]Gen_Vessels!$A$3:$C$500,MATCH(D253,[1]Gen_Vessels!$C$3:$C$500,0),1)),"")</f>
        <v/>
      </c>
      <c r="F253" s="2"/>
      <c r="G253" s="2"/>
      <c r="H253" s="2" t="str">
        <f>IFERROR(IF(ISBLANK(G253),"",INDEX([1]Gen_Vessels!$A$3:$C$500,MATCH(G253,[1]Gen_Vessels!$C$3:$C$500,0),1)),"")</f>
        <v/>
      </c>
      <c r="I253" s="2"/>
      <c r="J253" s="2"/>
      <c r="K253" s="2"/>
      <c r="L253" s="2"/>
      <c r="N253" s="2"/>
      <c r="O253" s="2"/>
      <c r="P253" s="2"/>
      <c r="Q253" s="2"/>
      <c r="R253" s="2"/>
      <c r="S253" s="2"/>
      <c r="T253" s="2"/>
      <c r="U253" s="2"/>
    </row>
    <row r="254" spans="1:21" x14ac:dyDescent="0.25">
      <c r="A254" s="1" t="str">
        <f t="shared" si="3"/>
        <v/>
      </c>
      <c r="B254" s="2"/>
      <c r="C254" s="2"/>
      <c r="D254" s="2"/>
      <c r="E254" s="2" t="str">
        <f>IFERROR(IF(ISBLANK(D254),"",INDEX([1]Gen_Vessels!$A$3:$C$500,MATCH(D254,[1]Gen_Vessels!$C$3:$C$500,0),1)),"")</f>
        <v/>
      </c>
      <c r="F254" s="2"/>
      <c r="G254" s="2"/>
      <c r="H254" s="2" t="str">
        <f>IFERROR(IF(ISBLANK(G254),"",INDEX([1]Gen_Vessels!$A$3:$C$500,MATCH(G254,[1]Gen_Vessels!$C$3:$C$500,0),1)),"")</f>
        <v/>
      </c>
      <c r="I254" s="2"/>
      <c r="J254" s="2"/>
      <c r="K254" s="2"/>
      <c r="L254" s="2"/>
      <c r="N254" s="2"/>
      <c r="O254" s="2"/>
      <c r="P254" s="2"/>
      <c r="Q254" s="2"/>
      <c r="R254" s="2"/>
      <c r="S254" s="2"/>
      <c r="T254" s="2"/>
      <c r="U254" s="2"/>
    </row>
    <row r="255" spans="1:21" x14ac:dyDescent="0.25">
      <c r="A255" s="1" t="str">
        <f t="shared" si="3"/>
        <v/>
      </c>
      <c r="B255" s="2"/>
      <c r="C255" s="2"/>
      <c r="D255" s="2"/>
      <c r="E255" s="2" t="str">
        <f>IFERROR(IF(ISBLANK(D255),"",INDEX([1]Gen_Vessels!$A$3:$C$500,MATCH(D255,[1]Gen_Vessels!$C$3:$C$500,0),1)),"")</f>
        <v/>
      </c>
      <c r="F255" s="2"/>
      <c r="G255" s="2"/>
      <c r="H255" s="2" t="str">
        <f>IFERROR(IF(ISBLANK(G255),"",INDEX([1]Gen_Vessels!$A$3:$C$500,MATCH(G255,[1]Gen_Vessels!$C$3:$C$500,0),1)),"")</f>
        <v/>
      </c>
      <c r="I255" s="2"/>
      <c r="J255" s="2"/>
      <c r="K255" s="2"/>
      <c r="L255" s="2"/>
      <c r="N255" s="2"/>
      <c r="O255" s="2"/>
      <c r="P255" s="2"/>
      <c r="Q255" s="2"/>
      <c r="R255" s="2"/>
      <c r="S255" s="2"/>
      <c r="T255" s="2"/>
      <c r="U255" s="2"/>
    </row>
    <row r="256" spans="1:21" x14ac:dyDescent="0.25">
      <c r="A256" s="1" t="str">
        <f t="shared" si="3"/>
        <v/>
      </c>
      <c r="B256" s="2"/>
      <c r="C256" s="2"/>
      <c r="D256" s="2"/>
      <c r="E256" s="2" t="str">
        <f>IFERROR(IF(ISBLANK(D256),"",INDEX([1]Gen_Vessels!$A$3:$C$500,MATCH(D256,[1]Gen_Vessels!$C$3:$C$500,0),1)),"")</f>
        <v/>
      </c>
      <c r="F256" s="2"/>
      <c r="G256" s="2"/>
      <c r="H256" s="2" t="str">
        <f>IFERROR(IF(ISBLANK(G256),"",INDEX([1]Gen_Vessels!$A$3:$C$500,MATCH(G256,[1]Gen_Vessels!$C$3:$C$500,0),1)),"")</f>
        <v/>
      </c>
      <c r="I256" s="2"/>
      <c r="J256" s="2"/>
      <c r="K256" s="2"/>
      <c r="L256" s="2"/>
      <c r="N256" s="2"/>
      <c r="O256" s="2"/>
      <c r="P256" s="2"/>
      <c r="Q256" s="2"/>
      <c r="R256" s="2"/>
      <c r="S256" s="2"/>
      <c r="T256" s="2"/>
      <c r="U256" s="2"/>
    </row>
    <row r="257" spans="1:21" x14ac:dyDescent="0.25">
      <c r="A257" s="1" t="str">
        <f t="shared" si="3"/>
        <v/>
      </c>
      <c r="B257" s="2"/>
      <c r="C257" s="2"/>
      <c r="D257" s="2"/>
      <c r="E257" s="2" t="str">
        <f>IFERROR(IF(ISBLANK(D257),"",INDEX([1]Gen_Vessels!$A$3:$C$500,MATCH(D257,[1]Gen_Vessels!$C$3:$C$500,0),1)),"")</f>
        <v/>
      </c>
      <c r="F257" s="2"/>
      <c r="G257" s="2"/>
      <c r="H257" s="2" t="str">
        <f>IFERROR(IF(ISBLANK(G257),"",INDEX([1]Gen_Vessels!$A$3:$C$500,MATCH(G257,[1]Gen_Vessels!$C$3:$C$500,0),1)),"")</f>
        <v/>
      </c>
      <c r="I257" s="2"/>
      <c r="J257" s="2"/>
      <c r="K257" s="2"/>
      <c r="L257" s="2"/>
      <c r="N257" s="2"/>
      <c r="O257" s="2"/>
      <c r="P257" s="2"/>
      <c r="Q257" s="2"/>
      <c r="R257" s="2"/>
      <c r="S257" s="2"/>
      <c r="T257" s="2"/>
      <c r="U257" s="2"/>
    </row>
    <row r="258" spans="1:21" x14ac:dyDescent="0.25">
      <c r="A258" s="1" t="str">
        <f t="shared" si="3"/>
        <v/>
      </c>
      <c r="B258" s="2"/>
      <c r="C258" s="2"/>
      <c r="D258" s="2"/>
      <c r="E258" s="2" t="str">
        <f>IFERROR(IF(ISBLANK(D258),"",INDEX([1]Gen_Vessels!$A$3:$C$500,MATCH(D258,[1]Gen_Vessels!$C$3:$C$500,0),1)),"")</f>
        <v/>
      </c>
      <c r="F258" s="2"/>
      <c r="G258" s="2"/>
      <c r="H258" s="2" t="str">
        <f>IFERROR(IF(ISBLANK(G258),"",INDEX([1]Gen_Vessels!$A$3:$C$500,MATCH(G258,[1]Gen_Vessels!$C$3:$C$500,0),1)),"")</f>
        <v/>
      </c>
      <c r="I258" s="2"/>
      <c r="J258" s="2"/>
      <c r="K258" s="2"/>
      <c r="L258" s="2"/>
      <c r="N258" s="2"/>
      <c r="O258" s="2"/>
      <c r="P258" s="2"/>
      <c r="Q258" s="2"/>
      <c r="R258" s="2"/>
      <c r="S258" s="2"/>
      <c r="T258" s="2"/>
      <c r="U258" s="2"/>
    </row>
    <row r="259" spans="1:21" x14ac:dyDescent="0.25">
      <c r="A259" s="1" t="str">
        <f t="shared" si="3"/>
        <v/>
      </c>
      <c r="B259" s="2"/>
      <c r="C259" s="2"/>
      <c r="D259" s="2"/>
      <c r="E259" s="2" t="str">
        <f>IFERROR(IF(ISBLANK(D259),"",INDEX([1]Gen_Vessels!$A$3:$C$500,MATCH(D259,[1]Gen_Vessels!$C$3:$C$500,0),1)),"")</f>
        <v/>
      </c>
      <c r="F259" s="2"/>
      <c r="G259" s="2"/>
      <c r="H259" s="2" t="str">
        <f>IFERROR(IF(ISBLANK(G259),"",INDEX([1]Gen_Vessels!$A$3:$C$500,MATCH(G259,[1]Gen_Vessels!$C$3:$C$500,0),1)),"")</f>
        <v/>
      </c>
      <c r="I259" s="2"/>
      <c r="J259" s="2"/>
      <c r="K259" s="2"/>
      <c r="L259" s="2"/>
      <c r="N259" s="2"/>
      <c r="O259" s="2"/>
      <c r="P259" s="2"/>
      <c r="Q259" s="2"/>
      <c r="R259" s="2"/>
      <c r="S259" s="2"/>
      <c r="T259" s="2"/>
      <c r="U259" s="2"/>
    </row>
    <row r="260" spans="1:21" x14ac:dyDescent="0.25">
      <c r="A260" s="1" t="str">
        <f t="shared" ref="A260:A323" si="4">IF(ISBLANK($B260)=FALSE,_xlfn.CONCAT($B260,"_tow"),"")</f>
        <v/>
      </c>
      <c r="B260" s="2"/>
      <c r="C260" s="2"/>
      <c r="D260" s="2"/>
      <c r="E260" s="2" t="str">
        <f>IFERROR(IF(ISBLANK(D260),"",INDEX([1]Gen_Vessels!$A$3:$C$500,MATCH(D260,[1]Gen_Vessels!$C$3:$C$500,0),1)),"")</f>
        <v/>
      </c>
      <c r="F260" s="2"/>
      <c r="G260" s="2"/>
      <c r="H260" s="2" t="str">
        <f>IFERROR(IF(ISBLANK(G260),"",INDEX([1]Gen_Vessels!$A$3:$C$500,MATCH(G260,[1]Gen_Vessels!$C$3:$C$500,0),1)),"")</f>
        <v/>
      </c>
      <c r="I260" s="2"/>
      <c r="J260" s="2"/>
      <c r="K260" s="2"/>
      <c r="L260" s="2"/>
      <c r="N260" s="2"/>
      <c r="O260" s="2"/>
      <c r="P260" s="2"/>
      <c r="Q260" s="2"/>
      <c r="R260" s="2"/>
      <c r="S260" s="2"/>
      <c r="T260" s="2"/>
      <c r="U260" s="2"/>
    </row>
    <row r="261" spans="1:21" x14ac:dyDescent="0.25">
      <c r="A261" s="1" t="str">
        <f t="shared" si="4"/>
        <v/>
      </c>
      <c r="B261" s="2"/>
      <c r="C261" s="2"/>
      <c r="D261" s="2"/>
      <c r="E261" s="2" t="str">
        <f>IFERROR(IF(ISBLANK(D261),"",INDEX([1]Gen_Vessels!$A$3:$C$500,MATCH(D261,[1]Gen_Vessels!$C$3:$C$500,0),1)),"")</f>
        <v/>
      </c>
      <c r="F261" s="2"/>
      <c r="G261" s="2"/>
      <c r="H261" s="2" t="str">
        <f>IFERROR(IF(ISBLANK(G261),"",INDEX([1]Gen_Vessels!$A$3:$C$500,MATCH(G261,[1]Gen_Vessels!$C$3:$C$500,0),1)),"")</f>
        <v/>
      </c>
      <c r="I261" s="2"/>
      <c r="J261" s="2"/>
      <c r="K261" s="2"/>
      <c r="L261" s="2"/>
      <c r="N261" s="2"/>
      <c r="O261" s="2"/>
      <c r="P261" s="2"/>
      <c r="Q261" s="2"/>
      <c r="R261" s="2"/>
      <c r="S261" s="2"/>
      <c r="T261" s="2"/>
      <c r="U261" s="2"/>
    </row>
    <row r="262" spans="1:21" x14ac:dyDescent="0.25">
      <c r="A262" s="1" t="str">
        <f t="shared" si="4"/>
        <v/>
      </c>
      <c r="B262" s="2"/>
      <c r="C262" s="2"/>
      <c r="D262" s="2"/>
      <c r="E262" s="2" t="str">
        <f>IFERROR(IF(ISBLANK(D262),"",INDEX([1]Gen_Vessels!$A$3:$C$500,MATCH(D262,[1]Gen_Vessels!$C$3:$C$500,0),1)),"")</f>
        <v/>
      </c>
      <c r="F262" s="2"/>
      <c r="G262" s="2"/>
      <c r="H262" s="2" t="str">
        <f>IFERROR(IF(ISBLANK(G262),"",INDEX([1]Gen_Vessels!$A$3:$C$500,MATCH(G262,[1]Gen_Vessels!$C$3:$C$500,0),1)),"")</f>
        <v/>
      </c>
      <c r="I262" s="2"/>
      <c r="J262" s="2"/>
      <c r="K262" s="2"/>
      <c r="L262" s="2"/>
      <c r="N262" s="2"/>
      <c r="O262" s="2"/>
      <c r="P262" s="2"/>
      <c r="Q262" s="2"/>
      <c r="R262" s="2"/>
      <c r="S262" s="2"/>
      <c r="T262" s="2"/>
      <c r="U262" s="2"/>
    </row>
    <row r="263" spans="1:21" x14ac:dyDescent="0.25">
      <c r="A263" s="1" t="str">
        <f t="shared" si="4"/>
        <v/>
      </c>
      <c r="B263" s="2"/>
      <c r="C263" s="2"/>
      <c r="D263" s="2"/>
      <c r="E263" s="2" t="str">
        <f>IFERROR(IF(ISBLANK(D263),"",INDEX([1]Gen_Vessels!$A$3:$C$500,MATCH(D263,[1]Gen_Vessels!$C$3:$C$500,0),1)),"")</f>
        <v/>
      </c>
      <c r="F263" s="2"/>
      <c r="G263" s="2"/>
      <c r="H263" s="2" t="str">
        <f>IFERROR(IF(ISBLANK(G263),"",INDEX([1]Gen_Vessels!$A$3:$C$500,MATCH(G263,[1]Gen_Vessels!$C$3:$C$500,0),1)),"")</f>
        <v/>
      </c>
      <c r="I263" s="2"/>
      <c r="J263" s="2"/>
      <c r="K263" s="2"/>
      <c r="L263" s="2"/>
      <c r="N263" s="2"/>
      <c r="O263" s="2"/>
      <c r="P263" s="2"/>
      <c r="Q263" s="2"/>
      <c r="R263" s="2"/>
      <c r="S263" s="2"/>
      <c r="T263" s="2"/>
      <c r="U263" s="2"/>
    </row>
    <row r="264" spans="1:21" x14ac:dyDescent="0.25">
      <c r="A264" s="1" t="str">
        <f t="shared" si="4"/>
        <v/>
      </c>
      <c r="B264" s="2"/>
      <c r="C264" s="2"/>
      <c r="D264" s="2"/>
      <c r="E264" s="2" t="str">
        <f>IFERROR(IF(ISBLANK(D264),"",INDEX([1]Gen_Vessels!$A$3:$C$500,MATCH(D264,[1]Gen_Vessels!$C$3:$C$500,0),1)),"")</f>
        <v/>
      </c>
      <c r="F264" s="2"/>
      <c r="G264" s="2"/>
      <c r="H264" s="2" t="str">
        <f>IFERROR(IF(ISBLANK(G264),"",INDEX([1]Gen_Vessels!$A$3:$C$500,MATCH(G264,[1]Gen_Vessels!$C$3:$C$500,0),1)),"")</f>
        <v/>
      </c>
      <c r="I264" s="2"/>
      <c r="J264" s="2"/>
      <c r="K264" s="2"/>
      <c r="L264" s="2"/>
      <c r="N264" s="2"/>
      <c r="O264" s="2"/>
      <c r="P264" s="2"/>
      <c r="Q264" s="2"/>
      <c r="R264" s="2"/>
      <c r="S264" s="2"/>
      <c r="T264" s="2"/>
      <c r="U264" s="2"/>
    </row>
    <row r="265" spans="1:21" x14ac:dyDescent="0.25">
      <c r="A265" s="1" t="str">
        <f t="shared" si="4"/>
        <v/>
      </c>
      <c r="B265" s="2"/>
      <c r="C265" s="2"/>
      <c r="D265" s="2"/>
      <c r="E265" s="2" t="str">
        <f>IFERROR(IF(ISBLANK(D265),"",INDEX([1]Gen_Vessels!$A$3:$C$500,MATCH(D265,[1]Gen_Vessels!$C$3:$C$500,0),1)),"")</f>
        <v/>
      </c>
      <c r="F265" s="2"/>
      <c r="G265" s="2"/>
      <c r="H265" s="2" t="str">
        <f>IFERROR(IF(ISBLANK(G265),"",INDEX([1]Gen_Vessels!$A$3:$C$500,MATCH(G265,[1]Gen_Vessels!$C$3:$C$500,0),1)),"")</f>
        <v/>
      </c>
      <c r="I265" s="2"/>
      <c r="J265" s="2"/>
      <c r="K265" s="2"/>
      <c r="L265" s="2"/>
      <c r="N265" s="2"/>
      <c r="O265" s="2"/>
      <c r="P265" s="2"/>
      <c r="Q265" s="2"/>
      <c r="R265" s="2"/>
      <c r="S265" s="2"/>
      <c r="T265" s="2"/>
      <c r="U265" s="2"/>
    </row>
    <row r="266" spans="1:21" x14ac:dyDescent="0.25">
      <c r="A266" s="1" t="str">
        <f t="shared" si="4"/>
        <v/>
      </c>
      <c r="B266" s="2"/>
      <c r="C266" s="2"/>
      <c r="D266" s="2"/>
      <c r="E266" s="2" t="str">
        <f>IFERROR(IF(ISBLANK(D266),"",INDEX([1]Gen_Vessels!$A$3:$C$500,MATCH(D266,[1]Gen_Vessels!$C$3:$C$500,0),1)),"")</f>
        <v/>
      </c>
      <c r="F266" s="2"/>
      <c r="G266" s="2"/>
      <c r="H266" s="2" t="str">
        <f>IFERROR(IF(ISBLANK(G266),"",INDEX([1]Gen_Vessels!$A$3:$C$500,MATCH(G266,[1]Gen_Vessels!$C$3:$C$500,0),1)),"")</f>
        <v/>
      </c>
      <c r="I266" s="2"/>
      <c r="J266" s="2"/>
      <c r="K266" s="2"/>
      <c r="L266" s="2"/>
      <c r="N266" s="2"/>
      <c r="O266" s="2"/>
      <c r="P266" s="2"/>
      <c r="Q266" s="2"/>
      <c r="R266" s="2"/>
      <c r="S266" s="2"/>
      <c r="T266" s="2"/>
      <c r="U266" s="2"/>
    </row>
    <row r="267" spans="1:21" x14ac:dyDescent="0.25">
      <c r="A267" s="1" t="str">
        <f t="shared" si="4"/>
        <v/>
      </c>
      <c r="B267" s="2"/>
      <c r="C267" s="2"/>
      <c r="D267" s="2"/>
      <c r="E267" s="2" t="str">
        <f>IFERROR(IF(ISBLANK(D267),"",INDEX([1]Gen_Vessels!$A$3:$C$500,MATCH(D267,[1]Gen_Vessels!$C$3:$C$500,0),1)),"")</f>
        <v/>
      </c>
      <c r="F267" s="2"/>
      <c r="G267" s="2"/>
      <c r="H267" s="2" t="str">
        <f>IFERROR(IF(ISBLANK(G267),"",INDEX([1]Gen_Vessels!$A$3:$C$500,MATCH(G267,[1]Gen_Vessels!$C$3:$C$500,0),1)),"")</f>
        <v/>
      </c>
      <c r="I267" s="2"/>
      <c r="J267" s="2"/>
      <c r="K267" s="2"/>
      <c r="L267" s="2"/>
      <c r="N267" s="2"/>
      <c r="O267" s="2"/>
      <c r="P267" s="2"/>
      <c r="Q267" s="2"/>
      <c r="R267" s="2"/>
      <c r="S267" s="2"/>
      <c r="T267" s="2"/>
      <c r="U267" s="2"/>
    </row>
    <row r="268" spans="1:21" x14ac:dyDescent="0.25">
      <c r="A268" s="1" t="str">
        <f t="shared" si="4"/>
        <v/>
      </c>
      <c r="B268" s="2"/>
      <c r="C268" s="2"/>
      <c r="D268" s="2"/>
      <c r="E268" s="2" t="str">
        <f>IFERROR(IF(ISBLANK(D268),"",INDEX([1]Gen_Vessels!$A$3:$C$500,MATCH(D268,[1]Gen_Vessels!$C$3:$C$500,0),1)),"")</f>
        <v/>
      </c>
      <c r="F268" s="2"/>
      <c r="G268" s="2"/>
      <c r="H268" s="2" t="str">
        <f>IFERROR(IF(ISBLANK(G268),"",INDEX([1]Gen_Vessels!$A$3:$C$500,MATCH(G268,[1]Gen_Vessels!$C$3:$C$500,0),1)),"")</f>
        <v/>
      </c>
      <c r="I268" s="2"/>
      <c r="J268" s="2"/>
      <c r="K268" s="2"/>
      <c r="L268" s="2"/>
      <c r="N268" s="2"/>
      <c r="O268" s="2"/>
      <c r="P268" s="2"/>
      <c r="Q268" s="2"/>
      <c r="R268" s="2"/>
      <c r="S268" s="2"/>
      <c r="T268" s="2"/>
      <c r="U268" s="2"/>
    </row>
    <row r="269" spans="1:21" x14ac:dyDescent="0.25">
      <c r="A269" s="1" t="str">
        <f t="shared" si="4"/>
        <v/>
      </c>
      <c r="B269" s="2"/>
      <c r="C269" s="2"/>
      <c r="D269" s="2"/>
      <c r="E269" s="2" t="str">
        <f>IFERROR(IF(ISBLANK(D269),"",INDEX([1]Gen_Vessels!$A$3:$C$500,MATCH(D269,[1]Gen_Vessels!$C$3:$C$500,0),1)),"")</f>
        <v/>
      </c>
      <c r="F269" s="2"/>
      <c r="G269" s="2"/>
      <c r="H269" s="2" t="str">
        <f>IFERROR(IF(ISBLANK(G269),"",INDEX([1]Gen_Vessels!$A$3:$C$500,MATCH(G269,[1]Gen_Vessels!$C$3:$C$500,0),1)),"")</f>
        <v/>
      </c>
      <c r="I269" s="2"/>
      <c r="J269" s="2"/>
      <c r="K269" s="2"/>
      <c r="L269" s="2"/>
      <c r="N269" s="2"/>
      <c r="O269" s="2"/>
      <c r="P269" s="2"/>
      <c r="Q269" s="2"/>
      <c r="R269" s="2"/>
      <c r="S269" s="2"/>
      <c r="T269" s="2"/>
      <c r="U269" s="2"/>
    </row>
    <row r="270" spans="1:21" x14ac:dyDescent="0.25">
      <c r="A270" s="1" t="str">
        <f t="shared" si="4"/>
        <v/>
      </c>
      <c r="B270" s="2"/>
      <c r="C270" s="2"/>
      <c r="D270" s="2"/>
      <c r="E270" s="2" t="str">
        <f>IFERROR(IF(ISBLANK(D270),"",INDEX([1]Gen_Vessels!$A$3:$C$500,MATCH(D270,[1]Gen_Vessels!$C$3:$C$500,0),1)),"")</f>
        <v/>
      </c>
      <c r="F270" s="2"/>
      <c r="G270" s="2"/>
      <c r="H270" s="2" t="str">
        <f>IFERROR(IF(ISBLANK(G270),"",INDEX([1]Gen_Vessels!$A$3:$C$500,MATCH(G270,[1]Gen_Vessels!$C$3:$C$500,0),1)),"")</f>
        <v/>
      </c>
      <c r="I270" s="2"/>
      <c r="J270" s="2"/>
      <c r="K270" s="2"/>
      <c r="L270" s="2"/>
      <c r="N270" s="2"/>
      <c r="O270" s="2"/>
      <c r="P270" s="2"/>
      <c r="Q270" s="2"/>
      <c r="R270" s="2"/>
      <c r="S270" s="2"/>
      <c r="T270" s="2"/>
      <c r="U270" s="2"/>
    </row>
    <row r="271" spans="1:21" x14ac:dyDescent="0.25">
      <c r="A271" s="1" t="str">
        <f t="shared" si="4"/>
        <v/>
      </c>
      <c r="B271" s="2"/>
      <c r="C271" s="2"/>
      <c r="D271" s="2"/>
      <c r="E271" s="2" t="str">
        <f>IFERROR(IF(ISBLANK(D271),"",INDEX([1]Gen_Vessels!$A$3:$C$500,MATCH(D271,[1]Gen_Vessels!$C$3:$C$500,0),1)),"")</f>
        <v/>
      </c>
      <c r="F271" s="2"/>
      <c r="G271" s="2"/>
      <c r="H271" s="2" t="str">
        <f>IFERROR(IF(ISBLANK(G271),"",INDEX([1]Gen_Vessels!$A$3:$C$500,MATCH(G271,[1]Gen_Vessels!$C$3:$C$500,0),1)),"")</f>
        <v/>
      </c>
      <c r="I271" s="2"/>
      <c r="J271" s="2"/>
      <c r="K271" s="2"/>
      <c r="L271" s="2"/>
      <c r="N271" s="2"/>
      <c r="O271" s="2"/>
      <c r="P271" s="2"/>
      <c r="Q271" s="2"/>
      <c r="R271" s="2"/>
      <c r="S271" s="2"/>
      <c r="T271" s="2"/>
      <c r="U271" s="2"/>
    </row>
    <row r="272" spans="1:21" x14ac:dyDescent="0.25">
      <c r="A272" s="1" t="str">
        <f t="shared" si="4"/>
        <v/>
      </c>
      <c r="B272" s="2"/>
      <c r="C272" s="2"/>
      <c r="D272" s="2"/>
      <c r="E272" s="2" t="str">
        <f>IFERROR(IF(ISBLANK(D272),"",INDEX([1]Gen_Vessels!$A$3:$C$500,MATCH(D272,[1]Gen_Vessels!$C$3:$C$500,0),1)),"")</f>
        <v/>
      </c>
      <c r="F272" s="2"/>
      <c r="G272" s="2"/>
      <c r="H272" s="2" t="str">
        <f>IFERROR(IF(ISBLANK(G272),"",INDEX([1]Gen_Vessels!$A$3:$C$500,MATCH(G272,[1]Gen_Vessels!$C$3:$C$500,0),1)),"")</f>
        <v/>
      </c>
      <c r="I272" s="2"/>
      <c r="J272" s="2"/>
      <c r="K272" s="2"/>
      <c r="L272" s="2"/>
      <c r="N272" s="2"/>
      <c r="O272" s="2"/>
      <c r="P272" s="2"/>
      <c r="Q272" s="2"/>
      <c r="R272" s="2"/>
      <c r="S272" s="2"/>
      <c r="T272" s="2"/>
      <c r="U272" s="2"/>
    </row>
    <row r="273" spans="1:21" x14ac:dyDescent="0.25">
      <c r="A273" s="1" t="str">
        <f t="shared" si="4"/>
        <v/>
      </c>
      <c r="B273" s="2"/>
      <c r="C273" s="2"/>
      <c r="D273" s="2"/>
      <c r="E273" s="2" t="str">
        <f>IFERROR(IF(ISBLANK(D273),"",INDEX([1]Gen_Vessels!$A$3:$C$500,MATCH(D273,[1]Gen_Vessels!$C$3:$C$500,0),1)),"")</f>
        <v/>
      </c>
      <c r="F273" s="2"/>
      <c r="G273" s="2"/>
      <c r="H273" s="2" t="str">
        <f>IFERROR(IF(ISBLANK(G273),"",INDEX([1]Gen_Vessels!$A$3:$C$500,MATCH(G273,[1]Gen_Vessels!$C$3:$C$500,0),1)),"")</f>
        <v/>
      </c>
      <c r="I273" s="2"/>
      <c r="J273" s="2"/>
      <c r="K273" s="2"/>
      <c r="L273" s="2"/>
      <c r="N273" s="2"/>
      <c r="O273" s="2"/>
      <c r="P273" s="2"/>
      <c r="Q273" s="2"/>
      <c r="R273" s="2"/>
      <c r="S273" s="2"/>
      <c r="T273" s="2"/>
      <c r="U273" s="2"/>
    </row>
    <row r="274" spans="1:21" x14ac:dyDescent="0.25">
      <c r="A274" s="1" t="str">
        <f t="shared" si="4"/>
        <v/>
      </c>
      <c r="B274" s="2"/>
      <c r="C274" s="2"/>
      <c r="D274" s="2"/>
      <c r="E274" s="2" t="str">
        <f>IFERROR(IF(ISBLANK(D274),"",INDEX([1]Gen_Vessels!$A$3:$C$500,MATCH(D274,[1]Gen_Vessels!$C$3:$C$500,0),1)),"")</f>
        <v/>
      </c>
      <c r="F274" s="2"/>
      <c r="G274" s="2"/>
      <c r="H274" s="2" t="str">
        <f>IFERROR(IF(ISBLANK(G274),"",INDEX([1]Gen_Vessels!$A$3:$C$500,MATCH(G274,[1]Gen_Vessels!$C$3:$C$500,0),1)),"")</f>
        <v/>
      </c>
      <c r="I274" s="2"/>
      <c r="J274" s="2"/>
      <c r="K274" s="2"/>
      <c r="L274" s="2"/>
      <c r="N274" s="2"/>
      <c r="O274" s="2"/>
      <c r="P274" s="2"/>
      <c r="Q274" s="2"/>
      <c r="R274" s="2"/>
      <c r="S274" s="2"/>
      <c r="T274" s="2"/>
      <c r="U274" s="2"/>
    </row>
    <row r="275" spans="1:21" x14ac:dyDescent="0.25">
      <c r="A275" s="1" t="str">
        <f t="shared" si="4"/>
        <v/>
      </c>
      <c r="B275" s="2"/>
      <c r="C275" s="2"/>
      <c r="D275" s="2"/>
      <c r="E275" s="2" t="str">
        <f>IFERROR(IF(ISBLANK(D275),"",INDEX([1]Gen_Vessels!$A$3:$C$500,MATCH(D275,[1]Gen_Vessels!$C$3:$C$500,0),1)),"")</f>
        <v/>
      </c>
      <c r="F275" s="2"/>
      <c r="G275" s="2"/>
      <c r="H275" s="2" t="str">
        <f>IFERROR(IF(ISBLANK(G275),"",INDEX([1]Gen_Vessels!$A$3:$C$500,MATCH(G275,[1]Gen_Vessels!$C$3:$C$500,0),1)),"")</f>
        <v/>
      </c>
      <c r="I275" s="2"/>
      <c r="J275" s="2"/>
      <c r="K275" s="2"/>
      <c r="L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25">
      <c r="A276" s="1" t="str">
        <f t="shared" si="4"/>
        <v/>
      </c>
      <c r="B276" s="2"/>
      <c r="C276" s="2"/>
      <c r="D276" s="2"/>
      <c r="E276" s="2" t="str">
        <f>IFERROR(IF(ISBLANK(D276),"",INDEX([1]Gen_Vessels!$A$3:$C$500,MATCH(D276,[1]Gen_Vessels!$C$3:$C$500,0),1)),"")</f>
        <v/>
      </c>
      <c r="F276" s="2"/>
      <c r="G276" s="2"/>
      <c r="H276" s="2" t="str">
        <f>IFERROR(IF(ISBLANK(G276),"",INDEX([1]Gen_Vessels!$A$3:$C$500,MATCH(G276,[1]Gen_Vessels!$C$3:$C$500,0),1)),"")</f>
        <v/>
      </c>
      <c r="I276" s="2"/>
      <c r="J276" s="2"/>
      <c r="K276" s="2"/>
      <c r="L276" s="2"/>
      <c r="N276" s="2"/>
      <c r="O276" s="2"/>
      <c r="P276" s="2"/>
      <c r="Q276" s="2"/>
      <c r="R276" s="2"/>
      <c r="S276" s="2"/>
      <c r="T276" s="2"/>
      <c r="U276" s="2"/>
    </row>
    <row r="277" spans="1:21" x14ac:dyDescent="0.25">
      <c r="A277" s="1" t="str">
        <f t="shared" si="4"/>
        <v/>
      </c>
      <c r="B277" s="2"/>
      <c r="C277" s="2"/>
      <c r="D277" s="2"/>
      <c r="E277" s="2" t="str">
        <f>IFERROR(IF(ISBLANK(D277),"",INDEX([1]Gen_Vessels!$A$3:$C$500,MATCH(D277,[1]Gen_Vessels!$C$3:$C$500,0),1)),"")</f>
        <v/>
      </c>
      <c r="F277" s="2"/>
      <c r="G277" s="2"/>
      <c r="H277" s="2" t="str">
        <f>IFERROR(IF(ISBLANK(G277),"",INDEX([1]Gen_Vessels!$A$3:$C$500,MATCH(G277,[1]Gen_Vessels!$C$3:$C$500,0),1)),"")</f>
        <v/>
      </c>
      <c r="I277" s="2"/>
      <c r="J277" s="2"/>
      <c r="K277" s="2"/>
      <c r="L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25">
      <c r="A278" s="1" t="str">
        <f t="shared" si="4"/>
        <v/>
      </c>
      <c r="B278" s="2"/>
      <c r="C278" s="2"/>
      <c r="D278" s="2"/>
      <c r="E278" s="2" t="str">
        <f>IFERROR(IF(ISBLANK(D278),"",INDEX([1]Gen_Vessels!$A$3:$C$500,MATCH(D278,[1]Gen_Vessels!$C$3:$C$500,0),1)),"")</f>
        <v/>
      </c>
      <c r="F278" s="2"/>
      <c r="G278" s="2"/>
      <c r="H278" s="2" t="str">
        <f>IFERROR(IF(ISBLANK(G278),"",INDEX([1]Gen_Vessels!$A$3:$C$500,MATCH(G278,[1]Gen_Vessels!$C$3:$C$500,0),1)),"")</f>
        <v/>
      </c>
      <c r="I278" s="2"/>
      <c r="J278" s="2"/>
      <c r="K278" s="2"/>
      <c r="L278" s="2"/>
      <c r="N278" s="2"/>
      <c r="O278" s="2"/>
      <c r="P278" s="2"/>
      <c r="Q278" s="2"/>
      <c r="R278" s="2"/>
      <c r="S278" s="2"/>
      <c r="T278" s="2"/>
      <c r="U278" s="2"/>
    </row>
    <row r="279" spans="1:21" x14ac:dyDescent="0.25">
      <c r="A279" s="1" t="str">
        <f t="shared" si="4"/>
        <v/>
      </c>
      <c r="B279" s="2"/>
      <c r="C279" s="2"/>
      <c r="D279" s="2"/>
      <c r="E279" s="2" t="str">
        <f>IFERROR(IF(ISBLANK(D279),"",INDEX([1]Gen_Vessels!$A$3:$C$500,MATCH(D279,[1]Gen_Vessels!$C$3:$C$500,0),1)),"")</f>
        <v/>
      </c>
      <c r="F279" s="2"/>
      <c r="G279" s="2"/>
      <c r="H279" s="2" t="str">
        <f>IFERROR(IF(ISBLANK(G279),"",INDEX([1]Gen_Vessels!$A$3:$C$500,MATCH(G279,[1]Gen_Vessels!$C$3:$C$500,0),1)),"")</f>
        <v/>
      </c>
      <c r="I279" s="2"/>
      <c r="J279" s="2"/>
      <c r="K279" s="2"/>
      <c r="L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25">
      <c r="A280" s="1" t="str">
        <f t="shared" si="4"/>
        <v/>
      </c>
      <c r="B280" s="2"/>
      <c r="C280" s="2"/>
      <c r="D280" s="2"/>
      <c r="E280" s="2" t="str">
        <f>IFERROR(IF(ISBLANK(D280),"",INDEX([1]Gen_Vessels!$A$3:$C$500,MATCH(D280,[1]Gen_Vessels!$C$3:$C$500,0),1)),"")</f>
        <v/>
      </c>
      <c r="F280" s="2"/>
      <c r="G280" s="2"/>
      <c r="H280" s="2" t="str">
        <f>IFERROR(IF(ISBLANK(G280),"",INDEX([1]Gen_Vessels!$A$3:$C$500,MATCH(G280,[1]Gen_Vessels!$C$3:$C$500,0),1)),"")</f>
        <v/>
      </c>
      <c r="I280" s="2"/>
      <c r="J280" s="2"/>
      <c r="K280" s="2"/>
      <c r="L280" s="2"/>
      <c r="N280" s="2"/>
      <c r="O280" s="2"/>
      <c r="P280" s="2"/>
      <c r="Q280" s="2"/>
      <c r="R280" s="2"/>
      <c r="S280" s="2"/>
      <c r="T280" s="2"/>
      <c r="U280" s="2"/>
    </row>
    <row r="281" spans="1:21" x14ac:dyDescent="0.25">
      <c r="A281" s="1" t="str">
        <f t="shared" si="4"/>
        <v/>
      </c>
      <c r="B281" s="2"/>
      <c r="C281" s="2"/>
      <c r="D281" s="2"/>
      <c r="E281" s="2" t="str">
        <f>IFERROR(IF(ISBLANK(D281),"",INDEX([1]Gen_Vessels!$A$3:$C$500,MATCH(D281,[1]Gen_Vessels!$C$3:$C$500,0),1)),"")</f>
        <v/>
      </c>
      <c r="F281" s="2"/>
      <c r="G281" s="2"/>
      <c r="H281" s="2" t="str">
        <f>IFERROR(IF(ISBLANK(G281),"",INDEX([1]Gen_Vessels!$A$3:$C$500,MATCH(G281,[1]Gen_Vessels!$C$3:$C$500,0),1)),"")</f>
        <v/>
      </c>
      <c r="I281" s="2"/>
      <c r="J281" s="2"/>
      <c r="K281" s="2"/>
      <c r="L281" s="2"/>
      <c r="N281" s="2"/>
      <c r="O281" s="2"/>
      <c r="P281" s="2"/>
      <c r="Q281" s="2"/>
      <c r="R281" s="2"/>
      <c r="S281" s="2"/>
      <c r="T281" s="2"/>
      <c r="U281" s="2"/>
    </row>
    <row r="282" spans="1:21" x14ac:dyDescent="0.25">
      <c r="A282" s="1" t="str">
        <f t="shared" si="4"/>
        <v/>
      </c>
      <c r="B282" s="2"/>
      <c r="C282" s="2"/>
      <c r="D282" s="2"/>
      <c r="E282" s="2" t="str">
        <f>IFERROR(IF(ISBLANK(D282),"",INDEX([1]Gen_Vessels!$A$3:$C$500,MATCH(D282,[1]Gen_Vessels!$C$3:$C$500,0),1)),"")</f>
        <v/>
      </c>
      <c r="F282" s="2"/>
      <c r="G282" s="2"/>
      <c r="H282" s="2" t="str">
        <f>IFERROR(IF(ISBLANK(G282),"",INDEX([1]Gen_Vessels!$A$3:$C$500,MATCH(G282,[1]Gen_Vessels!$C$3:$C$500,0),1)),"")</f>
        <v/>
      </c>
      <c r="I282" s="2"/>
      <c r="J282" s="2"/>
      <c r="K282" s="2"/>
      <c r="L282" s="2"/>
      <c r="N282" s="2"/>
      <c r="O282" s="2"/>
      <c r="P282" s="2"/>
      <c r="Q282" s="2"/>
      <c r="R282" s="2"/>
      <c r="S282" s="2"/>
      <c r="T282" s="2"/>
      <c r="U282" s="2"/>
    </row>
    <row r="283" spans="1:21" x14ac:dyDescent="0.25">
      <c r="A283" s="1" t="str">
        <f t="shared" si="4"/>
        <v/>
      </c>
      <c r="B283" s="2"/>
      <c r="C283" s="2"/>
      <c r="D283" s="2"/>
      <c r="E283" s="2" t="str">
        <f>IFERROR(IF(ISBLANK(D283),"",INDEX([1]Gen_Vessels!$A$3:$C$500,MATCH(D283,[1]Gen_Vessels!$C$3:$C$500,0),1)),"")</f>
        <v/>
      </c>
      <c r="F283" s="2"/>
      <c r="G283" s="2"/>
      <c r="H283" s="2" t="str">
        <f>IFERROR(IF(ISBLANK(G283),"",INDEX([1]Gen_Vessels!$A$3:$C$500,MATCH(G283,[1]Gen_Vessels!$C$3:$C$500,0),1)),"")</f>
        <v/>
      </c>
      <c r="I283" s="2"/>
      <c r="J283" s="2"/>
      <c r="K283" s="2"/>
      <c r="L283" s="2"/>
      <c r="N283" s="2"/>
      <c r="O283" s="2"/>
      <c r="P283" s="2"/>
      <c r="Q283" s="2"/>
      <c r="R283" s="2"/>
      <c r="S283" s="2"/>
      <c r="T283" s="2"/>
      <c r="U283" s="2"/>
    </row>
    <row r="284" spans="1:21" x14ac:dyDescent="0.25">
      <c r="A284" s="1" t="str">
        <f t="shared" si="4"/>
        <v/>
      </c>
      <c r="B284" s="2"/>
      <c r="C284" s="2"/>
      <c r="D284" s="2"/>
      <c r="E284" s="2" t="str">
        <f>IFERROR(IF(ISBLANK(D284),"",INDEX([1]Gen_Vessels!$A$3:$C$500,MATCH(D284,[1]Gen_Vessels!$C$3:$C$500,0),1)),"")</f>
        <v/>
      </c>
      <c r="F284" s="2"/>
      <c r="G284" s="2"/>
      <c r="H284" s="2" t="str">
        <f>IFERROR(IF(ISBLANK(G284),"",INDEX([1]Gen_Vessels!$A$3:$C$500,MATCH(G284,[1]Gen_Vessels!$C$3:$C$500,0),1)),"")</f>
        <v/>
      </c>
      <c r="I284" s="2"/>
      <c r="J284" s="2"/>
      <c r="K284" s="2"/>
      <c r="L284" s="2"/>
      <c r="N284" s="2"/>
      <c r="O284" s="2"/>
      <c r="P284" s="2"/>
      <c r="Q284" s="2"/>
      <c r="R284" s="2"/>
      <c r="S284" s="2"/>
      <c r="T284" s="2"/>
      <c r="U284" s="2"/>
    </row>
    <row r="285" spans="1:21" x14ac:dyDescent="0.25">
      <c r="A285" s="1" t="str">
        <f t="shared" si="4"/>
        <v/>
      </c>
      <c r="B285" s="2"/>
      <c r="C285" s="2"/>
      <c r="D285" s="2"/>
      <c r="E285" s="2" t="str">
        <f>IFERROR(IF(ISBLANK(D285),"",INDEX([1]Gen_Vessels!$A$3:$C$500,MATCH(D285,[1]Gen_Vessels!$C$3:$C$500,0),1)),"")</f>
        <v/>
      </c>
      <c r="F285" s="2"/>
      <c r="G285" s="2"/>
      <c r="H285" s="2" t="str">
        <f>IFERROR(IF(ISBLANK(G285),"",INDEX([1]Gen_Vessels!$A$3:$C$500,MATCH(G285,[1]Gen_Vessels!$C$3:$C$500,0),1)),"")</f>
        <v/>
      </c>
      <c r="I285" s="2"/>
      <c r="J285" s="2"/>
      <c r="K285" s="2"/>
      <c r="L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25">
      <c r="A286" s="1" t="str">
        <f t="shared" si="4"/>
        <v/>
      </c>
      <c r="B286" s="2"/>
      <c r="C286" s="2"/>
      <c r="D286" s="2"/>
      <c r="E286" s="2" t="str">
        <f>IFERROR(IF(ISBLANK(D286),"",INDEX([1]Gen_Vessels!$A$3:$C$500,MATCH(D286,[1]Gen_Vessels!$C$3:$C$500,0),1)),"")</f>
        <v/>
      </c>
      <c r="F286" s="2"/>
      <c r="G286" s="2"/>
      <c r="H286" s="2" t="str">
        <f>IFERROR(IF(ISBLANK(G286),"",INDEX([1]Gen_Vessels!$A$3:$C$500,MATCH(G286,[1]Gen_Vessels!$C$3:$C$500,0),1)),"")</f>
        <v/>
      </c>
      <c r="I286" s="2"/>
      <c r="J286" s="2"/>
      <c r="K286" s="2"/>
      <c r="L286" s="2"/>
      <c r="N286" s="2"/>
      <c r="O286" s="2"/>
      <c r="P286" s="2"/>
      <c r="Q286" s="2"/>
      <c r="R286" s="2"/>
      <c r="S286" s="2"/>
      <c r="T286" s="2"/>
      <c r="U286" s="2"/>
    </row>
    <row r="287" spans="1:21" x14ac:dyDescent="0.25">
      <c r="A287" s="1" t="str">
        <f t="shared" si="4"/>
        <v/>
      </c>
      <c r="B287" s="2"/>
      <c r="C287" s="2"/>
      <c r="D287" s="2"/>
      <c r="E287" s="2" t="str">
        <f>IFERROR(IF(ISBLANK(D287),"",INDEX([1]Gen_Vessels!$A$3:$C$500,MATCH(D287,[1]Gen_Vessels!$C$3:$C$500,0),1)),"")</f>
        <v/>
      </c>
      <c r="F287" s="2"/>
      <c r="G287" s="2"/>
      <c r="H287" s="2" t="str">
        <f>IFERROR(IF(ISBLANK(G287),"",INDEX([1]Gen_Vessels!$A$3:$C$500,MATCH(G287,[1]Gen_Vessels!$C$3:$C$500,0),1)),"")</f>
        <v/>
      </c>
      <c r="I287" s="2"/>
      <c r="J287" s="2"/>
      <c r="K287" s="2"/>
      <c r="L287" s="2"/>
      <c r="N287" s="2"/>
      <c r="O287" s="2"/>
      <c r="P287" s="2"/>
      <c r="Q287" s="2"/>
      <c r="R287" s="2"/>
      <c r="S287" s="2"/>
      <c r="T287" s="2"/>
      <c r="U287" s="2"/>
    </row>
    <row r="288" spans="1:21" x14ac:dyDescent="0.25">
      <c r="A288" s="1" t="str">
        <f t="shared" si="4"/>
        <v/>
      </c>
      <c r="B288" s="2"/>
      <c r="C288" s="2"/>
      <c r="D288" s="2"/>
      <c r="E288" s="2" t="str">
        <f>IFERROR(IF(ISBLANK(D288),"",INDEX([1]Gen_Vessels!$A$3:$C$500,MATCH(D288,[1]Gen_Vessels!$C$3:$C$500,0),1)),"")</f>
        <v/>
      </c>
      <c r="F288" s="2"/>
      <c r="G288" s="2"/>
      <c r="H288" s="2" t="str">
        <f>IFERROR(IF(ISBLANK(G288),"",INDEX([1]Gen_Vessels!$A$3:$C$500,MATCH(G288,[1]Gen_Vessels!$C$3:$C$500,0),1)),"")</f>
        <v/>
      </c>
      <c r="I288" s="2"/>
      <c r="J288" s="2"/>
      <c r="K288" s="2"/>
      <c r="L288" s="2"/>
      <c r="N288" s="2"/>
      <c r="O288" s="2"/>
      <c r="P288" s="2"/>
      <c r="Q288" s="2"/>
      <c r="R288" s="2"/>
      <c r="S288" s="2"/>
      <c r="T288" s="2"/>
      <c r="U288" s="2"/>
    </row>
    <row r="289" spans="1:21" x14ac:dyDescent="0.25">
      <c r="A289" s="1" t="str">
        <f t="shared" si="4"/>
        <v/>
      </c>
      <c r="B289" s="2"/>
      <c r="C289" s="2"/>
      <c r="D289" s="2"/>
      <c r="E289" s="2" t="str">
        <f>IFERROR(IF(ISBLANK(D289),"",INDEX([1]Gen_Vessels!$A$3:$C$500,MATCH(D289,[1]Gen_Vessels!$C$3:$C$500,0),1)),"")</f>
        <v/>
      </c>
      <c r="F289" s="2"/>
      <c r="G289" s="2"/>
      <c r="H289" s="2" t="str">
        <f>IFERROR(IF(ISBLANK(G289),"",INDEX([1]Gen_Vessels!$A$3:$C$500,MATCH(G289,[1]Gen_Vessels!$C$3:$C$500,0),1)),"")</f>
        <v/>
      </c>
      <c r="I289" s="2"/>
      <c r="J289" s="2"/>
      <c r="K289" s="2"/>
      <c r="L289" s="2"/>
      <c r="N289" s="2"/>
      <c r="O289" s="2"/>
      <c r="P289" s="2"/>
      <c r="Q289" s="2"/>
      <c r="R289" s="2"/>
      <c r="S289" s="2"/>
      <c r="T289" s="2"/>
      <c r="U289" s="2"/>
    </row>
    <row r="290" spans="1:21" x14ac:dyDescent="0.25">
      <c r="A290" s="1" t="str">
        <f t="shared" si="4"/>
        <v/>
      </c>
      <c r="B290" s="2"/>
      <c r="C290" s="2"/>
      <c r="D290" s="2"/>
      <c r="E290" s="2" t="str">
        <f>IFERROR(IF(ISBLANK(D290),"",INDEX([1]Gen_Vessels!$A$3:$C$500,MATCH(D290,[1]Gen_Vessels!$C$3:$C$500,0),1)),"")</f>
        <v/>
      </c>
      <c r="F290" s="2"/>
      <c r="G290" s="2"/>
      <c r="H290" s="2" t="str">
        <f>IFERROR(IF(ISBLANK(G290),"",INDEX([1]Gen_Vessels!$A$3:$C$500,MATCH(G290,[1]Gen_Vessels!$C$3:$C$500,0),1)),"")</f>
        <v/>
      </c>
      <c r="I290" s="2"/>
      <c r="J290" s="2"/>
      <c r="K290" s="2"/>
      <c r="L290" s="2"/>
      <c r="N290" s="2"/>
      <c r="O290" s="2"/>
      <c r="P290" s="2"/>
      <c r="Q290" s="2"/>
      <c r="R290" s="2"/>
      <c r="S290" s="2"/>
      <c r="T290" s="2"/>
      <c r="U290" s="2"/>
    </row>
    <row r="291" spans="1:21" x14ac:dyDescent="0.25">
      <c r="A291" s="1" t="str">
        <f t="shared" si="4"/>
        <v/>
      </c>
      <c r="B291" s="2"/>
      <c r="C291" s="2"/>
      <c r="D291" s="2"/>
      <c r="E291" s="2" t="str">
        <f>IFERROR(IF(ISBLANK(D291),"",INDEX([1]Gen_Vessels!$A$3:$C$500,MATCH(D291,[1]Gen_Vessels!$C$3:$C$500,0),1)),"")</f>
        <v/>
      </c>
      <c r="F291" s="2"/>
      <c r="G291" s="2"/>
      <c r="H291" s="2" t="str">
        <f>IFERROR(IF(ISBLANK(G291),"",INDEX([1]Gen_Vessels!$A$3:$C$500,MATCH(G291,[1]Gen_Vessels!$C$3:$C$500,0),1)),"")</f>
        <v/>
      </c>
      <c r="I291" s="2"/>
      <c r="J291" s="2"/>
      <c r="K291" s="2"/>
      <c r="L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25">
      <c r="A292" s="1" t="str">
        <f t="shared" si="4"/>
        <v/>
      </c>
      <c r="B292" s="2"/>
      <c r="C292" s="2"/>
      <c r="D292" s="2"/>
      <c r="E292" s="2" t="str">
        <f>IFERROR(IF(ISBLANK(D292),"",INDEX([1]Gen_Vessels!$A$3:$C$500,MATCH(D292,[1]Gen_Vessels!$C$3:$C$500,0),1)),"")</f>
        <v/>
      </c>
      <c r="F292" s="2"/>
      <c r="G292" s="2"/>
      <c r="H292" s="2" t="str">
        <f>IFERROR(IF(ISBLANK(G292),"",INDEX([1]Gen_Vessels!$A$3:$C$500,MATCH(G292,[1]Gen_Vessels!$C$3:$C$500,0),1)),"")</f>
        <v/>
      </c>
      <c r="I292" s="2"/>
      <c r="J292" s="2"/>
      <c r="K292" s="2"/>
      <c r="L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25">
      <c r="A293" s="1" t="str">
        <f t="shared" si="4"/>
        <v/>
      </c>
      <c r="B293" s="2"/>
      <c r="C293" s="2"/>
      <c r="D293" s="2"/>
      <c r="E293" s="2" t="str">
        <f>IFERROR(IF(ISBLANK(D293),"",INDEX([1]Gen_Vessels!$A$3:$C$500,MATCH(D293,[1]Gen_Vessels!$C$3:$C$500,0),1)),"")</f>
        <v/>
      </c>
      <c r="F293" s="2"/>
      <c r="G293" s="2"/>
      <c r="H293" s="2" t="str">
        <f>IFERROR(IF(ISBLANK(G293),"",INDEX([1]Gen_Vessels!$A$3:$C$500,MATCH(G293,[1]Gen_Vessels!$C$3:$C$500,0),1)),"")</f>
        <v/>
      </c>
      <c r="I293" s="2"/>
      <c r="J293" s="2"/>
      <c r="K293" s="2"/>
      <c r="L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25">
      <c r="A294" s="1" t="str">
        <f t="shared" si="4"/>
        <v/>
      </c>
      <c r="B294" s="2"/>
      <c r="C294" s="2"/>
      <c r="D294" s="2"/>
      <c r="E294" s="2" t="str">
        <f>IFERROR(IF(ISBLANK(D294),"",INDEX([1]Gen_Vessels!$A$3:$C$500,MATCH(D294,[1]Gen_Vessels!$C$3:$C$500,0),1)),"")</f>
        <v/>
      </c>
      <c r="F294" s="2"/>
      <c r="G294" s="2"/>
      <c r="H294" s="2" t="str">
        <f>IFERROR(IF(ISBLANK(G294),"",INDEX([1]Gen_Vessels!$A$3:$C$500,MATCH(G294,[1]Gen_Vessels!$C$3:$C$500,0),1)),"")</f>
        <v/>
      </c>
      <c r="I294" s="2"/>
      <c r="J294" s="2"/>
      <c r="K294" s="2"/>
      <c r="L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25">
      <c r="A295" s="1" t="str">
        <f t="shared" si="4"/>
        <v/>
      </c>
      <c r="B295" s="2"/>
      <c r="C295" s="2"/>
      <c r="D295" s="2"/>
      <c r="E295" s="2" t="str">
        <f>IFERROR(IF(ISBLANK(D295),"",INDEX([1]Gen_Vessels!$A$3:$C$500,MATCH(D295,[1]Gen_Vessels!$C$3:$C$500,0),1)),"")</f>
        <v/>
      </c>
      <c r="F295" s="2"/>
      <c r="G295" s="2"/>
      <c r="H295" s="2" t="str">
        <f>IFERROR(IF(ISBLANK(G295),"",INDEX([1]Gen_Vessels!$A$3:$C$500,MATCH(G295,[1]Gen_Vessels!$C$3:$C$500,0),1)),"")</f>
        <v/>
      </c>
      <c r="I295" s="2"/>
      <c r="J295" s="2"/>
      <c r="K295" s="2"/>
      <c r="L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25">
      <c r="A296" s="1" t="str">
        <f t="shared" si="4"/>
        <v/>
      </c>
      <c r="B296" s="2"/>
      <c r="C296" s="2"/>
      <c r="D296" s="2"/>
      <c r="E296" s="2" t="str">
        <f>IFERROR(IF(ISBLANK(D296),"",INDEX([1]Gen_Vessels!$A$3:$C$500,MATCH(D296,[1]Gen_Vessels!$C$3:$C$500,0),1)),"")</f>
        <v/>
      </c>
      <c r="F296" s="2"/>
      <c r="G296" s="2"/>
      <c r="H296" s="2" t="str">
        <f>IFERROR(IF(ISBLANK(G296),"",INDEX([1]Gen_Vessels!$A$3:$C$500,MATCH(G296,[1]Gen_Vessels!$C$3:$C$500,0),1)),"")</f>
        <v/>
      </c>
      <c r="I296" s="2"/>
      <c r="J296" s="2"/>
      <c r="K296" s="2"/>
      <c r="L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25">
      <c r="A297" s="1" t="str">
        <f t="shared" si="4"/>
        <v/>
      </c>
      <c r="B297" s="2"/>
      <c r="C297" s="2"/>
      <c r="D297" s="2"/>
      <c r="E297" s="2" t="str">
        <f>IFERROR(IF(ISBLANK(D297),"",INDEX([1]Gen_Vessels!$A$3:$C$500,MATCH(D297,[1]Gen_Vessels!$C$3:$C$500,0),1)),"")</f>
        <v/>
      </c>
      <c r="F297" s="2"/>
      <c r="G297" s="2"/>
      <c r="H297" s="2" t="str">
        <f>IFERROR(IF(ISBLANK(G297),"",INDEX([1]Gen_Vessels!$A$3:$C$500,MATCH(G297,[1]Gen_Vessels!$C$3:$C$500,0),1)),"")</f>
        <v/>
      </c>
      <c r="I297" s="2"/>
      <c r="J297" s="2"/>
      <c r="K297" s="2"/>
      <c r="L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25">
      <c r="A298" s="1" t="str">
        <f t="shared" si="4"/>
        <v/>
      </c>
      <c r="B298" s="2"/>
      <c r="C298" s="2"/>
      <c r="D298" s="2"/>
      <c r="E298" s="2" t="str">
        <f>IFERROR(IF(ISBLANK(D298),"",INDEX([1]Gen_Vessels!$A$3:$C$500,MATCH(D298,[1]Gen_Vessels!$C$3:$C$500,0),1)),"")</f>
        <v/>
      </c>
      <c r="F298" s="2"/>
      <c r="G298" s="2"/>
      <c r="H298" s="2" t="str">
        <f>IFERROR(IF(ISBLANK(G298),"",INDEX([1]Gen_Vessels!$A$3:$C$500,MATCH(G298,[1]Gen_Vessels!$C$3:$C$500,0),1)),"")</f>
        <v/>
      </c>
      <c r="I298" s="2"/>
      <c r="J298" s="2"/>
      <c r="K298" s="2"/>
      <c r="L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25">
      <c r="A299" s="1" t="str">
        <f t="shared" si="4"/>
        <v/>
      </c>
      <c r="B299" s="2"/>
      <c r="C299" s="2"/>
      <c r="D299" s="2"/>
      <c r="E299" s="2" t="str">
        <f>IFERROR(IF(ISBLANK(D299),"",INDEX([1]Gen_Vessels!$A$3:$C$500,MATCH(D299,[1]Gen_Vessels!$C$3:$C$500,0),1)),"")</f>
        <v/>
      </c>
      <c r="F299" s="2"/>
      <c r="G299" s="2"/>
      <c r="H299" s="2" t="str">
        <f>IFERROR(IF(ISBLANK(G299),"",INDEX([1]Gen_Vessels!$A$3:$C$500,MATCH(G299,[1]Gen_Vessels!$C$3:$C$500,0),1)),"")</f>
        <v/>
      </c>
      <c r="I299" s="2"/>
      <c r="J299" s="2"/>
      <c r="K299" s="2"/>
      <c r="L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25">
      <c r="A300" s="1" t="str">
        <f t="shared" si="4"/>
        <v/>
      </c>
      <c r="B300" s="2"/>
      <c r="C300" s="2"/>
      <c r="D300" s="2"/>
      <c r="E300" s="2" t="str">
        <f>IFERROR(IF(ISBLANK(D300),"",INDEX([1]Gen_Vessels!$A$3:$C$500,MATCH(D300,[1]Gen_Vessels!$C$3:$C$500,0),1)),"")</f>
        <v/>
      </c>
      <c r="F300" s="2"/>
      <c r="G300" s="2"/>
      <c r="H300" s="2" t="str">
        <f>IFERROR(IF(ISBLANK(G300),"",INDEX([1]Gen_Vessels!$A$3:$C$500,MATCH(G300,[1]Gen_Vessels!$C$3:$C$500,0),1)),"")</f>
        <v/>
      </c>
      <c r="I300" s="2"/>
      <c r="J300" s="2"/>
      <c r="K300" s="2"/>
      <c r="L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25">
      <c r="A301" s="1" t="str">
        <f t="shared" si="4"/>
        <v/>
      </c>
      <c r="B301" s="2"/>
      <c r="C301" s="2"/>
      <c r="D301" s="2"/>
      <c r="E301" s="2" t="str">
        <f>IFERROR(IF(ISBLANK(D301),"",INDEX([1]Gen_Vessels!$A$3:$C$500,MATCH(D301,[1]Gen_Vessels!$C$3:$C$500,0),1)),"")</f>
        <v/>
      </c>
      <c r="F301" s="2"/>
      <c r="G301" s="2"/>
      <c r="H301" s="2" t="str">
        <f>IFERROR(IF(ISBLANK(G301),"",INDEX([1]Gen_Vessels!$A$3:$C$500,MATCH(G301,[1]Gen_Vessels!$C$3:$C$500,0),1)),"")</f>
        <v/>
      </c>
      <c r="I301" s="2"/>
      <c r="J301" s="2"/>
      <c r="K301" s="2"/>
      <c r="L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25">
      <c r="A302" s="1" t="str">
        <f t="shared" si="4"/>
        <v/>
      </c>
      <c r="B302" s="2"/>
      <c r="C302" s="2"/>
      <c r="D302" s="2"/>
      <c r="E302" s="2" t="str">
        <f>IFERROR(IF(ISBLANK(D302),"",INDEX([1]Gen_Vessels!$A$3:$C$500,MATCH(D302,[1]Gen_Vessels!$C$3:$C$500,0),1)),"")</f>
        <v/>
      </c>
      <c r="F302" s="2"/>
      <c r="G302" s="2"/>
      <c r="H302" s="2" t="str">
        <f>IFERROR(IF(ISBLANK(G302),"",INDEX([1]Gen_Vessels!$A$3:$C$500,MATCH(G302,[1]Gen_Vessels!$C$3:$C$500,0),1)),"")</f>
        <v/>
      </c>
      <c r="I302" s="2"/>
      <c r="J302" s="2"/>
      <c r="K302" s="2"/>
      <c r="L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25">
      <c r="A303" s="1" t="str">
        <f t="shared" si="4"/>
        <v/>
      </c>
      <c r="B303" s="2"/>
      <c r="C303" s="2"/>
      <c r="D303" s="2"/>
      <c r="E303" s="2" t="str">
        <f>IFERROR(IF(ISBLANK(D303),"",INDEX([1]Gen_Vessels!$A$3:$C$500,MATCH(D303,[1]Gen_Vessels!$C$3:$C$500,0),1)),"")</f>
        <v/>
      </c>
      <c r="F303" s="2"/>
      <c r="G303" s="2"/>
      <c r="H303" s="2" t="str">
        <f>IFERROR(IF(ISBLANK(G303),"",INDEX([1]Gen_Vessels!$A$3:$C$500,MATCH(G303,[1]Gen_Vessels!$C$3:$C$500,0),1)),"")</f>
        <v/>
      </c>
      <c r="I303" s="2"/>
      <c r="J303" s="2"/>
      <c r="K303" s="2"/>
      <c r="L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25">
      <c r="A304" s="1" t="str">
        <f t="shared" si="4"/>
        <v/>
      </c>
      <c r="B304" s="2"/>
      <c r="C304" s="2"/>
      <c r="D304" s="2"/>
      <c r="E304" s="2" t="str">
        <f>IFERROR(IF(ISBLANK(D304),"",INDEX([1]Gen_Vessels!$A$3:$C$500,MATCH(D304,[1]Gen_Vessels!$C$3:$C$500,0),1)),"")</f>
        <v/>
      </c>
      <c r="F304" s="2"/>
      <c r="G304" s="2"/>
      <c r="H304" s="2" t="str">
        <f>IFERROR(IF(ISBLANK(G304),"",INDEX([1]Gen_Vessels!$A$3:$C$500,MATCH(G304,[1]Gen_Vessels!$C$3:$C$500,0),1)),"")</f>
        <v/>
      </c>
      <c r="I304" s="2"/>
      <c r="J304" s="2"/>
      <c r="K304" s="2"/>
      <c r="L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25">
      <c r="A305" s="1" t="str">
        <f t="shared" si="4"/>
        <v/>
      </c>
      <c r="B305" s="2"/>
      <c r="C305" s="2"/>
      <c r="D305" s="2"/>
      <c r="E305" s="2" t="str">
        <f>IFERROR(IF(ISBLANK(D305),"",INDEX([1]Gen_Vessels!$A$3:$C$500,MATCH(D305,[1]Gen_Vessels!$C$3:$C$500,0),1)),"")</f>
        <v/>
      </c>
      <c r="F305" s="2"/>
      <c r="G305" s="2"/>
      <c r="H305" s="2" t="str">
        <f>IFERROR(IF(ISBLANK(G305),"",INDEX([1]Gen_Vessels!$A$3:$C$500,MATCH(G305,[1]Gen_Vessels!$C$3:$C$500,0),1)),"")</f>
        <v/>
      </c>
      <c r="I305" s="2"/>
      <c r="J305" s="2"/>
      <c r="K305" s="2"/>
      <c r="L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25">
      <c r="A306" s="1" t="str">
        <f t="shared" si="4"/>
        <v/>
      </c>
      <c r="B306" s="2"/>
      <c r="C306" s="2"/>
      <c r="D306" s="2"/>
      <c r="E306" s="2" t="str">
        <f>IFERROR(IF(ISBLANK(D306),"",INDEX([1]Gen_Vessels!$A$3:$C$500,MATCH(D306,[1]Gen_Vessels!$C$3:$C$500,0),1)),"")</f>
        <v/>
      </c>
      <c r="F306" s="2"/>
      <c r="G306" s="2"/>
      <c r="H306" s="2" t="str">
        <f>IFERROR(IF(ISBLANK(G306),"",INDEX([1]Gen_Vessels!$A$3:$C$500,MATCH(G306,[1]Gen_Vessels!$C$3:$C$500,0),1)),"")</f>
        <v/>
      </c>
      <c r="I306" s="2"/>
      <c r="J306" s="2"/>
      <c r="K306" s="2"/>
      <c r="L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25">
      <c r="A307" s="1" t="str">
        <f t="shared" si="4"/>
        <v/>
      </c>
      <c r="B307" s="2"/>
      <c r="C307" s="2"/>
      <c r="D307" s="2"/>
      <c r="E307" s="2" t="str">
        <f>IFERROR(IF(ISBLANK(D307),"",INDEX([1]Gen_Vessels!$A$3:$C$500,MATCH(D307,[1]Gen_Vessels!$C$3:$C$500,0),1)),"")</f>
        <v/>
      </c>
      <c r="F307" s="2"/>
      <c r="G307" s="2"/>
      <c r="H307" s="2" t="str">
        <f>IFERROR(IF(ISBLANK(G307),"",INDEX([1]Gen_Vessels!$A$3:$C$500,MATCH(G307,[1]Gen_Vessels!$C$3:$C$500,0),1)),"")</f>
        <v/>
      </c>
      <c r="I307" s="2"/>
      <c r="J307" s="2"/>
      <c r="K307" s="2"/>
      <c r="L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25">
      <c r="A308" s="1" t="str">
        <f t="shared" si="4"/>
        <v/>
      </c>
      <c r="B308" s="2"/>
      <c r="C308" s="2"/>
      <c r="D308" s="2"/>
      <c r="E308" s="2" t="str">
        <f>IFERROR(IF(ISBLANK(D308),"",INDEX([1]Gen_Vessels!$A$3:$C$500,MATCH(D308,[1]Gen_Vessels!$C$3:$C$500,0),1)),"")</f>
        <v/>
      </c>
      <c r="F308" s="2"/>
      <c r="G308" s="2"/>
      <c r="H308" s="2" t="str">
        <f>IFERROR(IF(ISBLANK(G308),"",INDEX([1]Gen_Vessels!$A$3:$C$500,MATCH(G308,[1]Gen_Vessels!$C$3:$C$500,0),1)),"")</f>
        <v/>
      </c>
      <c r="I308" s="2"/>
      <c r="J308" s="2"/>
      <c r="K308" s="2"/>
      <c r="L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25">
      <c r="A309" s="1" t="str">
        <f t="shared" si="4"/>
        <v/>
      </c>
      <c r="B309" s="2"/>
      <c r="C309" s="2"/>
      <c r="D309" s="2"/>
      <c r="E309" s="2" t="str">
        <f>IFERROR(IF(ISBLANK(D309),"",INDEX([1]Gen_Vessels!$A$3:$C$500,MATCH(D309,[1]Gen_Vessels!$C$3:$C$500,0),1)),"")</f>
        <v/>
      </c>
      <c r="F309" s="2"/>
      <c r="G309" s="2"/>
      <c r="H309" s="2" t="str">
        <f>IFERROR(IF(ISBLANK(G309),"",INDEX([1]Gen_Vessels!$A$3:$C$500,MATCH(G309,[1]Gen_Vessels!$C$3:$C$500,0),1)),"")</f>
        <v/>
      </c>
      <c r="I309" s="2"/>
      <c r="J309" s="2"/>
      <c r="K309" s="2"/>
      <c r="L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25">
      <c r="A310" s="1" t="str">
        <f t="shared" si="4"/>
        <v/>
      </c>
      <c r="B310" s="2"/>
      <c r="C310" s="2"/>
      <c r="D310" s="2"/>
      <c r="E310" s="2" t="str">
        <f>IFERROR(IF(ISBLANK(D310),"",INDEX([1]Gen_Vessels!$A$3:$C$500,MATCH(D310,[1]Gen_Vessels!$C$3:$C$500,0),1)),"")</f>
        <v/>
      </c>
      <c r="F310" s="2"/>
      <c r="G310" s="2"/>
      <c r="H310" s="2" t="str">
        <f>IFERROR(IF(ISBLANK(G310),"",INDEX([1]Gen_Vessels!$A$3:$C$500,MATCH(G310,[1]Gen_Vessels!$C$3:$C$500,0),1)),"")</f>
        <v/>
      </c>
      <c r="I310" s="2"/>
      <c r="J310" s="2"/>
      <c r="K310" s="2"/>
      <c r="L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25">
      <c r="A311" s="1" t="str">
        <f t="shared" si="4"/>
        <v/>
      </c>
      <c r="B311" s="2"/>
      <c r="C311" s="2"/>
      <c r="D311" s="2"/>
      <c r="E311" s="2" t="str">
        <f>IFERROR(IF(ISBLANK(D311),"",INDEX([1]Gen_Vessels!$A$3:$C$500,MATCH(D311,[1]Gen_Vessels!$C$3:$C$500,0),1)),"")</f>
        <v/>
      </c>
      <c r="F311" s="2"/>
      <c r="G311" s="2"/>
      <c r="H311" s="2" t="str">
        <f>IFERROR(IF(ISBLANK(G311),"",INDEX([1]Gen_Vessels!$A$3:$C$500,MATCH(G311,[1]Gen_Vessels!$C$3:$C$500,0),1)),"")</f>
        <v/>
      </c>
      <c r="I311" s="2"/>
      <c r="J311" s="2"/>
      <c r="K311" s="2"/>
      <c r="L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25">
      <c r="A312" s="1" t="str">
        <f t="shared" si="4"/>
        <v/>
      </c>
      <c r="B312" s="2"/>
      <c r="C312" s="2"/>
      <c r="D312" s="2"/>
      <c r="E312" s="2" t="str">
        <f>IFERROR(IF(ISBLANK(D312),"",INDEX([1]Gen_Vessels!$A$3:$C$500,MATCH(D312,[1]Gen_Vessels!$C$3:$C$500,0),1)),"")</f>
        <v/>
      </c>
      <c r="F312" s="2"/>
      <c r="G312" s="2"/>
      <c r="H312" s="2" t="str">
        <f>IFERROR(IF(ISBLANK(G312),"",INDEX([1]Gen_Vessels!$A$3:$C$500,MATCH(G312,[1]Gen_Vessels!$C$3:$C$500,0),1)),"")</f>
        <v/>
      </c>
      <c r="I312" s="2"/>
      <c r="J312" s="2"/>
      <c r="K312" s="2"/>
      <c r="L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25">
      <c r="A313" s="1" t="str">
        <f t="shared" si="4"/>
        <v/>
      </c>
      <c r="B313" s="2"/>
      <c r="C313" s="2"/>
      <c r="D313" s="2"/>
      <c r="E313" s="2" t="str">
        <f>IFERROR(IF(ISBLANK(D313),"",INDEX([1]Gen_Vessels!$A$3:$C$500,MATCH(D313,[1]Gen_Vessels!$C$3:$C$500,0),1)),"")</f>
        <v/>
      </c>
      <c r="F313" s="2"/>
      <c r="G313" s="2"/>
      <c r="H313" s="2" t="str">
        <f>IFERROR(IF(ISBLANK(G313),"",INDEX([1]Gen_Vessels!$A$3:$C$500,MATCH(G313,[1]Gen_Vessels!$C$3:$C$500,0),1)),"")</f>
        <v/>
      </c>
      <c r="I313" s="2"/>
      <c r="J313" s="2"/>
      <c r="K313" s="2"/>
      <c r="L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25">
      <c r="A314" s="1" t="str">
        <f t="shared" si="4"/>
        <v/>
      </c>
      <c r="B314" s="2"/>
      <c r="C314" s="2"/>
      <c r="D314" s="2"/>
      <c r="E314" s="2" t="str">
        <f>IFERROR(IF(ISBLANK(D314),"",INDEX([1]Gen_Vessels!$A$3:$C$500,MATCH(D314,[1]Gen_Vessels!$C$3:$C$500,0),1)),"")</f>
        <v/>
      </c>
      <c r="F314" s="2"/>
      <c r="G314" s="2"/>
      <c r="H314" s="2" t="str">
        <f>IFERROR(IF(ISBLANK(G314),"",INDEX([1]Gen_Vessels!$A$3:$C$500,MATCH(G314,[1]Gen_Vessels!$C$3:$C$500,0),1)),"")</f>
        <v/>
      </c>
      <c r="I314" s="2"/>
      <c r="J314" s="2"/>
      <c r="K314" s="2"/>
      <c r="L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25">
      <c r="A315" s="1" t="str">
        <f t="shared" si="4"/>
        <v/>
      </c>
      <c r="B315" s="2"/>
      <c r="C315" s="2"/>
      <c r="D315" s="2"/>
      <c r="E315" s="2" t="str">
        <f>IFERROR(IF(ISBLANK(D315),"",INDEX([1]Gen_Vessels!$A$3:$C$500,MATCH(D315,[1]Gen_Vessels!$C$3:$C$500,0),1)),"")</f>
        <v/>
      </c>
      <c r="F315" s="2"/>
      <c r="G315" s="2"/>
      <c r="H315" s="2" t="str">
        <f>IFERROR(IF(ISBLANK(G315),"",INDEX([1]Gen_Vessels!$A$3:$C$500,MATCH(G315,[1]Gen_Vessels!$C$3:$C$500,0),1)),"")</f>
        <v/>
      </c>
      <c r="I315" s="2"/>
      <c r="J315" s="2"/>
      <c r="K315" s="2"/>
      <c r="L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25">
      <c r="A316" s="1" t="str">
        <f t="shared" si="4"/>
        <v/>
      </c>
      <c r="B316" s="2"/>
      <c r="C316" s="2"/>
      <c r="D316" s="2"/>
      <c r="E316" s="2" t="str">
        <f>IFERROR(IF(ISBLANK(D316),"",INDEX([1]Gen_Vessels!$A$3:$C$500,MATCH(D316,[1]Gen_Vessels!$C$3:$C$500,0),1)),"")</f>
        <v/>
      </c>
      <c r="F316" s="2"/>
      <c r="G316" s="2"/>
      <c r="H316" s="2" t="str">
        <f>IFERROR(IF(ISBLANK(G316),"",INDEX([1]Gen_Vessels!$A$3:$C$500,MATCH(G316,[1]Gen_Vessels!$C$3:$C$500,0),1)),"")</f>
        <v/>
      </c>
      <c r="I316" s="2"/>
      <c r="J316" s="2"/>
      <c r="K316" s="2"/>
      <c r="L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25">
      <c r="A317" s="1" t="str">
        <f t="shared" si="4"/>
        <v/>
      </c>
      <c r="B317" s="2"/>
      <c r="C317" s="2"/>
      <c r="D317" s="2"/>
      <c r="E317" s="2" t="str">
        <f>IFERROR(IF(ISBLANK(D317),"",INDEX([1]Gen_Vessels!$A$3:$C$500,MATCH(D317,[1]Gen_Vessels!$C$3:$C$500,0),1)),"")</f>
        <v/>
      </c>
      <c r="F317" s="2"/>
      <c r="G317" s="2"/>
      <c r="H317" s="2" t="str">
        <f>IFERROR(IF(ISBLANK(G317),"",INDEX([1]Gen_Vessels!$A$3:$C$500,MATCH(G317,[1]Gen_Vessels!$C$3:$C$500,0),1)),"")</f>
        <v/>
      </c>
      <c r="I317" s="2"/>
      <c r="J317" s="2"/>
      <c r="K317" s="2"/>
      <c r="L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25">
      <c r="A318" s="1" t="str">
        <f t="shared" si="4"/>
        <v/>
      </c>
      <c r="B318" s="2"/>
      <c r="C318" s="2"/>
      <c r="D318" s="2"/>
      <c r="E318" s="2" t="str">
        <f>IFERROR(IF(ISBLANK(D318),"",INDEX([1]Gen_Vessels!$A$3:$C$500,MATCH(D318,[1]Gen_Vessels!$C$3:$C$500,0),1)),"")</f>
        <v/>
      </c>
      <c r="F318" s="2"/>
      <c r="G318" s="2"/>
      <c r="H318" s="2" t="str">
        <f>IFERROR(IF(ISBLANK(G318),"",INDEX([1]Gen_Vessels!$A$3:$C$500,MATCH(G318,[1]Gen_Vessels!$C$3:$C$500,0),1)),"")</f>
        <v/>
      </c>
      <c r="I318" s="2"/>
      <c r="J318" s="2"/>
      <c r="K318" s="2"/>
      <c r="L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25">
      <c r="A319" s="1" t="str">
        <f t="shared" si="4"/>
        <v/>
      </c>
      <c r="B319" s="2"/>
      <c r="C319" s="2"/>
      <c r="D319" s="2"/>
      <c r="E319" s="2" t="str">
        <f>IFERROR(IF(ISBLANK(D319),"",INDEX([1]Gen_Vessels!$A$3:$C$500,MATCH(D319,[1]Gen_Vessels!$C$3:$C$500,0),1)),"")</f>
        <v/>
      </c>
      <c r="F319" s="2"/>
      <c r="G319" s="2"/>
      <c r="H319" s="2" t="str">
        <f>IFERROR(IF(ISBLANK(G319),"",INDEX([1]Gen_Vessels!$A$3:$C$500,MATCH(G319,[1]Gen_Vessels!$C$3:$C$500,0),1)),"")</f>
        <v/>
      </c>
      <c r="I319" s="2"/>
      <c r="J319" s="2"/>
      <c r="K319" s="2"/>
      <c r="L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25">
      <c r="A320" s="1" t="str">
        <f t="shared" si="4"/>
        <v/>
      </c>
      <c r="B320" s="2"/>
      <c r="C320" s="2"/>
      <c r="D320" s="2"/>
      <c r="E320" s="2" t="str">
        <f>IFERROR(IF(ISBLANK(D320),"",INDEX([1]Gen_Vessels!$A$3:$C$500,MATCH(D320,[1]Gen_Vessels!$C$3:$C$500,0),1)),"")</f>
        <v/>
      </c>
      <c r="F320" s="2"/>
      <c r="G320" s="2"/>
      <c r="H320" s="2" t="str">
        <f>IFERROR(IF(ISBLANK(G320),"",INDEX([1]Gen_Vessels!$A$3:$C$500,MATCH(G320,[1]Gen_Vessels!$C$3:$C$500,0),1)),"")</f>
        <v/>
      </c>
      <c r="I320" s="2"/>
      <c r="J320" s="2"/>
      <c r="K320" s="2"/>
      <c r="L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25">
      <c r="A321" s="1" t="str">
        <f t="shared" si="4"/>
        <v/>
      </c>
      <c r="B321" s="2"/>
      <c r="C321" s="2"/>
      <c r="D321" s="2"/>
      <c r="E321" s="2" t="str">
        <f>IFERROR(IF(ISBLANK(D321),"",INDEX([1]Gen_Vessels!$A$3:$C$500,MATCH(D321,[1]Gen_Vessels!$C$3:$C$500,0),1)),"")</f>
        <v/>
      </c>
      <c r="F321" s="2"/>
      <c r="G321" s="2"/>
      <c r="H321" s="2" t="str">
        <f>IFERROR(IF(ISBLANK(G321),"",INDEX([1]Gen_Vessels!$A$3:$C$500,MATCH(G321,[1]Gen_Vessels!$C$3:$C$500,0),1)),"")</f>
        <v/>
      </c>
      <c r="I321" s="2"/>
      <c r="J321" s="2"/>
      <c r="K321" s="2"/>
      <c r="L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25">
      <c r="A322" s="1" t="str">
        <f t="shared" si="4"/>
        <v/>
      </c>
      <c r="B322" s="2"/>
      <c r="C322" s="2"/>
      <c r="D322" s="2"/>
      <c r="E322" s="2" t="str">
        <f>IFERROR(IF(ISBLANK(D322),"",INDEX([1]Gen_Vessels!$A$3:$C$500,MATCH(D322,[1]Gen_Vessels!$C$3:$C$500,0),1)),"")</f>
        <v/>
      </c>
      <c r="F322" s="2"/>
      <c r="G322" s="2"/>
      <c r="H322" s="2" t="str">
        <f>IFERROR(IF(ISBLANK(G322),"",INDEX([1]Gen_Vessels!$A$3:$C$500,MATCH(G322,[1]Gen_Vessels!$C$3:$C$500,0),1)),"")</f>
        <v/>
      </c>
      <c r="I322" s="2"/>
      <c r="J322" s="2"/>
      <c r="K322" s="2"/>
      <c r="L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25">
      <c r="A323" s="1" t="str">
        <f t="shared" si="4"/>
        <v/>
      </c>
      <c r="B323" s="2"/>
      <c r="C323" s="2"/>
      <c r="D323" s="2"/>
      <c r="E323" s="2" t="str">
        <f>IFERROR(IF(ISBLANK(D323),"",INDEX([1]Gen_Vessels!$A$3:$C$500,MATCH(D323,[1]Gen_Vessels!$C$3:$C$500,0),1)),"")</f>
        <v/>
      </c>
      <c r="F323" s="2"/>
      <c r="G323" s="2"/>
      <c r="H323" s="2" t="str">
        <f>IFERROR(IF(ISBLANK(G323),"",INDEX([1]Gen_Vessels!$A$3:$C$500,MATCH(G323,[1]Gen_Vessels!$C$3:$C$500,0),1)),"")</f>
        <v/>
      </c>
      <c r="I323" s="2"/>
      <c r="J323" s="2"/>
      <c r="K323" s="2"/>
      <c r="L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25">
      <c r="A324" s="1" t="str">
        <f t="shared" ref="A324:A387" si="5">IF(ISBLANK($B324)=FALSE,_xlfn.CONCAT($B324,"_tow"),"")</f>
        <v/>
      </c>
      <c r="B324" s="2"/>
      <c r="C324" s="2"/>
      <c r="D324" s="2"/>
      <c r="E324" s="2" t="str">
        <f>IFERROR(IF(ISBLANK(D324),"",INDEX([1]Gen_Vessels!$A$3:$C$500,MATCH(D324,[1]Gen_Vessels!$C$3:$C$500,0),1)),"")</f>
        <v/>
      </c>
      <c r="F324" s="2"/>
      <c r="G324" s="2"/>
      <c r="H324" s="2" t="str">
        <f>IFERROR(IF(ISBLANK(G324),"",INDEX([1]Gen_Vessels!$A$3:$C$500,MATCH(G324,[1]Gen_Vessels!$C$3:$C$500,0),1)),"")</f>
        <v/>
      </c>
      <c r="I324" s="2"/>
      <c r="J324" s="2"/>
      <c r="K324" s="2"/>
      <c r="L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25">
      <c r="A325" s="1" t="str">
        <f t="shared" si="5"/>
        <v/>
      </c>
      <c r="B325" s="2"/>
      <c r="C325" s="2"/>
      <c r="D325" s="2"/>
      <c r="E325" s="2" t="str">
        <f>IFERROR(IF(ISBLANK(D325),"",INDEX([1]Gen_Vessels!$A$3:$C$500,MATCH(D325,[1]Gen_Vessels!$C$3:$C$500,0),1)),"")</f>
        <v/>
      </c>
      <c r="F325" s="2"/>
      <c r="G325" s="2"/>
      <c r="H325" s="2" t="str">
        <f>IFERROR(IF(ISBLANK(G325),"",INDEX([1]Gen_Vessels!$A$3:$C$500,MATCH(G325,[1]Gen_Vessels!$C$3:$C$500,0),1)),"")</f>
        <v/>
      </c>
      <c r="I325" s="2"/>
      <c r="J325" s="2"/>
      <c r="K325" s="2"/>
      <c r="L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25">
      <c r="A326" s="1" t="str">
        <f t="shared" si="5"/>
        <v/>
      </c>
      <c r="B326" s="2"/>
      <c r="C326" s="2"/>
      <c r="D326" s="2"/>
      <c r="E326" s="2" t="str">
        <f>IFERROR(IF(ISBLANK(D326),"",INDEX([1]Gen_Vessels!$A$3:$C$500,MATCH(D326,[1]Gen_Vessels!$C$3:$C$500,0),1)),"")</f>
        <v/>
      </c>
      <c r="F326" s="2"/>
      <c r="G326" s="2"/>
      <c r="H326" s="2" t="str">
        <f>IFERROR(IF(ISBLANK(G326),"",INDEX([1]Gen_Vessels!$A$3:$C$500,MATCH(G326,[1]Gen_Vessels!$C$3:$C$500,0),1)),"")</f>
        <v/>
      </c>
      <c r="I326" s="2"/>
      <c r="J326" s="2"/>
      <c r="K326" s="2"/>
      <c r="L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25">
      <c r="A327" s="1" t="str">
        <f t="shared" si="5"/>
        <v/>
      </c>
      <c r="B327" s="2"/>
      <c r="C327" s="2"/>
      <c r="D327" s="2"/>
      <c r="E327" s="2" t="str">
        <f>IFERROR(IF(ISBLANK(D327),"",INDEX([1]Gen_Vessels!$A$3:$C$500,MATCH(D327,[1]Gen_Vessels!$C$3:$C$500,0),1)),"")</f>
        <v/>
      </c>
      <c r="F327" s="2"/>
      <c r="G327" s="2"/>
      <c r="H327" s="2" t="str">
        <f>IFERROR(IF(ISBLANK(G327),"",INDEX([1]Gen_Vessels!$A$3:$C$500,MATCH(G327,[1]Gen_Vessels!$C$3:$C$500,0),1)),"")</f>
        <v/>
      </c>
      <c r="I327" s="2"/>
      <c r="J327" s="2"/>
      <c r="K327" s="2"/>
      <c r="L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25">
      <c r="A328" s="1" t="str">
        <f t="shared" si="5"/>
        <v/>
      </c>
      <c r="B328" s="2"/>
      <c r="C328" s="2"/>
      <c r="D328" s="2"/>
      <c r="E328" s="2" t="str">
        <f>IFERROR(IF(ISBLANK(D328),"",INDEX([1]Gen_Vessels!$A$3:$C$500,MATCH(D328,[1]Gen_Vessels!$C$3:$C$500,0),1)),"")</f>
        <v/>
      </c>
      <c r="F328" s="2"/>
      <c r="G328" s="2"/>
      <c r="H328" s="2" t="str">
        <f>IFERROR(IF(ISBLANK(G328),"",INDEX([1]Gen_Vessels!$A$3:$C$500,MATCH(G328,[1]Gen_Vessels!$C$3:$C$500,0),1)),"")</f>
        <v/>
      </c>
      <c r="I328" s="2"/>
      <c r="J328" s="2"/>
      <c r="K328" s="2"/>
      <c r="L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25">
      <c r="A329" s="1" t="str">
        <f t="shared" si="5"/>
        <v/>
      </c>
      <c r="B329" s="2"/>
      <c r="C329" s="2"/>
      <c r="D329" s="2"/>
      <c r="E329" s="2" t="str">
        <f>IFERROR(IF(ISBLANK(D329),"",INDEX([1]Gen_Vessels!$A$3:$C$500,MATCH(D329,[1]Gen_Vessels!$C$3:$C$500,0),1)),"")</f>
        <v/>
      </c>
      <c r="F329" s="2"/>
      <c r="G329" s="2"/>
      <c r="H329" s="2" t="str">
        <f>IFERROR(IF(ISBLANK(G329),"",INDEX([1]Gen_Vessels!$A$3:$C$500,MATCH(G329,[1]Gen_Vessels!$C$3:$C$500,0),1)),"")</f>
        <v/>
      </c>
      <c r="I329" s="2"/>
      <c r="J329" s="2"/>
      <c r="K329" s="2"/>
      <c r="L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25">
      <c r="A330" s="1" t="str">
        <f t="shared" si="5"/>
        <v/>
      </c>
      <c r="B330" s="2"/>
      <c r="C330" s="2"/>
      <c r="D330" s="2"/>
      <c r="E330" s="2" t="str">
        <f>IFERROR(IF(ISBLANK(D330),"",INDEX([1]Gen_Vessels!$A$3:$C$500,MATCH(D330,[1]Gen_Vessels!$C$3:$C$500,0),1)),"")</f>
        <v/>
      </c>
      <c r="F330" s="2"/>
      <c r="G330" s="2"/>
      <c r="H330" s="2" t="str">
        <f>IFERROR(IF(ISBLANK(G330),"",INDEX([1]Gen_Vessels!$A$3:$C$500,MATCH(G330,[1]Gen_Vessels!$C$3:$C$500,0),1)),"")</f>
        <v/>
      </c>
      <c r="I330" s="2"/>
      <c r="J330" s="2"/>
      <c r="K330" s="2"/>
      <c r="L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25">
      <c r="A331" s="1" t="str">
        <f t="shared" si="5"/>
        <v/>
      </c>
      <c r="B331" s="2"/>
      <c r="C331" s="2"/>
      <c r="D331" s="2"/>
      <c r="E331" s="2" t="str">
        <f>IFERROR(IF(ISBLANK(D331),"",INDEX([1]Gen_Vessels!$A$3:$C$500,MATCH(D331,[1]Gen_Vessels!$C$3:$C$500,0),1)),"")</f>
        <v/>
      </c>
      <c r="F331" s="2"/>
      <c r="G331" s="2"/>
      <c r="H331" s="2" t="str">
        <f>IFERROR(IF(ISBLANK(G331),"",INDEX([1]Gen_Vessels!$A$3:$C$500,MATCH(G331,[1]Gen_Vessels!$C$3:$C$500,0),1)),"")</f>
        <v/>
      </c>
      <c r="I331" s="2"/>
      <c r="J331" s="2"/>
      <c r="K331" s="2"/>
      <c r="L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25">
      <c r="A332" s="1" t="str">
        <f t="shared" si="5"/>
        <v/>
      </c>
      <c r="B332" s="2"/>
      <c r="C332" s="2"/>
      <c r="D332" s="2"/>
      <c r="E332" s="2" t="str">
        <f>IFERROR(IF(ISBLANK(D332),"",INDEX([1]Gen_Vessels!$A$3:$C$500,MATCH(D332,[1]Gen_Vessels!$C$3:$C$500,0),1)),"")</f>
        <v/>
      </c>
      <c r="F332" s="2"/>
      <c r="G332" s="2"/>
      <c r="H332" s="2" t="str">
        <f>IFERROR(IF(ISBLANK(G332),"",INDEX([1]Gen_Vessels!$A$3:$C$500,MATCH(G332,[1]Gen_Vessels!$C$3:$C$500,0),1)),"")</f>
        <v/>
      </c>
      <c r="I332" s="2"/>
      <c r="J332" s="2"/>
      <c r="K332" s="2"/>
      <c r="L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25">
      <c r="A333" s="1" t="str">
        <f t="shared" si="5"/>
        <v/>
      </c>
      <c r="B333" s="2"/>
      <c r="C333" s="2"/>
      <c r="D333" s="2"/>
      <c r="E333" s="2" t="str">
        <f>IFERROR(IF(ISBLANK(D333),"",INDEX([1]Gen_Vessels!$A$3:$C$500,MATCH(D333,[1]Gen_Vessels!$C$3:$C$500,0),1)),"")</f>
        <v/>
      </c>
      <c r="F333" s="2"/>
      <c r="G333" s="2"/>
      <c r="H333" s="2" t="str">
        <f>IFERROR(IF(ISBLANK(G333),"",INDEX([1]Gen_Vessels!$A$3:$C$500,MATCH(G333,[1]Gen_Vessels!$C$3:$C$500,0),1)),"")</f>
        <v/>
      </c>
      <c r="I333" s="2"/>
      <c r="J333" s="2"/>
      <c r="K333" s="2"/>
      <c r="L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25">
      <c r="A334" s="1" t="str">
        <f t="shared" si="5"/>
        <v/>
      </c>
      <c r="B334" s="2"/>
      <c r="C334" s="2"/>
      <c r="D334" s="2"/>
      <c r="E334" s="2" t="str">
        <f>IFERROR(IF(ISBLANK(D334),"",INDEX([1]Gen_Vessels!$A$3:$C$500,MATCH(D334,[1]Gen_Vessels!$C$3:$C$500,0),1)),"")</f>
        <v/>
      </c>
      <c r="F334" s="2"/>
      <c r="G334" s="2"/>
      <c r="H334" s="2" t="str">
        <f>IFERROR(IF(ISBLANK(G334),"",INDEX([1]Gen_Vessels!$A$3:$C$500,MATCH(G334,[1]Gen_Vessels!$C$3:$C$500,0),1)),"")</f>
        <v/>
      </c>
      <c r="I334" s="2"/>
      <c r="J334" s="2"/>
      <c r="K334" s="2"/>
      <c r="L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25">
      <c r="A335" s="1" t="str">
        <f t="shared" si="5"/>
        <v/>
      </c>
      <c r="B335" s="2"/>
      <c r="C335" s="2"/>
      <c r="D335" s="2"/>
      <c r="E335" s="2" t="str">
        <f>IFERROR(IF(ISBLANK(D335),"",INDEX([1]Gen_Vessels!$A$3:$C$500,MATCH(D335,[1]Gen_Vessels!$C$3:$C$500,0),1)),"")</f>
        <v/>
      </c>
      <c r="F335" s="2"/>
      <c r="G335" s="2"/>
      <c r="H335" s="2" t="str">
        <f>IFERROR(IF(ISBLANK(G335),"",INDEX([1]Gen_Vessels!$A$3:$C$500,MATCH(G335,[1]Gen_Vessels!$C$3:$C$500,0),1)),"")</f>
        <v/>
      </c>
      <c r="I335" s="2"/>
      <c r="J335" s="2"/>
      <c r="K335" s="2"/>
      <c r="L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25">
      <c r="A336" s="1" t="str">
        <f t="shared" si="5"/>
        <v/>
      </c>
      <c r="B336" s="2"/>
      <c r="C336" s="2"/>
      <c r="D336" s="2"/>
      <c r="E336" s="2" t="str">
        <f>IFERROR(IF(ISBLANK(D336),"",INDEX([1]Gen_Vessels!$A$3:$C$500,MATCH(D336,[1]Gen_Vessels!$C$3:$C$500,0),1)),"")</f>
        <v/>
      </c>
      <c r="F336" s="2"/>
      <c r="G336" s="2"/>
      <c r="H336" s="2" t="str">
        <f>IFERROR(IF(ISBLANK(G336),"",INDEX([1]Gen_Vessels!$A$3:$C$500,MATCH(G336,[1]Gen_Vessels!$C$3:$C$500,0),1)),"")</f>
        <v/>
      </c>
      <c r="I336" s="2"/>
      <c r="J336" s="2"/>
      <c r="K336" s="2"/>
      <c r="L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25">
      <c r="A337" s="1" t="str">
        <f t="shared" si="5"/>
        <v/>
      </c>
      <c r="B337" s="2"/>
      <c r="C337" s="2"/>
      <c r="D337" s="2"/>
      <c r="E337" s="2" t="str">
        <f>IFERROR(IF(ISBLANK(D337),"",INDEX([1]Gen_Vessels!$A$3:$C$500,MATCH(D337,[1]Gen_Vessels!$C$3:$C$500,0),1)),"")</f>
        <v/>
      </c>
      <c r="F337" s="2"/>
      <c r="G337" s="2"/>
      <c r="H337" s="2" t="str">
        <f>IFERROR(IF(ISBLANK(G337),"",INDEX([1]Gen_Vessels!$A$3:$C$500,MATCH(G337,[1]Gen_Vessels!$C$3:$C$500,0),1)),"")</f>
        <v/>
      </c>
      <c r="I337" s="2"/>
      <c r="J337" s="2"/>
      <c r="K337" s="2"/>
      <c r="L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25">
      <c r="A338" s="1" t="str">
        <f t="shared" si="5"/>
        <v/>
      </c>
      <c r="B338" s="2"/>
      <c r="C338" s="2"/>
      <c r="D338" s="2"/>
      <c r="E338" s="2" t="str">
        <f>IFERROR(IF(ISBLANK(D338),"",INDEX([1]Gen_Vessels!$A$3:$C$500,MATCH(D338,[1]Gen_Vessels!$C$3:$C$500,0),1)),"")</f>
        <v/>
      </c>
      <c r="F338" s="2"/>
      <c r="G338" s="2"/>
      <c r="H338" s="2" t="str">
        <f>IFERROR(IF(ISBLANK(G338),"",INDEX([1]Gen_Vessels!$A$3:$C$500,MATCH(G338,[1]Gen_Vessels!$C$3:$C$500,0),1)),"")</f>
        <v/>
      </c>
      <c r="I338" s="2"/>
      <c r="J338" s="2"/>
      <c r="K338" s="2"/>
      <c r="L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25">
      <c r="A339" s="1" t="str">
        <f t="shared" si="5"/>
        <v/>
      </c>
      <c r="B339" s="2"/>
      <c r="C339" s="2"/>
      <c r="D339" s="2"/>
      <c r="E339" s="2" t="str">
        <f>IFERROR(IF(ISBLANK(D339),"",INDEX([1]Gen_Vessels!$A$3:$C$500,MATCH(D339,[1]Gen_Vessels!$C$3:$C$500,0),1)),"")</f>
        <v/>
      </c>
      <c r="F339" s="2"/>
      <c r="G339" s="2"/>
      <c r="H339" s="2" t="str">
        <f>IFERROR(IF(ISBLANK(G339),"",INDEX([1]Gen_Vessels!$A$3:$C$500,MATCH(G339,[1]Gen_Vessels!$C$3:$C$500,0),1)),"")</f>
        <v/>
      </c>
      <c r="I339" s="2"/>
      <c r="J339" s="2"/>
      <c r="K339" s="2"/>
      <c r="L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25">
      <c r="A340" s="1" t="str">
        <f t="shared" si="5"/>
        <v/>
      </c>
      <c r="B340" s="2"/>
      <c r="C340" s="2"/>
      <c r="D340" s="2"/>
      <c r="E340" s="2" t="str">
        <f>IFERROR(IF(ISBLANK(D340),"",INDEX([1]Gen_Vessels!$A$3:$C$500,MATCH(D340,[1]Gen_Vessels!$C$3:$C$500,0),1)),"")</f>
        <v/>
      </c>
      <c r="F340" s="2"/>
      <c r="G340" s="2"/>
      <c r="H340" s="2" t="str">
        <f>IFERROR(IF(ISBLANK(G340),"",INDEX([1]Gen_Vessels!$A$3:$C$500,MATCH(G340,[1]Gen_Vessels!$C$3:$C$500,0),1)),"")</f>
        <v/>
      </c>
      <c r="I340" s="2"/>
      <c r="J340" s="2"/>
      <c r="K340" s="2"/>
      <c r="L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25">
      <c r="A341" s="1" t="str">
        <f t="shared" si="5"/>
        <v/>
      </c>
      <c r="B341" s="2"/>
      <c r="C341" s="2"/>
      <c r="D341" s="2"/>
      <c r="E341" s="2" t="str">
        <f>IFERROR(IF(ISBLANK(D341),"",INDEX([1]Gen_Vessels!$A$3:$C$500,MATCH(D341,[1]Gen_Vessels!$C$3:$C$500,0),1)),"")</f>
        <v/>
      </c>
      <c r="F341" s="2"/>
      <c r="G341" s="2"/>
      <c r="H341" s="2" t="str">
        <f>IFERROR(IF(ISBLANK(G341),"",INDEX([1]Gen_Vessels!$A$3:$C$500,MATCH(G341,[1]Gen_Vessels!$C$3:$C$500,0),1)),"")</f>
        <v/>
      </c>
      <c r="I341" s="2"/>
      <c r="J341" s="2"/>
      <c r="K341" s="2"/>
      <c r="L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25">
      <c r="A342" s="1" t="str">
        <f t="shared" si="5"/>
        <v/>
      </c>
      <c r="B342" s="2"/>
      <c r="C342" s="2"/>
      <c r="D342" s="2"/>
      <c r="E342" s="2" t="str">
        <f>IFERROR(IF(ISBLANK(D342),"",INDEX([1]Gen_Vessels!$A$3:$C$500,MATCH(D342,[1]Gen_Vessels!$C$3:$C$500,0),1)),"")</f>
        <v/>
      </c>
      <c r="F342" s="2"/>
      <c r="G342" s="2"/>
      <c r="H342" s="2" t="str">
        <f>IFERROR(IF(ISBLANK(G342),"",INDEX([1]Gen_Vessels!$A$3:$C$500,MATCH(G342,[1]Gen_Vessels!$C$3:$C$500,0),1)),"")</f>
        <v/>
      </c>
      <c r="I342" s="2"/>
      <c r="J342" s="2"/>
      <c r="K342" s="2"/>
      <c r="L342" s="2"/>
      <c r="N342" s="2"/>
      <c r="O342" s="2"/>
      <c r="P342" s="2"/>
      <c r="Q342" s="2"/>
      <c r="R342" s="2"/>
      <c r="S342" s="2"/>
      <c r="T342" s="2"/>
      <c r="U342" s="2"/>
    </row>
    <row r="343" spans="1:21" x14ac:dyDescent="0.25">
      <c r="A343" s="1" t="str">
        <f t="shared" si="5"/>
        <v/>
      </c>
      <c r="B343" s="2"/>
      <c r="C343" s="2"/>
      <c r="D343" s="2"/>
      <c r="E343" s="2" t="str">
        <f>IFERROR(IF(ISBLANK(D343),"",INDEX([1]Gen_Vessels!$A$3:$C$500,MATCH(D343,[1]Gen_Vessels!$C$3:$C$500,0),1)),"")</f>
        <v/>
      </c>
      <c r="F343" s="2"/>
      <c r="G343" s="2"/>
      <c r="H343" s="2" t="str">
        <f>IFERROR(IF(ISBLANK(G343),"",INDEX([1]Gen_Vessels!$A$3:$C$500,MATCH(G343,[1]Gen_Vessels!$C$3:$C$500,0),1)),"")</f>
        <v/>
      </c>
      <c r="I343" s="2"/>
      <c r="J343" s="2"/>
      <c r="K343" s="2"/>
      <c r="L343" s="2"/>
      <c r="N343" s="2"/>
      <c r="O343" s="2"/>
      <c r="P343" s="2"/>
      <c r="Q343" s="2"/>
      <c r="R343" s="2"/>
      <c r="S343" s="2"/>
      <c r="T343" s="2"/>
      <c r="U343" s="2"/>
    </row>
    <row r="344" spans="1:21" x14ac:dyDescent="0.25">
      <c r="A344" s="1" t="str">
        <f t="shared" si="5"/>
        <v/>
      </c>
      <c r="B344" s="2"/>
      <c r="C344" s="2"/>
      <c r="D344" s="2"/>
      <c r="E344" s="2" t="str">
        <f>IFERROR(IF(ISBLANK(D344),"",INDEX([1]Gen_Vessels!$A$3:$C$500,MATCH(D344,[1]Gen_Vessels!$C$3:$C$500,0),1)),"")</f>
        <v/>
      </c>
      <c r="F344" s="2"/>
      <c r="G344" s="2"/>
      <c r="H344" s="2" t="str">
        <f>IFERROR(IF(ISBLANK(G344),"",INDEX([1]Gen_Vessels!$A$3:$C$500,MATCH(G344,[1]Gen_Vessels!$C$3:$C$500,0),1)),"")</f>
        <v/>
      </c>
      <c r="I344" s="2"/>
      <c r="J344" s="2"/>
      <c r="K344" s="2"/>
      <c r="L344" s="2"/>
      <c r="N344" s="2"/>
      <c r="O344" s="2"/>
      <c r="P344" s="2"/>
      <c r="Q344" s="2"/>
      <c r="R344" s="2"/>
      <c r="S344" s="2"/>
      <c r="T344" s="2"/>
      <c r="U344" s="2"/>
    </row>
    <row r="345" spans="1:21" x14ac:dyDescent="0.25">
      <c r="A345" s="1" t="str">
        <f t="shared" si="5"/>
        <v/>
      </c>
      <c r="B345" s="2"/>
      <c r="C345" s="2"/>
      <c r="D345" s="2"/>
      <c r="E345" s="2" t="str">
        <f>IFERROR(IF(ISBLANK(D345),"",INDEX([1]Gen_Vessels!$A$3:$C$500,MATCH(D345,[1]Gen_Vessels!$C$3:$C$500,0),1)),"")</f>
        <v/>
      </c>
      <c r="F345" s="2"/>
      <c r="G345" s="2"/>
      <c r="H345" s="2" t="str">
        <f>IFERROR(IF(ISBLANK(G345),"",INDEX([1]Gen_Vessels!$A$3:$C$500,MATCH(G345,[1]Gen_Vessels!$C$3:$C$500,0),1)),"")</f>
        <v/>
      </c>
      <c r="I345" s="2"/>
      <c r="J345" s="2"/>
      <c r="K345" s="2"/>
      <c r="L345" s="2"/>
      <c r="N345" s="2"/>
      <c r="O345" s="2"/>
      <c r="P345" s="2"/>
      <c r="Q345" s="2"/>
      <c r="R345" s="2"/>
      <c r="S345" s="2"/>
      <c r="T345" s="2"/>
      <c r="U345" s="2"/>
    </row>
    <row r="346" spans="1:21" x14ac:dyDescent="0.25">
      <c r="A346" s="1" t="str">
        <f t="shared" si="5"/>
        <v/>
      </c>
      <c r="B346" s="2"/>
      <c r="C346" s="2"/>
      <c r="D346" s="2"/>
      <c r="E346" s="2" t="str">
        <f>IFERROR(IF(ISBLANK(D346),"",INDEX([1]Gen_Vessels!$A$3:$C$500,MATCH(D346,[1]Gen_Vessels!$C$3:$C$500,0),1)),"")</f>
        <v/>
      </c>
      <c r="F346" s="2"/>
      <c r="G346" s="2"/>
      <c r="H346" s="2" t="str">
        <f>IFERROR(IF(ISBLANK(G346),"",INDEX([1]Gen_Vessels!$A$3:$C$500,MATCH(G346,[1]Gen_Vessels!$C$3:$C$500,0),1)),"")</f>
        <v/>
      </c>
      <c r="I346" s="2"/>
      <c r="J346" s="2"/>
      <c r="K346" s="2"/>
      <c r="L346" s="2"/>
      <c r="N346" s="2"/>
      <c r="O346" s="2"/>
      <c r="P346" s="2"/>
      <c r="Q346" s="2"/>
      <c r="R346" s="2"/>
      <c r="S346" s="2"/>
      <c r="T346" s="2"/>
      <c r="U346" s="2"/>
    </row>
    <row r="347" spans="1:21" x14ac:dyDescent="0.25">
      <c r="A347" s="1" t="str">
        <f t="shared" si="5"/>
        <v/>
      </c>
      <c r="B347" s="2"/>
      <c r="C347" s="2"/>
      <c r="D347" s="2"/>
      <c r="E347" s="2" t="str">
        <f>IFERROR(IF(ISBLANK(D347),"",INDEX([1]Gen_Vessels!$A$3:$C$500,MATCH(D347,[1]Gen_Vessels!$C$3:$C$500,0),1)),"")</f>
        <v/>
      </c>
      <c r="F347" s="2"/>
      <c r="G347" s="2"/>
      <c r="H347" s="2" t="str">
        <f>IFERROR(IF(ISBLANK(G347),"",INDEX([1]Gen_Vessels!$A$3:$C$500,MATCH(G347,[1]Gen_Vessels!$C$3:$C$500,0),1)),"")</f>
        <v/>
      </c>
      <c r="I347" s="2"/>
      <c r="J347" s="2"/>
      <c r="K347" s="2"/>
      <c r="L347" s="2"/>
      <c r="N347" s="2"/>
      <c r="O347" s="2"/>
      <c r="P347" s="2"/>
      <c r="Q347" s="2"/>
      <c r="R347" s="2"/>
      <c r="S347" s="2"/>
      <c r="T347" s="2"/>
      <c r="U347" s="2"/>
    </row>
    <row r="348" spans="1:21" x14ac:dyDescent="0.25">
      <c r="A348" s="1" t="str">
        <f t="shared" si="5"/>
        <v/>
      </c>
      <c r="B348" s="2"/>
      <c r="C348" s="2"/>
      <c r="D348" s="2"/>
      <c r="E348" s="2" t="str">
        <f>IFERROR(IF(ISBLANK(D348),"",INDEX([1]Gen_Vessels!$A$3:$C$500,MATCH(D348,[1]Gen_Vessels!$C$3:$C$500,0),1)),"")</f>
        <v/>
      </c>
      <c r="F348" s="2"/>
      <c r="G348" s="2"/>
      <c r="H348" s="2" t="str">
        <f>IFERROR(IF(ISBLANK(G348),"",INDEX([1]Gen_Vessels!$A$3:$C$500,MATCH(G348,[1]Gen_Vessels!$C$3:$C$500,0),1)),"")</f>
        <v/>
      </c>
      <c r="I348" s="2"/>
      <c r="J348" s="2"/>
      <c r="K348" s="2"/>
      <c r="L348" s="2"/>
      <c r="N348" s="2"/>
      <c r="O348" s="2"/>
      <c r="P348" s="2"/>
      <c r="Q348" s="2"/>
      <c r="R348" s="2"/>
      <c r="S348" s="2"/>
      <c r="T348" s="2"/>
      <c r="U348" s="2"/>
    </row>
    <row r="349" spans="1:21" x14ac:dyDescent="0.25">
      <c r="A349" s="1" t="str">
        <f t="shared" si="5"/>
        <v/>
      </c>
      <c r="B349" s="2"/>
      <c r="C349" s="2"/>
      <c r="D349" s="2"/>
      <c r="E349" s="2" t="str">
        <f>IFERROR(IF(ISBLANK(D349),"",INDEX([1]Gen_Vessels!$A$3:$C$500,MATCH(D349,[1]Gen_Vessels!$C$3:$C$500,0),1)),"")</f>
        <v/>
      </c>
      <c r="F349" s="2"/>
      <c r="G349" s="2"/>
      <c r="H349" s="2" t="str">
        <f>IFERROR(IF(ISBLANK(G349),"",INDEX([1]Gen_Vessels!$A$3:$C$500,MATCH(G349,[1]Gen_Vessels!$C$3:$C$500,0),1)),"")</f>
        <v/>
      </c>
      <c r="I349" s="2"/>
      <c r="J349" s="2"/>
      <c r="K349" s="2"/>
      <c r="L349" s="2"/>
      <c r="N349" s="2"/>
      <c r="O349" s="2"/>
      <c r="P349" s="2"/>
      <c r="Q349" s="2"/>
      <c r="R349" s="2"/>
      <c r="S349" s="2"/>
      <c r="T349" s="2"/>
      <c r="U349" s="2"/>
    </row>
    <row r="350" spans="1:21" x14ac:dyDescent="0.25">
      <c r="A350" s="1" t="str">
        <f t="shared" si="5"/>
        <v/>
      </c>
      <c r="B350" s="2"/>
      <c r="C350" s="2"/>
      <c r="D350" s="2"/>
      <c r="E350" s="2" t="str">
        <f>IFERROR(IF(ISBLANK(D350),"",INDEX([1]Gen_Vessels!$A$3:$C$500,MATCH(D350,[1]Gen_Vessels!$C$3:$C$500,0),1)),"")</f>
        <v/>
      </c>
      <c r="F350" s="2"/>
      <c r="G350" s="2"/>
      <c r="H350" s="2" t="str">
        <f>IFERROR(IF(ISBLANK(G350),"",INDEX([1]Gen_Vessels!$A$3:$C$500,MATCH(G350,[1]Gen_Vessels!$C$3:$C$500,0),1)),"")</f>
        <v/>
      </c>
      <c r="I350" s="2"/>
      <c r="J350" s="2"/>
      <c r="K350" s="2"/>
      <c r="L350" s="2"/>
      <c r="N350" s="2"/>
      <c r="O350" s="2"/>
      <c r="P350" s="2"/>
      <c r="Q350" s="2"/>
      <c r="R350" s="2"/>
      <c r="S350" s="2"/>
      <c r="T350" s="2"/>
      <c r="U350" s="2"/>
    </row>
    <row r="351" spans="1:21" x14ac:dyDescent="0.25">
      <c r="A351" s="1" t="str">
        <f t="shared" si="5"/>
        <v/>
      </c>
      <c r="B351" s="2"/>
      <c r="C351" s="2"/>
      <c r="D351" s="2"/>
      <c r="E351" s="2" t="str">
        <f>IFERROR(IF(ISBLANK(D351),"",INDEX([1]Gen_Vessels!$A$3:$C$500,MATCH(D351,[1]Gen_Vessels!$C$3:$C$500,0),1)),"")</f>
        <v/>
      </c>
      <c r="F351" s="2"/>
      <c r="G351" s="2"/>
      <c r="H351" s="2" t="str">
        <f>IFERROR(IF(ISBLANK(G351),"",INDEX([1]Gen_Vessels!$A$3:$C$500,MATCH(G351,[1]Gen_Vessels!$C$3:$C$500,0),1)),"")</f>
        <v/>
      </c>
      <c r="I351" s="2"/>
      <c r="J351" s="2"/>
      <c r="K351" s="2"/>
      <c r="L351" s="2"/>
      <c r="N351" s="2"/>
      <c r="O351" s="2"/>
      <c r="P351" s="2"/>
      <c r="Q351" s="2"/>
      <c r="R351" s="2"/>
      <c r="S351" s="2"/>
      <c r="T351" s="2"/>
      <c r="U351" s="2"/>
    </row>
    <row r="352" spans="1:21" x14ac:dyDescent="0.25">
      <c r="A352" s="1" t="str">
        <f t="shared" si="5"/>
        <v/>
      </c>
      <c r="B352" s="2"/>
      <c r="C352" s="2"/>
      <c r="D352" s="2"/>
      <c r="E352" s="2" t="str">
        <f>IFERROR(IF(ISBLANK(D352),"",INDEX([1]Gen_Vessels!$A$3:$C$500,MATCH(D352,[1]Gen_Vessels!$C$3:$C$500,0),1)),"")</f>
        <v/>
      </c>
      <c r="F352" s="2"/>
      <c r="G352" s="2"/>
      <c r="H352" s="2" t="str">
        <f>IFERROR(IF(ISBLANK(G352),"",INDEX([1]Gen_Vessels!$A$3:$C$500,MATCH(G352,[1]Gen_Vessels!$C$3:$C$500,0),1)),"")</f>
        <v/>
      </c>
      <c r="I352" s="2"/>
      <c r="J352" s="2"/>
      <c r="K352" s="2"/>
      <c r="L352" s="2"/>
      <c r="N352" s="2"/>
      <c r="O352" s="2"/>
      <c r="P352" s="2"/>
      <c r="Q352" s="2"/>
      <c r="R352" s="2"/>
      <c r="S352" s="2"/>
      <c r="T352" s="2"/>
      <c r="U352" s="2"/>
    </row>
    <row r="353" spans="1:21" x14ac:dyDescent="0.25">
      <c r="A353" s="1" t="str">
        <f t="shared" si="5"/>
        <v/>
      </c>
      <c r="B353" s="2"/>
      <c r="C353" s="2"/>
      <c r="D353" s="2"/>
      <c r="E353" s="2" t="str">
        <f>IFERROR(IF(ISBLANK(D353),"",INDEX([1]Gen_Vessels!$A$3:$C$500,MATCH(D353,[1]Gen_Vessels!$C$3:$C$500,0),1)),"")</f>
        <v/>
      </c>
      <c r="F353" s="2"/>
      <c r="G353" s="2"/>
      <c r="H353" s="2" t="str">
        <f>IFERROR(IF(ISBLANK(G353),"",INDEX([1]Gen_Vessels!$A$3:$C$500,MATCH(G353,[1]Gen_Vessels!$C$3:$C$500,0),1)),"")</f>
        <v/>
      </c>
      <c r="I353" s="2"/>
      <c r="J353" s="2"/>
      <c r="K353" s="2"/>
      <c r="L353" s="2"/>
      <c r="N353" s="2"/>
      <c r="O353" s="2"/>
      <c r="P353" s="2"/>
      <c r="Q353" s="2"/>
      <c r="R353" s="2"/>
      <c r="S353" s="2"/>
      <c r="T353" s="2"/>
      <c r="U353" s="2"/>
    </row>
    <row r="354" spans="1:21" x14ac:dyDescent="0.25">
      <c r="A354" s="1" t="str">
        <f t="shared" si="5"/>
        <v/>
      </c>
      <c r="B354" s="2"/>
      <c r="C354" s="2"/>
      <c r="D354" s="2"/>
      <c r="E354" s="2" t="str">
        <f>IFERROR(IF(ISBLANK(D354),"",INDEX([1]Gen_Vessels!$A$3:$C$500,MATCH(D354,[1]Gen_Vessels!$C$3:$C$500,0),1)),"")</f>
        <v/>
      </c>
      <c r="F354" s="2"/>
      <c r="G354" s="2"/>
      <c r="H354" s="2" t="str">
        <f>IFERROR(IF(ISBLANK(G354),"",INDEX([1]Gen_Vessels!$A$3:$C$500,MATCH(G354,[1]Gen_Vessels!$C$3:$C$500,0),1)),"")</f>
        <v/>
      </c>
      <c r="I354" s="2"/>
      <c r="J354" s="2"/>
      <c r="K354" s="2"/>
      <c r="L354" s="2"/>
      <c r="N354" s="2"/>
      <c r="O354" s="2"/>
      <c r="P354" s="2"/>
      <c r="Q354" s="2"/>
      <c r="R354" s="2"/>
      <c r="S354" s="2"/>
      <c r="T354" s="2"/>
      <c r="U354" s="2"/>
    </row>
    <row r="355" spans="1:21" x14ac:dyDescent="0.25">
      <c r="A355" s="1" t="str">
        <f t="shared" si="5"/>
        <v/>
      </c>
      <c r="B355" s="2"/>
      <c r="C355" s="2"/>
      <c r="D355" s="2"/>
      <c r="E355" s="2" t="str">
        <f>IFERROR(IF(ISBLANK(D355),"",INDEX([1]Gen_Vessels!$A$3:$C$500,MATCH(D355,[1]Gen_Vessels!$C$3:$C$500,0),1)),"")</f>
        <v/>
      </c>
      <c r="F355" s="2"/>
      <c r="G355" s="2"/>
      <c r="H355" s="2" t="str">
        <f>IFERROR(IF(ISBLANK(G355),"",INDEX([1]Gen_Vessels!$A$3:$C$500,MATCH(G355,[1]Gen_Vessels!$C$3:$C$500,0),1)),"")</f>
        <v/>
      </c>
      <c r="I355" s="2"/>
      <c r="J355" s="2"/>
      <c r="K355" s="2"/>
      <c r="L355" s="2"/>
      <c r="N355" s="2"/>
      <c r="O355" s="2"/>
      <c r="P355" s="2"/>
      <c r="Q355" s="2"/>
      <c r="R355" s="2"/>
      <c r="S355" s="2"/>
      <c r="T355" s="2"/>
      <c r="U355" s="2"/>
    </row>
    <row r="356" spans="1:21" x14ac:dyDescent="0.25">
      <c r="A356" s="1" t="str">
        <f t="shared" si="5"/>
        <v/>
      </c>
      <c r="B356" s="2"/>
      <c r="C356" s="2"/>
      <c r="D356" s="2"/>
      <c r="E356" s="2" t="str">
        <f>IFERROR(IF(ISBLANK(D356),"",INDEX([1]Gen_Vessels!$A$3:$C$500,MATCH(D356,[1]Gen_Vessels!$C$3:$C$500,0),1)),"")</f>
        <v/>
      </c>
      <c r="F356" s="2"/>
      <c r="G356" s="2"/>
      <c r="H356" s="2" t="str">
        <f>IFERROR(IF(ISBLANK(G356),"",INDEX([1]Gen_Vessels!$A$3:$C$500,MATCH(G356,[1]Gen_Vessels!$C$3:$C$500,0),1)),"")</f>
        <v/>
      </c>
      <c r="I356" s="2"/>
      <c r="J356" s="2"/>
      <c r="K356" s="2"/>
      <c r="L356" s="2"/>
      <c r="N356" s="2"/>
      <c r="O356" s="2"/>
      <c r="P356" s="2"/>
      <c r="Q356" s="2"/>
      <c r="R356" s="2"/>
      <c r="S356" s="2"/>
      <c r="T356" s="2"/>
      <c r="U356" s="2"/>
    </row>
    <row r="357" spans="1:21" x14ac:dyDescent="0.25">
      <c r="A357" s="1" t="str">
        <f t="shared" si="5"/>
        <v/>
      </c>
      <c r="B357" s="2"/>
      <c r="C357" s="2"/>
      <c r="D357" s="2"/>
      <c r="E357" s="2" t="str">
        <f>IFERROR(IF(ISBLANK(D357),"",INDEX([1]Gen_Vessels!$A$3:$C$500,MATCH(D357,[1]Gen_Vessels!$C$3:$C$500,0),1)),"")</f>
        <v/>
      </c>
      <c r="F357" s="2"/>
      <c r="G357" s="2"/>
      <c r="H357" s="2" t="str">
        <f>IFERROR(IF(ISBLANK(G357),"",INDEX([1]Gen_Vessels!$A$3:$C$500,MATCH(G357,[1]Gen_Vessels!$C$3:$C$500,0),1)),"")</f>
        <v/>
      </c>
      <c r="I357" s="2"/>
      <c r="J357" s="2"/>
      <c r="K357" s="2"/>
      <c r="L357" s="2"/>
      <c r="N357" s="2"/>
      <c r="O357" s="2"/>
      <c r="P357" s="2"/>
      <c r="Q357" s="2"/>
      <c r="R357" s="2"/>
      <c r="S357" s="2"/>
      <c r="T357" s="2"/>
      <c r="U357" s="2"/>
    </row>
    <row r="358" spans="1:21" x14ac:dyDescent="0.25">
      <c r="A358" s="1" t="str">
        <f t="shared" si="5"/>
        <v/>
      </c>
      <c r="B358" s="2"/>
      <c r="C358" s="2"/>
      <c r="D358" s="2"/>
      <c r="E358" s="2" t="str">
        <f>IFERROR(IF(ISBLANK(D358),"",INDEX([1]Gen_Vessels!$A$3:$C$500,MATCH(D358,[1]Gen_Vessels!$C$3:$C$500,0),1)),"")</f>
        <v/>
      </c>
      <c r="F358" s="2"/>
      <c r="G358" s="2"/>
      <c r="H358" s="2" t="str">
        <f>IFERROR(IF(ISBLANK(G358),"",INDEX([1]Gen_Vessels!$A$3:$C$500,MATCH(G358,[1]Gen_Vessels!$C$3:$C$500,0),1)),"")</f>
        <v/>
      </c>
      <c r="I358" s="2"/>
      <c r="J358" s="2"/>
      <c r="K358" s="2"/>
      <c r="L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25">
      <c r="A359" s="1" t="str">
        <f t="shared" si="5"/>
        <v/>
      </c>
      <c r="B359" s="2"/>
      <c r="C359" s="2"/>
      <c r="D359" s="2"/>
      <c r="E359" s="2" t="str">
        <f>IFERROR(IF(ISBLANK(D359),"",INDEX([1]Gen_Vessels!$A$3:$C$500,MATCH(D359,[1]Gen_Vessels!$C$3:$C$500,0),1)),"")</f>
        <v/>
      </c>
      <c r="F359" s="2"/>
      <c r="G359" s="2"/>
      <c r="H359" s="2" t="str">
        <f>IFERROR(IF(ISBLANK(G359),"",INDEX([1]Gen_Vessels!$A$3:$C$500,MATCH(G359,[1]Gen_Vessels!$C$3:$C$500,0),1)),"")</f>
        <v/>
      </c>
      <c r="I359" s="2"/>
      <c r="J359" s="2"/>
      <c r="K359" s="2"/>
      <c r="L359" s="2"/>
      <c r="N359" s="2"/>
      <c r="O359" s="2"/>
      <c r="P359" s="2"/>
      <c r="Q359" s="2"/>
      <c r="R359" s="2"/>
      <c r="S359" s="2"/>
      <c r="T359" s="2"/>
      <c r="U359" s="2"/>
    </row>
    <row r="360" spans="1:21" x14ac:dyDescent="0.25">
      <c r="A360" s="1" t="str">
        <f t="shared" si="5"/>
        <v/>
      </c>
      <c r="B360" s="2"/>
      <c r="C360" s="2"/>
      <c r="D360" s="2"/>
      <c r="E360" s="2" t="str">
        <f>IFERROR(IF(ISBLANK(D360),"",INDEX([1]Gen_Vessels!$A$3:$C$500,MATCH(D360,[1]Gen_Vessels!$C$3:$C$500,0),1)),"")</f>
        <v/>
      </c>
      <c r="F360" s="2"/>
      <c r="G360" s="2"/>
      <c r="H360" s="2" t="str">
        <f>IFERROR(IF(ISBLANK(G360),"",INDEX([1]Gen_Vessels!$A$3:$C$500,MATCH(G360,[1]Gen_Vessels!$C$3:$C$500,0),1)),"")</f>
        <v/>
      </c>
      <c r="I360" s="2"/>
      <c r="J360" s="2"/>
      <c r="K360" s="2"/>
      <c r="L360" s="2"/>
      <c r="N360" s="2"/>
      <c r="O360" s="2"/>
      <c r="P360" s="2"/>
      <c r="Q360" s="2"/>
      <c r="R360" s="2"/>
      <c r="S360" s="2"/>
      <c r="T360" s="2"/>
      <c r="U360" s="2"/>
    </row>
    <row r="361" spans="1:21" x14ac:dyDescent="0.25">
      <c r="A361" s="1" t="str">
        <f t="shared" si="5"/>
        <v/>
      </c>
      <c r="B361" s="2"/>
      <c r="C361" s="2"/>
      <c r="D361" s="2"/>
      <c r="E361" s="2" t="str">
        <f>IFERROR(IF(ISBLANK(D361),"",INDEX([1]Gen_Vessels!$A$3:$C$500,MATCH(D361,[1]Gen_Vessels!$C$3:$C$500,0),1)),"")</f>
        <v/>
      </c>
      <c r="F361" s="2"/>
      <c r="G361" s="2"/>
      <c r="H361" s="2" t="str">
        <f>IFERROR(IF(ISBLANK(G361),"",INDEX([1]Gen_Vessels!$A$3:$C$500,MATCH(G361,[1]Gen_Vessels!$C$3:$C$500,0),1)),"")</f>
        <v/>
      </c>
      <c r="I361" s="2"/>
      <c r="J361" s="2"/>
      <c r="K361" s="2"/>
      <c r="L361" s="2"/>
      <c r="N361" s="2"/>
      <c r="O361" s="2"/>
      <c r="P361" s="2"/>
      <c r="Q361" s="2"/>
      <c r="R361" s="2"/>
      <c r="S361" s="2"/>
      <c r="T361" s="2"/>
      <c r="U361" s="2"/>
    </row>
    <row r="362" spans="1:21" x14ac:dyDescent="0.25">
      <c r="A362" s="1" t="str">
        <f t="shared" si="5"/>
        <v/>
      </c>
      <c r="B362" s="2"/>
      <c r="C362" s="2"/>
      <c r="D362" s="2"/>
      <c r="E362" s="2" t="str">
        <f>IFERROR(IF(ISBLANK(D362),"",INDEX([1]Gen_Vessels!$A$3:$C$500,MATCH(D362,[1]Gen_Vessels!$C$3:$C$500,0),1)),"")</f>
        <v/>
      </c>
      <c r="F362" s="2"/>
      <c r="G362" s="2"/>
      <c r="H362" s="2" t="str">
        <f>IFERROR(IF(ISBLANK(G362),"",INDEX([1]Gen_Vessels!$A$3:$C$500,MATCH(G362,[1]Gen_Vessels!$C$3:$C$500,0),1)),"")</f>
        <v/>
      </c>
      <c r="I362" s="2"/>
      <c r="J362" s="2"/>
      <c r="K362" s="2"/>
      <c r="L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25">
      <c r="A363" s="1" t="str">
        <f t="shared" si="5"/>
        <v/>
      </c>
      <c r="B363" s="2"/>
      <c r="C363" s="2"/>
      <c r="D363" s="2"/>
      <c r="E363" s="2" t="str">
        <f>IFERROR(IF(ISBLANK(D363),"",INDEX([1]Gen_Vessels!$A$3:$C$500,MATCH(D363,[1]Gen_Vessels!$C$3:$C$500,0),1)),"")</f>
        <v/>
      </c>
      <c r="F363" s="2"/>
      <c r="G363" s="2"/>
      <c r="H363" s="2" t="str">
        <f>IFERROR(IF(ISBLANK(G363),"",INDEX([1]Gen_Vessels!$A$3:$C$500,MATCH(G363,[1]Gen_Vessels!$C$3:$C$500,0),1)),"")</f>
        <v/>
      </c>
      <c r="I363" s="2"/>
      <c r="J363" s="2"/>
      <c r="K363" s="2"/>
      <c r="L363" s="2"/>
      <c r="N363" s="2"/>
      <c r="O363" s="2"/>
      <c r="P363" s="2"/>
      <c r="Q363" s="2"/>
      <c r="R363" s="2"/>
      <c r="S363" s="2"/>
      <c r="T363" s="2"/>
      <c r="U363" s="2"/>
    </row>
    <row r="364" spans="1:21" x14ac:dyDescent="0.25">
      <c r="A364" s="1" t="str">
        <f t="shared" si="5"/>
        <v/>
      </c>
      <c r="B364" s="2"/>
      <c r="C364" s="2"/>
      <c r="D364" s="2"/>
      <c r="E364" s="2" t="str">
        <f>IFERROR(IF(ISBLANK(D364),"",INDEX([1]Gen_Vessels!$A$3:$C$500,MATCH(D364,[1]Gen_Vessels!$C$3:$C$500,0),1)),"")</f>
        <v/>
      </c>
      <c r="F364" s="2"/>
      <c r="G364" s="2"/>
      <c r="H364" s="2" t="str">
        <f>IFERROR(IF(ISBLANK(G364),"",INDEX([1]Gen_Vessels!$A$3:$C$500,MATCH(G364,[1]Gen_Vessels!$C$3:$C$500,0),1)),"")</f>
        <v/>
      </c>
      <c r="I364" s="2"/>
      <c r="J364" s="2"/>
      <c r="K364" s="2"/>
      <c r="L364" s="2"/>
      <c r="N364" s="2"/>
      <c r="O364" s="2"/>
      <c r="P364" s="2"/>
      <c r="Q364" s="2"/>
      <c r="R364" s="2"/>
      <c r="S364" s="2"/>
      <c r="T364" s="2"/>
      <c r="U364" s="2"/>
    </row>
    <row r="365" spans="1:21" x14ac:dyDescent="0.25">
      <c r="A365" s="1" t="str">
        <f t="shared" si="5"/>
        <v/>
      </c>
      <c r="B365" s="2"/>
      <c r="C365" s="2"/>
      <c r="D365" s="2"/>
      <c r="E365" s="2" t="str">
        <f>IFERROR(IF(ISBLANK(D365),"",INDEX([1]Gen_Vessels!$A$3:$C$500,MATCH(D365,[1]Gen_Vessels!$C$3:$C$500,0),1)),"")</f>
        <v/>
      </c>
      <c r="F365" s="2"/>
      <c r="G365" s="2"/>
      <c r="H365" s="2" t="str">
        <f>IFERROR(IF(ISBLANK(G365),"",INDEX([1]Gen_Vessels!$A$3:$C$500,MATCH(G365,[1]Gen_Vessels!$C$3:$C$500,0),1)),"")</f>
        <v/>
      </c>
      <c r="I365" s="2"/>
      <c r="J365" s="2"/>
      <c r="K365" s="2"/>
      <c r="L365" s="2"/>
      <c r="N365" s="2"/>
      <c r="O365" s="2"/>
      <c r="P365" s="2"/>
      <c r="Q365" s="2"/>
      <c r="R365" s="2"/>
      <c r="S365" s="2"/>
      <c r="T365" s="2"/>
      <c r="U365" s="2"/>
    </row>
    <row r="366" spans="1:21" x14ac:dyDescent="0.25">
      <c r="A366" s="1" t="str">
        <f t="shared" si="5"/>
        <v/>
      </c>
      <c r="B366" s="2"/>
      <c r="C366" s="2"/>
      <c r="D366" s="2"/>
      <c r="E366" s="2" t="str">
        <f>IFERROR(IF(ISBLANK(D366),"",INDEX([1]Gen_Vessels!$A$3:$C$500,MATCH(D366,[1]Gen_Vessels!$C$3:$C$500,0),1)),"")</f>
        <v/>
      </c>
      <c r="F366" s="2"/>
      <c r="G366" s="2"/>
      <c r="H366" s="2" t="str">
        <f>IFERROR(IF(ISBLANK(G366),"",INDEX([1]Gen_Vessels!$A$3:$C$500,MATCH(G366,[1]Gen_Vessels!$C$3:$C$500,0),1)),"")</f>
        <v/>
      </c>
      <c r="I366" s="2"/>
      <c r="J366" s="2"/>
      <c r="K366" s="2"/>
      <c r="L366" s="2"/>
      <c r="N366" s="2"/>
      <c r="O366" s="2"/>
      <c r="P366" s="2"/>
      <c r="Q366" s="2"/>
      <c r="R366" s="2"/>
      <c r="S366" s="2"/>
      <c r="T366" s="2"/>
      <c r="U366" s="2"/>
    </row>
    <row r="367" spans="1:21" x14ac:dyDescent="0.25">
      <c r="A367" s="1" t="str">
        <f t="shared" si="5"/>
        <v/>
      </c>
      <c r="B367" s="2"/>
      <c r="C367" s="2"/>
      <c r="D367" s="2"/>
      <c r="E367" s="2" t="str">
        <f>IFERROR(IF(ISBLANK(D367),"",INDEX([1]Gen_Vessels!$A$3:$C$500,MATCH(D367,[1]Gen_Vessels!$C$3:$C$500,0),1)),"")</f>
        <v/>
      </c>
      <c r="F367" s="2"/>
      <c r="G367" s="2"/>
      <c r="H367" s="2" t="str">
        <f>IFERROR(IF(ISBLANK(G367),"",INDEX([1]Gen_Vessels!$A$3:$C$500,MATCH(G367,[1]Gen_Vessels!$C$3:$C$500,0),1)),"")</f>
        <v/>
      </c>
      <c r="I367" s="2"/>
      <c r="J367" s="2"/>
      <c r="K367" s="2"/>
      <c r="L367" s="2"/>
      <c r="N367" s="2"/>
      <c r="O367" s="2"/>
      <c r="P367" s="2"/>
      <c r="Q367" s="2"/>
      <c r="R367" s="2"/>
      <c r="S367" s="2"/>
      <c r="T367" s="2"/>
      <c r="U367" s="2"/>
    </row>
    <row r="368" spans="1:21" x14ac:dyDescent="0.25">
      <c r="A368" s="1" t="str">
        <f t="shared" si="5"/>
        <v/>
      </c>
      <c r="B368" s="2"/>
      <c r="C368" s="2"/>
      <c r="D368" s="2"/>
      <c r="E368" s="2" t="str">
        <f>IFERROR(IF(ISBLANK(D368),"",INDEX([1]Gen_Vessels!$A$3:$C$500,MATCH(D368,[1]Gen_Vessels!$C$3:$C$500,0),1)),"")</f>
        <v/>
      </c>
      <c r="F368" s="2"/>
      <c r="G368" s="2"/>
      <c r="H368" s="2" t="str">
        <f>IFERROR(IF(ISBLANK(G368),"",INDEX([1]Gen_Vessels!$A$3:$C$500,MATCH(G368,[1]Gen_Vessels!$C$3:$C$500,0),1)),"")</f>
        <v/>
      </c>
      <c r="I368" s="2"/>
      <c r="J368" s="2"/>
      <c r="K368" s="2"/>
      <c r="L368" s="2"/>
      <c r="N368" s="2"/>
      <c r="O368" s="2"/>
      <c r="P368" s="2"/>
      <c r="Q368" s="2"/>
      <c r="R368" s="2"/>
      <c r="S368" s="2"/>
      <c r="T368" s="2"/>
      <c r="U368" s="2"/>
    </row>
    <row r="369" spans="1:21" x14ac:dyDescent="0.25">
      <c r="A369" s="1" t="str">
        <f t="shared" si="5"/>
        <v/>
      </c>
      <c r="B369" s="2"/>
      <c r="C369" s="2"/>
      <c r="D369" s="2"/>
      <c r="E369" s="2" t="str">
        <f>IFERROR(IF(ISBLANK(D369),"",INDEX([1]Gen_Vessels!$A$3:$C$500,MATCH(D369,[1]Gen_Vessels!$C$3:$C$500,0),1)),"")</f>
        <v/>
      </c>
      <c r="F369" s="2"/>
      <c r="G369" s="2"/>
      <c r="H369" s="2" t="str">
        <f>IFERROR(IF(ISBLANK(G369),"",INDEX([1]Gen_Vessels!$A$3:$C$500,MATCH(G369,[1]Gen_Vessels!$C$3:$C$500,0),1)),"")</f>
        <v/>
      </c>
      <c r="I369" s="2"/>
      <c r="J369" s="2"/>
      <c r="K369" s="2"/>
      <c r="L369" s="2"/>
      <c r="N369" s="2"/>
      <c r="O369" s="2"/>
      <c r="P369" s="2"/>
      <c r="Q369" s="2"/>
      <c r="R369" s="2"/>
      <c r="S369" s="2"/>
      <c r="T369" s="2"/>
      <c r="U369" s="2"/>
    </row>
    <row r="370" spans="1:21" x14ac:dyDescent="0.25">
      <c r="A370" s="1" t="str">
        <f t="shared" si="5"/>
        <v/>
      </c>
      <c r="B370" s="2"/>
      <c r="C370" s="2"/>
      <c r="D370" s="2"/>
      <c r="E370" s="2" t="str">
        <f>IFERROR(IF(ISBLANK(D370),"",INDEX([1]Gen_Vessels!$A$3:$C$500,MATCH(D370,[1]Gen_Vessels!$C$3:$C$500,0),1)),"")</f>
        <v/>
      </c>
      <c r="F370" s="2"/>
      <c r="G370" s="2"/>
      <c r="H370" s="2" t="str">
        <f>IFERROR(IF(ISBLANK(G370),"",INDEX([1]Gen_Vessels!$A$3:$C$500,MATCH(G370,[1]Gen_Vessels!$C$3:$C$500,0),1)),"")</f>
        <v/>
      </c>
      <c r="I370" s="2"/>
      <c r="J370" s="2"/>
      <c r="K370" s="2"/>
      <c r="L370" s="2"/>
      <c r="N370" s="2"/>
      <c r="O370" s="2"/>
      <c r="P370" s="2"/>
      <c r="Q370" s="2"/>
      <c r="R370" s="2"/>
      <c r="S370" s="2"/>
      <c r="T370" s="2"/>
      <c r="U370" s="2"/>
    </row>
    <row r="371" spans="1:21" x14ac:dyDescent="0.25">
      <c r="A371" s="1" t="str">
        <f t="shared" si="5"/>
        <v/>
      </c>
      <c r="B371" s="2"/>
      <c r="C371" s="2"/>
      <c r="D371" s="2"/>
      <c r="E371" s="2" t="str">
        <f>IFERROR(IF(ISBLANK(D371),"",INDEX([1]Gen_Vessels!$A$3:$C$500,MATCH(D371,[1]Gen_Vessels!$C$3:$C$500,0),1)),"")</f>
        <v/>
      </c>
      <c r="F371" s="2"/>
      <c r="G371" s="2"/>
      <c r="H371" s="2" t="str">
        <f>IFERROR(IF(ISBLANK(G371),"",INDEX([1]Gen_Vessels!$A$3:$C$500,MATCH(G371,[1]Gen_Vessels!$C$3:$C$500,0),1)),"")</f>
        <v/>
      </c>
      <c r="I371" s="2"/>
      <c r="J371" s="2"/>
      <c r="K371" s="2"/>
      <c r="L371" s="2"/>
      <c r="N371" s="2"/>
      <c r="O371" s="2"/>
      <c r="P371" s="2"/>
      <c r="Q371" s="2"/>
      <c r="R371" s="2"/>
      <c r="S371" s="2"/>
      <c r="T371" s="2"/>
      <c r="U371" s="2"/>
    </row>
    <row r="372" spans="1:21" x14ac:dyDescent="0.25">
      <c r="A372" s="1" t="str">
        <f t="shared" si="5"/>
        <v/>
      </c>
      <c r="B372" s="2"/>
      <c r="C372" s="2"/>
      <c r="D372" s="2"/>
      <c r="E372" s="2" t="str">
        <f>IFERROR(IF(ISBLANK(D372),"",INDEX([1]Gen_Vessels!$A$3:$C$500,MATCH(D372,[1]Gen_Vessels!$C$3:$C$500,0),1)),"")</f>
        <v/>
      </c>
      <c r="F372" s="2"/>
      <c r="G372" s="2"/>
      <c r="H372" s="2" t="str">
        <f>IFERROR(IF(ISBLANK(G372),"",INDEX([1]Gen_Vessels!$A$3:$C$500,MATCH(G372,[1]Gen_Vessels!$C$3:$C$500,0),1)),"")</f>
        <v/>
      </c>
      <c r="I372" s="2"/>
      <c r="J372" s="2"/>
      <c r="K372" s="2"/>
      <c r="L372" s="2"/>
      <c r="N372" s="2"/>
      <c r="O372" s="2"/>
      <c r="P372" s="2"/>
      <c r="Q372" s="2"/>
      <c r="R372" s="2"/>
      <c r="S372" s="2"/>
      <c r="T372" s="2"/>
      <c r="U372" s="2"/>
    </row>
    <row r="373" spans="1:21" x14ac:dyDescent="0.25">
      <c r="A373" s="1" t="str">
        <f t="shared" si="5"/>
        <v/>
      </c>
      <c r="B373" s="2"/>
      <c r="C373" s="2"/>
      <c r="D373" s="2"/>
      <c r="E373" s="2" t="str">
        <f>IFERROR(IF(ISBLANK(D373),"",INDEX([1]Gen_Vessels!$A$3:$C$500,MATCH(D373,[1]Gen_Vessels!$C$3:$C$500,0),1)),"")</f>
        <v/>
      </c>
      <c r="F373" s="2"/>
      <c r="G373" s="2"/>
      <c r="H373" s="2" t="str">
        <f>IFERROR(IF(ISBLANK(G373),"",INDEX([1]Gen_Vessels!$A$3:$C$500,MATCH(G373,[1]Gen_Vessels!$C$3:$C$500,0),1)),"")</f>
        <v/>
      </c>
      <c r="I373" s="2"/>
      <c r="J373" s="2"/>
      <c r="K373" s="2"/>
      <c r="L373" s="2"/>
      <c r="N373" s="2"/>
      <c r="O373" s="2"/>
      <c r="P373" s="2"/>
      <c r="Q373" s="2"/>
      <c r="R373" s="2"/>
      <c r="S373" s="2"/>
      <c r="T373" s="2"/>
      <c r="U373" s="2"/>
    </row>
    <row r="374" spans="1:21" x14ac:dyDescent="0.25">
      <c r="A374" s="1" t="str">
        <f t="shared" si="5"/>
        <v/>
      </c>
      <c r="B374" s="2"/>
      <c r="C374" s="2"/>
      <c r="D374" s="2"/>
      <c r="E374" s="2" t="str">
        <f>IFERROR(IF(ISBLANK(D374),"",INDEX([1]Gen_Vessels!$A$3:$C$500,MATCH(D374,[1]Gen_Vessels!$C$3:$C$500,0),1)),"")</f>
        <v/>
      </c>
      <c r="F374" s="2"/>
      <c r="G374" s="2"/>
      <c r="H374" s="2" t="str">
        <f>IFERROR(IF(ISBLANK(G374),"",INDEX([1]Gen_Vessels!$A$3:$C$500,MATCH(G374,[1]Gen_Vessels!$C$3:$C$500,0),1)),"")</f>
        <v/>
      </c>
      <c r="I374" s="2"/>
      <c r="J374" s="2"/>
      <c r="K374" s="2"/>
      <c r="L374" s="2"/>
      <c r="N374" s="2"/>
      <c r="O374" s="2"/>
      <c r="P374" s="2"/>
      <c r="Q374" s="2"/>
      <c r="R374" s="2"/>
      <c r="S374" s="2"/>
      <c r="T374" s="2"/>
      <c r="U374" s="2"/>
    </row>
    <row r="375" spans="1:21" x14ac:dyDescent="0.25">
      <c r="A375" s="1" t="str">
        <f t="shared" si="5"/>
        <v/>
      </c>
      <c r="B375" s="2"/>
      <c r="C375" s="2"/>
      <c r="D375" s="2"/>
      <c r="E375" s="2" t="str">
        <f>IFERROR(IF(ISBLANK(D375),"",INDEX([1]Gen_Vessels!$A$3:$C$500,MATCH(D375,[1]Gen_Vessels!$C$3:$C$500,0),1)),"")</f>
        <v/>
      </c>
      <c r="F375" s="2"/>
      <c r="G375" s="2"/>
      <c r="H375" s="2" t="str">
        <f>IFERROR(IF(ISBLANK(G375),"",INDEX([1]Gen_Vessels!$A$3:$C$500,MATCH(G375,[1]Gen_Vessels!$C$3:$C$500,0),1)),"")</f>
        <v/>
      </c>
      <c r="I375" s="2"/>
      <c r="J375" s="2"/>
      <c r="K375" s="2"/>
      <c r="L375" s="2"/>
      <c r="N375" s="2"/>
      <c r="O375" s="2"/>
      <c r="P375" s="2"/>
      <c r="Q375" s="2"/>
      <c r="R375" s="2"/>
      <c r="S375" s="2"/>
      <c r="T375" s="2"/>
      <c r="U375" s="2"/>
    </row>
    <row r="376" spans="1:21" x14ac:dyDescent="0.25">
      <c r="A376" s="1" t="str">
        <f t="shared" si="5"/>
        <v/>
      </c>
      <c r="B376" s="2"/>
      <c r="C376" s="2"/>
      <c r="D376" s="2"/>
      <c r="E376" s="2" t="str">
        <f>IFERROR(IF(ISBLANK(D376),"",INDEX([1]Gen_Vessels!$A$3:$C$500,MATCH(D376,[1]Gen_Vessels!$C$3:$C$500,0),1)),"")</f>
        <v/>
      </c>
      <c r="F376" s="2"/>
      <c r="G376" s="2"/>
      <c r="H376" s="2" t="str">
        <f>IFERROR(IF(ISBLANK(G376),"",INDEX([1]Gen_Vessels!$A$3:$C$500,MATCH(G376,[1]Gen_Vessels!$C$3:$C$500,0),1)),"")</f>
        <v/>
      </c>
      <c r="I376" s="2"/>
      <c r="J376" s="2"/>
      <c r="K376" s="2"/>
      <c r="L376" s="2"/>
      <c r="N376" s="2"/>
      <c r="O376" s="2"/>
      <c r="P376" s="2"/>
      <c r="Q376" s="2"/>
      <c r="R376" s="2"/>
      <c r="S376" s="2"/>
      <c r="T376" s="2"/>
      <c r="U376" s="2"/>
    </row>
    <row r="377" spans="1:21" x14ac:dyDescent="0.25">
      <c r="A377" s="1" t="str">
        <f t="shared" si="5"/>
        <v/>
      </c>
      <c r="B377" s="2"/>
      <c r="C377" s="2"/>
      <c r="D377" s="2"/>
      <c r="E377" s="2" t="str">
        <f>IFERROR(IF(ISBLANK(D377),"",INDEX([1]Gen_Vessels!$A$3:$C$500,MATCH(D377,[1]Gen_Vessels!$C$3:$C$500,0),1)),"")</f>
        <v/>
      </c>
      <c r="F377" s="2"/>
      <c r="G377" s="2"/>
      <c r="H377" s="2" t="str">
        <f>IFERROR(IF(ISBLANK(G377),"",INDEX([1]Gen_Vessels!$A$3:$C$500,MATCH(G377,[1]Gen_Vessels!$C$3:$C$500,0),1)),"")</f>
        <v/>
      </c>
      <c r="I377" s="2"/>
      <c r="J377" s="2"/>
      <c r="K377" s="2"/>
      <c r="L377" s="2"/>
      <c r="N377" s="2"/>
      <c r="O377" s="2"/>
      <c r="P377" s="2"/>
      <c r="Q377" s="2"/>
      <c r="R377" s="2"/>
      <c r="S377" s="2"/>
      <c r="T377" s="2"/>
      <c r="U377" s="2"/>
    </row>
    <row r="378" spans="1:21" x14ac:dyDescent="0.25">
      <c r="A378" s="1" t="str">
        <f t="shared" si="5"/>
        <v/>
      </c>
      <c r="B378" s="2"/>
      <c r="C378" s="2"/>
      <c r="D378" s="2"/>
      <c r="E378" s="2" t="str">
        <f>IFERROR(IF(ISBLANK(D378),"",INDEX([1]Gen_Vessels!$A$3:$C$500,MATCH(D378,[1]Gen_Vessels!$C$3:$C$500,0),1)),"")</f>
        <v/>
      </c>
      <c r="F378" s="2"/>
      <c r="G378" s="2"/>
      <c r="H378" s="2" t="str">
        <f>IFERROR(IF(ISBLANK(G378),"",INDEX([1]Gen_Vessels!$A$3:$C$500,MATCH(G378,[1]Gen_Vessels!$C$3:$C$500,0),1)),"")</f>
        <v/>
      </c>
      <c r="I378" s="2"/>
      <c r="J378" s="2"/>
      <c r="K378" s="2"/>
      <c r="L378" s="2"/>
      <c r="N378" s="2"/>
      <c r="O378" s="2"/>
      <c r="P378" s="2"/>
      <c r="Q378" s="2"/>
      <c r="R378" s="2"/>
      <c r="S378" s="2"/>
      <c r="T378" s="2"/>
      <c r="U378" s="2"/>
    </row>
    <row r="379" spans="1:21" x14ac:dyDescent="0.25">
      <c r="A379" s="1" t="str">
        <f t="shared" si="5"/>
        <v/>
      </c>
      <c r="B379" s="2"/>
      <c r="C379" s="2"/>
      <c r="D379" s="2"/>
      <c r="E379" s="2" t="str">
        <f>IFERROR(IF(ISBLANK(D379),"",INDEX([1]Gen_Vessels!$A$3:$C$500,MATCH(D379,[1]Gen_Vessels!$C$3:$C$500,0),1)),"")</f>
        <v/>
      </c>
      <c r="F379" s="2"/>
      <c r="G379" s="2"/>
      <c r="H379" s="2" t="str">
        <f>IFERROR(IF(ISBLANK(G379),"",INDEX([1]Gen_Vessels!$A$3:$C$500,MATCH(G379,[1]Gen_Vessels!$C$3:$C$500,0),1)),"")</f>
        <v/>
      </c>
      <c r="I379" s="2"/>
      <c r="J379" s="2"/>
      <c r="K379" s="2"/>
      <c r="L379" s="2"/>
      <c r="N379" s="2"/>
      <c r="O379" s="2"/>
      <c r="P379" s="2"/>
      <c r="Q379" s="2"/>
      <c r="R379" s="2"/>
      <c r="S379" s="2"/>
      <c r="T379" s="2"/>
      <c r="U379" s="2"/>
    </row>
    <row r="380" spans="1:21" x14ac:dyDescent="0.25">
      <c r="A380" s="1" t="str">
        <f t="shared" si="5"/>
        <v/>
      </c>
      <c r="B380" s="2"/>
      <c r="C380" s="2"/>
      <c r="D380" s="2"/>
      <c r="E380" s="2" t="str">
        <f>IFERROR(IF(ISBLANK(D380),"",INDEX([1]Gen_Vessels!$A$3:$C$500,MATCH(D380,[1]Gen_Vessels!$C$3:$C$500,0),1)),"")</f>
        <v/>
      </c>
      <c r="F380" s="2"/>
      <c r="G380" s="2"/>
      <c r="H380" s="2" t="str">
        <f>IFERROR(IF(ISBLANK(G380),"",INDEX([1]Gen_Vessels!$A$3:$C$500,MATCH(G380,[1]Gen_Vessels!$C$3:$C$500,0),1)),"")</f>
        <v/>
      </c>
      <c r="I380" s="2"/>
      <c r="J380" s="2"/>
      <c r="K380" s="2"/>
      <c r="L380" s="2"/>
      <c r="N380" s="2"/>
      <c r="O380" s="2"/>
      <c r="P380" s="2"/>
      <c r="Q380" s="2"/>
      <c r="R380" s="2"/>
      <c r="S380" s="2"/>
      <c r="T380" s="2"/>
      <c r="U380" s="2"/>
    </row>
    <row r="381" spans="1:21" x14ac:dyDescent="0.25">
      <c r="A381" s="1" t="str">
        <f t="shared" si="5"/>
        <v/>
      </c>
      <c r="B381" s="2"/>
      <c r="C381" s="2"/>
      <c r="D381" s="2"/>
      <c r="E381" s="2" t="str">
        <f>IFERROR(IF(ISBLANK(D381),"",INDEX([1]Gen_Vessels!$A$3:$C$500,MATCH(D381,[1]Gen_Vessels!$C$3:$C$500,0),1)),"")</f>
        <v/>
      </c>
      <c r="F381" s="2"/>
      <c r="G381" s="2"/>
      <c r="H381" s="2" t="str">
        <f>IFERROR(IF(ISBLANK(G381),"",INDEX([1]Gen_Vessels!$A$3:$C$500,MATCH(G381,[1]Gen_Vessels!$C$3:$C$500,0),1)),"")</f>
        <v/>
      </c>
      <c r="I381" s="2"/>
      <c r="J381" s="2"/>
      <c r="K381" s="2"/>
      <c r="L381" s="2"/>
      <c r="N381" s="2"/>
      <c r="O381" s="2"/>
      <c r="P381" s="2"/>
      <c r="Q381" s="2"/>
      <c r="R381" s="2"/>
      <c r="S381" s="2"/>
      <c r="T381" s="2"/>
      <c r="U381" s="2"/>
    </row>
    <row r="382" spans="1:21" x14ac:dyDescent="0.25">
      <c r="A382" s="1" t="str">
        <f t="shared" si="5"/>
        <v/>
      </c>
      <c r="B382" s="2"/>
      <c r="C382" s="2"/>
      <c r="D382" s="2"/>
      <c r="E382" s="2" t="str">
        <f>IFERROR(IF(ISBLANK(D382),"",INDEX([1]Gen_Vessels!$A$3:$C$500,MATCH(D382,[1]Gen_Vessels!$C$3:$C$500,0),1)),"")</f>
        <v/>
      </c>
      <c r="F382" s="2"/>
      <c r="G382" s="2"/>
      <c r="H382" s="2" t="str">
        <f>IFERROR(IF(ISBLANK(G382),"",INDEX([1]Gen_Vessels!$A$3:$C$500,MATCH(G382,[1]Gen_Vessels!$C$3:$C$500,0),1)),"")</f>
        <v/>
      </c>
      <c r="I382" s="2"/>
      <c r="J382" s="2"/>
      <c r="K382" s="2"/>
      <c r="L382" s="2"/>
      <c r="N382" s="2"/>
      <c r="O382" s="2"/>
      <c r="P382" s="2"/>
      <c r="Q382" s="2"/>
      <c r="R382" s="2"/>
      <c r="S382" s="2"/>
      <c r="T382" s="2"/>
      <c r="U382" s="2"/>
    </row>
    <row r="383" spans="1:21" x14ac:dyDescent="0.25">
      <c r="A383" s="1" t="str">
        <f t="shared" si="5"/>
        <v/>
      </c>
      <c r="B383" s="2"/>
      <c r="C383" s="2"/>
      <c r="D383" s="2"/>
      <c r="E383" s="2" t="str">
        <f>IFERROR(IF(ISBLANK(D383),"",INDEX([1]Gen_Vessels!$A$3:$C$500,MATCH(D383,[1]Gen_Vessels!$C$3:$C$500,0),1)),"")</f>
        <v/>
      </c>
      <c r="F383" s="2"/>
      <c r="G383" s="2"/>
      <c r="H383" s="2" t="str">
        <f>IFERROR(IF(ISBLANK(G383),"",INDEX([1]Gen_Vessels!$A$3:$C$500,MATCH(G383,[1]Gen_Vessels!$C$3:$C$500,0),1)),"")</f>
        <v/>
      </c>
      <c r="I383" s="2"/>
      <c r="J383" s="2"/>
      <c r="K383" s="2"/>
      <c r="L383" s="2"/>
      <c r="N383" s="2"/>
      <c r="O383" s="2"/>
      <c r="P383" s="2"/>
      <c r="Q383" s="2"/>
      <c r="R383" s="2"/>
      <c r="S383" s="2"/>
      <c r="T383" s="2"/>
      <c r="U383" s="2"/>
    </row>
    <row r="384" spans="1:21" x14ac:dyDescent="0.25">
      <c r="A384" s="1" t="str">
        <f t="shared" si="5"/>
        <v/>
      </c>
      <c r="B384" s="2"/>
      <c r="C384" s="2"/>
      <c r="D384" s="2"/>
      <c r="E384" s="2" t="str">
        <f>IFERROR(IF(ISBLANK(D384),"",INDEX([1]Gen_Vessels!$A$3:$C$500,MATCH(D384,[1]Gen_Vessels!$C$3:$C$500,0),1)),"")</f>
        <v/>
      </c>
      <c r="F384" s="2"/>
      <c r="G384" s="2"/>
      <c r="H384" s="2" t="str">
        <f>IFERROR(IF(ISBLANK(G384),"",INDEX([1]Gen_Vessels!$A$3:$C$500,MATCH(G384,[1]Gen_Vessels!$C$3:$C$500,0),1)),"")</f>
        <v/>
      </c>
      <c r="I384" s="2"/>
      <c r="J384" s="2"/>
      <c r="K384" s="2"/>
      <c r="L384" s="2"/>
      <c r="N384" s="2"/>
      <c r="O384" s="2"/>
      <c r="P384" s="2"/>
      <c r="Q384" s="2"/>
      <c r="R384" s="2"/>
      <c r="S384" s="2"/>
      <c r="T384" s="2"/>
      <c r="U384" s="2"/>
    </row>
    <row r="385" spans="1:21" x14ac:dyDescent="0.25">
      <c r="A385" s="1" t="str">
        <f t="shared" si="5"/>
        <v/>
      </c>
      <c r="B385" s="2"/>
      <c r="C385" s="2"/>
      <c r="D385" s="2"/>
      <c r="E385" s="2" t="str">
        <f>IFERROR(IF(ISBLANK(D385),"",INDEX([1]Gen_Vessels!$A$3:$C$500,MATCH(D385,[1]Gen_Vessels!$C$3:$C$500,0),1)),"")</f>
        <v/>
      </c>
      <c r="F385" s="2"/>
      <c r="G385" s="2"/>
      <c r="H385" s="2" t="str">
        <f>IFERROR(IF(ISBLANK(G385),"",INDEX([1]Gen_Vessels!$A$3:$C$500,MATCH(G385,[1]Gen_Vessels!$C$3:$C$500,0),1)),"")</f>
        <v/>
      </c>
      <c r="I385" s="2"/>
      <c r="J385" s="2"/>
      <c r="K385" s="2"/>
      <c r="L385" s="2"/>
      <c r="N385" s="2"/>
      <c r="O385" s="2"/>
      <c r="P385" s="2"/>
      <c r="Q385" s="2"/>
      <c r="R385" s="2"/>
      <c r="S385" s="2"/>
      <c r="T385" s="2"/>
      <c r="U385" s="2"/>
    </row>
    <row r="386" spans="1:21" x14ac:dyDescent="0.25">
      <c r="A386" s="1" t="str">
        <f t="shared" si="5"/>
        <v/>
      </c>
      <c r="B386" s="2"/>
      <c r="C386" s="2"/>
      <c r="D386" s="2"/>
      <c r="E386" s="2" t="str">
        <f>IFERROR(IF(ISBLANK(D386),"",INDEX([1]Gen_Vessels!$A$3:$C$500,MATCH(D386,[1]Gen_Vessels!$C$3:$C$500,0),1)),"")</f>
        <v/>
      </c>
      <c r="F386" s="2"/>
      <c r="G386" s="2"/>
      <c r="H386" s="2" t="str">
        <f>IFERROR(IF(ISBLANK(G386),"",INDEX([1]Gen_Vessels!$A$3:$C$500,MATCH(G386,[1]Gen_Vessels!$C$3:$C$500,0),1)),"")</f>
        <v/>
      </c>
      <c r="I386" s="2"/>
      <c r="J386" s="2"/>
      <c r="K386" s="2"/>
      <c r="L386" s="2"/>
      <c r="N386" s="2"/>
      <c r="O386" s="2"/>
      <c r="P386" s="2"/>
      <c r="Q386" s="2"/>
      <c r="R386" s="2"/>
      <c r="S386" s="2"/>
      <c r="T386" s="2"/>
      <c r="U386" s="2"/>
    </row>
    <row r="387" spans="1:21" x14ac:dyDescent="0.25">
      <c r="A387" s="1" t="str">
        <f t="shared" si="5"/>
        <v/>
      </c>
      <c r="B387" s="2"/>
      <c r="C387" s="2"/>
      <c r="D387" s="2"/>
      <c r="E387" s="2" t="str">
        <f>IFERROR(IF(ISBLANK(D387),"",INDEX([1]Gen_Vessels!$A$3:$C$500,MATCH(D387,[1]Gen_Vessels!$C$3:$C$500,0),1)),"")</f>
        <v/>
      </c>
      <c r="F387" s="2"/>
      <c r="G387" s="2"/>
      <c r="H387" s="2" t="str">
        <f>IFERROR(IF(ISBLANK(G387),"",INDEX([1]Gen_Vessels!$A$3:$C$500,MATCH(G387,[1]Gen_Vessels!$C$3:$C$500,0),1)),"")</f>
        <v/>
      </c>
      <c r="I387" s="2"/>
      <c r="J387" s="2"/>
      <c r="K387" s="2"/>
      <c r="L387" s="2"/>
      <c r="N387" s="2"/>
      <c r="O387" s="2"/>
      <c r="P387" s="2"/>
      <c r="Q387" s="2"/>
      <c r="R387" s="2"/>
      <c r="S387" s="2"/>
      <c r="T387" s="2"/>
      <c r="U387" s="2"/>
    </row>
    <row r="388" spans="1:21" x14ac:dyDescent="0.25">
      <c r="A388" s="1" t="str">
        <f t="shared" ref="A388:A451" si="6">IF(ISBLANK($B388)=FALSE,_xlfn.CONCAT($B388,"_tow"),"")</f>
        <v/>
      </c>
      <c r="B388" s="2"/>
      <c r="C388" s="2"/>
      <c r="D388" s="2"/>
      <c r="E388" s="2" t="str">
        <f>IFERROR(IF(ISBLANK(D388),"",INDEX([1]Gen_Vessels!$A$3:$C$500,MATCH(D388,[1]Gen_Vessels!$C$3:$C$500,0),1)),"")</f>
        <v/>
      </c>
      <c r="F388" s="2"/>
      <c r="G388" s="2"/>
      <c r="H388" s="2" t="str">
        <f>IFERROR(IF(ISBLANK(G388),"",INDEX([1]Gen_Vessels!$A$3:$C$500,MATCH(G388,[1]Gen_Vessels!$C$3:$C$500,0),1)),"")</f>
        <v/>
      </c>
      <c r="I388" s="2"/>
      <c r="J388" s="2"/>
      <c r="K388" s="2"/>
      <c r="L388" s="2"/>
      <c r="N388" s="2"/>
      <c r="O388" s="2"/>
      <c r="P388" s="2"/>
      <c r="Q388" s="2"/>
      <c r="R388" s="2"/>
      <c r="S388" s="2"/>
      <c r="T388" s="2"/>
      <c r="U388" s="2"/>
    </row>
    <row r="389" spans="1:21" x14ac:dyDescent="0.25">
      <c r="A389" s="1" t="str">
        <f t="shared" si="6"/>
        <v/>
      </c>
      <c r="B389" s="2"/>
      <c r="C389" s="2"/>
      <c r="D389" s="2"/>
      <c r="E389" s="2" t="str">
        <f>IFERROR(IF(ISBLANK(D389),"",INDEX([1]Gen_Vessels!$A$3:$C$500,MATCH(D389,[1]Gen_Vessels!$C$3:$C$500,0),1)),"")</f>
        <v/>
      </c>
      <c r="F389" s="2"/>
      <c r="G389" s="2"/>
      <c r="H389" s="2" t="str">
        <f>IFERROR(IF(ISBLANK(G389),"",INDEX([1]Gen_Vessels!$A$3:$C$500,MATCH(G389,[1]Gen_Vessels!$C$3:$C$500,0),1)),"")</f>
        <v/>
      </c>
      <c r="I389" s="2"/>
      <c r="J389" s="2"/>
      <c r="K389" s="2"/>
      <c r="L389" s="2"/>
      <c r="N389" s="2"/>
      <c r="O389" s="2"/>
      <c r="P389" s="2"/>
      <c r="Q389" s="2"/>
      <c r="R389" s="2"/>
      <c r="S389" s="2"/>
      <c r="T389" s="2"/>
      <c r="U389" s="2"/>
    </row>
    <row r="390" spans="1:21" x14ac:dyDescent="0.25">
      <c r="A390" s="1" t="str">
        <f t="shared" si="6"/>
        <v/>
      </c>
      <c r="B390" s="2"/>
      <c r="C390" s="2"/>
      <c r="D390" s="2"/>
      <c r="E390" s="2" t="str">
        <f>IFERROR(IF(ISBLANK(D390),"",INDEX([1]Gen_Vessels!$A$3:$C$500,MATCH(D390,[1]Gen_Vessels!$C$3:$C$500,0),1)),"")</f>
        <v/>
      </c>
      <c r="F390" s="2"/>
      <c r="G390" s="2"/>
      <c r="H390" s="2" t="str">
        <f>IFERROR(IF(ISBLANK(G390),"",INDEX([1]Gen_Vessels!$A$3:$C$500,MATCH(G390,[1]Gen_Vessels!$C$3:$C$500,0),1)),"")</f>
        <v/>
      </c>
      <c r="I390" s="2"/>
      <c r="J390" s="2"/>
      <c r="K390" s="2"/>
      <c r="L390" s="2"/>
      <c r="N390" s="2"/>
      <c r="O390" s="2"/>
      <c r="P390" s="2"/>
      <c r="Q390" s="2"/>
      <c r="R390" s="2"/>
      <c r="S390" s="2"/>
      <c r="T390" s="2"/>
      <c r="U390" s="2"/>
    </row>
    <row r="391" spans="1:21" x14ac:dyDescent="0.25">
      <c r="A391" s="1" t="str">
        <f t="shared" si="6"/>
        <v/>
      </c>
      <c r="B391" s="2"/>
      <c r="C391" s="2"/>
      <c r="D391" s="2"/>
      <c r="E391" s="2" t="str">
        <f>IFERROR(IF(ISBLANK(D391),"",INDEX([1]Gen_Vessels!$A$3:$C$500,MATCH(D391,[1]Gen_Vessels!$C$3:$C$500,0),1)),"")</f>
        <v/>
      </c>
      <c r="F391" s="2"/>
      <c r="G391" s="2"/>
      <c r="H391" s="2" t="str">
        <f>IFERROR(IF(ISBLANK(G391),"",INDEX([1]Gen_Vessels!$A$3:$C$500,MATCH(G391,[1]Gen_Vessels!$C$3:$C$500,0),1)),"")</f>
        <v/>
      </c>
      <c r="I391" s="2"/>
      <c r="J391" s="2"/>
      <c r="K391" s="2"/>
      <c r="L391" s="2"/>
      <c r="N391" s="2"/>
      <c r="O391" s="2"/>
      <c r="P391" s="2"/>
      <c r="Q391" s="2"/>
      <c r="R391" s="2"/>
      <c r="S391" s="2"/>
      <c r="T391" s="2"/>
      <c r="U391" s="2"/>
    </row>
    <row r="392" spans="1:21" x14ac:dyDescent="0.25">
      <c r="A392" s="1" t="str">
        <f t="shared" si="6"/>
        <v/>
      </c>
      <c r="B392" s="2"/>
      <c r="C392" s="2"/>
      <c r="D392" s="2"/>
      <c r="E392" s="2" t="str">
        <f>IFERROR(IF(ISBLANK(D392),"",INDEX([1]Gen_Vessels!$A$3:$C$500,MATCH(D392,[1]Gen_Vessels!$C$3:$C$500,0),1)),"")</f>
        <v/>
      </c>
      <c r="F392" s="2"/>
      <c r="G392" s="2"/>
      <c r="H392" s="2" t="str">
        <f>IFERROR(IF(ISBLANK(G392),"",INDEX([1]Gen_Vessels!$A$3:$C$500,MATCH(G392,[1]Gen_Vessels!$C$3:$C$500,0),1)),"")</f>
        <v/>
      </c>
      <c r="I392" s="2"/>
      <c r="J392" s="2"/>
      <c r="K392" s="2"/>
      <c r="L392" s="2"/>
      <c r="N392" s="2"/>
      <c r="O392" s="2"/>
      <c r="P392" s="2"/>
      <c r="Q392" s="2"/>
      <c r="R392" s="2"/>
      <c r="S392" s="2"/>
      <c r="T392" s="2"/>
      <c r="U392" s="2"/>
    </row>
    <row r="393" spans="1:21" x14ac:dyDescent="0.25">
      <c r="A393" s="1" t="str">
        <f t="shared" si="6"/>
        <v/>
      </c>
      <c r="B393" s="2"/>
      <c r="C393" s="2"/>
      <c r="D393" s="2"/>
      <c r="E393" s="2" t="str">
        <f>IFERROR(IF(ISBLANK(D393),"",INDEX([1]Gen_Vessels!$A$3:$C$500,MATCH(D393,[1]Gen_Vessels!$C$3:$C$500,0),1)),"")</f>
        <v/>
      </c>
      <c r="F393" s="2"/>
      <c r="G393" s="2"/>
      <c r="H393" s="2" t="str">
        <f>IFERROR(IF(ISBLANK(G393),"",INDEX([1]Gen_Vessels!$A$3:$C$500,MATCH(G393,[1]Gen_Vessels!$C$3:$C$500,0),1)),"")</f>
        <v/>
      </c>
      <c r="I393" s="2"/>
      <c r="J393" s="2"/>
      <c r="K393" s="2"/>
      <c r="L393" s="2"/>
      <c r="N393" s="2"/>
      <c r="O393" s="2"/>
      <c r="P393" s="2"/>
      <c r="Q393" s="2"/>
      <c r="R393" s="2"/>
      <c r="S393" s="2"/>
      <c r="T393" s="2"/>
      <c r="U393" s="2"/>
    </row>
    <row r="394" spans="1:21" x14ac:dyDescent="0.25">
      <c r="A394" s="1" t="str">
        <f t="shared" si="6"/>
        <v/>
      </c>
      <c r="B394" s="2"/>
      <c r="C394" s="2"/>
      <c r="D394" s="2"/>
      <c r="E394" s="2" t="str">
        <f>IFERROR(IF(ISBLANK(D394),"",INDEX([1]Gen_Vessels!$A$3:$C$500,MATCH(D394,[1]Gen_Vessels!$C$3:$C$500,0),1)),"")</f>
        <v/>
      </c>
      <c r="F394" s="2"/>
      <c r="G394" s="2"/>
      <c r="H394" s="2" t="str">
        <f>IFERROR(IF(ISBLANK(G394),"",INDEX([1]Gen_Vessels!$A$3:$C$500,MATCH(G394,[1]Gen_Vessels!$C$3:$C$500,0),1)),"")</f>
        <v/>
      </c>
      <c r="I394" s="2"/>
      <c r="J394" s="2"/>
      <c r="K394" s="2"/>
      <c r="L394" s="2"/>
      <c r="N394" s="2"/>
      <c r="O394" s="2"/>
      <c r="P394" s="2"/>
      <c r="Q394" s="2"/>
      <c r="R394" s="2"/>
      <c r="S394" s="2"/>
      <c r="T394" s="2"/>
      <c r="U394" s="2"/>
    </row>
    <row r="395" spans="1:21" x14ac:dyDescent="0.25">
      <c r="A395" s="1" t="str">
        <f t="shared" si="6"/>
        <v/>
      </c>
      <c r="B395" s="2"/>
      <c r="C395" s="2"/>
      <c r="D395" s="2"/>
      <c r="E395" s="2" t="str">
        <f>IFERROR(IF(ISBLANK(D395),"",INDEX([1]Gen_Vessels!$A$3:$C$500,MATCH(D395,[1]Gen_Vessels!$C$3:$C$500,0),1)),"")</f>
        <v/>
      </c>
      <c r="F395" s="2"/>
      <c r="G395" s="2"/>
      <c r="H395" s="2" t="str">
        <f>IFERROR(IF(ISBLANK(G395),"",INDEX([1]Gen_Vessels!$A$3:$C$500,MATCH(G395,[1]Gen_Vessels!$C$3:$C$500,0),1)),"")</f>
        <v/>
      </c>
      <c r="I395" s="2"/>
      <c r="J395" s="2"/>
      <c r="K395" s="2"/>
      <c r="L395" s="2"/>
      <c r="N395" s="2"/>
      <c r="O395" s="2"/>
      <c r="P395" s="2"/>
      <c r="Q395" s="2"/>
      <c r="R395" s="2"/>
      <c r="S395" s="2"/>
      <c r="T395" s="2"/>
      <c r="U395" s="2"/>
    </row>
    <row r="396" spans="1:21" x14ac:dyDescent="0.25">
      <c r="A396" s="1" t="str">
        <f t="shared" si="6"/>
        <v/>
      </c>
      <c r="B396" s="2"/>
      <c r="C396" s="2"/>
      <c r="D396" s="2"/>
      <c r="E396" s="2" t="str">
        <f>IFERROR(IF(ISBLANK(D396),"",INDEX([1]Gen_Vessels!$A$3:$C$500,MATCH(D396,[1]Gen_Vessels!$C$3:$C$500,0),1)),"")</f>
        <v/>
      </c>
      <c r="F396" s="2"/>
      <c r="G396" s="2"/>
      <c r="H396" s="2" t="str">
        <f>IFERROR(IF(ISBLANK(G396),"",INDEX([1]Gen_Vessels!$A$3:$C$500,MATCH(G396,[1]Gen_Vessels!$C$3:$C$500,0),1)),"")</f>
        <v/>
      </c>
      <c r="I396" s="2"/>
      <c r="J396" s="2"/>
      <c r="K396" s="2"/>
      <c r="L396" s="2"/>
      <c r="N396" s="2"/>
      <c r="O396" s="2"/>
      <c r="P396" s="2"/>
      <c r="Q396" s="2"/>
      <c r="R396" s="2"/>
      <c r="S396" s="2"/>
      <c r="T396" s="2"/>
      <c r="U396" s="2"/>
    </row>
    <row r="397" spans="1:21" x14ac:dyDescent="0.25">
      <c r="A397" s="1" t="str">
        <f t="shared" si="6"/>
        <v/>
      </c>
      <c r="B397" s="2"/>
      <c r="C397" s="2"/>
      <c r="D397" s="2"/>
      <c r="E397" s="2" t="str">
        <f>IFERROR(IF(ISBLANK(D397),"",INDEX([1]Gen_Vessels!$A$3:$C$500,MATCH(D397,[1]Gen_Vessels!$C$3:$C$500,0),1)),"")</f>
        <v/>
      </c>
      <c r="F397" s="2"/>
      <c r="G397" s="2"/>
      <c r="H397" s="2" t="str">
        <f>IFERROR(IF(ISBLANK(G397),"",INDEX([1]Gen_Vessels!$A$3:$C$500,MATCH(G397,[1]Gen_Vessels!$C$3:$C$500,0),1)),"")</f>
        <v/>
      </c>
      <c r="I397" s="2"/>
      <c r="J397" s="2"/>
      <c r="K397" s="2"/>
      <c r="L397" s="2"/>
      <c r="N397" s="2"/>
      <c r="O397" s="2"/>
      <c r="P397" s="2"/>
      <c r="Q397" s="2"/>
      <c r="R397" s="2"/>
      <c r="S397" s="2"/>
      <c r="T397" s="2"/>
      <c r="U397" s="2"/>
    </row>
    <row r="398" spans="1:21" x14ac:dyDescent="0.25">
      <c r="A398" s="1" t="str">
        <f t="shared" si="6"/>
        <v/>
      </c>
      <c r="B398" s="2"/>
      <c r="C398" s="2"/>
      <c r="D398" s="2"/>
      <c r="E398" s="2" t="str">
        <f>IFERROR(IF(ISBLANK(D398),"",INDEX([1]Gen_Vessels!$A$3:$C$500,MATCH(D398,[1]Gen_Vessels!$C$3:$C$500,0),1)),"")</f>
        <v/>
      </c>
      <c r="F398" s="2"/>
      <c r="G398" s="2"/>
      <c r="H398" s="2" t="str">
        <f>IFERROR(IF(ISBLANK(G398),"",INDEX([1]Gen_Vessels!$A$3:$C$500,MATCH(G398,[1]Gen_Vessels!$C$3:$C$500,0),1)),"")</f>
        <v/>
      </c>
      <c r="I398" s="2"/>
      <c r="J398" s="2"/>
      <c r="K398" s="2"/>
      <c r="L398" s="2"/>
      <c r="N398" s="2"/>
      <c r="O398" s="2"/>
      <c r="P398" s="2"/>
      <c r="Q398" s="2"/>
      <c r="R398" s="2"/>
      <c r="S398" s="2"/>
      <c r="T398" s="2"/>
      <c r="U398" s="2"/>
    </row>
    <row r="399" spans="1:21" x14ac:dyDescent="0.25">
      <c r="A399" s="1" t="str">
        <f t="shared" si="6"/>
        <v/>
      </c>
      <c r="B399" s="2"/>
      <c r="C399" s="2"/>
      <c r="D399" s="2"/>
      <c r="E399" s="2" t="str">
        <f>IFERROR(IF(ISBLANK(D399),"",INDEX([1]Gen_Vessels!$A$3:$C$500,MATCH(D399,[1]Gen_Vessels!$C$3:$C$500,0),1)),"")</f>
        <v/>
      </c>
      <c r="F399" s="2"/>
      <c r="G399" s="2"/>
      <c r="H399" s="2" t="str">
        <f>IFERROR(IF(ISBLANK(G399),"",INDEX([1]Gen_Vessels!$A$3:$C$500,MATCH(G399,[1]Gen_Vessels!$C$3:$C$500,0),1)),"")</f>
        <v/>
      </c>
      <c r="I399" s="2"/>
      <c r="J399" s="2"/>
      <c r="K399" s="2"/>
      <c r="L399" s="2"/>
      <c r="N399" s="2"/>
      <c r="O399" s="2"/>
      <c r="P399" s="2"/>
      <c r="Q399" s="2"/>
      <c r="R399" s="2"/>
      <c r="S399" s="2"/>
      <c r="T399" s="2"/>
      <c r="U399" s="2"/>
    </row>
    <row r="400" spans="1:21" x14ac:dyDescent="0.25">
      <c r="A400" s="1" t="str">
        <f t="shared" si="6"/>
        <v/>
      </c>
      <c r="B400" s="2"/>
      <c r="C400" s="2"/>
      <c r="D400" s="2"/>
      <c r="E400" s="2" t="str">
        <f>IFERROR(IF(ISBLANK(D400),"",INDEX([1]Gen_Vessels!$A$3:$C$500,MATCH(D400,[1]Gen_Vessels!$C$3:$C$500,0),1)),"")</f>
        <v/>
      </c>
      <c r="F400" s="2"/>
      <c r="G400" s="2"/>
      <c r="H400" s="2" t="str">
        <f>IFERROR(IF(ISBLANK(G400),"",INDEX([1]Gen_Vessels!$A$3:$C$500,MATCH(G400,[1]Gen_Vessels!$C$3:$C$500,0),1)),"")</f>
        <v/>
      </c>
      <c r="I400" s="2"/>
      <c r="J400" s="2"/>
      <c r="K400" s="2"/>
      <c r="L400" s="2"/>
      <c r="N400" s="2"/>
      <c r="O400" s="2"/>
      <c r="P400" s="2"/>
      <c r="Q400" s="2"/>
      <c r="R400" s="2"/>
      <c r="S400" s="2"/>
      <c r="T400" s="2"/>
      <c r="U400" s="2"/>
    </row>
    <row r="401" spans="1:21" x14ac:dyDescent="0.25">
      <c r="A401" s="1" t="str">
        <f t="shared" si="6"/>
        <v/>
      </c>
      <c r="B401" s="2"/>
      <c r="C401" s="2"/>
      <c r="D401" s="2"/>
      <c r="E401" s="2" t="str">
        <f>IFERROR(IF(ISBLANK(D401),"",INDEX([1]Gen_Vessels!$A$3:$C$500,MATCH(D401,[1]Gen_Vessels!$C$3:$C$500,0),1)),"")</f>
        <v/>
      </c>
      <c r="F401" s="2"/>
      <c r="G401" s="2"/>
      <c r="H401" s="2" t="str">
        <f>IFERROR(IF(ISBLANK(G401),"",INDEX([1]Gen_Vessels!$A$3:$C$500,MATCH(G401,[1]Gen_Vessels!$C$3:$C$500,0),1)),"")</f>
        <v/>
      </c>
      <c r="I401" s="2"/>
      <c r="J401" s="2"/>
      <c r="K401" s="2"/>
      <c r="L401" s="2"/>
      <c r="N401" s="2"/>
      <c r="O401" s="2"/>
      <c r="P401" s="2"/>
      <c r="Q401" s="2"/>
      <c r="R401" s="2"/>
      <c r="S401" s="2"/>
      <c r="T401" s="2"/>
      <c r="U401" s="2"/>
    </row>
    <row r="402" spans="1:21" x14ac:dyDescent="0.25">
      <c r="A402" s="1" t="str">
        <f t="shared" si="6"/>
        <v/>
      </c>
      <c r="B402" s="2"/>
      <c r="C402" s="2"/>
      <c r="D402" s="2"/>
      <c r="E402" s="2" t="str">
        <f>IFERROR(IF(ISBLANK(D402),"",INDEX([1]Gen_Vessels!$A$3:$C$500,MATCH(D402,[1]Gen_Vessels!$C$3:$C$500,0),1)),"")</f>
        <v/>
      </c>
      <c r="F402" s="2"/>
      <c r="G402" s="2"/>
      <c r="H402" s="2" t="str">
        <f>IFERROR(IF(ISBLANK(G402),"",INDEX([1]Gen_Vessels!$A$3:$C$500,MATCH(G402,[1]Gen_Vessels!$C$3:$C$500,0),1)),"")</f>
        <v/>
      </c>
      <c r="I402" s="2"/>
      <c r="J402" s="2"/>
      <c r="K402" s="2"/>
      <c r="L402" s="2"/>
      <c r="N402" s="2"/>
      <c r="O402" s="2"/>
      <c r="P402" s="2"/>
      <c r="Q402" s="2"/>
      <c r="R402" s="2"/>
      <c r="S402" s="2"/>
      <c r="T402" s="2"/>
      <c r="U402" s="2"/>
    </row>
    <row r="403" spans="1:21" x14ac:dyDescent="0.25">
      <c r="A403" s="1" t="str">
        <f t="shared" si="6"/>
        <v/>
      </c>
      <c r="B403" s="2"/>
      <c r="C403" s="2"/>
      <c r="D403" s="2"/>
      <c r="E403" s="2" t="str">
        <f>IFERROR(IF(ISBLANK(D403),"",INDEX([1]Gen_Vessels!$A$3:$C$500,MATCH(D403,[1]Gen_Vessels!$C$3:$C$500,0),1)),"")</f>
        <v/>
      </c>
      <c r="F403" s="2"/>
      <c r="G403" s="2"/>
      <c r="H403" s="2" t="str">
        <f>IFERROR(IF(ISBLANK(G403),"",INDEX([1]Gen_Vessels!$A$3:$C$500,MATCH(G403,[1]Gen_Vessels!$C$3:$C$500,0),1)),"")</f>
        <v/>
      </c>
      <c r="I403" s="2"/>
      <c r="J403" s="2"/>
      <c r="K403" s="2"/>
      <c r="L403" s="2"/>
      <c r="N403" s="2"/>
      <c r="O403" s="2"/>
      <c r="P403" s="2"/>
      <c r="Q403" s="2"/>
      <c r="R403" s="2"/>
      <c r="S403" s="2"/>
      <c r="T403" s="2"/>
      <c r="U403" s="2"/>
    </row>
    <row r="404" spans="1:21" x14ac:dyDescent="0.25">
      <c r="A404" s="1" t="str">
        <f t="shared" si="6"/>
        <v/>
      </c>
      <c r="B404" s="2"/>
      <c r="C404" s="2"/>
      <c r="D404" s="2"/>
      <c r="E404" s="2" t="str">
        <f>IFERROR(IF(ISBLANK(D404),"",INDEX([1]Gen_Vessels!$A$3:$C$500,MATCH(D404,[1]Gen_Vessels!$C$3:$C$500,0),1)),"")</f>
        <v/>
      </c>
      <c r="F404" s="2"/>
      <c r="G404" s="2"/>
      <c r="H404" s="2" t="str">
        <f>IFERROR(IF(ISBLANK(G404),"",INDEX([1]Gen_Vessels!$A$3:$C$500,MATCH(G404,[1]Gen_Vessels!$C$3:$C$500,0),1)),"")</f>
        <v/>
      </c>
      <c r="I404" s="2"/>
      <c r="J404" s="2"/>
      <c r="K404" s="2"/>
      <c r="L404" s="2"/>
      <c r="N404" s="2"/>
      <c r="O404" s="2"/>
      <c r="P404" s="2"/>
      <c r="Q404" s="2"/>
      <c r="R404" s="2"/>
      <c r="S404" s="2"/>
      <c r="T404" s="2"/>
      <c r="U404" s="2"/>
    </row>
    <row r="405" spans="1:21" x14ac:dyDescent="0.25">
      <c r="A405" s="1" t="str">
        <f t="shared" si="6"/>
        <v/>
      </c>
      <c r="B405" s="2"/>
      <c r="C405" s="2"/>
      <c r="D405" s="2"/>
      <c r="E405" s="2" t="str">
        <f>IFERROR(IF(ISBLANK(D405),"",INDEX([1]Gen_Vessels!$A$3:$C$500,MATCH(D405,[1]Gen_Vessels!$C$3:$C$500,0),1)),"")</f>
        <v/>
      </c>
      <c r="F405" s="2"/>
      <c r="G405" s="2"/>
      <c r="H405" s="2" t="str">
        <f>IFERROR(IF(ISBLANK(G405),"",INDEX([1]Gen_Vessels!$A$3:$C$500,MATCH(G405,[1]Gen_Vessels!$C$3:$C$500,0),1)),"")</f>
        <v/>
      </c>
      <c r="I405" s="2"/>
      <c r="J405" s="2"/>
      <c r="K405" s="2"/>
      <c r="L405" s="2"/>
      <c r="N405" s="2"/>
      <c r="O405" s="2"/>
      <c r="P405" s="2"/>
      <c r="Q405" s="2"/>
      <c r="R405" s="2"/>
      <c r="S405" s="2"/>
      <c r="T405" s="2"/>
      <c r="U405" s="2"/>
    </row>
    <row r="406" spans="1:21" x14ac:dyDescent="0.25">
      <c r="A406" s="1" t="str">
        <f t="shared" si="6"/>
        <v/>
      </c>
      <c r="B406" s="2"/>
      <c r="C406" s="2"/>
      <c r="D406" s="2"/>
      <c r="E406" s="2" t="str">
        <f>IFERROR(IF(ISBLANK(D406),"",INDEX([1]Gen_Vessels!$A$3:$C$500,MATCH(D406,[1]Gen_Vessels!$C$3:$C$500,0),1)),"")</f>
        <v/>
      </c>
      <c r="F406" s="2"/>
      <c r="G406" s="2"/>
      <c r="H406" s="2" t="str">
        <f>IFERROR(IF(ISBLANK(G406),"",INDEX([1]Gen_Vessels!$A$3:$C$500,MATCH(G406,[1]Gen_Vessels!$C$3:$C$500,0),1)),"")</f>
        <v/>
      </c>
      <c r="I406" s="2"/>
      <c r="J406" s="2"/>
      <c r="K406" s="2"/>
      <c r="L406" s="2"/>
      <c r="N406" s="2"/>
      <c r="O406" s="2"/>
      <c r="P406" s="2"/>
      <c r="Q406" s="2"/>
      <c r="R406" s="2"/>
      <c r="S406" s="2"/>
      <c r="T406" s="2"/>
      <c r="U406" s="2"/>
    </row>
    <row r="407" spans="1:21" x14ac:dyDescent="0.25">
      <c r="A407" s="1" t="str">
        <f t="shared" si="6"/>
        <v/>
      </c>
      <c r="B407" s="2"/>
      <c r="C407" s="2"/>
      <c r="D407" s="2"/>
      <c r="E407" s="2" t="str">
        <f>IFERROR(IF(ISBLANK(D407),"",INDEX([1]Gen_Vessels!$A$3:$C$500,MATCH(D407,[1]Gen_Vessels!$C$3:$C$500,0),1)),"")</f>
        <v/>
      </c>
      <c r="F407" s="2"/>
      <c r="G407" s="2"/>
      <c r="H407" s="2" t="str">
        <f>IFERROR(IF(ISBLANK(G407),"",INDEX([1]Gen_Vessels!$A$3:$C$500,MATCH(G407,[1]Gen_Vessels!$C$3:$C$500,0),1)),"")</f>
        <v/>
      </c>
      <c r="I407" s="2"/>
      <c r="J407" s="2"/>
      <c r="K407" s="2"/>
      <c r="L407" s="2"/>
      <c r="N407" s="2"/>
      <c r="O407" s="2"/>
      <c r="P407" s="2"/>
      <c r="Q407" s="2"/>
      <c r="R407" s="2"/>
      <c r="S407" s="2"/>
      <c r="T407" s="2"/>
      <c r="U407" s="2"/>
    </row>
    <row r="408" spans="1:21" x14ac:dyDescent="0.25">
      <c r="A408" s="1" t="str">
        <f t="shared" si="6"/>
        <v/>
      </c>
      <c r="B408" s="2"/>
      <c r="C408" s="2"/>
      <c r="D408" s="2"/>
      <c r="E408" s="2" t="str">
        <f>IFERROR(IF(ISBLANK(D408),"",INDEX([1]Gen_Vessels!$A$3:$C$500,MATCH(D408,[1]Gen_Vessels!$C$3:$C$500,0),1)),"")</f>
        <v/>
      </c>
      <c r="F408" s="2"/>
      <c r="G408" s="2"/>
      <c r="H408" s="2" t="str">
        <f>IFERROR(IF(ISBLANK(G408),"",INDEX([1]Gen_Vessels!$A$3:$C$500,MATCH(G408,[1]Gen_Vessels!$C$3:$C$500,0),1)),"")</f>
        <v/>
      </c>
      <c r="I408" s="2"/>
      <c r="J408" s="2"/>
      <c r="K408" s="2"/>
      <c r="L408" s="2"/>
      <c r="N408" s="2"/>
      <c r="O408" s="2"/>
      <c r="P408" s="2"/>
      <c r="Q408" s="2"/>
      <c r="R408" s="2"/>
      <c r="S408" s="2"/>
      <c r="T408" s="2"/>
      <c r="U408" s="2"/>
    </row>
    <row r="409" spans="1:21" x14ac:dyDescent="0.25">
      <c r="A409" s="1" t="str">
        <f t="shared" si="6"/>
        <v/>
      </c>
      <c r="B409" s="2"/>
      <c r="C409" s="2"/>
      <c r="D409" s="2"/>
      <c r="E409" s="2" t="str">
        <f>IFERROR(IF(ISBLANK(D409),"",INDEX([1]Gen_Vessels!$A$3:$C$500,MATCH(D409,[1]Gen_Vessels!$C$3:$C$500,0),1)),"")</f>
        <v/>
      </c>
      <c r="F409" s="2"/>
      <c r="G409" s="2"/>
      <c r="H409" s="2" t="str">
        <f>IFERROR(IF(ISBLANK(G409),"",INDEX([1]Gen_Vessels!$A$3:$C$500,MATCH(G409,[1]Gen_Vessels!$C$3:$C$500,0),1)),"")</f>
        <v/>
      </c>
      <c r="I409" s="2"/>
      <c r="J409" s="2"/>
      <c r="K409" s="2"/>
      <c r="L409" s="2"/>
      <c r="N409" s="2"/>
      <c r="O409" s="2"/>
      <c r="P409" s="2"/>
      <c r="Q409" s="2"/>
      <c r="R409" s="2"/>
      <c r="S409" s="2"/>
      <c r="T409" s="2"/>
      <c r="U409" s="2"/>
    </row>
    <row r="410" spans="1:21" x14ac:dyDescent="0.25">
      <c r="A410" s="1" t="str">
        <f t="shared" si="6"/>
        <v/>
      </c>
      <c r="B410" s="2"/>
      <c r="C410" s="2"/>
      <c r="D410" s="2"/>
      <c r="E410" s="2" t="str">
        <f>IFERROR(IF(ISBLANK(D410),"",INDEX([1]Gen_Vessels!$A$3:$C$500,MATCH(D410,[1]Gen_Vessels!$C$3:$C$500,0),1)),"")</f>
        <v/>
      </c>
      <c r="F410" s="2"/>
      <c r="G410" s="2"/>
      <c r="H410" s="2" t="str">
        <f>IFERROR(IF(ISBLANK(G410),"",INDEX([1]Gen_Vessels!$A$3:$C$500,MATCH(G410,[1]Gen_Vessels!$C$3:$C$500,0),1)),"")</f>
        <v/>
      </c>
      <c r="I410" s="2"/>
      <c r="J410" s="2"/>
      <c r="K410" s="2"/>
      <c r="L410" s="2"/>
      <c r="N410" s="2"/>
      <c r="O410" s="2"/>
      <c r="P410" s="2"/>
      <c r="Q410" s="2"/>
      <c r="R410" s="2"/>
      <c r="S410" s="2"/>
      <c r="T410" s="2"/>
      <c r="U410" s="2"/>
    </row>
    <row r="411" spans="1:21" x14ac:dyDescent="0.25">
      <c r="A411" s="1" t="str">
        <f t="shared" si="6"/>
        <v/>
      </c>
      <c r="B411" s="2"/>
      <c r="C411" s="2"/>
      <c r="D411" s="2"/>
      <c r="E411" s="2" t="str">
        <f>IFERROR(IF(ISBLANK(D411),"",INDEX([1]Gen_Vessels!$A$3:$C$500,MATCH(D411,[1]Gen_Vessels!$C$3:$C$500,0),1)),"")</f>
        <v/>
      </c>
      <c r="F411" s="2"/>
      <c r="G411" s="2"/>
      <c r="H411" s="2" t="str">
        <f>IFERROR(IF(ISBLANK(G411),"",INDEX([1]Gen_Vessels!$A$3:$C$500,MATCH(G411,[1]Gen_Vessels!$C$3:$C$500,0),1)),"")</f>
        <v/>
      </c>
      <c r="I411" s="2"/>
      <c r="J411" s="2"/>
      <c r="K411" s="2"/>
      <c r="L411" s="2"/>
      <c r="N411" s="2"/>
      <c r="O411" s="2"/>
      <c r="P411" s="2"/>
      <c r="Q411" s="2"/>
      <c r="R411" s="2"/>
      <c r="S411" s="2"/>
      <c r="T411" s="2"/>
      <c r="U411" s="2"/>
    </row>
    <row r="412" spans="1:21" x14ac:dyDescent="0.25">
      <c r="A412" s="1" t="str">
        <f t="shared" si="6"/>
        <v/>
      </c>
      <c r="B412" s="2"/>
      <c r="C412" s="2"/>
      <c r="D412" s="2"/>
      <c r="E412" s="2" t="str">
        <f>IFERROR(IF(ISBLANK(D412),"",INDEX([1]Gen_Vessels!$A$3:$C$500,MATCH(D412,[1]Gen_Vessels!$C$3:$C$500,0),1)),"")</f>
        <v/>
      </c>
      <c r="F412" s="2"/>
      <c r="G412" s="2"/>
      <c r="H412" s="2" t="str">
        <f>IFERROR(IF(ISBLANK(G412),"",INDEX([1]Gen_Vessels!$A$3:$C$500,MATCH(G412,[1]Gen_Vessels!$C$3:$C$500,0),1)),"")</f>
        <v/>
      </c>
      <c r="I412" s="2"/>
      <c r="J412" s="2"/>
      <c r="K412" s="2"/>
      <c r="L412" s="2"/>
      <c r="N412" s="2"/>
      <c r="O412" s="2"/>
      <c r="P412" s="2"/>
      <c r="Q412" s="2"/>
      <c r="R412" s="2"/>
      <c r="S412" s="2"/>
      <c r="T412" s="2"/>
      <c r="U412" s="2"/>
    </row>
    <row r="413" spans="1:21" x14ac:dyDescent="0.25">
      <c r="A413" s="1" t="str">
        <f t="shared" si="6"/>
        <v/>
      </c>
      <c r="B413" s="2"/>
      <c r="C413" s="2"/>
      <c r="D413" s="2"/>
      <c r="E413" s="2" t="str">
        <f>IFERROR(IF(ISBLANK(D413),"",INDEX([1]Gen_Vessels!$A$3:$C$500,MATCH(D413,[1]Gen_Vessels!$C$3:$C$500,0),1)),"")</f>
        <v/>
      </c>
      <c r="F413" s="2"/>
      <c r="G413" s="2"/>
      <c r="H413" s="2" t="str">
        <f>IFERROR(IF(ISBLANK(G413),"",INDEX([1]Gen_Vessels!$A$3:$C$500,MATCH(G413,[1]Gen_Vessels!$C$3:$C$500,0),1)),"")</f>
        <v/>
      </c>
      <c r="I413" s="2"/>
      <c r="J413" s="2"/>
      <c r="K413" s="2"/>
      <c r="L413" s="2"/>
      <c r="N413" s="2"/>
      <c r="O413" s="2"/>
      <c r="P413" s="2"/>
      <c r="Q413" s="2"/>
      <c r="R413" s="2"/>
      <c r="S413" s="2"/>
      <c r="T413" s="2"/>
      <c r="U413" s="2"/>
    </row>
    <row r="414" spans="1:21" x14ac:dyDescent="0.25">
      <c r="A414" s="1" t="str">
        <f t="shared" si="6"/>
        <v/>
      </c>
      <c r="B414" s="2"/>
      <c r="C414" s="2"/>
      <c r="D414" s="2"/>
      <c r="E414" s="2" t="str">
        <f>IFERROR(IF(ISBLANK(D414),"",INDEX([1]Gen_Vessels!$A$3:$C$500,MATCH(D414,[1]Gen_Vessels!$C$3:$C$500,0),1)),"")</f>
        <v/>
      </c>
      <c r="F414" s="2"/>
      <c r="G414" s="2"/>
      <c r="H414" s="2" t="str">
        <f>IFERROR(IF(ISBLANK(G414),"",INDEX([1]Gen_Vessels!$A$3:$C$500,MATCH(G414,[1]Gen_Vessels!$C$3:$C$500,0),1)),"")</f>
        <v/>
      </c>
      <c r="I414" s="2"/>
      <c r="J414" s="2"/>
      <c r="K414" s="2"/>
      <c r="L414" s="2"/>
      <c r="N414" s="2"/>
      <c r="O414" s="2"/>
      <c r="P414" s="2"/>
      <c r="Q414" s="2"/>
      <c r="R414" s="2"/>
      <c r="S414" s="2"/>
      <c r="T414" s="2"/>
      <c r="U414" s="2"/>
    </row>
    <row r="415" spans="1:21" x14ac:dyDescent="0.25">
      <c r="A415" s="1" t="str">
        <f t="shared" si="6"/>
        <v/>
      </c>
      <c r="B415" s="2"/>
      <c r="C415" s="2"/>
      <c r="D415" s="2"/>
      <c r="E415" s="2" t="str">
        <f>IFERROR(IF(ISBLANK(D415),"",INDEX([1]Gen_Vessels!$A$3:$C$500,MATCH(D415,[1]Gen_Vessels!$C$3:$C$500,0),1)),"")</f>
        <v/>
      </c>
      <c r="F415" s="2"/>
      <c r="G415" s="2"/>
      <c r="H415" s="2" t="str">
        <f>IFERROR(IF(ISBLANK(G415),"",INDEX([1]Gen_Vessels!$A$3:$C$500,MATCH(G415,[1]Gen_Vessels!$C$3:$C$500,0),1)),"")</f>
        <v/>
      </c>
      <c r="I415" s="2"/>
      <c r="J415" s="2"/>
      <c r="K415" s="2"/>
      <c r="L415" s="2"/>
      <c r="N415" s="2"/>
      <c r="O415" s="2"/>
      <c r="P415" s="2"/>
      <c r="Q415" s="2"/>
      <c r="R415" s="2"/>
      <c r="S415" s="2"/>
      <c r="T415" s="2"/>
      <c r="U415" s="2"/>
    </row>
    <row r="416" spans="1:21" x14ac:dyDescent="0.25">
      <c r="A416" s="1" t="str">
        <f t="shared" si="6"/>
        <v/>
      </c>
      <c r="B416" s="2"/>
      <c r="C416" s="2"/>
      <c r="D416" s="2"/>
      <c r="E416" s="2" t="str">
        <f>IFERROR(IF(ISBLANK(D416),"",INDEX([1]Gen_Vessels!$A$3:$C$500,MATCH(D416,[1]Gen_Vessels!$C$3:$C$500,0),1)),"")</f>
        <v/>
      </c>
      <c r="F416" s="2"/>
      <c r="G416" s="2"/>
      <c r="H416" s="2" t="str">
        <f>IFERROR(IF(ISBLANK(G416),"",INDEX([1]Gen_Vessels!$A$3:$C$500,MATCH(G416,[1]Gen_Vessels!$C$3:$C$500,0),1)),"")</f>
        <v/>
      </c>
      <c r="I416" s="2"/>
      <c r="J416" s="2"/>
      <c r="K416" s="2"/>
      <c r="L416" s="2"/>
      <c r="N416" s="2"/>
      <c r="O416" s="2"/>
      <c r="P416" s="2"/>
      <c r="Q416" s="2"/>
      <c r="R416" s="2"/>
      <c r="S416" s="2"/>
      <c r="T416" s="2"/>
      <c r="U416" s="2"/>
    </row>
    <row r="417" spans="1:21" x14ac:dyDescent="0.25">
      <c r="A417" s="1" t="str">
        <f t="shared" si="6"/>
        <v/>
      </c>
      <c r="B417" s="2"/>
      <c r="C417" s="2"/>
      <c r="D417" s="2"/>
      <c r="E417" s="2" t="str">
        <f>IFERROR(IF(ISBLANK(D417),"",INDEX([1]Gen_Vessels!$A$3:$C$500,MATCH(D417,[1]Gen_Vessels!$C$3:$C$500,0),1)),"")</f>
        <v/>
      </c>
      <c r="F417" s="2"/>
      <c r="G417" s="2"/>
      <c r="H417" s="2" t="str">
        <f>IFERROR(IF(ISBLANK(G417),"",INDEX([1]Gen_Vessels!$A$3:$C$500,MATCH(G417,[1]Gen_Vessels!$C$3:$C$500,0),1)),"")</f>
        <v/>
      </c>
      <c r="I417" s="2"/>
      <c r="J417" s="2"/>
      <c r="K417" s="2"/>
      <c r="L417" s="2"/>
      <c r="N417" s="2"/>
      <c r="O417" s="2"/>
      <c r="P417" s="2"/>
      <c r="Q417" s="2"/>
      <c r="R417" s="2"/>
      <c r="S417" s="2"/>
      <c r="T417" s="2"/>
      <c r="U417" s="2"/>
    </row>
    <row r="418" spans="1:21" x14ac:dyDescent="0.25">
      <c r="A418" s="1" t="str">
        <f t="shared" si="6"/>
        <v/>
      </c>
      <c r="B418" s="2"/>
      <c r="C418" s="2"/>
      <c r="D418" s="2"/>
      <c r="E418" s="2" t="str">
        <f>IFERROR(IF(ISBLANK(D418),"",INDEX([1]Gen_Vessels!$A$3:$C$500,MATCH(D418,[1]Gen_Vessels!$C$3:$C$500,0),1)),"")</f>
        <v/>
      </c>
      <c r="F418" s="2"/>
      <c r="G418" s="2"/>
      <c r="H418" s="2" t="str">
        <f>IFERROR(IF(ISBLANK(G418),"",INDEX([1]Gen_Vessels!$A$3:$C$500,MATCH(G418,[1]Gen_Vessels!$C$3:$C$500,0),1)),"")</f>
        <v/>
      </c>
      <c r="I418" s="2"/>
      <c r="J418" s="2"/>
      <c r="K418" s="2"/>
      <c r="L418" s="2"/>
      <c r="N418" s="2"/>
      <c r="O418" s="2"/>
      <c r="P418" s="2"/>
      <c r="Q418" s="2"/>
      <c r="R418" s="2"/>
      <c r="S418" s="2"/>
      <c r="T418" s="2"/>
      <c r="U418" s="2"/>
    </row>
    <row r="419" spans="1:21" x14ac:dyDescent="0.25">
      <c r="A419" s="1" t="str">
        <f t="shared" si="6"/>
        <v/>
      </c>
      <c r="B419" s="2"/>
      <c r="C419" s="2"/>
      <c r="D419" s="2"/>
      <c r="E419" s="2" t="str">
        <f>IFERROR(IF(ISBLANK(D419),"",INDEX([1]Gen_Vessels!$A$3:$C$500,MATCH(D419,[1]Gen_Vessels!$C$3:$C$500,0),1)),"")</f>
        <v/>
      </c>
      <c r="F419" s="2"/>
      <c r="G419" s="2"/>
      <c r="H419" s="2" t="str">
        <f>IFERROR(IF(ISBLANK(G419),"",INDEX([1]Gen_Vessels!$A$3:$C$500,MATCH(G419,[1]Gen_Vessels!$C$3:$C$500,0),1)),"")</f>
        <v/>
      </c>
      <c r="I419" s="2"/>
      <c r="J419" s="2"/>
      <c r="K419" s="2"/>
      <c r="L419" s="2"/>
      <c r="N419" s="2"/>
      <c r="O419" s="2"/>
      <c r="P419" s="2"/>
      <c r="Q419" s="2"/>
      <c r="R419" s="2"/>
      <c r="S419" s="2"/>
      <c r="T419" s="2"/>
      <c r="U419" s="2"/>
    </row>
    <row r="420" spans="1:21" x14ac:dyDescent="0.25">
      <c r="A420" s="1" t="str">
        <f t="shared" si="6"/>
        <v/>
      </c>
      <c r="B420" s="2"/>
      <c r="C420" s="2"/>
      <c r="D420" s="2"/>
      <c r="E420" s="2" t="str">
        <f>IFERROR(IF(ISBLANK(D420),"",INDEX([1]Gen_Vessels!$A$3:$C$500,MATCH(D420,[1]Gen_Vessels!$C$3:$C$500,0),1)),"")</f>
        <v/>
      </c>
      <c r="F420" s="2"/>
      <c r="G420" s="2"/>
      <c r="H420" s="2" t="str">
        <f>IFERROR(IF(ISBLANK(G420),"",INDEX([1]Gen_Vessels!$A$3:$C$500,MATCH(G420,[1]Gen_Vessels!$C$3:$C$500,0),1)),"")</f>
        <v/>
      </c>
      <c r="I420" s="2"/>
      <c r="J420" s="2"/>
      <c r="K420" s="2"/>
      <c r="L420" s="2"/>
      <c r="N420" s="2"/>
      <c r="O420" s="2"/>
      <c r="P420" s="2"/>
      <c r="Q420" s="2"/>
      <c r="R420" s="2"/>
      <c r="S420" s="2"/>
      <c r="T420" s="2"/>
      <c r="U420" s="2"/>
    </row>
    <row r="421" spans="1:21" x14ac:dyDescent="0.25">
      <c r="A421" s="1" t="str">
        <f t="shared" si="6"/>
        <v/>
      </c>
      <c r="B421" s="2"/>
      <c r="C421" s="2"/>
      <c r="D421" s="2"/>
      <c r="E421" s="2" t="str">
        <f>IFERROR(IF(ISBLANK(D421),"",INDEX([1]Gen_Vessels!$A$3:$C$500,MATCH(D421,[1]Gen_Vessels!$C$3:$C$500,0),1)),"")</f>
        <v/>
      </c>
      <c r="F421" s="2"/>
      <c r="G421" s="2"/>
      <c r="H421" s="2" t="str">
        <f>IFERROR(IF(ISBLANK(G421),"",INDEX([1]Gen_Vessels!$A$3:$C$500,MATCH(G421,[1]Gen_Vessels!$C$3:$C$500,0),1)),"")</f>
        <v/>
      </c>
      <c r="I421" s="2"/>
      <c r="J421" s="2"/>
      <c r="K421" s="2"/>
      <c r="L421" s="2"/>
      <c r="N421" s="2"/>
      <c r="O421" s="2"/>
      <c r="P421" s="2"/>
      <c r="Q421" s="2"/>
      <c r="R421" s="2"/>
      <c r="S421" s="2"/>
      <c r="T421" s="2"/>
      <c r="U421" s="2"/>
    </row>
    <row r="422" spans="1:21" x14ac:dyDescent="0.25">
      <c r="A422" s="1" t="str">
        <f t="shared" si="6"/>
        <v/>
      </c>
      <c r="B422" s="2"/>
      <c r="C422" s="2"/>
      <c r="D422" s="2"/>
      <c r="E422" s="2" t="str">
        <f>IFERROR(IF(ISBLANK(D422),"",INDEX([1]Gen_Vessels!$A$3:$C$500,MATCH(D422,[1]Gen_Vessels!$C$3:$C$500,0),1)),"")</f>
        <v/>
      </c>
      <c r="F422" s="2"/>
      <c r="G422" s="2"/>
      <c r="H422" s="2" t="str">
        <f>IFERROR(IF(ISBLANK(G422),"",INDEX([1]Gen_Vessels!$A$3:$C$500,MATCH(G422,[1]Gen_Vessels!$C$3:$C$500,0),1)),"")</f>
        <v/>
      </c>
      <c r="I422" s="2"/>
      <c r="J422" s="2"/>
      <c r="K422" s="2"/>
      <c r="L422" s="2"/>
      <c r="N422" s="2"/>
      <c r="O422" s="2"/>
      <c r="P422" s="2"/>
      <c r="Q422" s="2"/>
      <c r="R422" s="2"/>
      <c r="S422" s="2"/>
      <c r="T422" s="2"/>
      <c r="U422" s="2"/>
    </row>
    <row r="423" spans="1:21" x14ac:dyDescent="0.25">
      <c r="A423" s="1" t="str">
        <f t="shared" si="6"/>
        <v/>
      </c>
      <c r="B423" s="2"/>
      <c r="C423" s="2"/>
      <c r="D423" s="2"/>
      <c r="E423" s="2" t="str">
        <f>IFERROR(IF(ISBLANK(D423),"",INDEX([1]Gen_Vessels!$A$3:$C$500,MATCH(D423,[1]Gen_Vessels!$C$3:$C$500,0),1)),"")</f>
        <v/>
      </c>
      <c r="F423" s="2"/>
      <c r="G423" s="2"/>
      <c r="H423" s="2" t="str">
        <f>IFERROR(IF(ISBLANK(G423),"",INDEX([1]Gen_Vessels!$A$3:$C$500,MATCH(G423,[1]Gen_Vessels!$C$3:$C$500,0),1)),"")</f>
        <v/>
      </c>
      <c r="I423" s="2"/>
      <c r="J423" s="2"/>
      <c r="K423" s="2"/>
      <c r="L423" s="2"/>
      <c r="N423" s="2"/>
      <c r="O423" s="2"/>
      <c r="P423" s="2"/>
      <c r="Q423" s="2"/>
      <c r="R423" s="2"/>
      <c r="S423" s="2"/>
      <c r="T423" s="2"/>
      <c r="U423" s="2"/>
    </row>
    <row r="424" spans="1:21" x14ac:dyDescent="0.25">
      <c r="A424" s="1" t="str">
        <f t="shared" si="6"/>
        <v/>
      </c>
      <c r="B424" s="2"/>
      <c r="C424" s="2"/>
      <c r="D424" s="2"/>
      <c r="E424" s="2" t="str">
        <f>IFERROR(IF(ISBLANK(D424),"",INDEX([1]Gen_Vessels!$A$3:$C$500,MATCH(D424,[1]Gen_Vessels!$C$3:$C$500,0),1)),"")</f>
        <v/>
      </c>
      <c r="F424" s="2"/>
      <c r="G424" s="2"/>
      <c r="H424" s="2" t="str">
        <f>IFERROR(IF(ISBLANK(G424),"",INDEX([1]Gen_Vessels!$A$3:$C$500,MATCH(G424,[1]Gen_Vessels!$C$3:$C$500,0),1)),"")</f>
        <v/>
      </c>
      <c r="I424" s="2"/>
      <c r="J424" s="2"/>
      <c r="K424" s="2"/>
      <c r="L424" s="2"/>
      <c r="N424" s="2"/>
      <c r="O424" s="2"/>
      <c r="P424" s="2"/>
      <c r="Q424" s="2"/>
      <c r="R424" s="2"/>
      <c r="S424" s="2"/>
      <c r="T424" s="2"/>
      <c r="U424" s="2"/>
    </row>
    <row r="425" spans="1:21" x14ac:dyDescent="0.25">
      <c r="A425" s="1" t="str">
        <f t="shared" si="6"/>
        <v/>
      </c>
      <c r="B425" s="2"/>
      <c r="C425" s="2"/>
      <c r="D425" s="2"/>
      <c r="E425" s="2" t="str">
        <f>IFERROR(IF(ISBLANK(D425),"",INDEX([1]Gen_Vessels!$A$3:$C$500,MATCH(D425,[1]Gen_Vessels!$C$3:$C$500,0),1)),"")</f>
        <v/>
      </c>
      <c r="F425" s="2"/>
      <c r="G425" s="2"/>
      <c r="H425" s="2" t="str">
        <f>IFERROR(IF(ISBLANK(G425),"",INDEX([1]Gen_Vessels!$A$3:$C$500,MATCH(G425,[1]Gen_Vessels!$C$3:$C$500,0),1)),"")</f>
        <v/>
      </c>
      <c r="I425" s="2"/>
      <c r="J425" s="2"/>
      <c r="K425" s="2"/>
      <c r="L425" s="2"/>
      <c r="N425" s="2"/>
      <c r="O425" s="2"/>
      <c r="P425" s="2"/>
      <c r="Q425" s="2"/>
      <c r="R425" s="2"/>
      <c r="S425" s="2"/>
      <c r="T425" s="2"/>
      <c r="U425" s="2"/>
    </row>
    <row r="426" spans="1:21" x14ac:dyDescent="0.25">
      <c r="A426" s="1" t="str">
        <f t="shared" si="6"/>
        <v/>
      </c>
      <c r="B426" s="2"/>
      <c r="C426" s="2"/>
      <c r="D426" s="2"/>
      <c r="E426" s="2" t="str">
        <f>IFERROR(IF(ISBLANK(D426),"",INDEX([1]Gen_Vessels!$A$3:$C$500,MATCH(D426,[1]Gen_Vessels!$C$3:$C$500,0),1)),"")</f>
        <v/>
      </c>
      <c r="F426" s="2"/>
      <c r="G426" s="2"/>
      <c r="H426" s="2" t="str">
        <f>IFERROR(IF(ISBLANK(G426),"",INDEX([1]Gen_Vessels!$A$3:$C$500,MATCH(G426,[1]Gen_Vessels!$C$3:$C$500,0),1)),"")</f>
        <v/>
      </c>
      <c r="I426" s="2"/>
      <c r="J426" s="2"/>
      <c r="K426" s="2"/>
      <c r="L426" s="2"/>
      <c r="N426" s="2"/>
      <c r="O426" s="2"/>
      <c r="P426" s="2"/>
      <c r="Q426" s="2"/>
      <c r="R426" s="2"/>
      <c r="S426" s="2"/>
      <c r="T426" s="2"/>
      <c r="U426" s="2"/>
    </row>
    <row r="427" spans="1:21" x14ac:dyDescent="0.25">
      <c r="A427" s="1" t="str">
        <f t="shared" si="6"/>
        <v/>
      </c>
      <c r="B427" s="2"/>
      <c r="C427" s="2"/>
      <c r="D427" s="2"/>
      <c r="E427" s="2" t="str">
        <f>IFERROR(IF(ISBLANK(D427),"",INDEX([1]Gen_Vessels!$A$3:$C$500,MATCH(D427,[1]Gen_Vessels!$C$3:$C$500,0),1)),"")</f>
        <v/>
      </c>
      <c r="F427" s="2"/>
      <c r="G427" s="2"/>
      <c r="H427" s="2" t="str">
        <f>IFERROR(IF(ISBLANK(G427),"",INDEX([1]Gen_Vessels!$A$3:$C$500,MATCH(G427,[1]Gen_Vessels!$C$3:$C$500,0),1)),"")</f>
        <v/>
      </c>
      <c r="I427" s="2"/>
      <c r="J427" s="2"/>
      <c r="K427" s="2"/>
      <c r="L427" s="2"/>
      <c r="N427" s="2"/>
      <c r="O427" s="2"/>
      <c r="P427" s="2"/>
      <c r="Q427" s="2"/>
      <c r="R427" s="2"/>
      <c r="S427" s="2"/>
      <c r="T427" s="2"/>
      <c r="U427" s="2"/>
    </row>
    <row r="428" spans="1:21" x14ac:dyDescent="0.25">
      <c r="A428" s="1" t="str">
        <f t="shared" si="6"/>
        <v/>
      </c>
      <c r="B428" s="2"/>
      <c r="C428" s="2"/>
      <c r="D428" s="2"/>
      <c r="E428" s="2" t="str">
        <f>IFERROR(IF(ISBLANK(D428),"",INDEX([1]Gen_Vessels!$A$3:$C$500,MATCH(D428,[1]Gen_Vessels!$C$3:$C$500,0),1)),"")</f>
        <v/>
      </c>
      <c r="F428" s="2"/>
      <c r="G428" s="2"/>
      <c r="H428" s="2" t="str">
        <f>IFERROR(IF(ISBLANK(G428),"",INDEX([1]Gen_Vessels!$A$3:$C$500,MATCH(G428,[1]Gen_Vessels!$C$3:$C$500,0),1)),"")</f>
        <v/>
      </c>
      <c r="I428" s="2"/>
      <c r="J428" s="2"/>
      <c r="K428" s="2"/>
      <c r="L428" s="2"/>
      <c r="N428" s="2"/>
      <c r="O428" s="2"/>
      <c r="P428" s="2"/>
      <c r="Q428" s="2"/>
      <c r="R428" s="2"/>
      <c r="S428" s="2"/>
      <c r="T428" s="2"/>
      <c r="U428" s="2"/>
    </row>
    <row r="429" spans="1:21" x14ac:dyDescent="0.25">
      <c r="A429" s="1" t="str">
        <f t="shared" si="6"/>
        <v/>
      </c>
      <c r="B429" s="2"/>
      <c r="C429" s="2"/>
      <c r="D429" s="2"/>
      <c r="E429" s="2" t="str">
        <f>IFERROR(IF(ISBLANK(D429),"",INDEX([1]Gen_Vessels!$A$3:$C$500,MATCH(D429,[1]Gen_Vessels!$C$3:$C$500,0),1)),"")</f>
        <v/>
      </c>
      <c r="F429" s="2"/>
      <c r="G429" s="2"/>
      <c r="H429" s="2" t="str">
        <f>IFERROR(IF(ISBLANK(G429),"",INDEX([1]Gen_Vessels!$A$3:$C$500,MATCH(G429,[1]Gen_Vessels!$C$3:$C$500,0),1)),"")</f>
        <v/>
      </c>
      <c r="I429" s="2"/>
      <c r="J429" s="2"/>
      <c r="K429" s="2"/>
      <c r="L429" s="2"/>
      <c r="N429" s="2"/>
      <c r="O429" s="2"/>
      <c r="P429" s="2"/>
      <c r="Q429" s="2"/>
      <c r="R429" s="2"/>
      <c r="S429" s="2"/>
      <c r="T429" s="2"/>
      <c r="U429" s="2"/>
    </row>
    <row r="430" spans="1:21" x14ac:dyDescent="0.25">
      <c r="A430" s="1" t="str">
        <f t="shared" si="6"/>
        <v/>
      </c>
      <c r="B430" s="2"/>
      <c r="C430" s="2"/>
      <c r="D430" s="2"/>
      <c r="E430" s="2" t="str">
        <f>IFERROR(IF(ISBLANK(D430),"",INDEX([1]Gen_Vessels!$A$3:$C$500,MATCH(D430,[1]Gen_Vessels!$C$3:$C$500,0),1)),"")</f>
        <v/>
      </c>
      <c r="F430" s="2"/>
      <c r="G430" s="2"/>
      <c r="H430" s="2" t="str">
        <f>IFERROR(IF(ISBLANK(G430),"",INDEX([1]Gen_Vessels!$A$3:$C$500,MATCH(G430,[1]Gen_Vessels!$C$3:$C$500,0),1)),"")</f>
        <v/>
      </c>
      <c r="I430" s="2"/>
      <c r="J430" s="2"/>
      <c r="K430" s="2"/>
      <c r="L430" s="2"/>
      <c r="N430" s="2"/>
      <c r="O430" s="2"/>
      <c r="P430" s="2"/>
      <c r="Q430" s="2"/>
      <c r="R430" s="2"/>
      <c r="S430" s="2"/>
      <c r="T430" s="2"/>
      <c r="U430" s="2"/>
    </row>
    <row r="431" spans="1:21" x14ac:dyDescent="0.25">
      <c r="A431" s="1" t="str">
        <f t="shared" si="6"/>
        <v/>
      </c>
      <c r="B431" s="2"/>
      <c r="C431" s="2"/>
      <c r="D431" s="2"/>
      <c r="E431" s="2" t="str">
        <f>IFERROR(IF(ISBLANK(D431),"",INDEX([1]Gen_Vessels!$A$3:$C$500,MATCH(D431,[1]Gen_Vessels!$C$3:$C$500,0),1)),"")</f>
        <v/>
      </c>
      <c r="F431" s="2"/>
      <c r="G431" s="2"/>
      <c r="H431" s="2" t="str">
        <f>IFERROR(IF(ISBLANK(G431),"",INDEX([1]Gen_Vessels!$A$3:$C$500,MATCH(G431,[1]Gen_Vessels!$C$3:$C$500,0),1)),"")</f>
        <v/>
      </c>
      <c r="I431" s="2"/>
      <c r="J431" s="2"/>
      <c r="K431" s="2"/>
      <c r="L431" s="2"/>
      <c r="N431" s="2"/>
      <c r="O431" s="2"/>
      <c r="P431" s="2"/>
      <c r="Q431" s="2"/>
      <c r="R431" s="2"/>
      <c r="S431" s="2"/>
      <c r="T431" s="2"/>
      <c r="U431" s="2"/>
    </row>
    <row r="432" spans="1:21" x14ac:dyDescent="0.25">
      <c r="A432" s="1" t="str">
        <f t="shared" si="6"/>
        <v/>
      </c>
      <c r="B432" s="2"/>
      <c r="C432" s="2"/>
      <c r="D432" s="2"/>
      <c r="E432" s="2" t="str">
        <f>IFERROR(IF(ISBLANK(D432),"",INDEX([1]Gen_Vessels!$A$3:$C$500,MATCH(D432,[1]Gen_Vessels!$C$3:$C$500,0),1)),"")</f>
        <v/>
      </c>
      <c r="F432" s="2"/>
      <c r="G432" s="2"/>
      <c r="H432" s="2" t="str">
        <f>IFERROR(IF(ISBLANK(G432),"",INDEX([1]Gen_Vessels!$A$3:$C$500,MATCH(G432,[1]Gen_Vessels!$C$3:$C$500,0),1)),"")</f>
        <v/>
      </c>
      <c r="I432" s="2"/>
      <c r="J432" s="2"/>
      <c r="K432" s="2"/>
      <c r="L432" s="2"/>
      <c r="N432" s="2"/>
      <c r="O432" s="2"/>
      <c r="P432" s="2"/>
      <c r="Q432" s="2"/>
      <c r="R432" s="2"/>
      <c r="S432" s="2"/>
      <c r="T432" s="2"/>
      <c r="U432" s="2"/>
    </row>
    <row r="433" spans="1:21" x14ac:dyDescent="0.25">
      <c r="A433" s="1" t="str">
        <f t="shared" si="6"/>
        <v/>
      </c>
      <c r="B433" s="2"/>
      <c r="C433" s="2"/>
      <c r="D433" s="2"/>
      <c r="E433" s="2" t="str">
        <f>IFERROR(IF(ISBLANK(D433),"",INDEX([1]Gen_Vessels!$A$3:$C$500,MATCH(D433,[1]Gen_Vessels!$C$3:$C$500,0),1)),"")</f>
        <v/>
      </c>
      <c r="F433" s="2"/>
      <c r="G433" s="2"/>
      <c r="H433" s="2" t="str">
        <f>IFERROR(IF(ISBLANK(G433),"",INDEX([1]Gen_Vessels!$A$3:$C$500,MATCH(G433,[1]Gen_Vessels!$C$3:$C$500,0),1)),"")</f>
        <v/>
      </c>
      <c r="I433" s="2"/>
      <c r="J433" s="2"/>
      <c r="K433" s="2"/>
      <c r="L433" s="2"/>
      <c r="N433" s="2"/>
      <c r="O433" s="2"/>
      <c r="P433" s="2"/>
      <c r="Q433" s="2"/>
      <c r="R433" s="2"/>
      <c r="S433" s="2"/>
      <c r="T433" s="2"/>
      <c r="U433" s="2"/>
    </row>
    <row r="434" spans="1:21" x14ac:dyDescent="0.25">
      <c r="A434" s="1" t="str">
        <f t="shared" si="6"/>
        <v/>
      </c>
      <c r="B434" s="2"/>
      <c r="C434" s="2"/>
      <c r="D434" s="2"/>
      <c r="E434" s="2" t="str">
        <f>IFERROR(IF(ISBLANK(D434),"",INDEX([1]Gen_Vessels!$A$3:$C$500,MATCH(D434,[1]Gen_Vessels!$C$3:$C$500,0),1)),"")</f>
        <v/>
      </c>
      <c r="F434" s="2"/>
      <c r="G434" s="2"/>
      <c r="H434" s="2" t="str">
        <f>IFERROR(IF(ISBLANK(G434),"",INDEX([1]Gen_Vessels!$A$3:$C$500,MATCH(G434,[1]Gen_Vessels!$C$3:$C$500,0),1)),"")</f>
        <v/>
      </c>
      <c r="I434" s="2"/>
      <c r="J434" s="2"/>
      <c r="K434" s="2"/>
      <c r="L434" s="2"/>
      <c r="N434" s="2"/>
      <c r="O434" s="2"/>
      <c r="P434" s="2"/>
      <c r="Q434" s="2"/>
      <c r="R434" s="2"/>
      <c r="S434" s="2"/>
      <c r="T434" s="2"/>
      <c r="U434" s="2"/>
    </row>
    <row r="435" spans="1:21" x14ac:dyDescent="0.25">
      <c r="A435" s="1" t="str">
        <f t="shared" si="6"/>
        <v/>
      </c>
      <c r="B435" s="2"/>
      <c r="C435" s="2"/>
      <c r="D435" s="2"/>
      <c r="E435" s="2" t="str">
        <f>IFERROR(IF(ISBLANK(D435),"",INDEX([1]Gen_Vessels!$A$3:$C$500,MATCH(D435,[1]Gen_Vessels!$C$3:$C$500,0),1)),"")</f>
        <v/>
      </c>
      <c r="F435" s="2"/>
      <c r="G435" s="2"/>
      <c r="H435" s="2" t="str">
        <f>IFERROR(IF(ISBLANK(G435),"",INDEX([1]Gen_Vessels!$A$3:$C$500,MATCH(G435,[1]Gen_Vessels!$C$3:$C$500,0),1)),"")</f>
        <v/>
      </c>
      <c r="I435" s="2"/>
      <c r="J435" s="2"/>
      <c r="K435" s="2"/>
      <c r="L435" s="2"/>
      <c r="N435" s="2"/>
      <c r="O435" s="2"/>
      <c r="P435" s="2"/>
      <c r="Q435" s="2"/>
      <c r="R435" s="2"/>
      <c r="S435" s="2"/>
      <c r="T435" s="2"/>
      <c r="U435" s="2"/>
    </row>
    <row r="436" spans="1:21" x14ac:dyDescent="0.25">
      <c r="A436" s="1" t="str">
        <f t="shared" si="6"/>
        <v/>
      </c>
      <c r="B436" s="2"/>
      <c r="C436" s="2"/>
      <c r="D436" s="2"/>
      <c r="E436" s="2" t="str">
        <f>IFERROR(IF(ISBLANK(D436),"",INDEX([1]Gen_Vessels!$A$3:$C$500,MATCH(D436,[1]Gen_Vessels!$C$3:$C$500,0),1)),"")</f>
        <v/>
      </c>
      <c r="F436" s="2"/>
      <c r="G436" s="2"/>
      <c r="H436" s="2" t="str">
        <f>IFERROR(IF(ISBLANK(G436),"",INDEX([1]Gen_Vessels!$A$3:$C$500,MATCH(G436,[1]Gen_Vessels!$C$3:$C$500,0),1)),"")</f>
        <v/>
      </c>
      <c r="I436" s="2"/>
      <c r="J436" s="2"/>
      <c r="K436" s="2"/>
      <c r="L436" s="2"/>
      <c r="N436" s="2"/>
      <c r="O436" s="2"/>
      <c r="P436" s="2"/>
      <c r="Q436" s="2"/>
      <c r="R436" s="2"/>
      <c r="S436" s="2"/>
      <c r="T436" s="2"/>
      <c r="U436" s="2"/>
    </row>
    <row r="437" spans="1:21" x14ac:dyDescent="0.25">
      <c r="A437" s="1" t="str">
        <f t="shared" si="6"/>
        <v/>
      </c>
      <c r="B437" s="2"/>
      <c r="C437" s="2"/>
      <c r="D437" s="2"/>
      <c r="E437" s="2" t="str">
        <f>IFERROR(IF(ISBLANK(D437),"",INDEX([1]Gen_Vessels!$A$3:$C$500,MATCH(D437,[1]Gen_Vessels!$C$3:$C$500,0),1)),"")</f>
        <v/>
      </c>
      <c r="F437" s="2"/>
      <c r="G437" s="2"/>
      <c r="H437" s="2" t="str">
        <f>IFERROR(IF(ISBLANK(G437),"",INDEX([1]Gen_Vessels!$A$3:$C$500,MATCH(G437,[1]Gen_Vessels!$C$3:$C$500,0),1)),"")</f>
        <v/>
      </c>
      <c r="I437" s="2"/>
      <c r="J437" s="2"/>
      <c r="K437" s="2"/>
      <c r="L437" s="2"/>
      <c r="N437" s="2"/>
      <c r="O437" s="2"/>
      <c r="P437" s="2"/>
      <c r="Q437" s="2"/>
      <c r="R437" s="2"/>
      <c r="S437" s="2"/>
      <c r="T437" s="2"/>
      <c r="U437" s="2"/>
    </row>
    <row r="438" spans="1:21" x14ac:dyDescent="0.25">
      <c r="A438" s="1" t="str">
        <f t="shared" si="6"/>
        <v/>
      </c>
      <c r="B438" s="2"/>
      <c r="C438" s="2"/>
      <c r="D438" s="2"/>
      <c r="E438" s="2" t="str">
        <f>IFERROR(IF(ISBLANK(D438),"",INDEX([1]Gen_Vessels!$A$3:$C$500,MATCH(D438,[1]Gen_Vessels!$C$3:$C$500,0),1)),"")</f>
        <v/>
      </c>
      <c r="F438" s="2"/>
      <c r="G438" s="2"/>
      <c r="H438" s="2" t="str">
        <f>IFERROR(IF(ISBLANK(G438),"",INDEX([1]Gen_Vessels!$A$3:$C$500,MATCH(G438,[1]Gen_Vessels!$C$3:$C$500,0),1)),"")</f>
        <v/>
      </c>
      <c r="I438" s="2"/>
      <c r="J438" s="2"/>
      <c r="K438" s="2"/>
      <c r="L438" s="2"/>
      <c r="N438" s="2"/>
      <c r="O438" s="2"/>
      <c r="P438" s="2"/>
      <c r="Q438" s="2"/>
      <c r="R438" s="2"/>
      <c r="S438" s="2"/>
      <c r="T438" s="2"/>
      <c r="U438" s="2"/>
    </row>
    <row r="439" spans="1:21" x14ac:dyDescent="0.25">
      <c r="A439" s="1" t="str">
        <f t="shared" si="6"/>
        <v/>
      </c>
      <c r="B439" s="2"/>
      <c r="C439" s="2"/>
      <c r="D439" s="2"/>
      <c r="E439" s="2" t="str">
        <f>IFERROR(IF(ISBLANK(D439),"",INDEX([1]Gen_Vessels!$A$3:$C$500,MATCH(D439,[1]Gen_Vessels!$C$3:$C$500,0),1)),"")</f>
        <v/>
      </c>
      <c r="F439" s="2"/>
      <c r="G439" s="2"/>
      <c r="H439" s="2" t="str">
        <f>IFERROR(IF(ISBLANK(G439),"",INDEX([1]Gen_Vessels!$A$3:$C$500,MATCH(G439,[1]Gen_Vessels!$C$3:$C$500,0),1)),"")</f>
        <v/>
      </c>
      <c r="I439" s="2"/>
      <c r="J439" s="2"/>
      <c r="K439" s="2"/>
      <c r="L439" s="2"/>
      <c r="N439" s="2"/>
      <c r="O439" s="2"/>
      <c r="P439" s="2"/>
      <c r="Q439" s="2"/>
      <c r="R439" s="2"/>
      <c r="S439" s="2"/>
      <c r="T439" s="2"/>
      <c r="U439" s="2"/>
    </row>
    <row r="440" spans="1:21" x14ac:dyDescent="0.25">
      <c r="A440" s="1" t="str">
        <f t="shared" si="6"/>
        <v/>
      </c>
      <c r="B440" s="2"/>
      <c r="C440" s="2"/>
      <c r="D440" s="2"/>
      <c r="E440" s="2" t="str">
        <f>IFERROR(IF(ISBLANK(D440),"",INDEX([1]Gen_Vessels!$A$3:$C$500,MATCH(D440,[1]Gen_Vessels!$C$3:$C$500,0),1)),"")</f>
        <v/>
      </c>
      <c r="F440" s="2"/>
      <c r="G440" s="2"/>
      <c r="H440" s="2" t="str">
        <f>IFERROR(IF(ISBLANK(G440),"",INDEX([1]Gen_Vessels!$A$3:$C$500,MATCH(G440,[1]Gen_Vessels!$C$3:$C$500,0),1)),"")</f>
        <v/>
      </c>
      <c r="I440" s="2"/>
      <c r="J440" s="2"/>
      <c r="K440" s="2"/>
      <c r="L440" s="2"/>
      <c r="N440" s="2"/>
      <c r="O440" s="2"/>
      <c r="P440" s="2"/>
      <c r="Q440" s="2"/>
      <c r="R440" s="2"/>
      <c r="S440" s="2"/>
      <c r="T440" s="2"/>
      <c r="U440" s="2"/>
    </row>
    <row r="441" spans="1:21" x14ac:dyDescent="0.25">
      <c r="A441" s="1" t="str">
        <f t="shared" si="6"/>
        <v/>
      </c>
      <c r="B441" s="2"/>
      <c r="C441" s="2"/>
      <c r="D441" s="2"/>
      <c r="E441" s="2" t="str">
        <f>IFERROR(IF(ISBLANK(D441),"",INDEX([1]Gen_Vessels!$A$3:$C$500,MATCH(D441,[1]Gen_Vessels!$C$3:$C$500,0),1)),"")</f>
        <v/>
      </c>
      <c r="F441" s="2"/>
      <c r="G441" s="2"/>
      <c r="H441" s="2" t="str">
        <f>IFERROR(IF(ISBLANK(G441),"",INDEX([1]Gen_Vessels!$A$3:$C$500,MATCH(G441,[1]Gen_Vessels!$C$3:$C$500,0),1)),"")</f>
        <v/>
      </c>
      <c r="I441" s="2"/>
      <c r="J441" s="2"/>
      <c r="K441" s="2"/>
      <c r="L441" s="2"/>
      <c r="N441" s="2"/>
      <c r="O441" s="2"/>
      <c r="P441" s="2"/>
      <c r="Q441" s="2"/>
      <c r="R441" s="2"/>
      <c r="S441" s="2"/>
      <c r="T441" s="2"/>
      <c r="U441" s="2"/>
    </row>
    <row r="442" spans="1:21" x14ac:dyDescent="0.25">
      <c r="A442" s="1" t="str">
        <f t="shared" si="6"/>
        <v/>
      </c>
      <c r="B442" s="2"/>
      <c r="C442" s="2"/>
      <c r="D442" s="2"/>
      <c r="E442" s="2" t="str">
        <f>IFERROR(IF(ISBLANK(D442),"",INDEX([1]Gen_Vessels!$A$3:$C$500,MATCH(D442,[1]Gen_Vessels!$C$3:$C$500,0),1)),"")</f>
        <v/>
      </c>
      <c r="F442" s="2"/>
      <c r="G442" s="2"/>
      <c r="H442" s="2" t="str">
        <f>IFERROR(IF(ISBLANK(G442),"",INDEX([1]Gen_Vessels!$A$3:$C$500,MATCH(G442,[1]Gen_Vessels!$C$3:$C$500,0),1)),"")</f>
        <v/>
      </c>
      <c r="I442" s="2"/>
      <c r="J442" s="2"/>
      <c r="K442" s="2"/>
      <c r="L442" s="2"/>
      <c r="N442" s="2"/>
      <c r="O442" s="2"/>
      <c r="P442" s="2"/>
      <c r="Q442" s="2"/>
      <c r="R442" s="2"/>
      <c r="S442" s="2"/>
      <c r="T442" s="2"/>
      <c r="U442" s="2"/>
    </row>
    <row r="443" spans="1:21" x14ac:dyDescent="0.25">
      <c r="A443" s="1" t="str">
        <f t="shared" si="6"/>
        <v/>
      </c>
      <c r="B443" s="2"/>
      <c r="C443" s="2"/>
      <c r="D443" s="2"/>
      <c r="E443" s="2" t="str">
        <f>IFERROR(IF(ISBLANK(D443),"",INDEX([1]Gen_Vessels!$A$3:$C$500,MATCH(D443,[1]Gen_Vessels!$C$3:$C$500,0),1)),"")</f>
        <v/>
      </c>
      <c r="F443" s="2"/>
      <c r="G443" s="2"/>
      <c r="H443" s="2" t="str">
        <f>IFERROR(IF(ISBLANK(G443),"",INDEX([1]Gen_Vessels!$A$3:$C$500,MATCH(G443,[1]Gen_Vessels!$C$3:$C$500,0),1)),"")</f>
        <v/>
      </c>
      <c r="I443" s="2"/>
      <c r="J443" s="2"/>
      <c r="K443" s="2"/>
      <c r="L443" s="2"/>
      <c r="N443" s="2"/>
      <c r="O443" s="2"/>
      <c r="P443" s="2"/>
      <c r="Q443" s="2"/>
      <c r="R443" s="2"/>
      <c r="S443" s="2"/>
      <c r="T443" s="2"/>
      <c r="U443" s="2"/>
    </row>
    <row r="444" spans="1:21" x14ac:dyDescent="0.25">
      <c r="A444" s="1" t="str">
        <f t="shared" si="6"/>
        <v/>
      </c>
      <c r="B444" s="2"/>
      <c r="C444" s="2"/>
      <c r="D444" s="2"/>
      <c r="E444" s="2" t="str">
        <f>IFERROR(IF(ISBLANK(D444),"",INDEX([1]Gen_Vessels!$A$3:$C$500,MATCH(D444,[1]Gen_Vessels!$C$3:$C$500,0),1)),"")</f>
        <v/>
      </c>
      <c r="F444" s="2"/>
      <c r="G444" s="2"/>
      <c r="H444" s="2" t="str">
        <f>IFERROR(IF(ISBLANK(G444),"",INDEX([1]Gen_Vessels!$A$3:$C$500,MATCH(G444,[1]Gen_Vessels!$C$3:$C$500,0),1)),"")</f>
        <v/>
      </c>
      <c r="I444" s="2"/>
      <c r="J444" s="2"/>
      <c r="K444" s="2"/>
      <c r="L444" s="2"/>
      <c r="N444" s="2"/>
      <c r="O444" s="2"/>
      <c r="P444" s="2"/>
      <c r="Q444" s="2"/>
      <c r="R444" s="2"/>
      <c r="S444" s="2"/>
      <c r="T444" s="2"/>
      <c r="U444" s="2"/>
    </row>
    <row r="445" spans="1:21" x14ac:dyDescent="0.25">
      <c r="A445" s="1" t="str">
        <f t="shared" si="6"/>
        <v/>
      </c>
      <c r="B445" s="2"/>
      <c r="C445" s="2"/>
      <c r="D445" s="2"/>
      <c r="E445" s="2" t="str">
        <f>IFERROR(IF(ISBLANK(D445),"",INDEX([1]Gen_Vessels!$A$3:$C$500,MATCH(D445,[1]Gen_Vessels!$C$3:$C$500,0),1)),"")</f>
        <v/>
      </c>
      <c r="F445" s="2"/>
      <c r="G445" s="2"/>
      <c r="H445" s="2" t="str">
        <f>IFERROR(IF(ISBLANK(G445),"",INDEX([1]Gen_Vessels!$A$3:$C$500,MATCH(G445,[1]Gen_Vessels!$C$3:$C$500,0),1)),"")</f>
        <v/>
      </c>
      <c r="I445" s="2"/>
      <c r="J445" s="2"/>
      <c r="K445" s="2"/>
      <c r="L445" s="2"/>
      <c r="N445" s="2"/>
      <c r="O445" s="2"/>
      <c r="P445" s="2"/>
      <c r="Q445" s="2"/>
      <c r="R445" s="2"/>
      <c r="S445" s="2"/>
      <c r="T445" s="2"/>
      <c r="U445" s="2"/>
    </row>
    <row r="446" spans="1:21" x14ac:dyDescent="0.25">
      <c r="A446" s="1" t="str">
        <f t="shared" si="6"/>
        <v/>
      </c>
      <c r="B446" s="2"/>
      <c r="C446" s="2"/>
      <c r="D446" s="2"/>
      <c r="E446" s="2" t="str">
        <f>IFERROR(IF(ISBLANK(D446),"",INDEX([1]Gen_Vessels!$A$3:$C$500,MATCH(D446,[1]Gen_Vessels!$C$3:$C$500,0),1)),"")</f>
        <v/>
      </c>
      <c r="F446" s="2"/>
      <c r="G446" s="2"/>
      <c r="H446" s="2" t="str">
        <f>IFERROR(IF(ISBLANK(G446),"",INDEX([1]Gen_Vessels!$A$3:$C$500,MATCH(G446,[1]Gen_Vessels!$C$3:$C$500,0),1)),"")</f>
        <v/>
      </c>
      <c r="I446" s="2"/>
      <c r="J446" s="2"/>
      <c r="K446" s="2"/>
      <c r="L446" s="2"/>
      <c r="N446" s="2"/>
      <c r="O446" s="2"/>
      <c r="P446" s="2"/>
      <c r="Q446" s="2"/>
      <c r="R446" s="2"/>
      <c r="S446" s="2"/>
      <c r="T446" s="2"/>
      <c r="U446" s="2"/>
    </row>
    <row r="447" spans="1:21" x14ac:dyDescent="0.25">
      <c r="A447" s="1" t="str">
        <f t="shared" si="6"/>
        <v/>
      </c>
      <c r="B447" s="2"/>
      <c r="C447" s="2"/>
      <c r="D447" s="2"/>
      <c r="E447" s="2" t="str">
        <f>IFERROR(IF(ISBLANK(D447),"",INDEX([1]Gen_Vessels!$A$3:$C$500,MATCH(D447,[1]Gen_Vessels!$C$3:$C$500,0),1)),"")</f>
        <v/>
      </c>
      <c r="F447" s="2"/>
      <c r="G447" s="2"/>
      <c r="H447" s="2" t="str">
        <f>IFERROR(IF(ISBLANK(G447),"",INDEX([1]Gen_Vessels!$A$3:$C$500,MATCH(G447,[1]Gen_Vessels!$C$3:$C$500,0),1)),"")</f>
        <v/>
      </c>
      <c r="I447" s="2"/>
      <c r="J447" s="2"/>
      <c r="K447" s="2"/>
      <c r="L447" s="2"/>
      <c r="N447" s="2"/>
      <c r="O447" s="2"/>
      <c r="P447" s="2"/>
      <c r="Q447" s="2"/>
      <c r="R447" s="2"/>
      <c r="S447" s="2"/>
      <c r="T447" s="2"/>
      <c r="U447" s="2"/>
    </row>
    <row r="448" spans="1:21" x14ac:dyDescent="0.25">
      <c r="A448" s="1" t="str">
        <f t="shared" si="6"/>
        <v/>
      </c>
      <c r="B448" s="2"/>
      <c r="C448" s="2"/>
      <c r="D448" s="2"/>
      <c r="E448" s="2" t="str">
        <f>IFERROR(IF(ISBLANK(D448),"",INDEX([1]Gen_Vessels!$A$3:$C$500,MATCH(D448,[1]Gen_Vessels!$C$3:$C$500,0),1)),"")</f>
        <v/>
      </c>
      <c r="F448" s="2"/>
      <c r="G448" s="2"/>
      <c r="H448" s="2" t="str">
        <f>IFERROR(IF(ISBLANK(G448),"",INDEX([1]Gen_Vessels!$A$3:$C$500,MATCH(G448,[1]Gen_Vessels!$C$3:$C$500,0),1)),"")</f>
        <v/>
      </c>
      <c r="I448" s="2"/>
      <c r="J448" s="2"/>
      <c r="K448" s="2"/>
      <c r="L448" s="2"/>
      <c r="N448" s="2"/>
      <c r="O448" s="2"/>
      <c r="P448" s="2"/>
      <c r="Q448" s="2"/>
      <c r="R448" s="2"/>
      <c r="S448" s="2"/>
      <c r="T448" s="2"/>
      <c r="U448" s="2"/>
    </row>
    <row r="449" spans="1:21" x14ac:dyDescent="0.25">
      <c r="A449" s="1" t="str">
        <f t="shared" si="6"/>
        <v/>
      </c>
      <c r="B449" s="2"/>
      <c r="C449" s="2"/>
      <c r="D449" s="2"/>
      <c r="E449" s="2" t="str">
        <f>IFERROR(IF(ISBLANK(D449),"",INDEX([1]Gen_Vessels!$A$3:$C$500,MATCH(D449,[1]Gen_Vessels!$C$3:$C$500,0),1)),"")</f>
        <v/>
      </c>
      <c r="F449" s="2"/>
      <c r="G449" s="2"/>
      <c r="H449" s="2" t="str">
        <f>IFERROR(IF(ISBLANK(G449),"",INDEX([1]Gen_Vessels!$A$3:$C$500,MATCH(G449,[1]Gen_Vessels!$C$3:$C$500,0),1)),"")</f>
        <v/>
      </c>
      <c r="I449" s="2"/>
      <c r="J449" s="2"/>
      <c r="K449" s="2"/>
      <c r="L449" s="2"/>
      <c r="N449" s="2"/>
      <c r="O449" s="2"/>
      <c r="P449" s="2"/>
      <c r="Q449" s="2"/>
      <c r="R449" s="2"/>
      <c r="S449" s="2"/>
      <c r="T449" s="2"/>
      <c r="U449" s="2"/>
    </row>
    <row r="450" spans="1:21" x14ac:dyDescent="0.25">
      <c r="A450" s="1" t="str">
        <f t="shared" si="6"/>
        <v/>
      </c>
      <c r="B450" s="2"/>
      <c r="C450" s="2"/>
      <c r="D450" s="2"/>
      <c r="E450" s="2" t="str">
        <f>IFERROR(IF(ISBLANK(D450),"",INDEX([1]Gen_Vessels!$A$3:$C$500,MATCH(D450,[1]Gen_Vessels!$C$3:$C$500,0),1)),"")</f>
        <v/>
      </c>
      <c r="F450" s="2"/>
      <c r="G450" s="2"/>
      <c r="H450" s="2" t="str">
        <f>IFERROR(IF(ISBLANK(G450),"",INDEX([1]Gen_Vessels!$A$3:$C$500,MATCH(G450,[1]Gen_Vessels!$C$3:$C$500,0),1)),"")</f>
        <v/>
      </c>
      <c r="I450" s="2"/>
      <c r="J450" s="2"/>
      <c r="K450" s="2"/>
      <c r="L450" s="2"/>
      <c r="N450" s="2"/>
      <c r="O450" s="2"/>
      <c r="P450" s="2"/>
      <c r="Q450" s="2"/>
      <c r="R450" s="2"/>
      <c r="S450" s="2"/>
      <c r="T450" s="2"/>
      <c r="U450" s="2"/>
    </row>
    <row r="451" spans="1:21" x14ac:dyDescent="0.25">
      <c r="A451" s="1" t="str">
        <f t="shared" si="6"/>
        <v/>
      </c>
      <c r="B451" s="2"/>
      <c r="C451" s="2"/>
      <c r="D451" s="2"/>
      <c r="E451" s="2" t="str">
        <f>IFERROR(IF(ISBLANK(D451),"",INDEX([1]Gen_Vessels!$A$3:$C$500,MATCH(D451,[1]Gen_Vessels!$C$3:$C$500,0),1)),"")</f>
        <v/>
      </c>
      <c r="F451" s="2"/>
      <c r="G451" s="2"/>
      <c r="H451" s="2" t="str">
        <f>IFERROR(IF(ISBLANK(G451),"",INDEX([1]Gen_Vessels!$A$3:$C$500,MATCH(G451,[1]Gen_Vessels!$C$3:$C$500,0),1)),"")</f>
        <v/>
      </c>
      <c r="I451" s="2"/>
      <c r="J451" s="2"/>
      <c r="K451" s="2"/>
      <c r="L451" s="2"/>
      <c r="N451" s="2"/>
      <c r="O451" s="2"/>
      <c r="P451" s="2"/>
      <c r="Q451" s="2"/>
      <c r="R451" s="2"/>
      <c r="S451" s="2"/>
      <c r="T451" s="2"/>
      <c r="U451" s="2"/>
    </row>
    <row r="452" spans="1:21" x14ac:dyDescent="0.25">
      <c r="A452" s="1" t="str">
        <f t="shared" ref="A452:A500" si="7">IF(ISBLANK($B452)=FALSE,_xlfn.CONCAT($B452,"_tow"),"")</f>
        <v/>
      </c>
      <c r="B452" s="2"/>
      <c r="C452" s="2"/>
      <c r="D452" s="2"/>
      <c r="E452" s="2" t="str">
        <f>IFERROR(IF(ISBLANK(D452),"",INDEX([1]Gen_Vessels!$A$3:$C$500,MATCH(D452,[1]Gen_Vessels!$C$3:$C$500,0),1)),"")</f>
        <v/>
      </c>
      <c r="F452" s="2"/>
      <c r="G452" s="2"/>
      <c r="H452" s="2" t="str">
        <f>IFERROR(IF(ISBLANK(G452),"",INDEX([1]Gen_Vessels!$A$3:$C$500,MATCH(G452,[1]Gen_Vessels!$C$3:$C$500,0),1)),"")</f>
        <v/>
      </c>
      <c r="I452" s="2"/>
      <c r="J452" s="2"/>
      <c r="K452" s="2"/>
      <c r="L452" s="2"/>
      <c r="N452" s="2"/>
      <c r="O452" s="2"/>
      <c r="P452" s="2"/>
      <c r="Q452" s="2"/>
      <c r="R452" s="2"/>
      <c r="S452" s="2"/>
      <c r="T452" s="2"/>
      <c r="U452" s="2"/>
    </row>
    <row r="453" spans="1:21" x14ac:dyDescent="0.25">
      <c r="A453" s="1" t="str">
        <f t="shared" si="7"/>
        <v/>
      </c>
      <c r="B453" s="2"/>
      <c r="C453" s="2"/>
      <c r="D453" s="2"/>
      <c r="E453" s="2" t="str">
        <f>IFERROR(IF(ISBLANK(D453),"",INDEX([1]Gen_Vessels!$A$3:$C$500,MATCH(D453,[1]Gen_Vessels!$C$3:$C$500,0),1)),"")</f>
        <v/>
      </c>
      <c r="F453" s="2"/>
      <c r="G453" s="2"/>
      <c r="H453" s="2" t="str">
        <f>IFERROR(IF(ISBLANK(G453),"",INDEX([1]Gen_Vessels!$A$3:$C$500,MATCH(G453,[1]Gen_Vessels!$C$3:$C$500,0),1)),"")</f>
        <v/>
      </c>
      <c r="I453" s="2"/>
      <c r="J453" s="2"/>
      <c r="K453" s="2"/>
      <c r="L453" s="2"/>
      <c r="N453" s="2"/>
      <c r="O453" s="2"/>
      <c r="P453" s="2"/>
      <c r="Q453" s="2"/>
      <c r="R453" s="2"/>
      <c r="S453" s="2"/>
      <c r="T453" s="2"/>
      <c r="U453" s="2"/>
    </row>
    <row r="454" spans="1:21" x14ac:dyDescent="0.25">
      <c r="A454" s="1" t="str">
        <f t="shared" si="7"/>
        <v/>
      </c>
      <c r="B454" s="2"/>
      <c r="C454" s="2"/>
      <c r="D454" s="2"/>
      <c r="E454" s="2" t="str">
        <f>IFERROR(IF(ISBLANK(D454),"",INDEX([1]Gen_Vessels!$A$3:$C$500,MATCH(D454,[1]Gen_Vessels!$C$3:$C$500,0),1)),"")</f>
        <v/>
      </c>
      <c r="F454" s="2"/>
      <c r="G454" s="2"/>
      <c r="H454" s="2" t="str">
        <f>IFERROR(IF(ISBLANK(G454),"",INDEX([1]Gen_Vessels!$A$3:$C$500,MATCH(G454,[1]Gen_Vessels!$C$3:$C$500,0),1)),"")</f>
        <v/>
      </c>
      <c r="I454" s="2"/>
      <c r="J454" s="2"/>
      <c r="K454" s="2"/>
      <c r="L454" s="2"/>
      <c r="N454" s="2"/>
      <c r="O454" s="2"/>
      <c r="P454" s="2"/>
      <c r="Q454" s="2"/>
      <c r="R454" s="2"/>
      <c r="S454" s="2"/>
      <c r="T454" s="2"/>
      <c r="U454" s="2"/>
    </row>
    <row r="455" spans="1:21" x14ac:dyDescent="0.25">
      <c r="A455" s="1" t="str">
        <f t="shared" si="7"/>
        <v/>
      </c>
      <c r="B455" s="2"/>
      <c r="C455" s="2"/>
      <c r="D455" s="2"/>
      <c r="E455" s="2" t="str">
        <f>IFERROR(IF(ISBLANK(D455),"",INDEX([1]Gen_Vessels!$A$3:$C$500,MATCH(D455,[1]Gen_Vessels!$C$3:$C$500,0),1)),"")</f>
        <v/>
      </c>
      <c r="F455" s="2"/>
      <c r="G455" s="2"/>
      <c r="H455" s="2" t="str">
        <f>IFERROR(IF(ISBLANK(G455),"",INDEX([1]Gen_Vessels!$A$3:$C$500,MATCH(G455,[1]Gen_Vessels!$C$3:$C$500,0),1)),"")</f>
        <v/>
      </c>
      <c r="I455" s="2"/>
      <c r="J455" s="2"/>
      <c r="K455" s="2"/>
      <c r="L455" s="2"/>
      <c r="N455" s="2"/>
      <c r="O455" s="2"/>
      <c r="P455" s="2"/>
      <c r="Q455" s="2"/>
      <c r="R455" s="2"/>
      <c r="S455" s="2"/>
      <c r="T455" s="2"/>
      <c r="U455" s="2"/>
    </row>
    <row r="456" spans="1:21" x14ac:dyDescent="0.25">
      <c r="A456" s="1" t="str">
        <f t="shared" si="7"/>
        <v/>
      </c>
      <c r="B456" s="2"/>
      <c r="C456" s="2"/>
      <c r="D456" s="2"/>
      <c r="E456" s="2" t="str">
        <f>IFERROR(IF(ISBLANK(D456),"",INDEX([1]Gen_Vessels!$A$3:$C$500,MATCH(D456,[1]Gen_Vessels!$C$3:$C$500,0),1)),"")</f>
        <v/>
      </c>
      <c r="F456" s="2"/>
      <c r="G456" s="2"/>
      <c r="H456" s="2" t="str">
        <f>IFERROR(IF(ISBLANK(G456),"",INDEX([1]Gen_Vessels!$A$3:$C$500,MATCH(G456,[1]Gen_Vessels!$C$3:$C$500,0),1)),"")</f>
        <v/>
      </c>
      <c r="I456" s="2"/>
      <c r="J456" s="2"/>
      <c r="K456" s="2"/>
      <c r="L456" s="2"/>
      <c r="N456" s="2"/>
      <c r="O456" s="2"/>
      <c r="P456" s="2"/>
      <c r="Q456" s="2"/>
      <c r="R456" s="2"/>
      <c r="S456" s="2"/>
      <c r="T456" s="2"/>
      <c r="U456" s="2"/>
    </row>
    <row r="457" spans="1:21" x14ac:dyDescent="0.25">
      <c r="A457" s="1" t="str">
        <f t="shared" si="7"/>
        <v/>
      </c>
      <c r="B457" s="2"/>
      <c r="C457" s="2"/>
      <c r="D457" s="2"/>
      <c r="E457" s="2" t="str">
        <f>IFERROR(IF(ISBLANK(D457),"",INDEX([1]Gen_Vessels!$A$3:$C$500,MATCH(D457,[1]Gen_Vessels!$C$3:$C$500,0),1)),"")</f>
        <v/>
      </c>
      <c r="F457" s="2"/>
      <c r="G457" s="2"/>
      <c r="H457" s="2" t="str">
        <f>IFERROR(IF(ISBLANK(G457),"",INDEX([1]Gen_Vessels!$A$3:$C$500,MATCH(G457,[1]Gen_Vessels!$C$3:$C$500,0),1)),"")</f>
        <v/>
      </c>
      <c r="I457" s="2"/>
      <c r="J457" s="2"/>
      <c r="K457" s="2"/>
      <c r="L457" s="2"/>
      <c r="N457" s="2"/>
      <c r="O457" s="2"/>
      <c r="P457" s="2"/>
      <c r="Q457" s="2"/>
      <c r="R457" s="2"/>
      <c r="S457" s="2"/>
      <c r="T457" s="2"/>
      <c r="U457" s="2"/>
    </row>
    <row r="458" spans="1:21" x14ac:dyDescent="0.25">
      <c r="A458" s="1" t="str">
        <f t="shared" si="7"/>
        <v/>
      </c>
      <c r="B458" s="2"/>
      <c r="C458" s="2"/>
      <c r="D458" s="2"/>
      <c r="E458" s="2" t="str">
        <f>IFERROR(IF(ISBLANK(D458),"",INDEX([1]Gen_Vessels!$A$3:$C$500,MATCH(D458,[1]Gen_Vessels!$C$3:$C$500,0),1)),"")</f>
        <v/>
      </c>
      <c r="F458" s="2"/>
      <c r="G458" s="2"/>
      <c r="H458" s="2" t="str">
        <f>IFERROR(IF(ISBLANK(G458),"",INDEX([1]Gen_Vessels!$A$3:$C$500,MATCH(G458,[1]Gen_Vessels!$C$3:$C$500,0),1)),"")</f>
        <v/>
      </c>
      <c r="I458" s="2"/>
      <c r="J458" s="2"/>
      <c r="K458" s="2"/>
      <c r="L458" s="2"/>
      <c r="N458" s="2"/>
      <c r="O458" s="2"/>
      <c r="P458" s="2"/>
      <c r="Q458" s="2"/>
      <c r="R458" s="2"/>
      <c r="S458" s="2"/>
      <c r="T458" s="2"/>
      <c r="U458" s="2"/>
    </row>
    <row r="459" spans="1:21" x14ac:dyDescent="0.25">
      <c r="A459" s="1" t="str">
        <f t="shared" si="7"/>
        <v/>
      </c>
      <c r="B459" s="2"/>
      <c r="C459" s="2"/>
      <c r="D459" s="2"/>
      <c r="E459" s="2" t="str">
        <f>IFERROR(IF(ISBLANK(D459),"",INDEX([1]Gen_Vessels!$A$3:$C$500,MATCH(D459,[1]Gen_Vessels!$C$3:$C$500,0),1)),"")</f>
        <v/>
      </c>
      <c r="F459" s="2"/>
      <c r="G459" s="2"/>
      <c r="H459" s="2" t="str">
        <f>IFERROR(IF(ISBLANK(G459),"",INDEX([1]Gen_Vessels!$A$3:$C$500,MATCH(G459,[1]Gen_Vessels!$C$3:$C$500,0),1)),"")</f>
        <v/>
      </c>
      <c r="I459" s="2"/>
      <c r="J459" s="2"/>
      <c r="K459" s="2"/>
      <c r="L459" s="2"/>
      <c r="N459" s="2"/>
      <c r="O459" s="2"/>
      <c r="P459" s="2"/>
      <c r="Q459" s="2"/>
      <c r="R459" s="2"/>
      <c r="S459" s="2"/>
      <c r="T459" s="2"/>
      <c r="U459" s="2"/>
    </row>
    <row r="460" spans="1:21" x14ac:dyDescent="0.25">
      <c r="A460" s="1" t="str">
        <f t="shared" si="7"/>
        <v/>
      </c>
      <c r="B460" s="2"/>
      <c r="C460" s="2"/>
      <c r="D460" s="2"/>
      <c r="E460" s="2" t="str">
        <f>IFERROR(IF(ISBLANK(D460),"",INDEX([1]Gen_Vessels!$A$3:$C$500,MATCH(D460,[1]Gen_Vessels!$C$3:$C$500,0),1)),"")</f>
        <v/>
      </c>
      <c r="F460" s="2"/>
      <c r="G460" s="2"/>
      <c r="H460" s="2" t="str">
        <f>IFERROR(IF(ISBLANK(G460),"",INDEX([1]Gen_Vessels!$A$3:$C$500,MATCH(G460,[1]Gen_Vessels!$C$3:$C$500,0),1)),"")</f>
        <v/>
      </c>
      <c r="I460" s="2"/>
      <c r="J460" s="2"/>
      <c r="K460" s="2"/>
      <c r="L460" s="2"/>
      <c r="N460" s="2"/>
      <c r="O460" s="2"/>
      <c r="P460" s="2"/>
      <c r="Q460" s="2"/>
      <c r="R460" s="2"/>
      <c r="S460" s="2"/>
      <c r="T460" s="2"/>
      <c r="U460" s="2"/>
    </row>
    <row r="461" spans="1:21" x14ac:dyDescent="0.25">
      <c r="A461" s="1" t="str">
        <f t="shared" si="7"/>
        <v/>
      </c>
      <c r="B461" s="2"/>
      <c r="C461" s="2"/>
      <c r="D461" s="2"/>
      <c r="E461" s="2" t="str">
        <f>IFERROR(IF(ISBLANK(D461),"",INDEX([1]Gen_Vessels!$A$3:$C$500,MATCH(D461,[1]Gen_Vessels!$C$3:$C$500,0),1)),"")</f>
        <v/>
      </c>
      <c r="F461" s="2"/>
      <c r="G461" s="2"/>
      <c r="H461" s="2" t="str">
        <f>IFERROR(IF(ISBLANK(G461),"",INDEX([1]Gen_Vessels!$A$3:$C$500,MATCH(G461,[1]Gen_Vessels!$C$3:$C$500,0),1)),"")</f>
        <v/>
      </c>
      <c r="I461" s="2"/>
      <c r="J461" s="2"/>
      <c r="K461" s="2"/>
      <c r="L461" s="2"/>
      <c r="N461" s="2"/>
      <c r="O461" s="2"/>
      <c r="P461" s="2"/>
      <c r="Q461" s="2"/>
      <c r="R461" s="2"/>
      <c r="S461" s="2"/>
      <c r="T461" s="2"/>
      <c r="U461" s="2"/>
    </row>
    <row r="462" spans="1:21" x14ac:dyDescent="0.25">
      <c r="A462" s="1" t="str">
        <f t="shared" si="7"/>
        <v/>
      </c>
      <c r="B462" s="2"/>
      <c r="C462" s="2"/>
      <c r="D462" s="2"/>
      <c r="E462" s="2" t="str">
        <f>IFERROR(IF(ISBLANK(D462),"",INDEX([1]Gen_Vessels!$A$3:$C$500,MATCH(D462,[1]Gen_Vessels!$C$3:$C$500,0),1)),"")</f>
        <v/>
      </c>
      <c r="F462" s="2"/>
      <c r="G462" s="2"/>
      <c r="H462" s="2" t="str">
        <f>IFERROR(IF(ISBLANK(G462),"",INDEX([1]Gen_Vessels!$A$3:$C$500,MATCH(G462,[1]Gen_Vessels!$C$3:$C$500,0),1)),"")</f>
        <v/>
      </c>
      <c r="I462" s="2"/>
      <c r="J462" s="2"/>
      <c r="K462" s="2"/>
      <c r="L462" s="2"/>
      <c r="N462" s="2"/>
      <c r="O462" s="2"/>
      <c r="P462" s="2"/>
      <c r="Q462" s="2"/>
      <c r="R462" s="2"/>
      <c r="S462" s="2"/>
      <c r="T462" s="2"/>
      <c r="U462" s="2"/>
    </row>
    <row r="463" spans="1:21" x14ac:dyDescent="0.25">
      <c r="A463" s="1" t="str">
        <f t="shared" si="7"/>
        <v/>
      </c>
      <c r="B463" s="2"/>
      <c r="C463" s="2"/>
      <c r="D463" s="2"/>
      <c r="E463" s="2" t="str">
        <f>IFERROR(IF(ISBLANK(D463),"",INDEX([1]Gen_Vessels!$A$3:$C$500,MATCH(D463,[1]Gen_Vessels!$C$3:$C$500,0),1)),"")</f>
        <v/>
      </c>
      <c r="F463" s="2"/>
      <c r="G463" s="2"/>
      <c r="H463" s="2" t="str">
        <f>IFERROR(IF(ISBLANK(G463),"",INDEX([1]Gen_Vessels!$A$3:$C$500,MATCH(G463,[1]Gen_Vessels!$C$3:$C$500,0),1)),"")</f>
        <v/>
      </c>
      <c r="I463" s="2"/>
      <c r="J463" s="2"/>
      <c r="K463" s="2"/>
      <c r="L463" s="2"/>
      <c r="N463" s="2"/>
      <c r="O463" s="2"/>
      <c r="P463" s="2"/>
      <c r="Q463" s="2"/>
      <c r="R463" s="2"/>
      <c r="S463" s="2"/>
      <c r="T463" s="2"/>
      <c r="U463" s="2"/>
    </row>
    <row r="464" spans="1:21" x14ac:dyDescent="0.25">
      <c r="A464" s="1" t="str">
        <f t="shared" si="7"/>
        <v/>
      </c>
      <c r="B464" s="2"/>
      <c r="C464" s="2"/>
      <c r="D464" s="2"/>
      <c r="E464" s="2" t="str">
        <f>IFERROR(IF(ISBLANK(D464),"",INDEX([1]Gen_Vessels!$A$3:$C$500,MATCH(D464,[1]Gen_Vessels!$C$3:$C$500,0),1)),"")</f>
        <v/>
      </c>
      <c r="F464" s="2"/>
      <c r="G464" s="2"/>
      <c r="H464" s="2" t="str">
        <f>IFERROR(IF(ISBLANK(G464),"",INDEX([1]Gen_Vessels!$A$3:$C$500,MATCH(G464,[1]Gen_Vessels!$C$3:$C$500,0),1)),"")</f>
        <v/>
      </c>
      <c r="I464" s="2"/>
      <c r="J464" s="2"/>
      <c r="K464" s="2"/>
      <c r="L464" s="2"/>
      <c r="N464" s="2"/>
      <c r="O464" s="2"/>
      <c r="P464" s="2"/>
      <c r="Q464" s="2"/>
      <c r="R464" s="2"/>
      <c r="S464" s="2"/>
      <c r="T464" s="2"/>
      <c r="U464" s="2"/>
    </row>
    <row r="465" spans="1:21" x14ac:dyDescent="0.25">
      <c r="A465" s="1" t="str">
        <f t="shared" si="7"/>
        <v/>
      </c>
      <c r="B465" s="2"/>
      <c r="C465" s="2"/>
      <c r="D465" s="2"/>
      <c r="E465" s="2" t="str">
        <f>IFERROR(IF(ISBLANK(D465),"",INDEX([1]Gen_Vessels!$A$3:$C$500,MATCH(D465,[1]Gen_Vessels!$C$3:$C$500,0),1)),"")</f>
        <v/>
      </c>
      <c r="F465" s="2"/>
      <c r="G465" s="2"/>
      <c r="H465" s="2" t="str">
        <f>IFERROR(IF(ISBLANK(G465),"",INDEX([1]Gen_Vessels!$A$3:$C$500,MATCH(G465,[1]Gen_Vessels!$C$3:$C$500,0),1)),"")</f>
        <v/>
      </c>
      <c r="I465" s="2"/>
      <c r="J465" s="2"/>
      <c r="K465" s="2"/>
      <c r="L465" s="2"/>
      <c r="N465" s="2"/>
      <c r="O465" s="2"/>
      <c r="P465" s="2"/>
      <c r="Q465" s="2"/>
      <c r="R465" s="2"/>
      <c r="S465" s="2"/>
      <c r="T465" s="2"/>
      <c r="U465" s="2"/>
    </row>
    <row r="466" spans="1:21" x14ac:dyDescent="0.25">
      <c r="A466" s="1" t="str">
        <f t="shared" si="7"/>
        <v/>
      </c>
      <c r="B466" s="2"/>
      <c r="C466" s="2"/>
      <c r="D466" s="2"/>
      <c r="E466" s="2" t="str">
        <f>IFERROR(IF(ISBLANK(D466),"",INDEX([1]Gen_Vessels!$A$3:$C$500,MATCH(D466,[1]Gen_Vessels!$C$3:$C$500,0),1)),"")</f>
        <v/>
      </c>
      <c r="F466" s="2"/>
      <c r="G466" s="2"/>
      <c r="H466" s="2" t="str">
        <f>IFERROR(IF(ISBLANK(G466),"",INDEX([1]Gen_Vessels!$A$3:$C$500,MATCH(G466,[1]Gen_Vessels!$C$3:$C$500,0),1)),"")</f>
        <v/>
      </c>
      <c r="I466" s="2"/>
      <c r="J466" s="2"/>
      <c r="K466" s="2"/>
      <c r="L466" s="2"/>
      <c r="N466" s="2"/>
      <c r="O466" s="2"/>
      <c r="P466" s="2"/>
      <c r="Q466" s="2"/>
      <c r="R466" s="2"/>
      <c r="S466" s="2"/>
      <c r="T466" s="2"/>
      <c r="U466" s="2"/>
    </row>
    <row r="467" spans="1:21" x14ac:dyDescent="0.25">
      <c r="A467" s="1" t="str">
        <f t="shared" si="7"/>
        <v/>
      </c>
      <c r="B467" s="2"/>
      <c r="C467" s="2"/>
      <c r="D467" s="2"/>
      <c r="E467" s="2" t="str">
        <f>IFERROR(IF(ISBLANK(D467),"",INDEX([1]Gen_Vessels!$A$3:$C$500,MATCH(D467,[1]Gen_Vessels!$C$3:$C$500,0),1)),"")</f>
        <v/>
      </c>
      <c r="F467" s="2"/>
      <c r="G467" s="2"/>
      <c r="H467" s="2" t="str">
        <f>IFERROR(IF(ISBLANK(G467),"",INDEX([1]Gen_Vessels!$A$3:$C$500,MATCH(G467,[1]Gen_Vessels!$C$3:$C$500,0),1)),"")</f>
        <v/>
      </c>
      <c r="I467" s="2"/>
      <c r="J467" s="2"/>
      <c r="K467" s="2"/>
      <c r="L467" s="2"/>
      <c r="N467" s="2"/>
      <c r="O467" s="2"/>
      <c r="P467" s="2"/>
      <c r="Q467" s="2"/>
      <c r="R467" s="2"/>
      <c r="S467" s="2"/>
      <c r="T467" s="2"/>
      <c r="U467" s="2"/>
    </row>
    <row r="468" spans="1:21" x14ac:dyDescent="0.25">
      <c r="A468" s="1" t="str">
        <f t="shared" si="7"/>
        <v/>
      </c>
      <c r="B468" s="2"/>
      <c r="C468" s="2"/>
      <c r="D468" s="2"/>
      <c r="E468" s="2" t="str">
        <f>IFERROR(IF(ISBLANK(D468),"",INDEX([1]Gen_Vessels!$A$3:$C$500,MATCH(D468,[1]Gen_Vessels!$C$3:$C$500,0),1)),"")</f>
        <v/>
      </c>
      <c r="F468" s="2"/>
      <c r="G468" s="2"/>
      <c r="H468" s="2" t="str">
        <f>IFERROR(IF(ISBLANK(G468),"",INDEX([1]Gen_Vessels!$A$3:$C$500,MATCH(G468,[1]Gen_Vessels!$C$3:$C$500,0),1)),"")</f>
        <v/>
      </c>
      <c r="I468" s="2"/>
      <c r="J468" s="2"/>
      <c r="K468" s="2"/>
      <c r="L468" s="2"/>
      <c r="N468" s="2"/>
      <c r="O468" s="2"/>
      <c r="P468" s="2"/>
      <c r="Q468" s="2"/>
      <c r="R468" s="2"/>
      <c r="S468" s="2"/>
      <c r="T468" s="2"/>
      <c r="U468" s="2"/>
    </row>
    <row r="469" spans="1:21" x14ac:dyDescent="0.25">
      <c r="A469" s="1" t="str">
        <f t="shared" si="7"/>
        <v/>
      </c>
      <c r="B469" s="2"/>
      <c r="C469" s="2"/>
      <c r="D469" s="2"/>
      <c r="E469" s="2" t="str">
        <f>IFERROR(IF(ISBLANK(D469),"",INDEX([1]Gen_Vessels!$A$3:$C$500,MATCH(D469,[1]Gen_Vessels!$C$3:$C$500,0),1)),"")</f>
        <v/>
      </c>
      <c r="F469" s="2"/>
      <c r="G469" s="2"/>
      <c r="H469" s="2" t="str">
        <f>IFERROR(IF(ISBLANK(G469),"",INDEX([1]Gen_Vessels!$A$3:$C$500,MATCH(G469,[1]Gen_Vessels!$C$3:$C$500,0),1)),"")</f>
        <v/>
      </c>
      <c r="I469" s="2"/>
      <c r="J469" s="2"/>
      <c r="K469" s="2"/>
      <c r="L469" s="2"/>
      <c r="N469" s="2"/>
      <c r="O469" s="2"/>
      <c r="P469" s="2"/>
      <c r="Q469" s="2"/>
      <c r="R469" s="2"/>
      <c r="S469" s="2"/>
      <c r="T469" s="2"/>
      <c r="U469" s="2"/>
    </row>
    <row r="470" spans="1:21" x14ac:dyDescent="0.25">
      <c r="A470" s="1" t="str">
        <f t="shared" si="7"/>
        <v/>
      </c>
      <c r="B470" s="2"/>
      <c r="C470" s="2"/>
      <c r="D470" s="2"/>
      <c r="E470" s="2" t="str">
        <f>IFERROR(IF(ISBLANK(D470),"",INDEX([1]Gen_Vessels!$A$3:$C$500,MATCH(D470,[1]Gen_Vessels!$C$3:$C$500,0),1)),"")</f>
        <v/>
      </c>
      <c r="F470" s="2"/>
      <c r="G470" s="2"/>
      <c r="H470" s="2" t="str">
        <f>IFERROR(IF(ISBLANK(G470),"",INDEX([1]Gen_Vessels!$A$3:$C$500,MATCH(G470,[1]Gen_Vessels!$C$3:$C$500,0),1)),"")</f>
        <v/>
      </c>
      <c r="I470" s="2"/>
      <c r="J470" s="2"/>
      <c r="K470" s="2"/>
      <c r="L470" s="2"/>
      <c r="N470" s="2"/>
      <c r="O470" s="2"/>
      <c r="P470" s="2"/>
      <c r="Q470" s="2"/>
      <c r="R470" s="2"/>
      <c r="S470" s="2"/>
      <c r="T470" s="2"/>
      <c r="U470" s="2"/>
    </row>
    <row r="471" spans="1:21" x14ac:dyDescent="0.25">
      <c r="A471" s="1" t="str">
        <f t="shared" si="7"/>
        <v/>
      </c>
      <c r="B471" s="2"/>
      <c r="C471" s="2"/>
      <c r="D471" s="2"/>
      <c r="E471" s="2" t="str">
        <f>IFERROR(IF(ISBLANK(D471),"",INDEX([1]Gen_Vessels!$A$3:$C$500,MATCH(D471,[1]Gen_Vessels!$C$3:$C$500,0),1)),"")</f>
        <v/>
      </c>
      <c r="F471" s="2"/>
      <c r="G471" s="2"/>
      <c r="H471" s="2" t="str">
        <f>IFERROR(IF(ISBLANK(G471),"",INDEX([1]Gen_Vessels!$A$3:$C$500,MATCH(G471,[1]Gen_Vessels!$C$3:$C$500,0),1)),"")</f>
        <v/>
      </c>
      <c r="I471" s="2"/>
      <c r="J471" s="2"/>
      <c r="K471" s="2"/>
      <c r="L471" s="2"/>
      <c r="N471" s="2"/>
      <c r="O471" s="2"/>
      <c r="P471" s="2"/>
      <c r="Q471" s="2"/>
      <c r="R471" s="2"/>
      <c r="S471" s="2"/>
      <c r="T471" s="2"/>
      <c r="U471" s="2"/>
    </row>
    <row r="472" spans="1:21" x14ac:dyDescent="0.25">
      <c r="A472" s="1" t="str">
        <f t="shared" si="7"/>
        <v/>
      </c>
      <c r="B472" s="2"/>
      <c r="C472" s="2"/>
      <c r="D472" s="2"/>
      <c r="E472" s="2" t="str">
        <f>IFERROR(IF(ISBLANK(D472),"",INDEX([1]Gen_Vessels!$A$3:$C$500,MATCH(D472,[1]Gen_Vessels!$C$3:$C$500,0),1)),"")</f>
        <v/>
      </c>
      <c r="F472" s="2"/>
      <c r="G472" s="2"/>
      <c r="H472" s="2" t="str">
        <f>IFERROR(IF(ISBLANK(G472),"",INDEX([1]Gen_Vessels!$A$3:$C$500,MATCH(G472,[1]Gen_Vessels!$C$3:$C$500,0),1)),"")</f>
        <v/>
      </c>
      <c r="I472" s="2"/>
      <c r="J472" s="2"/>
      <c r="K472" s="2"/>
      <c r="L472" s="2"/>
      <c r="N472" s="2"/>
      <c r="O472" s="2"/>
      <c r="P472" s="2"/>
      <c r="Q472" s="2"/>
      <c r="R472" s="2"/>
      <c r="S472" s="2"/>
      <c r="T472" s="2"/>
      <c r="U472" s="2"/>
    </row>
    <row r="473" spans="1:21" x14ac:dyDescent="0.25">
      <c r="A473" s="1" t="str">
        <f t="shared" si="7"/>
        <v/>
      </c>
      <c r="B473" s="2"/>
      <c r="C473" s="2"/>
      <c r="D473" s="2"/>
      <c r="E473" s="2" t="str">
        <f>IFERROR(IF(ISBLANK(D473),"",INDEX([1]Gen_Vessels!$A$3:$C$500,MATCH(D473,[1]Gen_Vessels!$C$3:$C$500,0),1)),"")</f>
        <v/>
      </c>
      <c r="F473" s="2"/>
      <c r="G473" s="2"/>
      <c r="H473" s="2" t="str">
        <f>IFERROR(IF(ISBLANK(G473),"",INDEX([1]Gen_Vessels!$A$3:$C$500,MATCH(G473,[1]Gen_Vessels!$C$3:$C$500,0),1)),"")</f>
        <v/>
      </c>
      <c r="I473" s="2"/>
      <c r="J473" s="2"/>
      <c r="K473" s="2"/>
      <c r="L473" s="2"/>
      <c r="N473" s="2"/>
      <c r="O473" s="2"/>
      <c r="P473" s="2"/>
      <c r="Q473" s="2"/>
      <c r="R473" s="2"/>
      <c r="S473" s="2"/>
      <c r="T473" s="2"/>
      <c r="U473" s="2"/>
    </row>
    <row r="474" spans="1:21" x14ac:dyDescent="0.25">
      <c r="A474" s="1" t="str">
        <f t="shared" si="7"/>
        <v/>
      </c>
      <c r="B474" s="2"/>
      <c r="C474" s="2"/>
      <c r="D474" s="2"/>
      <c r="E474" s="2" t="str">
        <f>IFERROR(IF(ISBLANK(D474),"",INDEX([1]Gen_Vessels!$A$3:$C$500,MATCH(D474,[1]Gen_Vessels!$C$3:$C$500,0),1)),"")</f>
        <v/>
      </c>
      <c r="F474" s="2"/>
      <c r="G474" s="2"/>
      <c r="H474" s="2" t="str">
        <f>IFERROR(IF(ISBLANK(G474),"",INDEX([1]Gen_Vessels!$A$3:$C$500,MATCH(G474,[1]Gen_Vessels!$C$3:$C$500,0),1)),"")</f>
        <v/>
      </c>
      <c r="I474" s="2"/>
      <c r="J474" s="2"/>
      <c r="K474" s="2"/>
      <c r="L474" s="2"/>
      <c r="N474" s="2"/>
      <c r="O474" s="2"/>
      <c r="P474" s="2"/>
      <c r="Q474" s="2"/>
      <c r="R474" s="2"/>
      <c r="S474" s="2"/>
      <c r="T474" s="2"/>
      <c r="U474" s="2"/>
    </row>
    <row r="475" spans="1:21" x14ac:dyDescent="0.25">
      <c r="A475" s="1" t="str">
        <f t="shared" si="7"/>
        <v/>
      </c>
      <c r="B475" s="2"/>
      <c r="C475" s="2"/>
      <c r="D475" s="2"/>
      <c r="E475" s="2" t="str">
        <f>IFERROR(IF(ISBLANK(D475),"",INDEX([1]Gen_Vessels!$A$3:$C$500,MATCH(D475,[1]Gen_Vessels!$C$3:$C$500,0),1)),"")</f>
        <v/>
      </c>
      <c r="F475" s="2"/>
      <c r="G475" s="2"/>
      <c r="H475" s="2" t="str">
        <f>IFERROR(IF(ISBLANK(G475),"",INDEX([1]Gen_Vessels!$A$3:$C$500,MATCH(G475,[1]Gen_Vessels!$C$3:$C$500,0),1)),"")</f>
        <v/>
      </c>
      <c r="I475" s="2"/>
      <c r="J475" s="2"/>
      <c r="K475" s="2"/>
      <c r="L475" s="2"/>
      <c r="N475" s="2"/>
      <c r="O475" s="2"/>
      <c r="P475" s="2"/>
      <c r="Q475" s="2"/>
      <c r="R475" s="2"/>
      <c r="S475" s="2"/>
      <c r="T475" s="2"/>
      <c r="U475" s="2"/>
    </row>
    <row r="476" spans="1:21" x14ac:dyDescent="0.25">
      <c r="A476" s="1" t="str">
        <f t="shared" si="7"/>
        <v/>
      </c>
      <c r="B476" s="2"/>
      <c r="C476" s="2"/>
      <c r="D476" s="2"/>
      <c r="E476" s="2" t="str">
        <f>IFERROR(IF(ISBLANK(D476),"",INDEX([1]Gen_Vessels!$A$3:$C$500,MATCH(D476,[1]Gen_Vessels!$C$3:$C$500,0),1)),"")</f>
        <v/>
      </c>
      <c r="F476" s="2"/>
      <c r="G476" s="2"/>
      <c r="H476" s="2" t="str">
        <f>IFERROR(IF(ISBLANK(G476),"",INDEX([1]Gen_Vessels!$A$3:$C$500,MATCH(G476,[1]Gen_Vessels!$C$3:$C$500,0),1)),"")</f>
        <v/>
      </c>
      <c r="I476" s="2"/>
      <c r="J476" s="2"/>
      <c r="K476" s="2"/>
      <c r="L476" s="2"/>
      <c r="N476" s="2"/>
      <c r="O476" s="2"/>
      <c r="P476" s="2"/>
      <c r="Q476" s="2"/>
      <c r="R476" s="2"/>
      <c r="S476" s="2"/>
      <c r="T476" s="2"/>
      <c r="U476" s="2"/>
    </row>
    <row r="477" spans="1:21" x14ac:dyDescent="0.25">
      <c r="A477" s="1" t="str">
        <f t="shared" si="7"/>
        <v/>
      </c>
      <c r="B477" s="2"/>
      <c r="C477" s="2"/>
      <c r="D477" s="2"/>
      <c r="E477" s="2" t="str">
        <f>IFERROR(IF(ISBLANK(D477),"",INDEX([1]Gen_Vessels!$A$3:$C$500,MATCH(D477,[1]Gen_Vessels!$C$3:$C$500,0),1)),"")</f>
        <v/>
      </c>
      <c r="F477" s="2"/>
      <c r="G477" s="2"/>
      <c r="H477" s="2" t="str">
        <f>IFERROR(IF(ISBLANK(G477),"",INDEX([1]Gen_Vessels!$A$3:$C$500,MATCH(G477,[1]Gen_Vessels!$C$3:$C$500,0),1)),"")</f>
        <v/>
      </c>
      <c r="I477" s="2"/>
      <c r="J477" s="2"/>
      <c r="K477" s="2"/>
      <c r="L477" s="2"/>
      <c r="N477" s="2"/>
      <c r="O477" s="2"/>
      <c r="P477" s="2"/>
      <c r="Q477" s="2"/>
      <c r="R477" s="2"/>
      <c r="S477" s="2"/>
      <c r="T477" s="2"/>
      <c r="U477" s="2"/>
    </row>
    <row r="478" spans="1:21" x14ac:dyDescent="0.25">
      <c r="A478" s="1" t="str">
        <f t="shared" si="7"/>
        <v/>
      </c>
      <c r="B478" s="2"/>
      <c r="C478" s="2"/>
      <c r="D478" s="2"/>
      <c r="E478" s="2" t="str">
        <f>IFERROR(IF(ISBLANK(D478),"",INDEX([1]Gen_Vessels!$A$3:$C$500,MATCH(D478,[1]Gen_Vessels!$C$3:$C$500,0),1)),"")</f>
        <v/>
      </c>
      <c r="F478" s="2"/>
      <c r="G478" s="2"/>
      <c r="H478" s="2" t="str">
        <f>IFERROR(IF(ISBLANK(G478),"",INDEX([1]Gen_Vessels!$A$3:$C$500,MATCH(G478,[1]Gen_Vessels!$C$3:$C$500,0),1)),"")</f>
        <v/>
      </c>
      <c r="I478" s="2"/>
      <c r="J478" s="2"/>
      <c r="K478" s="2"/>
      <c r="L478" s="2"/>
      <c r="N478" s="2"/>
      <c r="O478" s="2"/>
      <c r="P478" s="2"/>
      <c r="Q478" s="2"/>
      <c r="R478" s="2"/>
      <c r="S478" s="2"/>
      <c r="T478" s="2"/>
      <c r="U478" s="2"/>
    </row>
    <row r="479" spans="1:21" x14ac:dyDescent="0.25">
      <c r="A479" s="1" t="str">
        <f t="shared" si="7"/>
        <v/>
      </c>
      <c r="B479" s="2"/>
      <c r="C479" s="2"/>
      <c r="D479" s="2"/>
      <c r="E479" s="2" t="str">
        <f>IFERROR(IF(ISBLANK(D479),"",INDEX([1]Gen_Vessels!$A$3:$C$500,MATCH(D479,[1]Gen_Vessels!$C$3:$C$500,0),1)),"")</f>
        <v/>
      </c>
      <c r="F479" s="2"/>
      <c r="G479" s="2"/>
      <c r="H479" s="2" t="str">
        <f>IFERROR(IF(ISBLANK(G479),"",INDEX([1]Gen_Vessels!$A$3:$C$500,MATCH(G479,[1]Gen_Vessels!$C$3:$C$500,0),1)),"")</f>
        <v/>
      </c>
      <c r="I479" s="2"/>
      <c r="J479" s="2"/>
      <c r="K479" s="2"/>
      <c r="L479" s="2"/>
      <c r="N479" s="2"/>
      <c r="O479" s="2"/>
      <c r="P479" s="2"/>
      <c r="Q479" s="2"/>
      <c r="R479" s="2"/>
      <c r="S479" s="2"/>
      <c r="T479" s="2"/>
      <c r="U479" s="2"/>
    </row>
    <row r="480" spans="1:21" x14ac:dyDescent="0.25">
      <c r="A480" s="1" t="str">
        <f t="shared" si="7"/>
        <v/>
      </c>
      <c r="B480" s="2"/>
      <c r="C480" s="2"/>
      <c r="D480" s="2"/>
      <c r="E480" s="2" t="str">
        <f>IFERROR(IF(ISBLANK(D480),"",INDEX([1]Gen_Vessels!$A$3:$C$500,MATCH(D480,[1]Gen_Vessels!$C$3:$C$500,0),1)),"")</f>
        <v/>
      </c>
      <c r="F480" s="2"/>
      <c r="G480" s="2"/>
      <c r="H480" s="2" t="str">
        <f>IFERROR(IF(ISBLANK(G480),"",INDEX([1]Gen_Vessels!$A$3:$C$500,MATCH(G480,[1]Gen_Vessels!$C$3:$C$500,0),1)),"")</f>
        <v/>
      </c>
      <c r="I480" s="2"/>
      <c r="J480" s="2"/>
      <c r="K480" s="2"/>
      <c r="L480" s="2"/>
      <c r="N480" s="2"/>
      <c r="O480" s="2"/>
      <c r="P480" s="2"/>
      <c r="Q480" s="2"/>
      <c r="R480" s="2"/>
      <c r="S480" s="2"/>
      <c r="T480" s="2"/>
      <c r="U480" s="2"/>
    </row>
    <row r="481" spans="1:21" x14ac:dyDescent="0.25">
      <c r="A481" s="1" t="str">
        <f t="shared" si="7"/>
        <v/>
      </c>
      <c r="B481" s="2"/>
      <c r="C481" s="2"/>
      <c r="D481" s="2"/>
      <c r="E481" s="2" t="str">
        <f>IFERROR(IF(ISBLANK(D481),"",INDEX([1]Gen_Vessels!$A$3:$C$500,MATCH(D481,[1]Gen_Vessels!$C$3:$C$500,0),1)),"")</f>
        <v/>
      </c>
      <c r="F481" s="2"/>
      <c r="G481" s="2"/>
      <c r="H481" s="2" t="str">
        <f>IFERROR(IF(ISBLANK(G481),"",INDEX([1]Gen_Vessels!$A$3:$C$500,MATCH(G481,[1]Gen_Vessels!$C$3:$C$500,0),1)),"")</f>
        <v/>
      </c>
      <c r="I481" s="2"/>
      <c r="J481" s="2"/>
      <c r="K481" s="2"/>
      <c r="L481" s="2"/>
      <c r="N481" s="2"/>
      <c r="O481" s="2"/>
      <c r="P481" s="2"/>
      <c r="Q481" s="2"/>
      <c r="R481" s="2"/>
      <c r="S481" s="2"/>
      <c r="T481" s="2"/>
      <c r="U481" s="2"/>
    </row>
    <row r="482" spans="1:21" x14ac:dyDescent="0.25">
      <c r="A482" s="1" t="str">
        <f t="shared" si="7"/>
        <v/>
      </c>
      <c r="B482" s="2"/>
      <c r="C482" s="2"/>
      <c r="D482" s="2"/>
      <c r="E482" s="2" t="str">
        <f>IFERROR(IF(ISBLANK(D482),"",INDEX([1]Gen_Vessels!$A$3:$C$500,MATCH(D482,[1]Gen_Vessels!$C$3:$C$500,0),1)),"")</f>
        <v/>
      </c>
      <c r="F482" s="2"/>
      <c r="G482" s="2"/>
      <c r="H482" s="2" t="str">
        <f>IFERROR(IF(ISBLANK(G482),"",INDEX([1]Gen_Vessels!$A$3:$C$500,MATCH(G482,[1]Gen_Vessels!$C$3:$C$500,0),1)),"")</f>
        <v/>
      </c>
      <c r="I482" s="2"/>
      <c r="J482" s="2"/>
      <c r="K482" s="2"/>
      <c r="L482" s="2"/>
      <c r="N482" s="2"/>
      <c r="O482" s="2"/>
      <c r="P482" s="2"/>
      <c r="Q482" s="2"/>
      <c r="R482" s="2"/>
      <c r="S482" s="2"/>
      <c r="T482" s="2"/>
      <c r="U482" s="2"/>
    </row>
    <row r="483" spans="1:21" x14ac:dyDescent="0.25">
      <c r="A483" s="1" t="str">
        <f t="shared" si="7"/>
        <v/>
      </c>
      <c r="B483" s="2"/>
      <c r="C483" s="2"/>
      <c r="D483" s="2"/>
      <c r="E483" s="2" t="str">
        <f>IFERROR(IF(ISBLANK(D483),"",INDEX([1]Gen_Vessels!$A$3:$C$500,MATCH(D483,[1]Gen_Vessels!$C$3:$C$500,0),1)),"")</f>
        <v/>
      </c>
      <c r="F483" s="2"/>
      <c r="G483" s="2"/>
      <c r="H483" s="2" t="str">
        <f>IFERROR(IF(ISBLANK(G483),"",INDEX([1]Gen_Vessels!$A$3:$C$500,MATCH(G483,[1]Gen_Vessels!$C$3:$C$500,0),1)),"")</f>
        <v/>
      </c>
      <c r="I483" s="2"/>
      <c r="J483" s="2"/>
      <c r="K483" s="2"/>
      <c r="L483" s="2"/>
      <c r="N483" s="2"/>
      <c r="O483" s="2"/>
      <c r="P483" s="2"/>
      <c r="Q483" s="2"/>
      <c r="R483" s="2"/>
      <c r="S483" s="2"/>
      <c r="T483" s="2"/>
      <c r="U483" s="2"/>
    </row>
    <row r="484" spans="1:21" x14ac:dyDescent="0.25">
      <c r="A484" s="1" t="str">
        <f t="shared" si="7"/>
        <v/>
      </c>
      <c r="B484" s="2"/>
      <c r="C484" s="2"/>
      <c r="D484" s="2"/>
      <c r="E484" s="2" t="str">
        <f>IFERROR(IF(ISBLANK(D484),"",INDEX([1]Gen_Vessels!$A$3:$C$500,MATCH(D484,[1]Gen_Vessels!$C$3:$C$500,0),1)),"")</f>
        <v/>
      </c>
      <c r="F484" s="2"/>
      <c r="G484" s="2"/>
      <c r="H484" s="2" t="str">
        <f>IFERROR(IF(ISBLANK(G484),"",INDEX([1]Gen_Vessels!$A$3:$C$500,MATCH(G484,[1]Gen_Vessels!$C$3:$C$500,0),1)),"")</f>
        <v/>
      </c>
      <c r="I484" s="2"/>
      <c r="J484" s="2"/>
      <c r="K484" s="2"/>
      <c r="L484" s="2"/>
      <c r="N484" s="2"/>
      <c r="O484" s="2"/>
      <c r="P484" s="2"/>
      <c r="Q484" s="2"/>
      <c r="R484" s="2"/>
      <c r="S484" s="2"/>
      <c r="T484" s="2"/>
      <c r="U484" s="2"/>
    </row>
    <row r="485" spans="1:21" x14ac:dyDescent="0.25">
      <c r="A485" s="1" t="str">
        <f t="shared" si="7"/>
        <v/>
      </c>
      <c r="B485" s="2"/>
      <c r="C485" s="2"/>
      <c r="D485" s="2"/>
      <c r="E485" s="2" t="str">
        <f>IFERROR(IF(ISBLANK(D485),"",INDEX([1]Gen_Vessels!$A$3:$C$500,MATCH(D485,[1]Gen_Vessels!$C$3:$C$500,0),1)),"")</f>
        <v/>
      </c>
      <c r="F485" s="2"/>
      <c r="G485" s="2"/>
      <c r="H485" s="2" t="str">
        <f>IFERROR(IF(ISBLANK(G485),"",INDEX([1]Gen_Vessels!$A$3:$C$500,MATCH(G485,[1]Gen_Vessels!$C$3:$C$500,0),1)),"")</f>
        <v/>
      </c>
      <c r="I485" s="2"/>
      <c r="J485" s="2"/>
      <c r="K485" s="2"/>
      <c r="L485" s="2"/>
      <c r="N485" s="2"/>
      <c r="O485" s="2"/>
      <c r="P485" s="2"/>
      <c r="Q485" s="2"/>
      <c r="R485" s="2"/>
      <c r="S485" s="2"/>
      <c r="T485" s="2"/>
      <c r="U485" s="2"/>
    </row>
    <row r="486" spans="1:21" x14ac:dyDescent="0.25">
      <c r="A486" s="1" t="str">
        <f t="shared" si="7"/>
        <v/>
      </c>
      <c r="B486" s="2"/>
      <c r="C486" s="2"/>
      <c r="D486" s="2"/>
      <c r="E486" s="2" t="str">
        <f>IFERROR(IF(ISBLANK(D486),"",INDEX([1]Gen_Vessels!$A$3:$C$500,MATCH(D486,[1]Gen_Vessels!$C$3:$C$500,0),1)),"")</f>
        <v/>
      </c>
      <c r="F486" s="2"/>
      <c r="G486" s="2"/>
      <c r="H486" s="2" t="str">
        <f>IFERROR(IF(ISBLANK(G486),"",INDEX([1]Gen_Vessels!$A$3:$C$500,MATCH(G486,[1]Gen_Vessels!$C$3:$C$500,0),1)),"")</f>
        <v/>
      </c>
      <c r="I486" s="2"/>
      <c r="J486" s="2"/>
      <c r="K486" s="2"/>
      <c r="L486" s="2"/>
      <c r="N486" s="2"/>
      <c r="O486" s="2"/>
      <c r="P486" s="2"/>
      <c r="Q486" s="2"/>
      <c r="R486" s="2"/>
      <c r="S486" s="2"/>
      <c r="T486" s="2"/>
      <c r="U486" s="2"/>
    </row>
    <row r="487" spans="1:21" x14ac:dyDescent="0.25">
      <c r="A487" s="1" t="str">
        <f t="shared" si="7"/>
        <v/>
      </c>
      <c r="B487" s="2"/>
      <c r="C487" s="2"/>
      <c r="D487" s="2"/>
      <c r="E487" s="2" t="str">
        <f>IFERROR(IF(ISBLANK(D487),"",INDEX([1]Gen_Vessels!$A$3:$C$500,MATCH(D487,[1]Gen_Vessels!$C$3:$C$500,0),1)),"")</f>
        <v/>
      </c>
      <c r="F487" s="2"/>
      <c r="G487" s="2"/>
      <c r="H487" s="2" t="str">
        <f>IFERROR(IF(ISBLANK(G487),"",INDEX([1]Gen_Vessels!$A$3:$C$500,MATCH(G487,[1]Gen_Vessels!$C$3:$C$500,0),1)),"")</f>
        <v/>
      </c>
      <c r="I487" s="2"/>
      <c r="J487" s="2"/>
      <c r="K487" s="2"/>
      <c r="L487" s="2"/>
      <c r="N487" s="2"/>
      <c r="O487" s="2"/>
      <c r="P487" s="2"/>
      <c r="Q487" s="2"/>
      <c r="R487" s="2"/>
      <c r="S487" s="2"/>
      <c r="T487" s="2"/>
      <c r="U487" s="2"/>
    </row>
    <row r="488" spans="1:21" x14ac:dyDescent="0.25">
      <c r="A488" s="1" t="str">
        <f t="shared" si="7"/>
        <v/>
      </c>
      <c r="B488" s="2"/>
      <c r="C488" s="2"/>
      <c r="D488" s="2"/>
      <c r="E488" s="2" t="str">
        <f>IFERROR(IF(ISBLANK(D488),"",INDEX([1]Gen_Vessels!$A$3:$C$500,MATCH(D488,[1]Gen_Vessels!$C$3:$C$500,0),1)),"")</f>
        <v/>
      </c>
      <c r="F488" s="2"/>
      <c r="G488" s="2"/>
      <c r="H488" s="2" t="str">
        <f>IFERROR(IF(ISBLANK(G488),"",INDEX([1]Gen_Vessels!$A$3:$C$500,MATCH(G488,[1]Gen_Vessels!$C$3:$C$500,0),1)),"")</f>
        <v/>
      </c>
      <c r="I488" s="2"/>
      <c r="J488" s="2"/>
      <c r="K488" s="2"/>
      <c r="L488" s="2"/>
      <c r="N488" s="2"/>
      <c r="O488" s="2"/>
      <c r="P488" s="2"/>
      <c r="Q488" s="2"/>
      <c r="R488" s="2"/>
      <c r="S488" s="2"/>
      <c r="T488" s="2"/>
      <c r="U488" s="2"/>
    </row>
    <row r="489" spans="1:21" x14ac:dyDescent="0.25">
      <c r="A489" s="1" t="str">
        <f t="shared" si="7"/>
        <v/>
      </c>
      <c r="B489" s="2"/>
      <c r="C489" s="2"/>
      <c r="D489" s="2"/>
      <c r="E489" s="2" t="str">
        <f>IFERROR(IF(ISBLANK(D489),"",INDEX([1]Gen_Vessels!$A$3:$C$500,MATCH(D489,[1]Gen_Vessels!$C$3:$C$500,0),1)),"")</f>
        <v/>
      </c>
      <c r="F489" s="2"/>
      <c r="G489" s="2"/>
      <c r="H489" s="2" t="str">
        <f>IFERROR(IF(ISBLANK(G489),"",INDEX([1]Gen_Vessels!$A$3:$C$500,MATCH(G489,[1]Gen_Vessels!$C$3:$C$500,0),1)),"")</f>
        <v/>
      </c>
      <c r="I489" s="2"/>
      <c r="J489" s="2"/>
      <c r="K489" s="2"/>
      <c r="L489" s="2"/>
      <c r="N489" s="2"/>
      <c r="O489" s="2"/>
      <c r="P489" s="2"/>
      <c r="Q489" s="2"/>
      <c r="R489" s="2"/>
      <c r="S489" s="2"/>
      <c r="T489" s="2"/>
      <c r="U489" s="2"/>
    </row>
    <row r="490" spans="1:21" x14ac:dyDescent="0.25">
      <c r="A490" s="1" t="str">
        <f t="shared" si="7"/>
        <v/>
      </c>
      <c r="B490" s="2"/>
      <c r="C490" s="2"/>
      <c r="D490" s="2"/>
      <c r="E490" s="2" t="str">
        <f>IFERROR(IF(ISBLANK(D490),"",INDEX([1]Gen_Vessels!$A$3:$C$500,MATCH(D490,[1]Gen_Vessels!$C$3:$C$500,0),1)),"")</f>
        <v/>
      </c>
      <c r="F490" s="2"/>
      <c r="G490" s="2"/>
      <c r="H490" s="2" t="str">
        <f>IFERROR(IF(ISBLANK(G490),"",INDEX([1]Gen_Vessels!$A$3:$C$500,MATCH(G490,[1]Gen_Vessels!$C$3:$C$500,0),1)),"")</f>
        <v/>
      </c>
      <c r="I490" s="2"/>
      <c r="J490" s="2"/>
      <c r="K490" s="2"/>
      <c r="L490" s="2"/>
      <c r="N490" s="2"/>
      <c r="O490" s="2"/>
      <c r="P490" s="2"/>
      <c r="Q490" s="2"/>
      <c r="R490" s="2"/>
      <c r="S490" s="2"/>
      <c r="T490" s="2"/>
      <c r="U490" s="2"/>
    </row>
    <row r="491" spans="1:21" x14ac:dyDescent="0.25">
      <c r="A491" s="1" t="str">
        <f t="shared" si="7"/>
        <v/>
      </c>
      <c r="B491" s="2"/>
      <c r="C491" s="2"/>
      <c r="D491" s="2"/>
      <c r="E491" s="2" t="str">
        <f>IFERROR(IF(ISBLANK(D491),"",INDEX([1]Gen_Vessels!$A$3:$C$500,MATCH(D491,[1]Gen_Vessels!$C$3:$C$500,0),1)),"")</f>
        <v/>
      </c>
      <c r="F491" s="2"/>
      <c r="G491" s="2"/>
      <c r="H491" s="2" t="str">
        <f>IFERROR(IF(ISBLANK(G491),"",INDEX([1]Gen_Vessels!$A$3:$C$500,MATCH(G491,[1]Gen_Vessels!$C$3:$C$500,0),1)),"")</f>
        <v/>
      </c>
      <c r="I491" s="2"/>
      <c r="J491" s="2"/>
      <c r="K491" s="2"/>
      <c r="L491" s="2"/>
      <c r="N491" s="2"/>
      <c r="O491" s="2"/>
      <c r="P491" s="2"/>
      <c r="Q491" s="2"/>
      <c r="R491" s="2"/>
      <c r="S491" s="2"/>
      <c r="T491" s="2"/>
      <c r="U491" s="2"/>
    </row>
    <row r="492" spans="1:21" x14ac:dyDescent="0.25">
      <c r="A492" s="1" t="str">
        <f t="shared" si="7"/>
        <v/>
      </c>
      <c r="B492" s="2"/>
      <c r="C492" s="2"/>
      <c r="D492" s="2"/>
      <c r="E492" s="2" t="str">
        <f>IFERROR(IF(ISBLANK(D492),"",INDEX([1]Gen_Vessels!$A$3:$C$500,MATCH(D492,[1]Gen_Vessels!$C$3:$C$500,0),1)),"")</f>
        <v/>
      </c>
      <c r="F492" s="2"/>
      <c r="G492" s="2"/>
      <c r="H492" s="2" t="str">
        <f>IFERROR(IF(ISBLANK(G492),"",INDEX([1]Gen_Vessels!$A$3:$C$500,MATCH(G492,[1]Gen_Vessels!$C$3:$C$500,0),1)),"")</f>
        <v/>
      </c>
      <c r="I492" s="2"/>
      <c r="J492" s="2"/>
      <c r="K492" s="2"/>
      <c r="L492" s="2"/>
      <c r="N492" s="2"/>
      <c r="O492" s="2"/>
      <c r="P492" s="2"/>
      <c r="Q492" s="2"/>
      <c r="R492" s="2"/>
      <c r="S492" s="2"/>
      <c r="T492" s="2"/>
      <c r="U492" s="2"/>
    </row>
    <row r="493" spans="1:21" x14ac:dyDescent="0.25">
      <c r="A493" s="1" t="str">
        <f t="shared" si="7"/>
        <v/>
      </c>
      <c r="E493" s="2" t="str">
        <f>IFERROR(IF(ISBLANK(D493),"",INDEX([1]Gen_Vessels!$A$3:$C$500,MATCH(D493,[1]Gen_Vessels!$C$3:$C$500,0),1)),"")</f>
        <v/>
      </c>
      <c r="F493" s="2"/>
      <c r="H493" s="2" t="str">
        <f>IFERROR(IF(ISBLANK(G493),"",INDEX([1]Gen_Vessels!$A$3:$C$500,MATCH(G493,[1]Gen_Vessels!$C$3:$C$500,0),1)),"")</f>
        <v/>
      </c>
      <c r="I493" s="2"/>
      <c r="K493" s="2"/>
      <c r="L493" s="2"/>
    </row>
    <row r="494" spans="1:21" x14ac:dyDescent="0.25">
      <c r="A494" s="1" t="str">
        <f t="shared" si="7"/>
        <v/>
      </c>
      <c r="E494" s="2" t="str">
        <f>IFERROR(IF(ISBLANK(D494),"",INDEX([1]Gen_Vessels!$A$3:$C$500,MATCH(D494,[1]Gen_Vessels!$C$3:$C$500,0),1)),"")</f>
        <v/>
      </c>
      <c r="F494" s="2"/>
      <c r="H494" s="2" t="str">
        <f>IFERROR(IF(ISBLANK(G494),"",INDEX([1]Gen_Vessels!$A$3:$C$500,MATCH(G494,[1]Gen_Vessels!$C$3:$C$500,0),1)),"")</f>
        <v/>
      </c>
      <c r="I494" s="2"/>
      <c r="K494" s="2"/>
      <c r="L494" s="2"/>
    </row>
    <row r="495" spans="1:21" x14ac:dyDescent="0.25">
      <c r="A495" s="1" t="str">
        <f t="shared" si="7"/>
        <v/>
      </c>
      <c r="E495" s="2" t="str">
        <f>IFERROR(IF(ISBLANK(D495),"",INDEX([1]Gen_Vessels!$A$3:$C$500,MATCH(D495,[1]Gen_Vessels!$C$3:$C$500,0),1)),"")</f>
        <v/>
      </c>
      <c r="F495" s="2"/>
      <c r="H495" s="2" t="str">
        <f>IFERROR(IF(ISBLANK(G495),"",INDEX([1]Gen_Vessels!$A$3:$C$500,MATCH(G495,[1]Gen_Vessels!$C$3:$C$500,0),1)),"")</f>
        <v/>
      </c>
      <c r="I495" s="2"/>
      <c r="K495" s="2"/>
      <c r="L495" s="2"/>
    </row>
    <row r="496" spans="1:21" x14ac:dyDescent="0.25">
      <c r="A496" s="1" t="str">
        <f t="shared" si="7"/>
        <v/>
      </c>
      <c r="E496" s="2" t="str">
        <f>IFERROR(IF(ISBLANK(D496),"",INDEX([1]Gen_Vessels!$A$3:$C$500,MATCH(D496,[1]Gen_Vessels!$C$3:$C$500,0),1)),"")</f>
        <v/>
      </c>
      <c r="F496" s="2"/>
      <c r="H496" s="2" t="str">
        <f>IFERROR(IF(ISBLANK(G496),"",INDEX([1]Gen_Vessels!$A$3:$C$500,MATCH(G496,[1]Gen_Vessels!$C$3:$C$500,0),1)),"")</f>
        <v/>
      </c>
      <c r="I496" s="2"/>
      <c r="K496" s="2"/>
      <c r="L496" s="2"/>
    </row>
    <row r="497" spans="1:12" x14ac:dyDescent="0.25">
      <c r="A497" s="1" t="str">
        <f t="shared" si="7"/>
        <v/>
      </c>
      <c r="E497" s="2" t="str">
        <f>IFERROR(IF(ISBLANK(D497),"",INDEX([1]Gen_Vessels!$A$3:$C$500,MATCH(D497,[1]Gen_Vessels!$C$3:$C$500,0),1)),"")</f>
        <v/>
      </c>
      <c r="F497" s="2"/>
      <c r="H497" s="2" t="str">
        <f>IFERROR(IF(ISBLANK(G497),"",INDEX([1]Gen_Vessels!$A$3:$C$500,MATCH(G497,[1]Gen_Vessels!$C$3:$C$500,0),1)),"")</f>
        <v/>
      </c>
      <c r="I497" s="2"/>
      <c r="K497" s="2"/>
      <c r="L497" s="2"/>
    </row>
    <row r="498" spans="1:12" x14ac:dyDescent="0.25">
      <c r="A498" s="1" t="str">
        <f t="shared" si="7"/>
        <v/>
      </c>
      <c r="E498" s="2" t="str">
        <f>IFERROR(IF(ISBLANK(D498),"",INDEX([1]Gen_Vessels!$A$3:$C$500,MATCH(D498,[1]Gen_Vessels!$C$3:$C$500,0),1)),"")</f>
        <v/>
      </c>
      <c r="F498" s="2"/>
      <c r="H498" s="2" t="str">
        <f>IFERROR(IF(ISBLANK(G498),"",INDEX([1]Gen_Vessels!$A$3:$C$500,MATCH(G498,[1]Gen_Vessels!$C$3:$C$500,0),1)),"")</f>
        <v/>
      </c>
      <c r="I498" s="2"/>
      <c r="K498" s="2"/>
      <c r="L498" s="2"/>
    </row>
    <row r="499" spans="1:12" x14ac:dyDescent="0.25">
      <c r="A499" s="1" t="str">
        <f t="shared" si="7"/>
        <v/>
      </c>
      <c r="E499" s="2" t="str">
        <f>IFERROR(IF(ISBLANK(D499),"",INDEX([1]Gen_Vessels!$A$3:$C$500,MATCH(D499,[1]Gen_Vessels!$C$3:$C$500,0),1)),"")</f>
        <v/>
      </c>
      <c r="F499" s="2"/>
      <c r="H499" s="2" t="str">
        <f>IFERROR(IF(ISBLANK(G499),"",INDEX([1]Gen_Vessels!$A$3:$C$500,MATCH(G499,[1]Gen_Vessels!$C$3:$C$500,0),1)),"")</f>
        <v/>
      </c>
      <c r="I499" s="2"/>
      <c r="K499" s="2"/>
      <c r="L499" s="2"/>
    </row>
    <row r="500" spans="1:12" x14ac:dyDescent="0.25">
      <c r="A500" s="1" t="str">
        <f t="shared" si="7"/>
        <v/>
      </c>
      <c r="E500" s="2" t="str">
        <f>IFERROR(IF(ISBLANK(D500),"",INDEX([1]Gen_Vessels!$A$3:$C$500,MATCH(D500,[1]Gen_Vessels!$C$3:$C$500,0),1)),"")</f>
        <v/>
      </c>
      <c r="F500" s="2"/>
      <c r="H500" s="2" t="str">
        <f>IFERROR(IF(ISBLANK(G500),"",INDEX([1]Gen_Vessels!$A$3:$C$500,MATCH(G500,[1]Gen_Vessels!$C$3:$C$500,0),1)),"")</f>
        <v/>
      </c>
      <c r="I500" s="2"/>
      <c r="K500" s="2"/>
      <c r="L500" s="2"/>
    </row>
  </sheetData>
  <conditionalFormatting sqref="A1:B1048576">
    <cfRule type="expression" dxfId="0" priority="1">
      <formula>AND(COUNTIF(A:A,$A1)&gt;1,$A1&lt;&gt;"")</formula>
    </cfRule>
  </conditionalFormatting>
  <dataValidations disablePrompts="1" count="2">
    <dataValidation type="whole" operator="greaterThanOrEqual" allowBlank="1" showInputMessage="1" showErrorMessage="1" sqref="K3:K500" xr:uid="{6ADF32AA-996D-4B26-9714-0325ECC1C027}">
      <formula1>1</formula1>
    </dataValidation>
    <dataValidation type="decimal" operator="greaterThanOrEqual" allowBlank="1" showInputMessage="1" showErrorMessage="1" sqref="N3:P6 L3:L500" xr:uid="{2B62C3F8-18A9-437F-8431-84C9B2009FB1}">
      <formula1>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cb83ca-db29-42f2-b840-abc06d143839">
      <UserInfo>
        <DisplayName>Miguel Sá</DisplayName>
        <AccountId>208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D761B80EFBF4BBD3B5C444F95C936" ma:contentTypeVersion="13" ma:contentTypeDescription="Create a new document." ma:contentTypeScope="" ma:versionID="e081001ce6e5605836f0d3ad037f03ef">
  <xsd:schema xmlns:xsd="http://www.w3.org/2001/XMLSchema" xmlns:xs="http://www.w3.org/2001/XMLSchema" xmlns:p="http://schemas.microsoft.com/office/2006/metadata/properties" xmlns:ns2="22eecff7-1e4f-4f6b-a663-094407a808ca" xmlns:ns3="dccb83ca-db29-42f2-b840-abc06d143839" targetNamespace="http://schemas.microsoft.com/office/2006/metadata/properties" ma:root="true" ma:fieldsID="b71dabfbfbeb9b7dfaf3363475c4b841" ns2:_="" ns3:_="">
    <xsd:import namespace="22eecff7-1e4f-4f6b-a663-094407a808ca"/>
    <xsd:import namespace="dccb83ca-db29-42f2-b840-abc06d143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ecff7-1e4f-4f6b-a663-094407a80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b83ca-db29-42f2-b840-abc06d143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C536D8-5A1E-4BD5-95AE-EBF32C0595D5}">
  <ds:schemaRefs>
    <ds:schemaRef ds:uri="http://schemas.microsoft.com/office/2006/documentManagement/types"/>
    <ds:schemaRef ds:uri="http://www.w3.org/XML/1998/namespace"/>
    <ds:schemaRef ds:uri="22eecff7-1e4f-4f6b-a663-094407a808ca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dccb83ca-db29-42f2-b840-abc06d143839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3D77292-42DD-4C2A-8252-E112A2D66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ecff7-1e4f-4f6b-a663-094407a808ca"/>
    <ds:schemaRef ds:uri="dccb83ca-db29-42f2-b840-abc06d143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InspectionSite</vt:lpstr>
      <vt:lpstr>InspectionPort</vt:lpstr>
      <vt:lpstr>CorrectiveMajor</vt:lpstr>
      <vt:lpstr>CorrectiveMinor</vt:lpstr>
      <vt:lpstr>OperationTow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Riccardo Meda</cp:lastModifiedBy>
  <dcterms:created xsi:type="dcterms:W3CDTF">2021-11-24T15:18:02Z</dcterms:created>
  <dcterms:modified xsi:type="dcterms:W3CDTF">2026-02-23T18:08:48Z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0x010100CCDD761B80EFBF4BBD3B5C444F95C936</vt:lpwstr>
  </property>
</Properties>
</file>