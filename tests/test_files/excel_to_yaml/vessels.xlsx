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peradore\Desktop\EU-SCORES\eu-scores\tests\test_files\inputs\"/>
    </mc:Choice>
  </mc:AlternateContent>
  <xr:revisionPtr revIDLastSave="0" documentId="13_ncr:1_{40C08FAC-6E69-4644-A2E6-67611177BF57}" xr6:coauthVersionLast="47" xr6:coauthVersionMax="47" xr10:uidLastSave="{00000000-0000-0000-0000-000000000000}"/>
  <bookViews>
    <workbookView xWindow="-110" yWindow="-110" windowWidth="19420" windowHeight="10420" xr2:uid="{74C9B259-FD41-4C34-8501-00BB07545177}"/>
  </bookViews>
  <sheets>
    <sheet name="Gen_Vessels" sheetId="7" r:id="rId1"/>
    <sheet name="Vessel_fuel" sheetId="3" r:id="rId2"/>
    <sheet name="Vessel_load_factor" sheetId="4" r:id="rId3"/>
    <sheet name="Vessel_fuel_density" sheetId="5" r:id="rId4"/>
  </sheets>
  <externalReferences>
    <externalReference r:id="rId5"/>
  </externalReferences>
  <definedNames>
    <definedName name="inputs_export_length" localSheetId="0">[1]General_inputs!$C$17</definedName>
    <definedName name="inputs_export_length">[1]General_inputs!$C$16</definedName>
    <definedName name="pv_devices">[1]PV!$C$3</definedName>
    <definedName name="pv_islands">[1]PV!$C$2</definedName>
    <definedName name="wec_devices">[1]WEC!$C$2</definedName>
    <definedName name="wtg_devices">[1]WTG!$C$2</definedName>
    <definedName name="wtg_moorings">[1]WTG!$C$8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7" l="1"/>
  <c r="C9" i="7"/>
  <c r="C8" i="7"/>
  <c r="C7" i="7"/>
  <c r="C6" i="7"/>
  <c r="C5" i="7"/>
  <c r="C4" i="7"/>
  <c r="C3" i="7"/>
  <c r="C2" i="3"/>
  <c r="D2" i="3"/>
  <c r="C3" i="3"/>
  <c r="D3" i="3"/>
  <c r="D4" i="3"/>
  <c r="C5" i="3"/>
  <c r="D5" i="3"/>
  <c r="C6" i="3"/>
  <c r="D6" i="3"/>
  <c r="C7" i="3"/>
  <c r="D7" i="3"/>
  <c r="C8" i="3"/>
  <c r="D8" i="3"/>
  <c r="C9" i="3"/>
  <c r="D9" i="3"/>
  <c r="C10" i="3"/>
  <c r="D10" i="3"/>
  <c r="C11" i="3"/>
  <c r="D11" i="3"/>
  <c r="C12" i="3"/>
  <c r="D12" i="3"/>
  <c r="C13" i="3"/>
  <c r="D13" i="3"/>
  <c r="C14" i="3"/>
  <c r="D14" i="3"/>
  <c r="C15" i="3"/>
  <c r="D15" i="3"/>
  <c r="C16" i="3"/>
  <c r="D16" i="3"/>
  <c r="C17" i="3"/>
  <c r="D17" i="3"/>
  <c r="C18" i="3"/>
  <c r="D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tc={A03FA0EE-8785-47D4-92F9-B1C25C4A0F77}</author>
  </authors>
  <commentList>
    <comment ref="M1" authorId="0" shapeId="0" xr:uid="{A03FA0EE-8785-47D4-92F9-B1C25C4A0F77}">
      <text>
        <t>[Threaded comment]
Your version of Excel allows you to read this threaded comment; however, any edits to it will get removed if the file is opened in a newer version of Excel. Learn more: https://go.microsoft.com/fwlink/?linkid=870924
Comment:
    @Luis Amaral I added the Vessel_fuel sheet, I think we can remove these columns from this tab. Will the code bug if I do so?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tc={B0E6788B-E770-4E85-B660-66BAED3A8075}</author>
    <author>Miguel Sá</author>
  </authors>
  <commentList>
    <comment ref="C4" authorId="0" shapeId="0" xr:uid="{B0E6788B-E770-4E85-B660-66BAED3A807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found specification sheet main engine rated power: http://www.dofsubsea.com/media/1300/skandi-vinland.pdf</t>
      </text>
    </comment>
    <comment ref="A9" authorId="1" shapeId="0" xr:uid="{669127BB-A3B7-41D9-B8B1-42670187FE83}">
      <text>
        <r>
          <rPr>
            <b/>
            <sz val="9"/>
            <color indexed="81"/>
            <rFont val="Tahoma"/>
            <family val="2"/>
          </rPr>
          <t>Miguel Sá:</t>
        </r>
        <r>
          <rPr>
            <sz val="9"/>
            <color indexed="81"/>
            <rFont val="Tahoma"/>
            <family val="2"/>
          </rPr>
          <t xml:space="preserve">
Assumption: Large vessels have similar consumptions</t>
        </r>
      </text>
    </comment>
  </commentList>
</comments>
</file>

<file path=xl/sharedStrings.xml><?xml version="1.0" encoding="utf-8"?>
<sst xmlns="http://schemas.openxmlformats.org/spreadsheetml/2006/main" count="106" uniqueCount="70">
  <si>
    <t>id</t>
  </si>
  <si>
    <t>type</t>
  </si>
  <si>
    <t>-</t>
  </si>
  <si>
    <t>Multicat</t>
  </si>
  <si>
    <t>V001</t>
  </si>
  <si>
    <t>m/s</t>
  </si>
  <si>
    <t>€</t>
  </si>
  <si>
    <t>kW</t>
  </si>
  <si>
    <t>list_name</t>
  </si>
  <si>
    <t>V002</t>
  </si>
  <si>
    <t>V003</t>
  </si>
  <si>
    <t>AHTS</t>
  </si>
  <si>
    <t>V004</t>
  </si>
  <si>
    <t>DSV</t>
  </si>
  <si>
    <t>ton/h</t>
  </si>
  <si>
    <t>V005</t>
  </si>
  <si>
    <t>CSV</t>
  </si>
  <si>
    <t>mdo</t>
  </si>
  <si>
    <t>speed_transit</t>
  </si>
  <si>
    <t>speed_towing</t>
  </si>
  <si>
    <t>daily_charter</t>
  </si>
  <si>
    <t>power</t>
  </si>
  <si>
    <t>fuel_type</t>
  </si>
  <si>
    <t>fuel_cons_transit</t>
  </si>
  <si>
    <t>fuel_cons_standby</t>
  </si>
  <si>
    <t>fuel_cons_maneuver</t>
  </si>
  <si>
    <t>Tug</t>
  </si>
  <si>
    <t>MGO</t>
  </si>
  <si>
    <t>HFO</t>
  </si>
  <si>
    <t>Survey Vessel</t>
  </si>
  <si>
    <t>SOV</t>
  </si>
  <si>
    <t>Rock Dumper</t>
  </si>
  <si>
    <t>Rigid Inflatable Boat</t>
  </si>
  <si>
    <t>PSV</t>
  </si>
  <si>
    <t>Propelled Crane</t>
  </si>
  <si>
    <t>Non-propelled Crane</t>
  </si>
  <si>
    <t>Guard Vessel</t>
  </si>
  <si>
    <t>Dredger Vessel</t>
  </si>
  <si>
    <t>CLV</t>
  </si>
  <si>
    <t>standby</t>
  </si>
  <si>
    <t>maneuver</t>
  </si>
  <si>
    <t>transit</t>
  </si>
  <si>
    <t>SFOC</t>
  </si>
  <si>
    <t>rated power</t>
  </si>
  <si>
    <t>fuel type</t>
  </si>
  <si>
    <t>vessel</t>
  </si>
  <si>
    <t>Jack-up Vessel</t>
  </si>
  <si>
    <t>CTV</t>
  </si>
  <si>
    <t>operation</t>
  </si>
  <si>
    <t>load_factor</t>
  </si>
  <si>
    <t>hfo</t>
  </si>
  <si>
    <t>fuel</t>
  </si>
  <si>
    <t>mgo</t>
  </si>
  <si>
    <t>density</t>
  </si>
  <si>
    <t>Notes</t>
  </si>
  <si>
    <t>V006</t>
  </si>
  <si>
    <t>MDO</t>
  </si>
  <si>
    <t>CPO vessel</t>
  </si>
  <si>
    <t>V101</t>
  </si>
  <si>
    <t>Farm dedicated vessel 1</t>
  </si>
  <si>
    <t>mobilisation_cost</t>
  </si>
  <si>
    <t>number_vessels</t>
  </si>
  <si>
    <t>crew_capacity</t>
  </si>
  <si>
    <t>num_berths</t>
  </si>
  <si>
    <t>mobilisation_time</t>
  </si>
  <si>
    <t>h</t>
  </si>
  <si>
    <t>V201</t>
  </si>
  <si>
    <t>€/year</t>
  </si>
  <si>
    <t>annual_contract</t>
  </si>
  <si>
    <t>overnight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</si>
</sst>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avec.sharepoint.com/sites/WavEC_Tecnologias/Shared%20Documents/Proj_SCORES/WP5/T5.1/Tool/form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ront_page"/>
      <sheetName val="General_inputs"/>
      <sheetName val="WTG"/>
      <sheetName val="WEC"/>
      <sheetName val="PV"/>
      <sheetName val="Vessels"/>
      <sheetName val="ROVs"/>
      <sheetName val="Operations_prev"/>
      <sheetName val="Scenarios"/>
      <sheetName val="Operations_correct"/>
      <sheetName val="Failures"/>
      <sheetName val="Activities"/>
      <sheetName val="Vessel_fuel"/>
      <sheetName val="Vessel_load_factor"/>
      <sheetName val="Vessel_fuel_density"/>
    </sheetNames>
    <sheetDataSet>
      <sheetData sheetId="0"/>
      <sheetData sheetId="1">
        <row r="14">
          <cell r="C14">
            <v>16</v>
          </cell>
        </row>
        <row r="16">
          <cell r="C16">
            <v>10000</v>
          </cell>
        </row>
        <row r="17">
          <cell r="C17">
            <v>6</v>
          </cell>
        </row>
      </sheetData>
      <sheetData sheetId="2">
        <row r="2">
          <cell r="C2">
            <v>3</v>
          </cell>
        </row>
        <row r="8">
          <cell r="C8">
            <v>3</v>
          </cell>
        </row>
      </sheetData>
      <sheetData sheetId="3">
        <row r="2">
          <cell r="C2">
            <v>10</v>
          </cell>
        </row>
      </sheetData>
      <sheetData sheetId="4">
        <row r="2">
          <cell r="C2">
            <v>4</v>
          </cell>
        </row>
        <row r="3">
          <cell r="C3">
            <v>7500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is Amaral" id="{50A36C8D-2B54-44DC-9548-F59556D36E44}" userId="luis.amaral@wavec.org" providerId="PeoplePicker"/>
  <person displayName="Miguel Sá" id="{EFCE4907-048E-49DA-ACE0-30DF8470B599}" userId="S::miguel.sa@wavec.org::b5561cca-dba9-4373-8839-d748abe9cd2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" dT="2021-12-22T12:47:48.52" personId="{EFCE4907-048E-49DA-ACE0-30DF8470B599}" id="{A03FA0EE-8785-47D4-92F9-B1C25C4A0F77}">
    <text>@Luis Amaral I added the Vessel_fuel sheet, I think we can remove these columns from this tab. Will the code bug if I do so?</text>
    <mentions>
      <mention mentionpersonId="{50A36C8D-2B54-44DC-9548-F59556D36E44}" mentionId="{27E64CC9-FACF-4535-8842-F789DCE0BB4D}" startIndex="0" length="12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4" dT="2021-12-21T17:33:19.81" personId="{EFCE4907-048E-49DA-ACE0-30DF8470B599}" id="{B0E6788B-E770-4E85-B660-66BAED3A8075}">
    <text>Based on found specification sheet main engine rated power: http://www.dofsubsea.com/media/1300/skandi-vinland.pdf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FC609-6D7A-424A-B152-9B763B4228A3}">
  <dimension ref="A1:S10"/>
  <sheetViews>
    <sheetView tabSelected="1" topLeftCell="E1" zoomScale="115" zoomScaleNormal="115" workbookViewId="0">
      <selection activeCell="N2" sqref="N2"/>
    </sheetView>
  </sheetViews>
  <sheetFormatPr defaultRowHeight="14.5" x14ac:dyDescent="0.35"/>
  <cols>
    <col min="3" max="3" width="19" hidden="1" customWidth="1"/>
    <col min="4" max="4" width="16.6328125" customWidth="1"/>
    <col min="5" max="5" width="15.36328125" customWidth="1"/>
    <col min="6" max="6" width="20.36328125" style="2" customWidth="1"/>
    <col min="7" max="9" width="14.54296875" customWidth="1"/>
    <col min="10" max="11" width="14.54296875" style="1" customWidth="1"/>
    <col min="14" max="14" width="11.54296875" customWidth="1"/>
    <col min="15" max="17" width="18.6328125" customWidth="1"/>
    <col min="18" max="18" width="18.7265625" customWidth="1"/>
    <col min="19" max="19" width="50.6328125" customWidth="1"/>
  </cols>
  <sheetData>
    <row r="1" spans="1:19" x14ac:dyDescent="0.35">
      <c r="A1" t="s">
        <v>0</v>
      </c>
      <c r="B1" t="s">
        <v>1</v>
      </c>
      <c r="C1" t="s">
        <v>8</v>
      </c>
      <c r="D1" t="s">
        <v>61</v>
      </c>
      <c r="E1" t="s">
        <v>18</v>
      </c>
      <c r="F1" t="s">
        <v>19</v>
      </c>
      <c r="G1" t="s">
        <v>20</v>
      </c>
      <c r="H1" t="s">
        <v>64</v>
      </c>
      <c r="I1" t="s">
        <v>60</v>
      </c>
      <c r="J1" t="s">
        <v>62</v>
      </c>
      <c r="K1" t="s">
        <v>63</v>
      </c>
      <c r="L1" t="s">
        <v>21</v>
      </c>
      <c r="M1" t="s">
        <v>22</v>
      </c>
      <c r="N1" t="s">
        <v>69</v>
      </c>
      <c r="O1" t="s">
        <v>23</v>
      </c>
      <c r="P1" t="s">
        <v>25</v>
      </c>
      <c r="Q1" t="s">
        <v>24</v>
      </c>
      <c r="R1" t="s">
        <v>68</v>
      </c>
      <c r="S1" t="s">
        <v>54</v>
      </c>
    </row>
    <row r="2" spans="1:19" x14ac:dyDescent="0.35">
      <c r="A2" t="s">
        <v>2</v>
      </c>
      <c r="D2" t="s">
        <v>2</v>
      </c>
      <c r="E2" t="s">
        <v>5</v>
      </c>
      <c r="F2" t="s">
        <v>5</v>
      </c>
      <c r="G2" t="s">
        <v>6</v>
      </c>
      <c r="H2" t="s">
        <v>65</v>
      </c>
      <c r="I2" t="s">
        <v>6</v>
      </c>
      <c r="J2" t="s">
        <v>2</v>
      </c>
      <c r="K2" t="s">
        <v>2</v>
      </c>
      <c r="L2" t="s">
        <v>7</v>
      </c>
      <c r="M2" t="s">
        <v>2</v>
      </c>
      <c r="N2" t="s">
        <v>2</v>
      </c>
      <c r="O2" t="s">
        <v>14</v>
      </c>
      <c r="P2" t="s">
        <v>14</v>
      </c>
      <c r="Q2" t="s">
        <v>14</v>
      </c>
      <c r="R2" t="s">
        <v>67</v>
      </c>
    </row>
    <row r="3" spans="1:19" x14ac:dyDescent="0.35">
      <c r="A3" t="s">
        <v>4</v>
      </c>
      <c r="B3" t="s">
        <v>26</v>
      </c>
      <c r="C3" t="str">
        <f t="shared" ref="C3:C9" si="0">_xlfn.CONCAT(A3," - ",B3)</f>
        <v>V001 - Tug</v>
      </c>
      <c r="D3" s="1">
        <v>2</v>
      </c>
      <c r="E3" s="2">
        <v>3</v>
      </c>
      <c r="F3" s="2">
        <v>2</v>
      </c>
      <c r="G3" s="2">
        <v>2500</v>
      </c>
      <c r="H3" s="2">
        <v>0</v>
      </c>
      <c r="I3" s="2">
        <v>0</v>
      </c>
      <c r="J3" s="1">
        <v>2</v>
      </c>
      <c r="L3" s="2">
        <v>600</v>
      </c>
      <c r="N3" t="b">
        <v>0</v>
      </c>
      <c r="O3" s="2"/>
      <c r="P3" s="2"/>
      <c r="Q3" s="2"/>
      <c r="R3" s="3"/>
    </row>
    <row r="4" spans="1:19" x14ac:dyDescent="0.35">
      <c r="A4" t="s">
        <v>9</v>
      </c>
      <c r="B4" t="s">
        <v>3</v>
      </c>
      <c r="C4" t="str">
        <f t="shared" si="0"/>
        <v>V002 - Multicat</v>
      </c>
      <c r="D4" s="1">
        <v>1</v>
      </c>
      <c r="E4" s="2">
        <v>4</v>
      </c>
      <c r="G4" s="2">
        <v>3000</v>
      </c>
      <c r="H4" s="2">
        <v>336</v>
      </c>
      <c r="I4" s="2">
        <v>25000</v>
      </c>
      <c r="J4" s="1">
        <v>6</v>
      </c>
      <c r="L4" s="2">
        <v>350</v>
      </c>
      <c r="N4" t="b">
        <v>0</v>
      </c>
      <c r="O4" s="2">
        <v>350</v>
      </c>
      <c r="P4" s="2">
        <v>220</v>
      </c>
      <c r="Q4" s="2">
        <v>100</v>
      </c>
      <c r="R4" s="3"/>
    </row>
    <row r="5" spans="1:19" x14ac:dyDescent="0.35">
      <c r="A5" t="s">
        <v>10</v>
      </c>
      <c r="B5" t="s">
        <v>11</v>
      </c>
      <c r="C5" t="str">
        <f t="shared" si="0"/>
        <v>V003 - AHTS</v>
      </c>
      <c r="D5" s="1">
        <v>1</v>
      </c>
      <c r="E5" s="2">
        <v>5</v>
      </c>
      <c r="F5" s="2">
        <v>2</v>
      </c>
      <c r="G5" s="2">
        <v>4500</v>
      </c>
      <c r="H5" s="2">
        <v>0</v>
      </c>
      <c r="I5" s="2">
        <v>0</v>
      </c>
      <c r="J5" s="1">
        <v>2</v>
      </c>
      <c r="L5" s="2">
        <v>750</v>
      </c>
      <c r="N5" t="b">
        <v>1</v>
      </c>
      <c r="O5" s="2"/>
      <c r="P5" s="2"/>
      <c r="Q5" s="2"/>
      <c r="R5" s="3"/>
    </row>
    <row r="6" spans="1:19" x14ac:dyDescent="0.35">
      <c r="A6" t="s">
        <v>12</v>
      </c>
      <c r="B6" t="s">
        <v>13</v>
      </c>
      <c r="C6" t="str">
        <f t="shared" si="0"/>
        <v>V004 - DSV</v>
      </c>
      <c r="D6" s="1">
        <v>1</v>
      </c>
      <c r="E6" s="2">
        <v>4</v>
      </c>
      <c r="G6" s="2">
        <v>3500</v>
      </c>
      <c r="H6" s="2">
        <v>336</v>
      </c>
      <c r="I6" s="2">
        <v>10000</v>
      </c>
      <c r="J6" s="1">
        <v>12</v>
      </c>
      <c r="L6" s="2">
        <v>250</v>
      </c>
      <c r="N6" t="b">
        <v>0</v>
      </c>
      <c r="O6" s="2">
        <v>320</v>
      </c>
      <c r="P6" s="2">
        <v>120</v>
      </c>
      <c r="Q6" s="2">
        <v>50</v>
      </c>
      <c r="R6" s="3"/>
    </row>
    <row r="7" spans="1:19" x14ac:dyDescent="0.35">
      <c r="A7" t="s">
        <v>15</v>
      </c>
      <c r="B7" t="s">
        <v>47</v>
      </c>
      <c r="C7" t="str">
        <f t="shared" si="0"/>
        <v>V005 - CTV</v>
      </c>
      <c r="D7" s="1">
        <v>5</v>
      </c>
      <c r="E7" s="2">
        <v>8</v>
      </c>
      <c r="G7" s="2">
        <v>2200</v>
      </c>
      <c r="H7" s="2">
        <v>0</v>
      </c>
      <c r="I7" s="2">
        <v>0</v>
      </c>
      <c r="J7" s="1">
        <v>12</v>
      </c>
      <c r="L7" s="2">
        <v>200</v>
      </c>
      <c r="M7" t="s">
        <v>56</v>
      </c>
      <c r="N7" t="b">
        <v>0</v>
      </c>
      <c r="O7" s="2">
        <v>400</v>
      </c>
      <c r="P7" s="2">
        <v>50</v>
      </c>
      <c r="Q7" s="2">
        <v>10</v>
      </c>
      <c r="R7" s="3"/>
    </row>
    <row r="8" spans="1:19" x14ac:dyDescent="0.35">
      <c r="A8" t="s">
        <v>55</v>
      </c>
      <c r="B8" t="s">
        <v>3</v>
      </c>
      <c r="C8" t="str">
        <f t="shared" si="0"/>
        <v>V006 - Multicat</v>
      </c>
      <c r="D8" s="1"/>
      <c r="E8" s="2">
        <v>12</v>
      </c>
      <c r="F8" s="2">
        <v>2</v>
      </c>
      <c r="G8" s="2">
        <v>5600</v>
      </c>
      <c r="H8" s="2">
        <v>0</v>
      </c>
      <c r="I8" s="2">
        <v>0</v>
      </c>
      <c r="J8" s="1">
        <v>6</v>
      </c>
      <c r="L8" s="2">
        <v>4046</v>
      </c>
      <c r="M8" t="s">
        <v>56</v>
      </c>
      <c r="N8" t="b">
        <v>0</v>
      </c>
      <c r="R8" s="3"/>
      <c r="S8" t="s">
        <v>57</v>
      </c>
    </row>
    <row r="9" spans="1:19" x14ac:dyDescent="0.35">
      <c r="A9" t="s">
        <v>58</v>
      </c>
      <c r="B9" t="s">
        <v>47</v>
      </c>
      <c r="C9" t="str">
        <f t="shared" si="0"/>
        <v>V101 - CTV</v>
      </c>
      <c r="D9" s="1">
        <v>2</v>
      </c>
      <c r="E9" s="2">
        <v>12</v>
      </c>
      <c r="G9" s="2">
        <v>0</v>
      </c>
      <c r="H9" s="2">
        <v>0</v>
      </c>
      <c r="I9" s="2">
        <v>0</v>
      </c>
      <c r="J9" s="1">
        <v>6</v>
      </c>
      <c r="L9" s="2">
        <v>200</v>
      </c>
      <c r="M9" t="s">
        <v>56</v>
      </c>
      <c r="N9" t="b">
        <v>0</v>
      </c>
      <c r="R9" s="3">
        <v>900000</v>
      </c>
      <c r="S9" t="s">
        <v>59</v>
      </c>
    </row>
    <row r="10" spans="1:19" x14ac:dyDescent="0.35">
      <c r="A10" t="s">
        <v>66</v>
      </c>
      <c r="B10" t="s">
        <v>47</v>
      </c>
      <c r="C10" t="str">
        <f t="shared" ref="C10" si="1">_xlfn.CONCAT(A10," - ",B10)</f>
        <v>V201 - CTV</v>
      </c>
      <c r="D10" s="1">
        <v>2</v>
      </c>
      <c r="E10" s="2">
        <v>12</v>
      </c>
      <c r="G10" s="2">
        <v>0</v>
      </c>
      <c r="H10" s="2">
        <v>0</v>
      </c>
      <c r="I10" s="2">
        <v>0</v>
      </c>
      <c r="J10" s="1">
        <v>6</v>
      </c>
      <c r="L10" s="2">
        <v>200</v>
      </c>
      <c r="M10" t="s">
        <v>56</v>
      </c>
      <c r="N10" t="b">
        <v>0</v>
      </c>
      <c r="S10" t="s">
        <v>59</v>
      </c>
    </row>
  </sheetData>
  <dataValidations count="7">
    <dataValidation type="decimal" operator="greaterThanOrEqual" allowBlank="1" showInputMessage="1" showErrorMessage="1" errorTitle="Wrong input" error="It must be a decimal greater than or equal to 0.0." sqref="I3:I10" xr:uid="{80C21DC8-5167-40CB-804A-59A43F823254}">
      <formula1>0</formula1>
    </dataValidation>
    <dataValidation type="decimal" operator="greaterThan" allowBlank="1" showInputMessage="1" showErrorMessage="1" errorTitle="Wrong input" error="Leave it empy or it must be a decimal greater than 0.0." sqref="F3:F7 O3:Q7 R3:R9" xr:uid="{B864593F-8AFB-4598-A90F-9E8A87935724}">
      <formula1>0</formula1>
    </dataValidation>
    <dataValidation type="decimal" operator="greaterThan" allowBlank="1" showInputMessage="1" showErrorMessage="1" errorTitle="Wrong input" error="It must be a decimal greater than 0.0." sqref="E3:E7" xr:uid="{AC241EE1-DAFA-4EAF-9ED1-8218433438ED}">
      <formula1>0</formula1>
    </dataValidation>
    <dataValidation type="list" allowBlank="1" showInputMessage="1" showErrorMessage="1" sqref="M3:M1048576" xr:uid="{3A8865C4-44CA-4854-8274-2C2833B3F426}">
      <formula1>"MGO,HFO,MDO"</formula1>
    </dataValidation>
    <dataValidation type="decimal" operator="greaterThanOrEqual" allowBlank="1" showInputMessage="1" showErrorMessage="1" errorTitle="Wrong input" error="Leave it empy or it must be a decimal greater than or equal to 0.0." sqref="G3:H10" xr:uid="{B79FB2FA-AD0F-4D3D-B418-6B0E5884EBAB}">
      <formula1>0</formula1>
    </dataValidation>
    <dataValidation type="whole" operator="greaterThanOrEqual" allowBlank="1" showInputMessage="1" showErrorMessage="1" errorTitle="Wrong input" error="It must be a decimal greater than or equal to 0.0." sqref="D3:D10 J3:K1048576" xr:uid="{25257BC5-388B-481C-A39B-497354657FA8}">
      <formula1>1</formula1>
    </dataValidation>
    <dataValidation type="list" allowBlank="1" showInputMessage="1" showErrorMessage="1" sqref="N3:N1048576" xr:uid="{9E344591-2FDC-4290-8302-52CBDD6D61F1}">
      <formula1>"True, False"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3A2E5-AD9D-428E-8209-6F2A35A81D6B}">
  <dimension ref="A1:D18"/>
  <sheetViews>
    <sheetView workbookViewId="0">
      <selection activeCell="N19" sqref="N19"/>
    </sheetView>
  </sheetViews>
  <sheetFormatPr defaultRowHeight="14.5" x14ac:dyDescent="0.35"/>
  <cols>
    <col min="1" max="1" width="18.36328125" bestFit="1" customWidth="1"/>
    <col min="2" max="2" width="8.08984375" bestFit="1" customWidth="1"/>
    <col min="3" max="3" width="11.453125" bestFit="1" customWidth="1"/>
    <col min="4" max="4" width="5.36328125" bestFit="1" customWidth="1"/>
  </cols>
  <sheetData>
    <row r="1" spans="1:4" x14ac:dyDescent="0.35">
      <c r="A1" t="s">
        <v>45</v>
      </c>
      <c r="B1" t="s">
        <v>44</v>
      </c>
      <c r="C1" t="s">
        <v>43</v>
      </c>
      <c r="D1" t="s">
        <v>42</v>
      </c>
    </row>
    <row r="2" spans="1:4" x14ac:dyDescent="0.35">
      <c r="A2" t="s">
        <v>11</v>
      </c>
      <c r="B2" t="s">
        <v>28</v>
      </c>
      <c r="C2" s="1">
        <f>AVERAGE(2984,16000,4120,9000,9000)</f>
        <v>8220.7999999999993</v>
      </c>
      <c r="D2">
        <f>210</f>
        <v>210</v>
      </c>
    </row>
    <row r="3" spans="1:4" x14ac:dyDescent="0.35">
      <c r="A3" t="s">
        <v>38</v>
      </c>
      <c r="B3" t="s">
        <v>28</v>
      </c>
      <c r="C3" s="1">
        <f>AVERAGE(7883.625,10167,13440,28800,10167)</f>
        <v>14091.525</v>
      </c>
      <c r="D3">
        <f>210</f>
        <v>210</v>
      </c>
    </row>
    <row r="4" spans="1:4" x14ac:dyDescent="0.35">
      <c r="A4" t="s">
        <v>16</v>
      </c>
      <c r="B4" t="s">
        <v>28</v>
      </c>
      <c r="C4">
        <v>13360</v>
      </c>
      <c r="D4">
        <f>210</f>
        <v>210</v>
      </c>
    </row>
    <row r="5" spans="1:4" x14ac:dyDescent="0.35">
      <c r="A5" t="s">
        <v>47</v>
      </c>
      <c r="B5" t="s">
        <v>28</v>
      </c>
      <c r="C5" s="1">
        <f>AVERAGE(808.83,2058.42,1066.24,1790)</f>
        <v>1430.8724999999999</v>
      </c>
      <c r="D5">
        <f>210</f>
        <v>210</v>
      </c>
    </row>
    <row r="6" spans="1:4" x14ac:dyDescent="0.35">
      <c r="A6" t="s">
        <v>37</v>
      </c>
      <c r="B6" t="s">
        <v>28</v>
      </c>
      <c r="C6" s="1">
        <f>AVERAGE(736,8826,27300)</f>
        <v>12287.333333333334</v>
      </c>
      <c r="D6">
        <f>210</f>
        <v>210</v>
      </c>
    </row>
    <row r="7" spans="1:4" x14ac:dyDescent="0.35">
      <c r="A7" t="s">
        <v>13</v>
      </c>
      <c r="B7" t="s">
        <v>28</v>
      </c>
      <c r="C7" s="1">
        <f>AVERAGE(14390,5440,1250)</f>
        <v>7026.666666666667</v>
      </c>
      <c r="D7">
        <f>210</f>
        <v>210</v>
      </c>
    </row>
    <row r="8" spans="1:4" x14ac:dyDescent="0.35">
      <c r="A8" t="s">
        <v>36</v>
      </c>
      <c r="B8" t="s">
        <v>28</v>
      </c>
      <c r="C8" s="1">
        <f>AVERAGE(1783,662.5,3495,442)</f>
        <v>1595.625</v>
      </c>
      <c r="D8">
        <f>210</f>
        <v>210</v>
      </c>
    </row>
    <row r="9" spans="1:4" x14ac:dyDescent="0.35">
      <c r="A9" t="s">
        <v>46</v>
      </c>
      <c r="B9" t="s">
        <v>28</v>
      </c>
      <c r="C9" s="1">
        <f>AVERAGE(2400,4800,13400,4800)</f>
        <v>6350</v>
      </c>
      <c r="D9">
        <f>210</f>
        <v>210</v>
      </c>
    </row>
    <row r="10" spans="1:4" x14ac:dyDescent="0.35">
      <c r="A10" t="s">
        <v>3</v>
      </c>
      <c r="B10" t="s">
        <v>28</v>
      </c>
      <c r="C10" s="1">
        <f>AVERAGE(805.5,1862.345,2316.2,881)</f>
        <v>1466.26125</v>
      </c>
      <c r="D10">
        <f>210</f>
        <v>210</v>
      </c>
    </row>
    <row r="11" spans="1:4" x14ac:dyDescent="0.35">
      <c r="A11" t="s">
        <v>35</v>
      </c>
      <c r="B11" t="s">
        <v>28</v>
      </c>
      <c r="C11" s="1">
        <f>1413</f>
        <v>1413</v>
      </c>
      <c r="D11">
        <f>210</f>
        <v>210</v>
      </c>
    </row>
    <row r="12" spans="1:4" x14ac:dyDescent="0.35">
      <c r="A12" t="s">
        <v>34</v>
      </c>
      <c r="B12" t="s">
        <v>28</v>
      </c>
      <c r="C12" s="1">
        <f>AVERAGE(11380,20477.5,930,21125)</f>
        <v>13478.125</v>
      </c>
      <c r="D12">
        <f>210</f>
        <v>210</v>
      </c>
    </row>
    <row r="13" spans="1:4" x14ac:dyDescent="0.35">
      <c r="A13" t="s">
        <v>33</v>
      </c>
      <c r="B13" t="s">
        <v>28</v>
      </c>
      <c r="C13" s="1">
        <f>AVERAGE(4639.87,2868,7060,6905.9)</f>
        <v>5368.4424999999992</v>
      </c>
      <c r="D13">
        <f>210</f>
        <v>210</v>
      </c>
    </row>
    <row r="14" spans="1:4" x14ac:dyDescent="0.35">
      <c r="A14" t="s">
        <v>32</v>
      </c>
      <c r="B14" t="s">
        <v>28</v>
      </c>
      <c r="C14" s="1">
        <f>AVERAGE(588.24,257.355,147.797)</f>
        <v>331.13066666666668</v>
      </c>
      <c r="D14">
        <f>210</f>
        <v>210</v>
      </c>
    </row>
    <row r="15" spans="1:4" x14ac:dyDescent="0.35">
      <c r="A15" t="s">
        <v>31</v>
      </c>
      <c r="B15" t="s">
        <v>28</v>
      </c>
      <c r="C15" s="1">
        <f>AVERAGE(15250,5386,9022,6334)</f>
        <v>8998</v>
      </c>
      <c r="D15">
        <f>210</f>
        <v>210</v>
      </c>
    </row>
    <row r="16" spans="1:4" x14ac:dyDescent="0.35">
      <c r="A16" t="s">
        <v>30</v>
      </c>
      <c r="B16" t="s">
        <v>27</v>
      </c>
      <c r="C16" s="1">
        <f>AVERAGE(4665,9505,21200,6320,1470,5600,736,18409,3340,11150)</f>
        <v>8239.5</v>
      </c>
      <c r="D16">
        <f>210</f>
        <v>210</v>
      </c>
    </row>
    <row r="17" spans="1:4" x14ac:dyDescent="0.35">
      <c r="A17" t="s">
        <v>29</v>
      </c>
      <c r="B17" t="s">
        <v>28</v>
      </c>
      <c r="C17" s="1">
        <f>AVERAGE(1000,7040,4207)</f>
        <v>4082.3333333333335</v>
      </c>
      <c r="D17">
        <f>210</f>
        <v>210</v>
      </c>
    </row>
    <row r="18" spans="1:4" x14ac:dyDescent="0.35">
      <c r="A18" t="s">
        <v>26</v>
      </c>
      <c r="B18" t="s">
        <v>27</v>
      </c>
      <c r="C18" s="1">
        <f>AVERAGE(2329.127,3680,1880,11760,5040)</f>
        <v>4937.8253999999997</v>
      </c>
      <c r="D18">
        <f>210</f>
        <v>210</v>
      </c>
    </row>
  </sheetData>
  <dataValidations count="1">
    <dataValidation type="list" allowBlank="1" showInputMessage="1" showErrorMessage="1" sqref="B3:B18" xr:uid="{642FBEB6-A4F1-40C2-8475-B31EFC605C04}">
      <formula1>"MGO,HFO,MDO"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9C13D-9EC6-4140-AC1A-BC186B0C0DA5}">
  <dimension ref="A1:B4"/>
  <sheetViews>
    <sheetView workbookViewId="0">
      <selection activeCell="C19" sqref="C19"/>
    </sheetView>
  </sheetViews>
  <sheetFormatPr defaultRowHeight="14.5" x14ac:dyDescent="0.35"/>
  <cols>
    <col min="1" max="2" width="10.6328125" customWidth="1"/>
  </cols>
  <sheetData>
    <row r="1" spans="1:2" x14ac:dyDescent="0.35">
      <c r="A1" t="s">
        <v>48</v>
      </c>
      <c r="B1" t="s">
        <v>49</v>
      </c>
    </row>
    <row r="2" spans="1:2" x14ac:dyDescent="0.35">
      <c r="A2" t="s">
        <v>41</v>
      </c>
      <c r="B2">
        <v>0.8</v>
      </c>
    </row>
    <row r="3" spans="1:2" x14ac:dyDescent="0.35">
      <c r="A3" t="s">
        <v>40</v>
      </c>
      <c r="B3">
        <v>0.4</v>
      </c>
    </row>
    <row r="4" spans="1:2" x14ac:dyDescent="0.35">
      <c r="A4" t="s">
        <v>39</v>
      </c>
      <c r="B4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67B1-345B-45A9-BFF2-6436B7252F5B}">
  <dimension ref="A1:B4"/>
  <sheetViews>
    <sheetView workbookViewId="0">
      <selection activeCell="A2" sqref="A2"/>
    </sheetView>
  </sheetViews>
  <sheetFormatPr defaultRowHeight="14.5" x14ac:dyDescent="0.35"/>
  <cols>
    <col min="1" max="2" width="10.6328125" customWidth="1"/>
  </cols>
  <sheetData>
    <row r="1" spans="1:2" x14ac:dyDescent="0.35">
      <c r="A1" t="s">
        <v>51</v>
      </c>
      <c r="B1" t="s">
        <v>53</v>
      </c>
    </row>
    <row r="2" spans="1:2" x14ac:dyDescent="0.35">
      <c r="A2" t="s">
        <v>50</v>
      </c>
      <c r="B2">
        <v>1010</v>
      </c>
    </row>
    <row r="3" spans="1:2" x14ac:dyDescent="0.35">
      <c r="A3" t="s">
        <v>52</v>
      </c>
      <c r="B3">
        <v>855</v>
      </c>
    </row>
    <row r="4" spans="1:2" x14ac:dyDescent="0.35">
      <c r="A4" t="s">
        <v>17</v>
      </c>
      <c r="B4">
        <v>860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DD761B80EFBF4BBD3B5C444F95C936" ma:contentTypeVersion="13" ma:contentTypeDescription="Create a new document." ma:contentTypeScope="" ma:versionID="e081001ce6e5605836f0d3ad037f03ef">
  <xsd:schema xmlns:xsd="http://www.w3.org/2001/XMLSchema" xmlns:xs="http://www.w3.org/2001/XMLSchema" xmlns:p="http://schemas.microsoft.com/office/2006/metadata/properties" xmlns:ns2="22eecff7-1e4f-4f6b-a663-094407a808ca" xmlns:ns3="dccb83ca-db29-42f2-b840-abc06d143839" targetNamespace="http://schemas.microsoft.com/office/2006/metadata/properties" ma:root="true" ma:fieldsID="b71dabfbfbeb9b7dfaf3363475c4b841" ns2:_="" ns3:_="">
    <xsd:import namespace="22eecff7-1e4f-4f6b-a663-094407a808ca"/>
    <xsd:import namespace="dccb83ca-db29-42f2-b840-abc06d1438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eecff7-1e4f-4f6b-a663-094407a808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cb83ca-db29-42f2-b840-abc06d14383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754CCE-2B79-4145-AB10-23B5DC5B6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C536D8-5A1E-4BD5-95AE-EBF32C0595D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3D77292-42DD-4C2A-8252-E112A2D668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eecff7-1e4f-4f6b-a663-094407a808ca"/>
    <ds:schemaRef ds:uri="dccb83ca-db29-42f2-b840-abc06d1438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Gen_Vessels</vt:lpstr>
      <vt:lpstr>Vessel_fuel</vt:lpstr>
      <vt:lpstr>Vessel_load_factor</vt:lpstr>
      <vt:lpstr>Vessel_fuel_density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Amaral</dc:creator>
  <cp:lastModifiedBy>Alessandra Imperadore</cp:lastModifiedBy>
  <dcterms:created xsi:type="dcterms:W3CDTF">2021-11-24T15:18:02Z</dcterms:created>
  <dcterms:modified xsi:type="dcterms:W3CDTF">2023-11-03T09:11:32Z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0x010100CCDD761B80EFBF4BBD3B5C444F95C936</vt:lpwstr>
  </property>
</Properties>
</file>