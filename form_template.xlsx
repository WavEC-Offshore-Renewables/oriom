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66925"/>
  <xr:revisionPtr revIDLastSave="0" documentId="13_ncr:1_{7B6DEE36-8F48-45A5-A3D9-29FA740F0FE8}" xr6:coauthVersionLast="47" xr6:coauthVersionMax="47" xr10:uidLastSave="{00000000-0000-0000-0000-000000000000}"/>
  <bookViews>
    <workbookView xWindow="-120" yWindow="-120" windowWidth="29040" windowHeight="15720" tabRatio="828" firstSheet="4" activeTab="9" xr2:uid="{74C9B259-FD41-4C34-8501-00BB07545177}"/>
  </bookViews>
  <sheets>
    <sheet name="Front_page" sheetId="15" r:id="rId1"/>
    <sheet name="Gen_inputs" sheetId="30" r:id="rId2"/>
    <sheet name="Gen_WTG" sheetId="5" r:id="rId3"/>
    <sheet name="Gen_WEC" sheetId="6" r:id="rId4"/>
    <sheet name="Gen_PV" sheetId="7" r:id="rId5"/>
    <sheet name="Gen_Vessels" sheetId="26" r:id="rId6"/>
    <sheet name="Gen_ROVs" sheetId="16" r:id="rId7"/>
    <sheet name="InspectionSite" sheetId="31" r:id="rId8"/>
    <sheet name="Operations_prev" sheetId="22" state="hidden" r:id="rId9"/>
    <sheet name="InspectionPort" sheetId="33" r:id="rId10"/>
    <sheet name="CorrectiveMinor" sheetId="34" r:id="rId11"/>
    <sheet name="CorrectiveMajor" sheetId="23" r:id="rId12"/>
    <sheet name="OperationTow" sheetId="32" r:id="rId13"/>
    <sheet name="Activities" sheetId="21" r:id="rId14"/>
    <sheet name="TSA_inputs" sheetId="3" r:id="rId15"/>
    <sheet name="SA_inputs" sheetId="27" r:id="rId16"/>
    <sheet name="SA_Scenarios" sheetId="25" r:id="rId17"/>
    <sheet name="SA_Failures" sheetId="24" r:id="rId18"/>
    <sheet name="C_inputs" sheetId="29" r:id="rId19"/>
    <sheet name="Vessel_fuel" sheetId="12" r:id="rId20"/>
    <sheet name="Vessel_load_factor" sheetId="13" r:id="rId21"/>
    <sheet name="Vessel_fuel_density" sheetId="14" r:id="rId22"/>
  </sheets>
  <externalReferences>
    <externalReference r:id="rId23"/>
  </externalReferences>
  <definedNames>
    <definedName name="CorrectiveMajor">CorrectiveMajor!$A$3:$A$500</definedName>
    <definedName name="CorrectiveMinor">CorrectiveMinor!$A$3:$A$500</definedName>
    <definedName name="inputs_dedicated_vessel_cost" localSheetId="18">C_inputs!#REF!</definedName>
    <definedName name="inputs_distance">TSA_inputs!$C$7</definedName>
    <definedName name="inputs_export_length">TSA_inputs!$C$11</definedName>
    <definedName name="inputs_fail_ratio">SA_inputs!$C$11</definedName>
    <definedName name="inputs_infant">SA_inputs!$C$9</definedName>
    <definedName name="inputs_lat">TSA_inputs!$C$2</definedName>
    <definedName name="inputs_lifetime" localSheetId="15">SA_inputs!$C$2</definedName>
    <definedName name="inputs_lon">TSA_inputs!$C$3</definedName>
    <definedName name="inputs_max_wow">TSA_inputs!$C$9</definedName>
    <definedName name="inputs_metocean_file">TSA_inputs!$C$4</definedName>
    <definedName name="inputs_montecarlo">TSA_inputs!$C$10</definedName>
    <definedName name="inputs_port_costs_day" localSheetId="15">SA_inputs!#REF!</definedName>
    <definedName name="inputs_port_costs_year">C_inputs!$C$5</definedName>
    <definedName name="inputs_roughness">TSA_inputs!$C$6</definedName>
    <definedName name="inputs_shift_dur">TSA_inputs!$C$12</definedName>
    <definedName name="inputs_speed_height">TSA_inputs!$C$5</definedName>
    <definedName name="inputs_surface_roughness">TSA_inputs!$C$6</definedName>
    <definedName name="inputs_terminal_daily_cost">C_inputs!$C$5</definedName>
    <definedName name="inputs_transit_between_devices">TSA_inputs!$C$8</definedName>
    <definedName name="inputs_wearout">SA_inputs!$C$10</definedName>
    <definedName name="pv_devices">Gen_PV!$C$3</definedName>
    <definedName name="pv_islands">Gen_PV!$C$2</definedName>
    <definedName name="pv_power">Gen_PV!$C$7</definedName>
    <definedName name="pv_power_file">Gen_PV!$C$8</definedName>
    <definedName name="Tow">OperationTow!$A$3:$A$500</definedName>
    <definedName name="wec_devices">Gen_WEC!$C$2</definedName>
    <definedName name="wec_power">Gen_WEC!$C$3</definedName>
    <definedName name="wec_power_file">Gen_WEC!$C$4</definedName>
    <definedName name="wtg_cutin">Gen_WTG!$C$4</definedName>
    <definedName name="wtg_cutoff">Gen_WTG!$C$5</definedName>
    <definedName name="wtg_devices">Gen_WTG!$C$2</definedName>
    <definedName name="wtg_moorings">Gen_WTG!$C$8</definedName>
    <definedName name="wtg_power">Gen_WTG!$C$3</definedName>
    <definedName name="wtg_power_file">Gen_WTG!$C$7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34" l="1"/>
  <c r="S4" i="34"/>
  <c r="S5" i="34"/>
  <c r="F4" i="23"/>
  <c r="F5" i="23"/>
  <c r="F6" i="23"/>
  <c r="F7" i="23"/>
  <c r="F8" i="23"/>
  <c r="F9" i="23"/>
  <c r="F10" i="23"/>
  <c r="F11" i="23"/>
  <c r="F12" i="23"/>
  <c r="F13" i="23"/>
  <c r="F14" i="23"/>
  <c r="AG19" i="27"/>
  <c r="AF19" i="27"/>
  <c r="AE19" i="27"/>
  <c r="AD19" i="27"/>
  <c r="AC19" i="27"/>
  <c r="AB19" i="27"/>
  <c r="AA19" i="27"/>
  <c r="Z19" i="27"/>
  <c r="Y19" i="27"/>
  <c r="X19" i="27"/>
  <c r="W19" i="27"/>
  <c r="V19" i="27"/>
  <c r="U19" i="27"/>
  <c r="T19" i="27"/>
  <c r="S19" i="27"/>
  <c r="R19" i="27"/>
  <c r="Q19" i="27"/>
  <c r="P19" i="27"/>
  <c r="O19" i="27"/>
  <c r="N19" i="27"/>
  <c r="M19" i="27"/>
  <c r="L19" i="27"/>
  <c r="K19" i="27"/>
  <c r="J19" i="27"/>
  <c r="I19" i="27"/>
  <c r="H19" i="27"/>
  <c r="G19" i="27"/>
  <c r="F19" i="27"/>
  <c r="E19" i="27"/>
  <c r="AG18" i="27"/>
  <c r="AG20" i="27"/>
  <c r="AF20" i="27"/>
  <c r="AE20" i="27"/>
  <c r="AD20" i="27"/>
  <c r="AC20" i="27"/>
  <c r="AB20" i="27"/>
  <c r="AA20" i="27"/>
  <c r="Z20" i="27"/>
  <c r="Y20" i="27"/>
  <c r="X20" i="27"/>
  <c r="W20" i="27"/>
  <c r="V20" i="27"/>
  <c r="U20" i="27"/>
  <c r="T20" i="27"/>
  <c r="S20" i="27"/>
  <c r="R20" i="27"/>
  <c r="Q20" i="27"/>
  <c r="P20" i="27"/>
  <c r="O20" i="27"/>
  <c r="N20" i="27"/>
  <c r="M20" i="27"/>
  <c r="L20" i="27"/>
  <c r="K20" i="27"/>
  <c r="J20" i="27"/>
  <c r="I20" i="27"/>
  <c r="AF18" i="27"/>
  <c r="AE18" i="27"/>
  <c r="AD18" i="27"/>
  <c r="AC18" i="27"/>
  <c r="AB18" i="27"/>
  <c r="AA18" i="27"/>
  <c r="Z18" i="27"/>
  <c r="Y18" i="27"/>
  <c r="X18" i="27"/>
  <c r="W18" i="27"/>
  <c r="V18" i="27"/>
  <c r="U18" i="27"/>
  <c r="T18" i="27"/>
  <c r="S18" i="27"/>
  <c r="R18" i="27"/>
  <c r="Q18" i="27"/>
  <c r="P18" i="27"/>
  <c r="O18" i="27"/>
  <c r="N18" i="27"/>
  <c r="M18" i="27"/>
  <c r="L18" i="27"/>
  <c r="K18" i="27"/>
  <c r="J18" i="27"/>
  <c r="I18" i="27"/>
  <c r="H18" i="27"/>
  <c r="G18" i="27"/>
  <c r="F18" i="27"/>
  <c r="E18" i="27"/>
  <c r="P6" i="34" l="1"/>
  <c r="P7" i="34"/>
  <c r="P8" i="34"/>
  <c r="P9" i="34"/>
  <c r="P10" i="34"/>
  <c r="P11" i="34"/>
  <c r="P12" i="34"/>
  <c r="P13" i="34"/>
  <c r="P14" i="34"/>
  <c r="P15" i="34"/>
  <c r="P16" i="34"/>
  <c r="P17" i="34"/>
  <c r="P18" i="34"/>
  <c r="P19" i="34"/>
  <c r="P20" i="34"/>
  <c r="P21" i="34"/>
  <c r="P22" i="34"/>
  <c r="P23" i="34"/>
  <c r="P24" i="34"/>
  <c r="P25" i="34"/>
  <c r="P26" i="34"/>
  <c r="P27" i="34"/>
  <c r="P28" i="34"/>
  <c r="P29" i="34"/>
  <c r="P30" i="34"/>
  <c r="P31" i="34"/>
  <c r="P32" i="34"/>
  <c r="P33" i="34"/>
  <c r="P34" i="34"/>
  <c r="P35" i="34"/>
  <c r="P36" i="34"/>
  <c r="P37" i="34"/>
  <c r="P38" i="34"/>
  <c r="P39" i="34"/>
  <c r="P40" i="34"/>
  <c r="P41" i="34"/>
  <c r="P42" i="34"/>
  <c r="P43" i="34"/>
  <c r="P44" i="34"/>
  <c r="P45" i="34"/>
  <c r="P46" i="34"/>
  <c r="P47" i="34"/>
  <c r="P48" i="34"/>
  <c r="P49" i="34"/>
  <c r="P50" i="34"/>
  <c r="P51" i="34"/>
  <c r="P52" i="34"/>
  <c r="P53" i="34"/>
  <c r="P54" i="34"/>
  <c r="P55" i="34"/>
  <c r="P56" i="34"/>
  <c r="P57" i="34"/>
  <c r="P58" i="34"/>
  <c r="P59" i="34"/>
  <c r="P60" i="34"/>
  <c r="P61" i="34"/>
  <c r="P62" i="34"/>
  <c r="P63" i="34"/>
  <c r="P64" i="34"/>
  <c r="P65" i="34"/>
  <c r="P66" i="34"/>
  <c r="P67" i="34"/>
  <c r="P68" i="34"/>
  <c r="P69" i="34"/>
  <c r="P70" i="34"/>
  <c r="P71" i="34"/>
  <c r="P72" i="34"/>
  <c r="P73" i="34"/>
  <c r="P74" i="34"/>
  <c r="P75" i="34"/>
  <c r="P76" i="34"/>
  <c r="P77" i="34"/>
  <c r="P78" i="34"/>
  <c r="P79" i="34"/>
  <c r="P80" i="34"/>
  <c r="P81" i="34"/>
  <c r="P82" i="34"/>
  <c r="P83" i="34"/>
  <c r="P84" i="34"/>
  <c r="P85" i="34"/>
  <c r="P86" i="34"/>
  <c r="P87" i="34"/>
  <c r="P88" i="34"/>
  <c r="P89" i="34"/>
  <c r="P90" i="34"/>
  <c r="P91" i="34"/>
  <c r="P92" i="34"/>
  <c r="P93" i="34"/>
  <c r="P94" i="34"/>
  <c r="P95" i="34"/>
  <c r="P96" i="34"/>
  <c r="P97" i="34"/>
  <c r="P98" i="34"/>
  <c r="P99" i="34"/>
  <c r="P100" i="34"/>
  <c r="P101" i="34"/>
  <c r="P102" i="34"/>
  <c r="P103" i="34"/>
  <c r="P104" i="34"/>
  <c r="P105" i="34"/>
  <c r="P106" i="34"/>
  <c r="P107" i="34"/>
  <c r="P108" i="34"/>
  <c r="P109" i="34"/>
  <c r="P110" i="34"/>
  <c r="P111" i="34"/>
  <c r="P112" i="34"/>
  <c r="P113" i="34"/>
  <c r="P114" i="34"/>
  <c r="P115" i="34"/>
  <c r="P116" i="34"/>
  <c r="P117" i="34"/>
  <c r="P118" i="34"/>
  <c r="P119" i="34"/>
  <c r="P120" i="34"/>
  <c r="P121" i="34"/>
  <c r="P122" i="34"/>
  <c r="P123" i="34"/>
  <c r="P124" i="34"/>
  <c r="P125" i="34"/>
  <c r="P126" i="34"/>
  <c r="P127" i="34"/>
  <c r="P128" i="34"/>
  <c r="P129" i="34"/>
  <c r="P130" i="34"/>
  <c r="P131" i="34"/>
  <c r="P132" i="34"/>
  <c r="P133" i="34"/>
  <c r="P134" i="34"/>
  <c r="P135" i="34"/>
  <c r="P136" i="34"/>
  <c r="P137" i="34"/>
  <c r="P138" i="34"/>
  <c r="P139" i="34"/>
  <c r="P140" i="34"/>
  <c r="P141" i="34"/>
  <c r="P142" i="34"/>
  <c r="P143" i="34"/>
  <c r="P144" i="34"/>
  <c r="P145" i="34"/>
  <c r="P146" i="34"/>
  <c r="P147" i="34"/>
  <c r="P148" i="34"/>
  <c r="P149" i="34"/>
  <c r="P150" i="34"/>
  <c r="P151" i="34"/>
  <c r="P152" i="34"/>
  <c r="P153" i="34"/>
  <c r="P154" i="34"/>
  <c r="P155" i="34"/>
  <c r="P156" i="34"/>
  <c r="P157" i="34"/>
  <c r="P158" i="34"/>
  <c r="P159" i="34"/>
  <c r="P160" i="34"/>
  <c r="P161" i="34"/>
  <c r="P162" i="34"/>
  <c r="P163" i="34"/>
  <c r="P164" i="34"/>
  <c r="P165" i="34"/>
  <c r="P166" i="34"/>
  <c r="P167" i="34"/>
  <c r="P168" i="34"/>
  <c r="P169" i="34"/>
  <c r="P170" i="34"/>
  <c r="P171" i="34"/>
  <c r="P172" i="34"/>
  <c r="P173" i="34"/>
  <c r="P174" i="34"/>
  <c r="P175" i="34"/>
  <c r="P176" i="34"/>
  <c r="P177" i="34"/>
  <c r="P178" i="34"/>
  <c r="P179" i="34"/>
  <c r="P180" i="34"/>
  <c r="P181" i="34"/>
  <c r="P182" i="34"/>
  <c r="P183" i="34"/>
  <c r="P184" i="34"/>
  <c r="P185" i="34"/>
  <c r="P186" i="34"/>
  <c r="P187" i="34"/>
  <c r="P188" i="34"/>
  <c r="P189" i="34"/>
  <c r="P190" i="34"/>
  <c r="P191" i="34"/>
  <c r="P192" i="34"/>
  <c r="P193" i="34"/>
  <c r="P194" i="34"/>
  <c r="P195" i="34"/>
  <c r="P196" i="34"/>
  <c r="P197" i="34"/>
  <c r="P198" i="34"/>
  <c r="P199" i="34"/>
  <c r="P200" i="34"/>
  <c r="P201" i="34"/>
  <c r="P202" i="34"/>
  <c r="P203" i="34"/>
  <c r="P204" i="34"/>
  <c r="P205" i="34"/>
  <c r="P206" i="34"/>
  <c r="P207" i="34"/>
  <c r="P208" i="34"/>
  <c r="P209" i="34"/>
  <c r="P210" i="34"/>
  <c r="P211" i="34"/>
  <c r="P212" i="34"/>
  <c r="P213" i="34"/>
  <c r="P214" i="34"/>
  <c r="P215" i="34"/>
  <c r="P216" i="34"/>
  <c r="P217" i="34"/>
  <c r="P218" i="34"/>
  <c r="P219" i="34"/>
  <c r="P220" i="34"/>
  <c r="P221" i="34"/>
  <c r="P222" i="34"/>
  <c r="P223" i="34"/>
  <c r="P224" i="34"/>
  <c r="P225" i="34"/>
  <c r="P226" i="34"/>
  <c r="P227" i="34"/>
  <c r="P228" i="34"/>
  <c r="P229" i="34"/>
  <c r="P230" i="34"/>
  <c r="P231" i="34"/>
  <c r="P232" i="34"/>
  <c r="P233" i="34"/>
  <c r="P234" i="34"/>
  <c r="P235" i="34"/>
  <c r="P236" i="34"/>
  <c r="P237" i="34"/>
  <c r="P238" i="34"/>
  <c r="P239" i="34"/>
  <c r="P240" i="34"/>
  <c r="P241" i="34"/>
  <c r="P242" i="34"/>
  <c r="P243" i="34"/>
  <c r="P244" i="34"/>
  <c r="P245" i="34"/>
  <c r="P246" i="34"/>
  <c r="P247" i="34"/>
  <c r="P248" i="34"/>
  <c r="P249" i="34"/>
  <c r="P250" i="34"/>
  <c r="P251" i="34"/>
  <c r="P252" i="34"/>
  <c r="P253" i="34"/>
  <c r="P254" i="34"/>
  <c r="P255" i="34"/>
  <c r="P256" i="34"/>
  <c r="P257" i="34"/>
  <c r="P258" i="34"/>
  <c r="P259" i="34"/>
  <c r="P260" i="34"/>
  <c r="P261" i="34"/>
  <c r="P262" i="34"/>
  <c r="P263" i="34"/>
  <c r="P264" i="34"/>
  <c r="P265" i="34"/>
  <c r="P266" i="34"/>
  <c r="P267" i="34"/>
  <c r="P268" i="34"/>
  <c r="P269" i="34"/>
  <c r="P270" i="34"/>
  <c r="P271" i="34"/>
  <c r="P272" i="34"/>
  <c r="P273" i="34"/>
  <c r="P274" i="34"/>
  <c r="P275" i="34"/>
  <c r="P276" i="34"/>
  <c r="P277" i="34"/>
  <c r="P278" i="34"/>
  <c r="P279" i="34"/>
  <c r="P280" i="34"/>
  <c r="P281" i="34"/>
  <c r="P282" i="34"/>
  <c r="P283" i="34"/>
  <c r="P284" i="34"/>
  <c r="P285" i="34"/>
  <c r="P286" i="34"/>
  <c r="P287" i="34"/>
  <c r="P288" i="34"/>
  <c r="P289" i="34"/>
  <c r="P290" i="34"/>
  <c r="P291" i="34"/>
  <c r="P292" i="34"/>
  <c r="P293" i="34"/>
  <c r="P294" i="34"/>
  <c r="P295" i="34"/>
  <c r="P296" i="34"/>
  <c r="P297" i="34"/>
  <c r="P298" i="34"/>
  <c r="P299" i="34"/>
  <c r="P300" i="34"/>
  <c r="P301" i="34"/>
  <c r="P302" i="34"/>
  <c r="P303" i="34"/>
  <c r="P304" i="34"/>
  <c r="P305" i="34"/>
  <c r="P306" i="34"/>
  <c r="P307" i="34"/>
  <c r="P308" i="34"/>
  <c r="P309" i="34"/>
  <c r="P310" i="34"/>
  <c r="P311" i="34"/>
  <c r="P312" i="34"/>
  <c r="P313" i="34"/>
  <c r="P314" i="34"/>
  <c r="P315" i="34"/>
  <c r="P316" i="34"/>
  <c r="P317" i="34"/>
  <c r="P318" i="34"/>
  <c r="P319" i="34"/>
  <c r="P320" i="34"/>
  <c r="P321" i="34"/>
  <c r="P322" i="34"/>
  <c r="P323" i="34"/>
  <c r="P324" i="34"/>
  <c r="P325" i="34"/>
  <c r="P326" i="34"/>
  <c r="P327" i="34"/>
  <c r="P328" i="34"/>
  <c r="P329" i="34"/>
  <c r="P330" i="34"/>
  <c r="P331" i="34"/>
  <c r="P332" i="34"/>
  <c r="P333" i="34"/>
  <c r="P334" i="34"/>
  <c r="P335" i="34"/>
  <c r="P336" i="34"/>
  <c r="P337" i="34"/>
  <c r="P338" i="34"/>
  <c r="P339" i="34"/>
  <c r="P340" i="34"/>
  <c r="P341" i="34"/>
  <c r="P342" i="34"/>
  <c r="P343" i="34"/>
  <c r="P344" i="34"/>
  <c r="P345" i="34"/>
  <c r="P346" i="34"/>
  <c r="P347" i="34"/>
  <c r="P348" i="34"/>
  <c r="P349" i="34"/>
  <c r="P350" i="34"/>
  <c r="P351" i="34"/>
  <c r="P352" i="34"/>
  <c r="P353" i="34"/>
  <c r="P354" i="34"/>
  <c r="P355" i="34"/>
  <c r="P356" i="34"/>
  <c r="P357" i="34"/>
  <c r="P358" i="34"/>
  <c r="P359" i="34"/>
  <c r="P360" i="34"/>
  <c r="P361" i="34"/>
  <c r="P362" i="34"/>
  <c r="P363" i="34"/>
  <c r="P364" i="34"/>
  <c r="P365" i="34"/>
  <c r="P366" i="34"/>
  <c r="P367" i="34"/>
  <c r="P368" i="34"/>
  <c r="P369" i="34"/>
  <c r="P370" i="34"/>
  <c r="P371" i="34"/>
  <c r="P372" i="34"/>
  <c r="P373" i="34"/>
  <c r="P374" i="34"/>
  <c r="P375" i="34"/>
  <c r="P376" i="34"/>
  <c r="P377" i="34"/>
  <c r="P378" i="34"/>
  <c r="P379" i="34"/>
  <c r="P380" i="34"/>
  <c r="P381" i="34"/>
  <c r="P382" i="34"/>
  <c r="P383" i="34"/>
  <c r="P384" i="34"/>
  <c r="P385" i="34"/>
  <c r="P386" i="34"/>
  <c r="P387" i="34"/>
  <c r="P388" i="34"/>
  <c r="P389" i="34"/>
  <c r="P390" i="34"/>
  <c r="P391" i="34"/>
  <c r="P392" i="34"/>
  <c r="P393" i="34"/>
  <c r="P394" i="34"/>
  <c r="P395" i="34"/>
  <c r="P396" i="34"/>
  <c r="P397" i="34"/>
  <c r="P398" i="34"/>
  <c r="P399" i="34"/>
  <c r="P400" i="34"/>
  <c r="P401" i="34"/>
  <c r="P402" i="34"/>
  <c r="P403" i="34"/>
  <c r="P404" i="34"/>
  <c r="P405" i="34"/>
  <c r="P406" i="34"/>
  <c r="P407" i="34"/>
  <c r="P408" i="34"/>
  <c r="P409" i="34"/>
  <c r="P410" i="34"/>
  <c r="P411" i="34"/>
  <c r="P412" i="34"/>
  <c r="P413" i="34"/>
  <c r="P414" i="34"/>
  <c r="P415" i="34"/>
  <c r="P416" i="34"/>
  <c r="P417" i="34"/>
  <c r="P418" i="34"/>
  <c r="P419" i="34"/>
  <c r="P420" i="34"/>
  <c r="P421" i="34"/>
  <c r="P422" i="34"/>
  <c r="P423" i="34"/>
  <c r="P424" i="34"/>
  <c r="P425" i="34"/>
  <c r="P426" i="34"/>
  <c r="P427" i="34"/>
  <c r="P428" i="34"/>
  <c r="P429" i="34"/>
  <c r="P430" i="34"/>
  <c r="P431" i="34"/>
  <c r="P432" i="34"/>
  <c r="P433" i="34"/>
  <c r="P434" i="34"/>
  <c r="P435" i="34"/>
  <c r="P436" i="34"/>
  <c r="P437" i="34"/>
  <c r="P438" i="34"/>
  <c r="P439" i="34"/>
  <c r="P440" i="34"/>
  <c r="P441" i="34"/>
  <c r="P442" i="34"/>
  <c r="P443" i="34"/>
  <c r="P444" i="34"/>
  <c r="P445" i="34"/>
  <c r="P446" i="34"/>
  <c r="P447" i="34"/>
  <c r="P448" i="34"/>
  <c r="P449" i="34"/>
  <c r="P450" i="34"/>
  <c r="P451" i="34"/>
  <c r="P452" i="34"/>
  <c r="P453" i="34"/>
  <c r="P454" i="34"/>
  <c r="P455" i="34"/>
  <c r="P456" i="34"/>
  <c r="P457" i="34"/>
  <c r="P458" i="34"/>
  <c r="P459" i="34"/>
  <c r="P460" i="34"/>
  <c r="P461" i="34"/>
  <c r="P462" i="34"/>
  <c r="P463" i="34"/>
  <c r="P464" i="34"/>
  <c r="P465" i="34"/>
  <c r="P466" i="34"/>
  <c r="P467" i="34"/>
  <c r="P468" i="34"/>
  <c r="P469" i="34"/>
  <c r="P470" i="34"/>
  <c r="P471" i="34"/>
  <c r="P472" i="34"/>
  <c r="P473" i="34"/>
  <c r="P474" i="34"/>
  <c r="P475" i="34"/>
  <c r="P476" i="34"/>
  <c r="P477" i="34"/>
  <c r="P478" i="34"/>
  <c r="P479" i="34"/>
  <c r="P480" i="34"/>
  <c r="P481" i="34"/>
  <c r="P482" i="34"/>
  <c r="P483" i="34"/>
  <c r="P484" i="34"/>
  <c r="P485" i="34"/>
  <c r="P486" i="34"/>
  <c r="P487" i="34"/>
  <c r="P488" i="34"/>
  <c r="P489" i="34"/>
  <c r="P490" i="34"/>
  <c r="P491" i="34"/>
  <c r="P492" i="34"/>
  <c r="P4" i="34"/>
  <c r="P5" i="34"/>
  <c r="P3" i="34"/>
  <c r="F3" i="23"/>
  <c r="A5" i="34"/>
  <c r="A4" i="34"/>
  <c r="I5" i="23" l="1"/>
  <c r="A5" i="23"/>
  <c r="H3" i="32"/>
  <c r="H4" i="32"/>
  <c r="H5" i="32"/>
  <c r="H6" i="32"/>
  <c r="E3" i="32"/>
  <c r="E4" i="32"/>
  <c r="E5" i="32"/>
  <c r="E6" i="32"/>
  <c r="E7" i="32"/>
  <c r="E8" i="32"/>
  <c r="A5" i="32"/>
  <c r="A4" i="32"/>
  <c r="A3" i="32"/>
  <c r="A3" i="33"/>
  <c r="A3" i="34"/>
  <c r="I4" i="23"/>
  <c r="A4" i="23"/>
  <c r="A3" i="23"/>
  <c r="I3" i="23"/>
  <c r="W7" i="31"/>
  <c r="T7" i="31"/>
  <c r="I7" i="31"/>
  <c r="A7" i="31" s="1"/>
  <c r="W6" i="31"/>
  <c r="T6" i="31"/>
  <c r="I6" i="31"/>
  <c r="A6" i="31" s="1"/>
  <c r="W5" i="31"/>
  <c r="T5" i="31"/>
  <c r="I5" i="31"/>
  <c r="A5" i="31" s="1"/>
  <c r="W4" i="31"/>
  <c r="T4" i="31"/>
  <c r="I4" i="31"/>
  <c r="A4" i="31" s="1"/>
  <c r="A8" i="31"/>
  <c r="A9" i="31"/>
  <c r="A10" i="31"/>
  <c r="A11" i="31"/>
  <c r="A12" i="31"/>
  <c r="A13" i="31"/>
  <c r="A14" i="31"/>
  <c r="A15" i="31"/>
  <c r="A16" i="31"/>
  <c r="A17" i="31"/>
  <c r="A18" i="31"/>
  <c r="A19" i="31"/>
  <c r="A20" i="31"/>
  <c r="A21" i="31"/>
  <c r="A22" i="31"/>
  <c r="A23" i="31"/>
  <c r="A24" i="31"/>
  <c r="A25" i="31"/>
  <c r="A26" i="31"/>
  <c r="A27" i="31"/>
  <c r="A28" i="31"/>
  <c r="A29" i="31"/>
  <c r="A30" i="31"/>
  <c r="A31" i="31"/>
  <c r="A32" i="31"/>
  <c r="A33" i="31"/>
  <c r="A34" i="31"/>
  <c r="A35" i="31"/>
  <c r="A36" i="31"/>
  <c r="A37" i="31"/>
  <c r="A38" i="31"/>
  <c r="A39" i="31"/>
  <c r="A40" i="31"/>
  <c r="A41" i="31"/>
  <c r="A42" i="31"/>
  <c r="A43" i="31"/>
  <c r="A44" i="31"/>
  <c r="A45" i="31"/>
  <c r="A46" i="31"/>
  <c r="A47" i="31"/>
  <c r="A48" i="31"/>
  <c r="A49" i="31"/>
  <c r="A50" i="31"/>
  <c r="A51" i="31"/>
  <c r="A52" i="31"/>
  <c r="A53" i="31"/>
  <c r="A54" i="31"/>
  <c r="A55" i="31"/>
  <c r="A56" i="31"/>
  <c r="A57" i="31"/>
  <c r="A58" i="31"/>
  <c r="A59" i="31"/>
  <c r="A60" i="31"/>
  <c r="A61" i="31"/>
  <c r="A62" i="31"/>
  <c r="A63" i="31"/>
  <c r="A64" i="31"/>
  <c r="A65" i="31"/>
  <c r="A66" i="31"/>
  <c r="A67" i="31"/>
  <c r="A68" i="31"/>
  <c r="A69" i="31"/>
  <c r="A70" i="31"/>
  <c r="A71" i="31"/>
  <c r="A72" i="31"/>
  <c r="A73" i="31"/>
  <c r="A74" i="31"/>
  <c r="A75" i="31"/>
  <c r="A76" i="31"/>
  <c r="A77" i="31"/>
  <c r="A78" i="31"/>
  <c r="A79" i="31"/>
  <c r="A80" i="31"/>
  <c r="A81" i="31"/>
  <c r="A82" i="31"/>
  <c r="A83" i="31"/>
  <c r="A84" i="31"/>
  <c r="A85" i="31"/>
  <c r="A86" i="31"/>
  <c r="A87" i="31"/>
  <c r="A88" i="31"/>
  <c r="A89" i="31"/>
  <c r="A90" i="31"/>
  <c r="A91" i="31"/>
  <c r="A92" i="31"/>
  <c r="A93" i="31"/>
  <c r="A94" i="31"/>
  <c r="A95" i="31"/>
  <c r="A96" i="31"/>
  <c r="A97" i="31"/>
  <c r="A98" i="31"/>
  <c r="A99" i="31"/>
  <c r="A100" i="31"/>
  <c r="A101" i="31"/>
  <c r="A102" i="31"/>
  <c r="A103" i="31"/>
  <c r="A104" i="31"/>
  <c r="A105" i="31"/>
  <c r="A106" i="31"/>
  <c r="A107" i="31"/>
  <c r="A108" i="31"/>
  <c r="A109" i="31"/>
  <c r="A110" i="31"/>
  <c r="A111" i="31"/>
  <c r="A112" i="31"/>
  <c r="A113" i="31"/>
  <c r="A114" i="31"/>
  <c r="A115" i="31"/>
  <c r="A116" i="31"/>
  <c r="A117" i="31"/>
  <c r="A118" i="31"/>
  <c r="A119" i="31"/>
  <c r="A120" i="31"/>
  <c r="A121" i="31"/>
  <c r="A122" i="31"/>
  <c r="A123" i="31"/>
  <c r="A124" i="31"/>
  <c r="A125" i="31"/>
  <c r="A126" i="31"/>
  <c r="A127" i="31"/>
  <c r="A128" i="31"/>
  <c r="A129" i="31"/>
  <c r="A130" i="31"/>
  <c r="A131" i="31"/>
  <c r="A132" i="31"/>
  <c r="A133" i="31"/>
  <c r="A134" i="31"/>
  <c r="A135" i="31"/>
  <c r="A136" i="31"/>
  <c r="A137" i="31"/>
  <c r="A138" i="31"/>
  <c r="A139" i="31"/>
  <c r="A140" i="31"/>
  <c r="A141" i="31"/>
  <c r="A142" i="31"/>
  <c r="A143" i="31"/>
  <c r="A144" i="31"/>
  <c r="A145" i="31"/>
  <c r="A146" i="31"/>
  <c r="A147" i="31"/>
  <c r="A148" i="31"/>
  <c r="A149" i="31"/>
  <c r="A150" i="31"/>
  <c r="A151" i="31"/>
  <c r="A152" i="31"/>
  <c r="A153" i="31"/>
  <c r="A154" i="31"/>
  <c r="A155" i="31"/>
  <c r="A156" i="31"/>
  <c r="A157" i="31"/>
  <c r="A158" i="31"/>
  <c r="A159" i="31"/>
  <c r="A160" i="31"/>
  <c r="A161" i="31"/>
  <c r="A162" i="31"/>
  <c r="A163" i="31"/>
  <c r="A164" i="31"/>
  <c r="A165" i="31"/>
  <c r="A166" i="31"/>
  <c r="A167" i="31"/>
  <c r="A168" i="31"/>
  <c r="A169" i="31"/>
  <c r="A170" i="31"/>
  <c r="A171" i="31"/>
  <c r="A172" i="31"/>
  <c r="A173" i="31"/>
  <c r="A174" i="31"/>
  <c r="A175" i="31"/>
  <c r="A176" i="31"/>
  <c r="A177" i="31"/>
  <c r="A178" i="31"/>
  <c r="A179" i="31"/>
  <c r="A180" i="31"/>
  <c r="A181" i="31"/>
  <c r="A182" i="31"/>
  <c r="A183" i="31"/>
  <c r="A184" i="31"/>
  <c r="A185" i="31"/>
  <c r="A186" i="31"/>
  <c r="A187" i="31"/>
  <c r="A188" i="31"/>
  <c r="A189" i="31"/>
  <c r="A190" i="31"/>
  <c r="A191" i="31"/>
  <c r="A192" i="31"/>
  <c r="A193" i="31"/>
  <c r="A194" i="31"/>
  <c r="A195" i="31"/>
  <c r="A196" i="31"/>
  <c r="A197" i="31"/>
  <c r="A198" i="31"/>
  <c r="A199" i="31"/>
  <c r="A200" i="31"/>
  <c r="A201" i="31"/>
  <c r="A202" i="31"/>
  <c r="A203" i="31"/>
  <c r="A204" i="31"/>
  <c r="A205" i="31"/>
  <c r="A206" i="31"/>
  <c r="A207" i="31"/>
  <c r="A208" i="31"/>
  <c r="A209" i="31"/>
  <c r="A210" i="31"/>
  <c r="A211" i="31"/>
  <c r="A212" i="31"/>
  <c r="A213" i="31"/>
  <c r="A214" i="31"/>
  <c r="A215" i="31"/>
  <c r="A216" i="31"/>
  <c r="A217" i="31"/>
  <c r="A218" i="31"/>
  <c r="A219" i="31"/>
  <c r="A220" i="31"/>
  <c r="A221" i="31"/>
  <c r="A222" i="31"/>
  <c r="A223" i="31"/>
  <c r="A224" i="31"/>
  <c r="A225" i="31"/>
  <c r="A226" i="31"/>
  <c r="A227" i="31"/>
  <c r="A228" i="31"/>
  <c r="A229" i="31"/>
  <c r="A230" i="31"/>
  <c r="A231" i="31"/>
  <c r="A232" i="31"/>
  <c r="A233" i="31"/>
  <c r="A234" i="31"/>
  <c r="A235" i="31"/>
  <c r="A236" i="31"/>
  <c r="A237" i="31"/>
  <c r="A238" i="31"/>
  <c r="A239" i="31"/>
  <c r="A240" i="31"/>
  <c r="A241" i="31"/>
  <c r="A242" i="31"/>
  <c r="A243" i="31"/>
  <c r="A244" i="31"/>
  <c r="A245" i="31"/>
  <c r="A246" i="31"/>
  <c r="A247" i="31"/>
  <c r="A248" i="31"/>
  <c r="A249" i="31"/>
  <c r="A250" i="31"/>
  <c r="A251" i="31"/>
  <c r="A252" i="31"/>
  <c r="A253" i="31"/>
  <c r="A254" i="31"/>
  <c r="A255" i="31"/>
  <c r="A256" i="31"/>
  <c r="A257" i="31"/>
  <c r="A258" i="31"/>
  <c r="A259" i="31"/>
  <c r="A260" i="31"/>
  <c r="A261" i="31"/>
  <c r="A262" i="31"/>
  <c r="A263" i="31"/>
  <c r="A264" i="31"/>
  <c r="A265" i="31"/>
  <c r="A266" i="31"/>
  <c r="A267" i="31"/>
  <c r="A268" i="31"/>
  <c r="A269" i="31"/>
  <c r="A270" i="31"/>
  <c r="A271" i="31"/>
  <c r="A272" i="31"/>
  <c r="A273" i="31"/>
  <c r="A274" i="31"/>
  <c r="A275" i="31"/>
  <c r="A276" i="31"/>
  <c r="A277" i="31"/>
  <c r="A278" i="31"/>
  <c r="A279" i="31"/>
  <c r="A280" i="31"/>
  <c r="A281" i="31"/>
  <c r="A282" i="31"/>
  <c r="A283" i="31"/>
  <c r="A284" i="31"/>
  <c r="A285" i="31"/>
  <c r="A286" i="31"/>
  <c r="A287" i="31"/>
  <c r="A288" i="31"/>
  <c r="A289" i="31"/>
  <c r="A290" i="31"/>
  <c r="A291" i="31"/>
  <c r="A292" i="31"/>
  <c r="A293" i="31"/>
  <c r="A294" i="31"/>
  <c r="A295" i="31"/>
  <c r="A296" i="31"/>
  <c r="A297" i="31"/>
  <c r="A298" i="31"/>
  <c r="A299" i="31"/>
  <c r="A300" i="31"/>
  <c r="A301" i="31"/>
  <c r="A302" i="31"/>
  <c r="A303" i="31"/>
  <c r="A304" i="31"/>
  <c r="A305" i="31"/>
  <c r="A306" i="31"/>
  <c r="A307" i="31"/>
  <c r="A308" i="31"/>
  <c r="A309" i="31"/>
  <c r="A310" i="31"/>
  <c r="A311" i="31"/>
  <c r="A312" i="31"/>
  <c r="A313" i="31"/>
  <c r="A314" i="31"/>
  <c r="A315" i="31"/>
  <c r="A316" i="31"/>
  <c r="A317" i="31"/>
  <c r="A318" i="31"/>
  <c r="A319" i="31"/>
  <c r="A320" i="31"/>
  <c r="A321" i="31"/>
  <c r="A322" i="31"/>
  <c r="A323" i="31"/>
  <c r="A324" i="31"/>
  <c r="A325" i="31"/>
  <c r="A326" i="31"/>
  <c r="A327" i="31"/>
  <c r="A328" i="31"/>
  <c r="A329" i="31"/>
  <c r="A330" i="31"/>
  <c r="A331" i="31"/>
  <c r="A332" i="31"/>
  <c r="A333" i="31"/>
  <c r="A334" i="31"/>
  <c r="A335" i="31"/>
  <c r="A336" i="31"/>
  <c r="A337" i="31"/>
  <c r="A338" i="31"/>
  <c r="A339" i="31"/>
  <c r="A340" i="31"/>
  <c r="A341" i="31"/>
  <c r="A342" i="31"/>
  <c r="A343" i="31"/>
  <c r="A344" i="31"/>
  <c r="A345" i="31"/>
  <c r="A346" i="31"/>
  <c r="A347" i="31"/>
  <c r="A348" i="31"/>
  <c r="A349" i="31"/>
  <c r="A350" i="31"/>
  <c r="A351" i="31"/>
  <c r="A352" i="31"/>
  <c r="A353" i="31"/>
  <c r="A354" i="31"/>
  <c r="A355" i="31"/>
  <c r="A356" i="31"/>
  <c r="A357" i="31"/>
  <c r="A358" i="31"/>
  <c r="A359" i="31"/>
  <c r="A360" i="31"/>
  <c r="A361" i="31"/>
  <c r="A362" i="31"/>
  <c r="A363" i="31"/>
  <c r="A364" i="31"/>
  <c r="A365" i="31"/>
  <c r="A366" i="31"/>
  <c r="A367" i="31"/>
  <c r="A368" i="31"/>
  <c r="A369" i="31"/>
  <c r="A370" i="31"/>
  <c r="A371" i="31"/>
  <c r="A372" i="31"/>
  <c r="A373" i="31"/>
  <c r="A374" i="31"/>
  <c r="A375" i="31"/>
  <c r="A376" i="31"/>
  <c r="A377" i="31"/>
  <c r="A378" i="31"/>
  <c r="A379" i="31"/>
  <c r="A380" i="31"/>
  <c r="A381" i="31"/>
  <c r="A382" i="31"/>
  <c r="A383" i="31"/>
  <c r="A384" i="31"/>
  <c r="A385" i="31"/>
  <c r="A386" i="31"/>
  <c r="A387" i="31"/>
  <c r="A388" i="31"/>
  <c r="A389" i="31"/>
  <c r="A390" i="31"/>
  <c r="A391" i="31"/>
  <c r="A392" i="31"/>
  <c r="A393" i="31"/>
  <c r="A394" i="31"/>
  <c r="A395" i="31"/>
  <c r="A396" i="31"/>
  <c r="A397" i="31"/>
  <c r="A398" i="31"/>
  <c r="A399" i="31"/>
  <c r="A400" i="31"/>
  <c r="A401" i="31"/>
  <c r="A402" i="31"/>
  <c r="A403" i="31"/>
  <c r="A404" i="31"/>
  <c r="A405" i="31"/>
  <c r="A406" i="31"/>
  <c r="A407" i="31"/>
  <c r="A408" i="31"/>
  <c r="A409" i="31"/>
  <c r="A410" i="31"/>
  <c r="A411" i="31"/>
  <c r="A412" i="31"/>
  <c r="A413" i="31"/>
  <c r="A414" i="31"/>
  <c r="A415" i="31"/>
  <c r="A416" i="31"/>
  <c r="A417" i="31"/>
  <c r="A418" i="31"/>
  <c r="A419" i="31"/>
  <c r="A420" i="31"/>
  <c r="A421" i="31"/>
  <c r="A422" i="31"/>
  <c r="A423" i="31"/>
  <c r="A424" i="31"/>
  <c r="A425" i="31"/>
  <c r="A426" i="31"/>
  <c r="A427" i="31"/>
  <c r="A428" i="31"/>
  <c r="A429" i="31"/>
  <c r="A430" i="31"/>
  <c r="A431" i="31"/>
  <c r="A432" i="31"/>
  <c r="A433" i="31"/>
  <c r="A434" i="31"/>
  <c r="A435" i="31"/>
  <c r="A436" i="31"/>
  <c r="A437" i="31"/>
  <c r="A438" i="31"/>
  <c r="A439" i="31"/>
  <c r="A440" i="31"/>
  <c r="A441" i="31"/>
  <c r="A442" i="31"/>
  <c r="A443" i="31"/>
  <c r="A444" i="31"/>
  <c r="A445" i="31"/>
  <c r="A446" i="31"/>
  <c r="A447" i="31"/>
  <c r="A448" i="31"/>
  <c r="A449" i="31"/>
  <c r="A450" i="31"/>
  <c r="A451" i="31"/>
  <c r="A452" i="31"/>
  <c r="A453" i="31"/>
  <c r="A454" i="31"/>
  <c r="A455" i="31"/>
  <c r="A456" i="31"/>
  <c r="A457" i="31"/>
  <c r="A458" i="31"/>
  <c r="A459" i="31"/>
  <c r="A460" i="31"/>
  <c r="A461" i="31"/>
  <c r="A462" i="31"/>
  <c r="A463" i="31"/>
  <c r="A464" i="31"/>
  <c r="A465" i="31"/>
  <c r="A466" i="31"/>
  <c r="A467" i="31"/>
  <c r="A468" i="31"/>
  <c r="A469" i="31"/>
  <c r="A470" i="31"/>
  <c r="A471" i="31"/>
  <c r="A472" i="31"/>
  <c r="A473" i="31"/>
  <c r="A474" i="31"/>
  <c r="A475" i="31"/>
  <c r="A476" i="31"/>
  <c r="A477" i="31"/>
  <c r="A478" i="31"/>
  <c r="A479" i="31"/>
  <c r="A480" i="31"/>
  <c r="A481" i="31"/>
  <c r="A482" i="31"/>
  <c r="A483" i="31"/>
  <c r="A484" i="31"/>
  <c r="A485" i="31"/>
  <c r="A486" i="31"/>
  <c r="A487" i="31"/>
  <c r="A488" i="31"/>
  <c r="A489" i="31"/>
  <c r="A490" i="31"/>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1" i="33"/>
  <c r="A20" i="33"/>
  <c r="A19" i="33"/>
  <c r="A18" i="33"/>
  <c r="A17" i="33"/>
  <c r="A16" i="33"/>
  <c r="A15" i="33"/>
  <c r="A14" i="33"/>
  <c r="A13" i="33"/>
  <c r="A12" i="33"/>
  <c r="A11" i="33"/>
  <c r="A10" i="33"/>
  <c r="A9" i="33"/>
  <c r="A8" i="33"/>
  <c r="A7" i="33"/>
  <c r="A6" i="33"/>
  <c r="A5" i="33"/>
  <c r="A4" i="33"/>
  <c r="I3" i="31"/>
  <c r="A3" i="31" s="1"/>
  <c r="S9" i="34"/>
  <c r="S8" i="34"/>
  <c r="S7" i="34"/>
  <c r="S6" i="34"/>
  <c r="A9" i="32"/>
  <c r="A8" i="32"/>
  <c r="A7" i="32"/>
  <c r="A6" i="32"/>
  <c r="C10" i="26"/>
  <c r="A7" i="34" l="1"/>
  <c r="A8" i="34"/>
  <c r="S492" i="34"/>
  <c r="S491" i="34"/>
  <c r="S490" i="34"/>
  <c r="S489" i="34"/>
  <c r="S488" i="34"/>
  <c r="S487" i="34"/>
  <c r="S486" i="34"/>
  <c r="S485" i="34"/>
  <c r="S484" i="34"/>
  <c r="A484" i="34"/>
  <c r="S483" i="34"/>
  <c r="A483" i="34"/>
  <c r="S482" i="34"/>
  <c r="A482" i="34"/>
  <c r="S481" i="34"/>
  <c r="A481" i="34"/>
  <c r="S480" i="34"/>
  <c r="A480" i="34"/>
  <c r="S479" i="34"/>
  <c r="A479" i="34"/>
  <c r="S478" i="34"/>
  <c r="A478" i="34"/>
  <c r="S477" i="34"/>
  <c r="A477" i="34"/>
  <c r="S476" i="34"/>
  <c r="A476" i="34"/>
  <c r="S475" i="34"/>
  <c r="A475" i="34"/>
  <c r="S474" i="34"/>
  <c r="A474" i="34"/>
  <c r="S473" i="34"/>
  <c r="A473" i="34"/>
  <c r="S472" i="34"/>
  <c r="A472" i="34"/>
  <c r="S471" i="34"/>
  <c r="A471" i="34"/>
  <c r="S470" i="34"/>
  <c r="A470" i="34"/>
  <c r="S469" i="34"/>
  <c r="A469" i="34"/>
  <c r="S468" i="34"/>
  <c r="A468" i="34"/>
  <c r="S467" i="34"/>
  <c r="A467" i="34"/>
  <c r="S466" i="34"/>
  <c r="A466" i="34"/>
  <c r="S465" i="34"/>
  <c r="A465" i="34"/>
  <c r="S464" i="34"/>
  <c r="A464" i="34"/>
  <c r="S463" i="34"/>
  <c r="A463" i="34"/>
  <c r="S462" i="34"/>
  <c r="A462" i="34"/>
  <c r="S461" i="34"/>
  <c r="A461" i="34"/>
  <c r="S460" i="34"/>
  <c r="A460" i="34"/>
  <c r="S459" i="34"/>
  <c r="A459" i="34"/>
  <c r="S458" i="34"/>
  <c r="A458" i="34"/>
  <c r="S457" i="34"/>
  <c r="A457" i="34"/>
  <c r="S456" i="34"/>
  <c r="A456" i="34"/>
  <c r="S455" i="34"/>
  <c r="A455" i="34"/>
  <c r="S454" i="34"/>
  <c r="A454" i="34"/>
  <c r="S453" i="34"/>
  <c r="A453" i="34"/>
  <c r="S452" i="34"/>
  <c r="A452" i="34"/>
  <c r="S451" i="34"/>
  <c r="A451" i="34"/>
  <c r="S450" i="34"/>
  <c r="A450" i="34"/>
  <c r="S449" i="34"/>
  <c r="A449" i="34"/>
  <c r="S448" i="34"/>
  <c r="A448" i="34"/>
  <c r="S447" i="34"/>
  <c r="A447" i="34"/>
  <c r="S446" i="34"/>
  <c r="A446" i="34"/>
  <c r="S445" i="34"/>
  <c r="A445" i="34"/>
  <c r="S444" i="34"/>
  <c r="A444" i="34"/>
  <c r="S443" i="34"/>
  <c r="A443" i="34"/>
  <c r="S442" i="34"/>
  <c r="A442" i="34"/>
  <c r="S441" i="34"/>
  <c r="A441" i="34"/>
  <c r="S440" i="34"/>
  <c r="A440" i="34"/>
  <c r="S439" i="34"/>
  <c r="A439" i="34"/>
  <c r="S438" i="34"/>
  <c r="A438" i="34"/>
  <c r="S437" i="34"/>
  <c r="A437" i="34"/>
  <c r="S436" i="34"/>
  <c r="A436" i="34"/>
  <c r="S435" i="34"/>
  <c r="A435" i="34"/>
  <c r="S434" i="34"/>
  <c r="A434" i="34"/>
  <c r="S433" i="34"/>
  <c r="A433" i="34"/>
  <c r="S432" i="34"/>
  <c r="A432" i="34"/>
  <c r="S431" i="34"/>
  <c r="A431" i="34"/>
  <c r="S430" i="34"/>
  <c r="A430" i="34"/>
  <c r="S429" i="34"/>
  <c r="A429" i="34"/>
  <c r="S428" i="34"/>
  <c r="A428" i="34"/>
  <c r="S427" i="34"/>
  <c r="A427" i="34"/>
  <c r="S426" i="34"/>
  <c r="A426" i="34"/>
  <c r="S425" i="34"/>
  <c r="A425" i="34"/>
  <c r="S424" i="34"/>
  <c r="A424" i="34"/>
  <c r="S423" i="34"/>
  <c r="A423" i="34"/>
  <c r="S422" i="34"/>
  <c r="A422" i="34"/>
  <c r="S421" i="34"/>
  <c r="A421" i="34"/>
  <c r="S420" i="34"/>
  <c r="A420" i="34"/>
  <c r="S419" i="34"/>
  <c r="A419" i="34"/>
  <c r="S418" i="34"/>
  <c r="A418" i="34"/>
  <c r="S417" i="34"/>
  <c r="A417" i="34"/>
  <c r="S416" i="34"/>
  <c r="A416" i="34"/>
  <c r="S415" i="34"/>
  <c r="A415" i="34"/>
  <c r="S414" i="34"/>
  <c r="A414" i="34"/>
  <c r="S413" i="34"/>
  <c r="A413" i="34"/>
  <c r="S412" i="34"/>
  <c r="A412" i="34"/>
  <c r="S411" i="34"/>
  <c r="A411" i="34"/>
  <c r="S410" i="34"/>
  <c r="A410" i="34"/>
  <c r="S409" i="34"/>
  <c r="A409" i="34"/>
  <c r="S408" i="34"/>
  <c r="A408" i="34"/>
  <c r="S407" i="34"/>
  <c r="A407" i="34"/>
  <c r="S406" i="34"/>
  <c r="A406" i="34"/>
  <c r="S405" i="34"/>
  <c r="A405" i="34"/>
  <c r="S404" i="34"/>
  <c r="A404" i="34"/>
  <c r="S403" i="34"/>
  <c r="A403" i="34"/>
  <c r="S402" i="34"/>
  <c r="A402" i="34"/>
  <c r="S401" i="34"/>
  <c r="A401" i="34"/>
  <c r="S400" i="34"/>
  <c r="A400" i="34"/>
  <c r="S399" i="34"/>
  <c r="A399" i="34"/>
  <c r="S398" i="34"/>
  <c r="A398" i="34"/>
  <c r="S397" i="34"/>
  <c r="A397" i="34"/>
  <c r="S396" i="34"/>
  <c r="A396" i="34"/>
  <c r="S395" i="34"/>
  <c r="A395" i="34"/>
  <c r="S394" i="34"/>
  <c r="A394" i="34"/>
  <c r="S393" i="34"/>
  <c r="A393" i="34"/>
  <c r="S392" i="34"/>
  <c r="A392" i="34"/>
  <c r="S391" i="34"/>
  <c r="A391" i="34"/>
  <c r="S390" i="34"/>
  <c r="A390" i="34"/>
  <c r="S389" i="34"/>
  <c r="A389" i="34"/>
  <c r="S388" i="34"/>
  <c r="A388" i="34"/>
  <c r="S387" i="34"/>
  <c r="A387" i="34"/>
  <c r="S386" i="34"/>
  <c r="A386" i="34"/>
  <c r="S385" i="34"/>
  <c r="A385" i="34"/>
  <c r="S384" i="34"/>
  <c r="A384" i="34"/>
  <c r="S383" i="34"/>
  <c r="A383" i="34"/>
  <c r="S382" i="34"/>
  <c r="A382" i="34"/>
  <c r="S381" i="34"/>
  <c r="A381" i="34"/>
  <c r="S380" i="34"/>
  <c r="A380" i="34"/>
  <c r="S379" i="34"/>
  <c r="A379" i="34"/>
  <c r="S378" i="34"/>
  <c r="A378" i="34"/>
  <c r="S377" i="34"/>
  <c r="A377" i="34"/>
  <c r="S376" i="34"/>
  <c r="A376" i="34"/>
  <c r="S375" i="34"/>
  <c r="A375" i="34"/>
  <c r="S374" i="34"/>
  <c r="A374" i="34"/>
  <c r="S373" i="34"/>
  <c r="A373" i="34"/>
  <c r="S372" i="34"/>
  <c r="A372" i="34"/>
  <c r="S371" i="34"/>
  <c r="A371" i="34"/>
  <c r="S370" i="34"/>
  <c r="A370" i="34"/>
  <c r="S369" i="34"/>
  <c r="A369" i="34"/>
  <c r="S368" i="34"/>
  <c r="A368" i="34"/>
  <c r="S367" i="34"/>
  <c r="A367" i="34"/>
  <c r="S366" i="34"/>
  <c r="A366" i="34"/>
  <c r="S365" i="34"/>
  <c r="A365" i="34"/>
  <c r="S364" i="34"/>
  <c r="A364" i="34"/>
  <c r="S363" i="34"/>
  <c r="A363" i="34"/>
  <c r="S362" i="34"/>
  <c r="A362" i="34"/>
  <c r="S361" i="34"/>
  <c r="A361" i="34"/>
  <c r="S360" i="34"/>
  <c r="A360" i="34"/>
  <c r="S359" i="34"/>
  <c r="A359" i="34"/>
  <c r="S358" i="34"/>
  <c r="A358" i="34"/>
  <c r="S357" i="34"/>
  <c r="A357" i="34"/>
  <c r="S356" i="34"/>
  <c r="A356" i="34"/>
  <c r="S355" i="34"/>
  <c r="A355" i="34"/>
  <c r="S354" i="34"/>
  <c r="A354" i="34"/>
  <c r="S353" i="34"/>
  <c r="A353" i="34"/>
  <c r="S352" i="34"/>
  <c r="A352" i="34"/>
  <c r="S351" i="34"/>
  <c r="A351" i="34"/>
  <c r="S350" i="34"/>
  <c r="A350" i="34"/>
  <c r="S349" i="34"/>
  <c r="A349" i="34"/>
  <c r="S348" i="34"/>
  <c r="A348" i="34"/>
  <c r="S347" i="34"/>
  <c r="A347" i="34"/>
  <c r="S346" i="34"/>
  <c r="A346" i="34"/>
  <c r="S345" i="34"/>
  <c r="A345" i="34"/>
  <c r="S344" i="34"/>
  <c r="A344" i="34"/>
  <c r="S343" i="34"/>
  <c r="A343" i="34"/>
  <c r="S342" i="34"/>
  <c r="A342" i="34"/>
  <c r="S341" i="34"/>
  <c r="A341" i="34"/>
  <c r="S340" i="34"/>
  <c r="A340" i="34"/>
  <c r="S339" i="34"/>
  <c r="A339" i="34"/>
  <c r="S338" i="34"/>
  <c r="A338" i="34"/>
  <c r="S337" i="34"/>
  <c r="A337" i="34"/>
  <c r="S336" i="34"/>
  <c r="A336" i="34"/>
  <c r="S335" i="34"/>
  <c r="A335" i="34"/>
  <c r="S334" i="34"/>
  <c r="A334" i="34"/>
  <c r="S333" i="34"/>
  <c r="A333" i="34"/>
  <c r="S332" i="34"/>
  <c r="A332" i="34"/>
  <c r="S331" i="34"/>
  <c r="A331" i="34"/>
  <c r="S330" i="34"/>
  <c r="A330" i="34"/>
  <c r="S329" i="34"/>
  <c r="A329" i="34"/>
  <c r="S328" i="34"/>
  <c r="A328" i="34"/>
  <c r="S327" i="34"/>
  <c r="A327" i="34"/>
  <c r="S326" i="34"/>
  <c r="A326" i="34"/>
  <c r="S325" i="34"/>
  <c r="A325" i="34"/>
  <c r="S324" i="34"/>
  <c r="A324" i="34"/>
  <c r="S323" i="34"/>
  <c r="A323" i="34"/>
  <c r="S322" i="34"/>
  <c r="A322" i="34"/>
  <c r="S321" i="34"/>
  <c r="A321" i="34"/>
  <c r="S320" i="34"/>
  <c r="A320" i="34"/>
  <c r="S319" i="34"/>
  <c r="A319" i="34"/>
  <c r="S318" i="34"/>
  <c r="A318" i="34"/>
  <c r="S317" i="34"/>
  <c r="A317" i="34"/>
  <c r="S316" i="34"/>
  <c r="A316" i="34"/>
  <c r="S315" i="34"/>
  <c r="A315" i="34"/>
  <c r="S314" i="34"/>
  <c r="A314" i="34"/>
  <c r="S313" i="34"/>
  <c r="A313" i="34"/>
  <c r="S312" i="34"/>
  <c r="A312" i="34"/>
  <c r="S311" i="34"/>
  <c r="A311" i="34"/>
  <c r="S310" i="34"/>
  <c r="A310" i="34"/>
  <c r="S309" i="34"/>
  <c r="A309" i="34"/>
  <c r="S308" i="34"/>
  <c r="A308" i="34"/>
  <c r="S307" i="34"/>
  <c r="A307" i="34"/>
  <c r="S306" i="34"/>
  <c r="A306" i="34"/>
  <c r="S305" i="34"/>
  <c r="A305" i="34"/>
  <c r="S304" i="34"/>
  <c r="A304" i="34"/>
  <c r="S303" i="34"/>
  <c r="A303" i="34"/>
  <c r="S302" i="34"/>
  <c r="A302" i="34"/>
  <c r="S301" i="34"/>
  <c r="A301" i="34"/>
  <c r="S300" i="34"/>
  <c r="A300" i="34"/>
  <c r="S299" i="34"/>
  <c r="A299" i="34"/>
  <c r="S298" i="34"/>
  <c r="A298" i="34"/>
  <c r="S297" i="34"/>
  <c r="A297" i="34"/>
  <c r="S296" i="34"/>
  <c r="A296" i="34"/>
  <c r="S295" i="34"/>
  <c r="A295" i="34"/>
  <c r="S294" i="34"/>
  <c r="A294" i="34"/>
  <c r="S293" i="34"/>
  <c r="A293" i="34"/>
  <c r="S292" i="34"/>
  <c r="A292" i="34"/>
  <c r="S291" i="34"/>
  <c r="A291" i="34"/>
  <c r="S290" i="34"/>
  <c r="A290" i="34"/>
  <c r="S289" i="34"/>
  <c r="A289" i="34"/>
  <c r="S288" i="34"/>
  <c r="A288" i="34"/>
  <c r="S287" i="34"/>
  <c r="A287" i="34"/>
  <c r="S286" i="34"/>
  <c r="A286" i="34"/>
  <c r="S285" i="34"/>
  <c r="A285" i="34"/>
  <c r="S284" i="34"/>
  <c r="A284" i="34"/>
  <c r="S283" i="34"/>
  <c r="A283" i="34"/>
  <c r="S282" i="34"/>
  <c r="A282" i="34"/>
  <c r="S281" i="34"/>
  <c r="A281" i="34"/>
  <c r="S280" i="34"/>
  <c r="A280" i="34"/>
  <c r="S279" i="34"/>
  <c r="A279" i="34"/>
  <c r="S278" i="34"/>
  <c r="A278" i="34"/>
  <c r="S277" i="34"/>
  <c r="A277" i="34"/>
  <c r="S276" i="34"/>
  <c r="A276" i="34"/>
  <c r="S275" i="34"/>
  <c r="A275" i="34"/>
  <c r="S274" i="34"/>
  <c r="A274" i="34"/>
  <c r="S273" i="34"/>
  <c r="A273" i="34"/>
  <c r="S272" i="34"/>
  <c r="A272" i="34"/>
  <c r="S271" i="34"/>
  <c r="A271" i="34"/>
  <c r="S270" i="34"/>
  <c r="A270" i="34"/>
  <c r="S269" i="34"/>
  <c r="A269" i="34"/>
  <c r="S268" i="34"/>
  <c r="A268" i="34"/>
  <c r="S267" i="34"/>
  <c r="A267" i="34"/>
  <c r="S266" i="34"/>
  <c r="A266" i="34"/>
  <c r="S265" i="34"/>
  <c r="A265" i="34"/>
  <c r="S264" i="34"/>
  <c r="A264" i="34"/>
  <c r="S263" i="34"/>
  <c r="A263" i="34"/>
  <c r="S262" i="34"/>
  <c r="A262" i="34"/>
  <c r="S261" i="34"/>
  <c r="A261" i="34"/>
  <c r="S260" i="34"/>
  <c r="A260" i="34"/>
  <c r="S259" i="34"/>
  <c r="A259" i="34"/>
  <c r="S258" i="34"/>
  <c r="A258" i="34"/>
  <c r="S257" i="34"/>
  <c r="A257" i="34"/>
  <c r="S256" i="34"/>
  <c r="A256" i="34"/>
  <c r="S255" i="34"/>
  <c r="A255" i="34"/>
  <c r="S254" i="34"/>
  <c r="A254" i="34"/>
  <c r="S253" i="34"/>
  <c r="A253" i="34"/>
  <c r="S252" i="34"/>
  <c r="A252" i="34"/>
  <c r="S251" i="34"/>
  <c r="A251" i="34"/>
  <c r="S250" i="34"/>
  <c r="A250" i="34"/>
  <c r="S249" i="34"/>
  <c r="A249" i="34"/>
  <c r="S248" i="34"/>
  <c r="A248" i="34"/>
  <c r="S247" i="34"/>
  <c r="A247" i="34"/>
  <c r="S246" i="34"/>
  <c r="A246" i="34"/>
  <c r="S245" i="34"/>
  <c r="A245" i="34"/>
  <c r="S244" i="34"/>
  <c r="A244" i="34"/>
  <c r="S243" i="34"/>
  <c r="A243" i="34"/>
  <c r="S242" i="34"/>
  <c r="A242" i="34"/>
  <c r="S241" i="34"/>
  <c r="A241" i="34"/>
  <c r="S240" i="34"/>
  <c r="A240" i="34"/>
  <c r="S239" i="34"/>
  <c r="A239" i="34"/>
  <c r="S238" i="34"/>
  <c r="A238" i="34"/>
  <c r="S237" i="34"/>
  <c r="A237" i="34"/>
  <c r="S236" i="34"/>
  <c r="A236" i="34"/>
  <c r="S235" i="34"/>
  <c r="A235" i="34"/>
  <c r="S234" i="34"/>
  <c r="A234" i="34"/>
  <c r="S233" i="34"/>
  <c r="A233" i="34"/>
  <c r="S232" i="34"/>
  <c r="A232" i="34"/>
  <c r="S231" i="34"/>
  <c r="A231" i="34"/>
  <c r="S230" i="34"/>
  <c r="A230" i="34"/>
  <c r="S229" i="34"/>
  <c r="A229" i="34"/>
  <c r="S228" i="34"/>
  <c r="A228" i="34"/>
  <c r="S227" i="34"/>
  <c r="A227" i="34"/>
  <c r="S226" i="34"/>
  <c r="A226" i="34"/>
  <c r="S225" i="34"/>
  <c r="A225" i="34"/>
  <c r="S224" i="34"/>
  <c r="A224" i="34"/>
  <c r="S223" i="34"/>
  <c r="A223" i="34"/>
  <c r="S222" i="34"/>
  <c r="A222" i="34"/>
  <c r="S221" i="34"/>
  <c r="A221" i="34"/>
  <c r="S220" i="34"/>
  <c r="A220" i="34"/>
  <c r="S219" i="34"/>
  <c r="A219" i="34"/>
  <c r="S218" i="34"/>
  <c r="A218" i="34"/>
  <c r="S217" i="34"/>
  <c r="A217" i="34"/>
  <c r="S216" i="34"/>
  <c r="A216" i="34"/>
  <c r="S215" i="34"/>
  <c r="A215" i="34"/>
  <c r="S214" i="34"/>
  <c r="A214" i="34"/>
  <c r="S213" i="34"/>
  <c r="A213" i="34"/>
  <c r="S212" i="34"/>
  <c r="A212" i="34"/>
  <c r="S211" i="34"/>
  <c r="A211" i="34"/>
  <c r="S210" i="34"/>
  <c r="A210" i="34"/>
  <c r="S209" i="34"/>
  <c r="A209" i="34"/>
  <c r="S208" i="34"/>
  <c r="A208" i="34"/>
  <c r="S207" i="34"/>
  <c r="A207" i="34"/>
  <c r="S206" i="34"/>
  <c r="A206" i="34"/>
  <c r="S205" i="34"/>
  <c r="A205" i="34"/>
  <c r="S204" i="34"/>
  <c r="A204" i="34"/>
  <c r="S203" i="34"/>
  <c r="A203" i="34"/>
  <c r="S202" i="34"/>
  <c r="A202" i="34"/>
  <c r="S201" i="34"/>
  <c r="A201" i="34"/>
  <c r="S200" i="34"/>
  <c r="A200" i="34"/>
  <c r="S199" i="34"/>
  <c r="A199" i="34"/>
  <c r="S198" i="34"/>
  <c r="A198" i="34"/>
  <c r="S197" i="34"/>
  <c r="A197" i="34"/>
  <c r="S196" i="34"/>
  <c r="A196" i="34"/>
  <c r="S195" i="34"/>
  <c r="A195" i="34"/>
  <c r="S194" i="34"/>
  <c r="A194" i="34"/>
  <c r="S193" i="34"/>
  <c r="A193" i="34"/>
  <c r="S192" i="34"/>
  <c r="A192" i="34"/>
  <c r="S191" i="34"/>
  <c r="A191" i="34"/>
  <c r="S190" i="34"/>
  <c r="A190" i="34"/>
  <c r="S189" i="34"/>
  <c r="A189" i="34"/>
  <c r="S188" i="34"/>
  <c r="A188" i="34"/>
  <c r="S187" i="34"/>
  <c r="A187" i="34"/>
  <c r="S186" i="34"/>
  <c r="A186" i="34"/>
  <c r="S185" i="34"/>
  <c r="A185" i="34"/>
  <c r="S184" i="34"/>
  <c r="A184" i="34"/>
  <c r="S183" i="34"/>
  <c r="A183" i="34"/>
  <c r="S182" i="34"/>
  <c r="A182" i="34"/>
  <c r="S181" i="34"/>
  <c r="A181" i="34"/>
  <c r="S180" i="34"/>
  <c r="A180" i="34"/>
  <c r="S179" i="34"/>
  <c r="A179" i="34"/>
  <c r="S178" i="34"/>
  <c r="A178" i="34"/>
  <c r="S177" i="34"/>
  <c r="A177" i="34"/>
  <c r="S176" i="34"/>
  <c r="A176" i="34"/>
  <c r="S175" i="34"/>
  <c r="A175" i="34"/>
  <c r="S174" i="34"/>
  <c r="A174" i="34"/>
  <c r="S173" i="34"/>
  <c r="A173" i="34"/>
  <c r="S172" i="34"/>
  <c r="A172" i="34"/>
  <c r="S171" i="34"/>
  <c r="A171" i="34"/>
  <c r="S170" i="34"/>
  <c r="A170" i="34"/>
  <c r="S169" i="34"/>
  <c r="A169" i="34"/>
  <c r="S168" i="34"/>
  <c r="A168" i="34"/>
  <c r="S167" i="34"/>
  <c r="A167" i="34"/>
  <c r="S166" i="34"/>
  <c r="A166" i="34"/>
  <c r="S165" i="34"/>
  <c r="A165" i="34"/>
  <c r="S164" i="34"/>
  <c r="A164" i="34"/>
  <c r="S163" i="34"/>
  <c r="A163" i="34"/>
  <c r="S162" i="34"/>
  <c r="A162" i="34"/>
  <c r="S161" i="34"/>
  <c r="A161" i="34"/>
  <c r="S160" i="34"/>
  <c r="A160" i="34"/>
  <c r="S159" i="34"/>
  <c r="A159" i="34"/>
  <c r="S158" i="34"/>
  <c r="A158" i="34"/>
  <c r="S157" i="34"/>
  <c r="A157" i="34"/>
  <c r="S156" i="34"/>
  <c r="A156" i="34"/>
  <c r="S155" i="34"/>
  <c r="A155" i="34"/>
  <c r="S154" i="34"/>
  <c r="A154" i="34"/>
  <c r="S153" i="34"/>
  <c r="A153" i="34"/>
  <c r="S152" i="34"/>
  <c r="A152" i="34"/>
  <c r="S151" i="34"/>
  <c r="A151" i="34"/>
  <c r="S150" i="34"/>
  <c r="A150" i="34"/>
  <c r="S149" i="34"/>
  <c r="A149" i="34"/>
  <c r="S148" i="34"/>
  <c r="A148" i="34"/>
  <c r="S147" i="34"/>
  <c r="A147" i="34"/>
  <c r="S146" i="34"/>
  <c r="A146" i="34"/>
  <c r="S145" i="34"/>
  <c r="A145" i="34"/>
  <c r="S144" i="34"/>
  <c r="A144" i="34"/>
  <c r="S143" i="34"/>
  <c r="A143" i="34"/>
  <c r="S142" i="34"/>
  <c r="A142" i="34"/>
  <c r="S141" i="34"/>
  <c r="A141" i="34"/>
  <c r="S140" i="34"/>
  <c r="A140" i="34"/>
  <c r="S139" i="34"/>
  <c r="A139" i="34"/>
  <c r="S138" i="34"/>
  <c r="A138" i="34"/>
  <c r="S137" i="34"/>
  <c r="A137" i="34"/>
  <c r="S136" i="34"/>
  <c r="A136" i="34"/>
  <c r="S135" i="34"/>
  <c r="A135" i="34"/>
  <c r="S134" i="34"/>
  <c r="A134" i="34"/>
  <c r="S133" i="34"/>
  <c r="A133" i="34"/>
  <c r="S132" i="34"/>
  <c r="A132" i="34"/>
  <c r="S131" i="34"/>
  <c r="A131" i="34"/>
  <c r="S130" i="34"/>
  <c r="A130" i="34"/>
  <c r="S129" i="34"/>
  <c r="A129" i="34"/>
  <c r="S128" i="34"/>
  <c r="A128" i="34"/>
  <c r="S127" i="34"/>
  <c r="A127" i="34"/>
  <c r="S126" i="34"/>
  <c r="A126" i="34"/>
  <c r="S125" i="34"/>
  <c r="A125" i="34"/>
  <c r="S124" i="34"/>
  <c r="A124" i="34"/>
  <c r="S123" i="34"/>
  <c r="A123" i="34"/>
  <c r="S122" i="34"/>
  <c r="A122" i="34"/>
  <c r="S121" i="34"/>
  <c r="A121" i="34"/>
  <c r="S120" i="34"/>
  <c r="A120" i="34"/>
  <c r="S119" i="34"/>
  <c r="A119" i="34"/>
  <c r="S118" i="34"/>
  <c r="A118" i="34"/>
  <c r="S117" i="34"/>
  <c r="A117" i="34"/>
  <c r="S116" i="34"/>
  <c r="A116" i="34"/>
  <c r="S115" i="34"/>
  <c r="A115" i="34"/>
  <c r="S114" i="34"/>
  <c r="A114" i="34"/>
  <c r="S113" i="34"/>
  <c r="A113" i="34"/>
  <c r="S112" i="34"/>
  <c r="A112" i="34"/>
  <c r="S111" i="34"/>
  <c r="A111" i="34"/>
  <c r="S110" i="34"/>
  <c r="A110" i="34"/>
  <c r="S109" i="34"/>
  <c r="A109" i="34"/>
  <c r="S108" i="34"/>
  <c r="A108" i="34"/>
  <c r="S107" i="34"/>
  <c r="A107" i="34"/>
  <c r="S106" i="34"/>
  <c r="A106" i="34"/>
  <c r="S105" i="34"/>
  <c r="A105" i="34"/>
  <c r="S104" i="34"/>
  <c r="A104" i="34"/>
  <c r="S103" i="34"/>
  <c r="A103" i="34"/>
  <c r="S102" i="34"/>
  <c r="A102" i="34"/>
  <c r="S101" i="34"/>
  <c r="A101" i="34"/>
  <c r="S100" i="34"/>
  <c r="A100" i="34"/>
  <c r="S99" i="34"/>
  <c r="A99" i="34"/>
  <c r="S98" i="34"/>
  <c r="A98" i="34"/>
  <c r="S97" i="34"/>
  <c r="A97" i="34"/>
  <c r="S96" i="34"/>
  <c r="A96" i="34"/>
  <c r="S95" i="34"/>
  <c r="A95" i="34"/>
  <c r="S94" i="34"/>
  <c r="A94" i="34"/>
  <c r="S93" i="34"/>
  <c r="A93" i="34"/>
  <c r="S92" i="34"/>
  <c r="A92" i="34"/>
  <c r="S91" i="34"/>
  <c r="A91" i="34"/>
  <c r="S90" i="34"/>
  <c r="A90" i="34"/>
  <c r="S89" i="34"/>
  <c r="A89" i="34"/>
  <c r="S88" i="34"/>
  <c r="A88" i="34"/>
  <c r="S87" i="34"/>
  <c r="A87" i="34"/>
  <c r="S86" i="34"/>
  <c r="A86" i="34"/>
  <c r="S85" i="34"/>
  <c r="A85" i="34"/>
  <c r="S84" i="34"/>
  <c r="A84" i="34"/>
  <c r="S83" i="34"/>
  <c r="A83" i="34"/>
  <c r="S82" i="34"/>
  <c r="A82" i="34"/>
  <c r="S81" i="34"/>
  <c r="A81" i="34"/>
  <c r="S80" i="34"/>
  <c r="A80" i="34"/>
  <c r="S79" i="34"/>
  <c r="A79" i="34"/>
  <c r="S78" i="34"/>
  <c r="A78" i="34"/>
  <c r="S77" i="34"/>
  <c r="A77" i="34"/>
  <c r="S76" i="34"/>
  <c r="A76" i="34"/>
  <c r="S75" i="34"/>
  <c r="A75" i="34"/>
  <c r="S74" i="34"/>
  <c r="A74" i="34"/>
  <c r="S73" i="34"/>
  <c r="A73" i="34"/>
  <c r="S72" i="34"/>
  <c r="A72" i="34"/>
  <c r="S71" i="34"/>
  <c r="A71" i="34"/>
  <c r="S70" i="34"/>
  <c r="A70" i="34"/>
  <c r="S69" i="34"/>
  <c r="A69" i="34"/>
  <c r="S68" i="34"/>
  <c r="A68" i="34"/>
  <c r="S67" i="34"/>
  <c r="A67" i="34"/>
  <c r="S66" i="34"/>
  <c r="A66" i="34"/>
  <c r="S65" i="34"/>
  <c r="A65" i="34"/>
  <c r="S64" i="34"/>
  <c r="A64" i="34"/>
  <c r="S63" i="34"/>
  <c r="A63" i="34"/>
  <c r="S62" i="34"/>
  <c r="A62" i="34"/>
  <c r="S61" i="34"/>
  <c r="A61" i="34"/>
  <c r="S60" i="34"/>
  <c r="A60" i="34"/>
  <c r="S59" i="34"/>
  <c r="A59" i="34"/>
  <c r="S58" i="34"/>
  <c r="A58" i="34"/>
  <c r="S57" i="34"/>
  <c r="A57" i="34"/>
  <c r="S56" i="34"/>
  <c r="A56" i="34"/>
  <c r="S55" i="34"/>
  <c r="A55" i="34"/>
  <c r="S54" i="34"/>
  <c r="A54" i="34"/>
  <c r="S53" i="34"/>
  <c r="A53" i="34"/>
  <c r="S52" i="34"/>
  <c r="A52" i="34"/>
  <c r="S51" i="34"/>
  <c r="A51" i="34"/>
  <c r="S50" i="34"/>
  <c r="A50" i="34"/>
  <c r="S49" i="34"/>
  <c r="A49" i="34"/>
  <c r="S48" i="34"/>
  <c r="A48" i="34"/>
  <c r="S47" i="34"/>
  <c r="A47" i="34"/>
  <c r="S46" i="34"/>
  <c r="A46" i="34"/>
  <c r="S45" i="34"/>
  <c r="A45" i="34"/>
  <c r="S44" i="34"/>
  <c r="A44" i="34"/>
  <c r="S43" i="34"/>
  <c r="A43" i="34"/>
  <c r="S42" i="34"/>
  <c r="A42" i="34"/>
  <c r="S41" i="34"/>
  <c r="A41" i="34"/>
  <c r="S40" i="34"/>
  <c r="A40" i="34"/>
  <c r="S39" i="34"/>
  <c r="A39" i="34"/>
  <c r="S38" i="34"/>
  <c r="A38" i="34"/>
  <c r="S37" i="34"/>
  <c r="A37" i="34"/>
  <c r="S36" i="34"/>
  <c r="A36" i="34"/>
  <c r="S35" i="34"/>
  <c r="A35" i="34"/>
  <c r="S34" i="34"/>
  <c r="A34" i="34"/>
  <c r="S33" i="34"/>
  <c r="A33" i="34"/>
  <c r="S32" i="34"/>
  <c r="A32" i="34"/>
  <c r="S31" i="34"/>
  <c r="A31" i="34"/>
  <c r="S30" i="34"/>
  <c r="A30" i="34"/>
  <c r="S29" i="34"/>
  <c r="A29" i="34"/>
  <c r="S28" i="34"/>
  <c r="A28" i="34"/>
  <c r="S27" i="34"/>
  <c r="A27" i="34"/>
  <c r="S26" i="34"/>
  <c r="A26" i="34"/>
  <c r="S25" i="34"/>
  <c r="A25" i="34"/>
  <c r="S24" i="34"/>
  <c r="A24" i="34"/>
  <c r="S23" i="34"/>
  <c r="A23" i="34"/>
  <c r="S22" i="34"/>
  <c r="A22" i="34"/>
  <c r="S21" i="34"/>
  <c r="A21" i="34"/>
  <c r="S20" i="34"/>
  <c r="A20" i="34"/>
  <c r="S19" i="34"/>
  <c r="A19" i="34"/>
  <c r="S18" i="34"/>
  <c r="A18" i="34"/>
  <c r="S17" i="34"/>
  <c r="A17" i="34"/>
  <c r="S16" i="34"/>
  <c r="A16" i="34"/>
  <c r="S15" i="34"/>
  <c r="A15" i="34"/>
  <c r="S14" i="34"/>
  <c r="A14" i="34"/>
  <c r="S13" i="34"/>
  <c r="A13" i="34"/>
  <c r="S12" i="34"/>
  <c r="A12" i="34"/>
  <c r="S11" i="34"/>
  <c r="A11" i="34"/>
  <c r="S10" i="34"/>
  <c r="A10" i="34"/>
  <c r="A9" i="34"/>
  <c r="A6" i="34"/>
  <c r="E9" i="32"/>
  <c r="E10" i="32"/>
  <c r="E11" i="32"/>
  <c r="E12" i="32"/>
  <c r="E13" i="32"/>
  <c r="E14" i="32"/>
  <c r="E15" i="32"/>
  <c r="E16" i="32"/>
  <c r="E17"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E69" i="32"/>
  <c r="E70" i="32"/>
  <c r="E71" i="32"/>
  <c r="E72" i="32"/>
  <c r="E73" i="32"/>
  <c r="E74" i="32"/>
  <c r="E75" i="32"/>
  <c r="E76" i="32"/>
  <c r="E77" i="32"/>
  <c r="E78" i="32"/>
  <c r="E79" i="32"/>
  <c r="E80" i="32"/>
  <c r="E81" i="32"/>
  <c r="E82" i="32"/>
  <c r="E83" i="32"/>
  <c r="E84" i="32"/>
  <c r="E85" i="32"/>
  <c r="E86" i="32"/>
  <c r="E87" i="32"/>
  <c r="E88" i="32"/>
  <c r="E89" i="32"/>
  <c r="E90" i="32"/>
  <c r="E91" i="32"/>
  <c r="E92" i="32"/>
  <c r="E93" i="32"/>
  <c r="E94" i="32"/>
  <c r="E95" i="32"/>
  <c r="E96" i="32"/>
  <c r="E97" i="32"/>
  <c r="E98" i="32"/>
  <c r="E99" i="32"/>
  <c r="E100" i="32"/>
  <c r="E101" i="32"/>
  <c r="E102" i="32"/>
  <c r="E103" i="32"/>
  <c r="E104" i="32"/>
  <c r="E105" i="32"/>
  <c r="E106" i="32"/>
  <c r="E107" i="32"/>
  <c r="E108" i="32"/>
  <c r="E109" i="32"/>
  <c r="E110" i="32"/>
  <c r="E111" i="32"/>
  <c r="E112" i="32"/>
  <c r="E113" i="32"/>
  <c r="E114" i="32"/>
  <c r="E115" i="32"/>
  <c r="E116" i="32"/>
  <c r="E117" i="32"/>
  <c r="E118" i="32"/>
  <c r="E119" i="32"/>
  <c r="E120" i="32"/>
  <c r="E121" i="32"/>
  <c r="E122" i="32"/>
  <c r="E123" i="32"/>
  <c r="E124" i="32"/>
  <c r="E125" i="32"/>
  <c r="E126" i="32"/>
  <c r="E127" i="32"/>
  <c r="E128" i="32"/>
  <c r="E129" i="32"/>
  <c r="E130" i="32"/>
  <c r="E131" i="32"/>
  <c r="E132" i="32"/>
  <c r="E133" i="32"/>
  <c r="E134" i="32"/>
  <c r="E135" i="32"/>
  <c r="E136" i="32"/>
  <c r="E137" i="32"/>
  <c r="E138" i="32"/>
  <c r="E139" i="32"/>
  <c r="E140" i="32"/>
  <c r="E141" i="32"/>
  <c r="E142" i="32"/>
  <c r="E143" i="32"/>
  <c r="E144" i="32"/>
  <c r="E145" i="32"/>
  <c r="E146" i="32"/>
  <c r="E147" i="32"/>
  <c r="E148" i="32"/>
  <c r="E149" i="32"/>
  <c r="E150" i="32"/>
  <c r="E151" i="32"/>
  <c r="E152" i="32"/>
  <c r="E153" i="32"/>
  <c r="E154" i="32"/>
  <c r="E155" i="32"/>
  <c r="E156" i="32"/>
  <c r="E157" i="32"/>
  <c r="E158" i="32"/>
  <c r="E159" i="32"/>
  <c r="E160" i="32"/>
  <c r="E161" i="32"/>
  <c r="E162" i="32"/>
  <c r="E163" i="32"/>
  <c r="E164" i="32"/>
  <c r="E165" i="32"/>
  <c r="E166" i="32"/>
  <c r="E167" i="32"/>
  <c r="E168" i="32"/>
  <c r="E169" i="32"/>
  <c r="E170" i="32"/>
  <c r="E171" i="32"/>
  <c r="E172" i="32"/>
  <c r="E173" i="32"/>
  <c r="E174" i="32"/>
  <c r="E175" i="32"/>
  <c r="E176" i="32"/>
  <c r="E177" i="32"/>
  <c r="E178" i="32"/>
  <c r="E179" i="32"/>
  <c r="E180" i="32"/>
  <c r="E181" i="32"/>
  <c r="E182" i="32"/>
  <c r="E183" i="32"/>
  <c r="E184" i="32"/>
  <c r="E185" i="32"/>
  <c r="E186" i="32"/>
  <c r="E187" i="32"/>
  <c r="E188" i="32"/>
  <c r="E189" i="32"/>
  <c r="E190" i="32"/>
  <c r="E191" i="32"/>
  <c r="E192" i="32"/>
  <c r="E193" i="32"/>
  <c r="E194" i="32"/>
  <c r="E195" i="32"/>
  <c r="E196" i="32"/>
  <c r="E197" i="32"/>
  <c r="E198" i="32"/>
  <c r="E199" i="32"/>
  <c r="E200" i="32"/>
  <c r="E201" i="32"/>
  <c r="E202" i="32"/>
  <c r="E203" i="32"/>
  <c r="E204" i="32"/>
  <c r="E205" i="32"/>
  <c r="E206" i="32"/>
  <c r="E207" i="32"/>
  <c r="E208" i="32"/>
  <c r="E209" i="32"/>
  <c r="E210" i="32"/>
  <c r="E211" i="32"/>
  <c r="E212" i="32"/>
  <c r="E213" i="32"/>
  <c r="E214" i="32"/>
  <c r="E215" i="32"/>
  <c r="E216" i="32"/>
  <c r="E217" i="32"/>
  <c r="E218" i="32"/>
  <c r="E219" i="32"/>
  <c r="E220" i="32"/>
  <c r="E221" i="32"/>
  <c r="E222" i="32"/>
  <c r="E223" i="32"/>
  <c r="E224" i="32"/>
  <c r="E225" i="32"/>
  <c r="E226" i="32"/>
  <c r="E227" i="32"/>
  <c r="E228" i="32"/>
  <c r="E229" i="32"/>
  <c r="E230" i="32"/>
  <c r="E231" i="32"/>
  <c r="E232" i="32"/>
  <c r="E233" i="32"/>
  <c r="E234" i="32"/>
  <c r="E235" i="32"/>
  <c r="E236" i="32"/>
  <c r="E237" i="32"/>
  <c r="E238" i="32"/>
  <c r="E239" i="32"/>
  <c r="E240" i="32"/>
  <c r="E241" i="32"/>
  <c r="E242" i="32"/>
  <c r="E243" i="32"/>
  <c r="E244" i="32"/>
  <c r="E245" i="32"/>
  <c r="E246" i="32"/>
  <c r="E247" i="32"/>
  <c r="E248" i="32"/>
  <c r="E249" i="32"/>
  <c r="E250" i="32"/>
  <c r="E251" i="32"/>
  <c r="E252" i="32"/>
  <c r="E253" i="32"/>
  <c r="E254" i="32"/>
  <c r="E255" i="32"/>
  <c r="E256" i="32"/>
  <c r="E257" i="32"/>
  <c r="E258" i="32"/>
  <c r="E259" i="32"/>
  <c r="E260" i="32"/>
  <c r="E261" i="32"/>
  <c r="E262" i="32"/>
  <c r="E263" i="32"/>
  <c r="E264" i="32"/>
  <c r="E265" i="32"/>
  <c r="E266" i="32"/>
  <c r="E267" i="32"/>
  <c r="E268" i="32"/>
  <c r="E269" i="32"/>
  <c r="E270" i="32"/>
  <c r="E271" i="32"/>
  <c r="E272" i="32"/>
  <c r="E273" i="32"/>
  <c r="E274" i="32"/>
  <c r="E275" i="32"/>
  <c r="E276" i="32"/>
  <c r="E277" i="32"/>
  <c r="E278" i="32"/>
  <c r="E279" i="32"/>
  <c r="E280" i="32"/>
  <c r="E281" i="32"/>
  <c r="E282" i="32"/>
  <c r="E283" i="32"/>
  <c r="E284" i="32"/>
  <c r="E285" i="32"/>
  <c r="E286" i="32"/>
  <c r="E287" i="32"/>
  <c r="E288" i="32"/>
  <c r="E289" i="32"/>
  <c r="E290" i="32"/>
  <c r="E291" i="32"/>
  <c r="E292" i="32"/>
  <c r="E293" i="32"/>
  <c r="E294" i="32"/>
  <c r="E295" i="32"/>
  <c r="E296" i="32"/>
  <c r="E297" i="32"/>
  <c r="E298" i="32"/>
  <c r="E299" i="32"/>
  <c r="E300" i="32"/>
  <c r="E301" i="32"/>
  <c r="E302" i="32"/>
  <c r="E303" i="32"/>
  <c r="E304" i="32"/>
  <c r="E305" i="32"/>
  <c r="E306" i="32"/>
  <c r="E307" i="32"/>
  <c r="E308" i="32"/>
  <c r="E309" i="32"/>
  <c r="E310" i="32"/>
  <c r="E311" i="32"/>
  <c r="E312" i="32"/>
  <c r="E313" i="32"/>
  <c r="E314" i="32"/>
  <c r="E315" i="32"/>
  <c r="E316" i="32"/>
  <c r="E317" i="32"/>
  <c r="E318" i="32"/>
  <c r="E319" i="32"/>
  <c r="E320" i="32"/>
  <c r="E321" i="32"/>
  <c r="E322" i="32"/>
  <c r="E323" i="32"/>
  <c r="E324" i="32"/>
  <c r="E325" i="32"/>
  <c r="E326" i="32"/>
  <c r="E327" i="32"/>
  <c r="E328" i="32"/>
  <c r="E329" i="32"/>
  <c r="E330" i="32"/>
  <c r="E331" i="32"/>
  <c r="E332" i="32"/>
  <c r="E333" i="32"/>
  <c r="E334" i="32"/>
  <c r="E335" i="32"/>
  <c r="E336" i="32"/>
  <c r="E337" i="32"/>
  <c r="E338" i="32"/>
  <c r="E339" i="32"/>
  <c r="E340" i="32"/>
  <c r="E341" i="32"/>
  <c r="E342" i="32"/>
  <c r="E343" i="32"/>
  <c r="E344" i="32"/>
  <c r="E345" i="32"/>
  <c r="E346" i="32"/>
  <c r="E347" i="32"/>
  <c r="E348" i="32"/>
  <c r="E349" i="32"/>
  <c r="E350" i="32"/>
  <c r="E351" i="32"/>
  <c r="E352" i="32"/>
  <c r="E353" i="32"/>
  <c r="E354" i="32"/>
  <c r="E355" i="32"/>
  <c r="E356" i="32"/>
  <c r="E357" i="32"/>
  <c r="E358" i="32"/>
  <c r="E359" i="32"/>
  <c r="E360" i="32"/>
  <c r="E361" i="32"/>
  <c r="E362" i="32"/>
  <c r="E363" i="32"/>
  <c r="E364" i="32"/>
  <c r="E365" i="32"/>
  <c r="E366" i="32"/>
  <c r="E367" i="32"/>
  <c r="E368" i="32"/>
  <c r="E369" i="32"/>
  <c r="E370" i="32"/>
  <c r="E371" i="32"/>
  <c r="E372" i="32"/>
  <c r="E373" i="32"/>
  <c r="E374" i="32"/>
  <c r="E375" i="32"/>
  <c r="E376" i="32"/>
  <c r="E377" i="32"/>
  <c r="E378" i="32"/>
  <c r="E379" i="32"/>
  <c r="E380" i="32"/>
  <c r="E381" i="32"/>
  <c r="E382" i="32"/>
  <c r="E383" i="32"/>
  <c r="E384" i="32"/>
  <c r="E385" i="32"/>
  <c r="E386" i="32"/>
  <c r="E387" i="32"/>
  <c r="E388" i="32"/>
  <c r="E389" i="32"/>
  <c r="E390" i="32"/>
  <c r="E391" i="32"/>
  <c r="E392" i="32"/>
  <c r="E393" i="32"/>
  <c r="E394" i="32"/>
  <c r="E395" i="32"/>
  <c r="E396" i="32"/>
  <c r="E397" i="32"/>
  <c r="E398" i="32"/>
  <c r="E399" i="32"/>
  <c r="E400" i="32"/>
  <c r="E401" i="32"/>
  <c r="E402" i="32"/>
  <c r="E403" i="32"/>
  <c r="E404" i="32"/>
  <c r="E405" i="32"/>
  <c r="E406" i="32"/>
  <c r="E407" i="32"/>
  <c r="E408" i="32"/>
  <c r="E409" i="32"/>
  <c r="E410" i="32"/>
  <c r="E411" i="32"/>
  <c r="E412" i="32"/>
  <c r="E413" i="32"/>
  <c r="E414" i="32"/>
  <c r="E415" i="32"/>
  <c r="E416" i="32"/>
  <c r="E417" i="32"/>
  <c r="E418" i="32"/>
  <c r="E419" i="32"/>
  <c r="E420" i="32"/>
  <c r="E421" i="32"/>
  <c r="E422" i="32"/>
  <c r="E423" i="32"/>
  <c r="E424" i="32"/>
  <c r="E425" i="32"/>
  <c r="E426" i="32"/>
  <c r="E427" i="32"/>
  <c r="E428" i="32"/>
  <c r="E429" i="32"/>
  <c r="E430" i="32"/>
  <c r="E431" i="32"/>
  <c r="E432" i="32"/>
  <c r="E433" i="32"/>
  <c r="E434" i="32"/>
  <c r="E435" i="32"/>
  <c r="E436" i="32"/>
  <c r="E437" i="32"/>
  <c r="E438" i="32"/>
  <c r="E439" i="32"/>
  <c r="E440" i="32"/>
  <c r="E441" i="32"/>
  <c r="E442" i="32"/>
  <c r="E443" i="32"/>
  <c r="E444" i="32"/>
  <c r="E445" i="32"/>
  <c r="E446" i="32"/>
  <c r="E447" i="32"/>
  <c r="E448" i="32"/>
  <c r="E449" i="32"/>
  <c r="E450" i="32"/>
  <c r="E451" i="32"/>
  <c r="E452" i="32"/>
  <c r="E453" i="32"/>
  <c r="E454" i="32"/>
  <c r="E455" i="32"/>
  <c r="E456" i="32"/>
  <c r="E457" i="32"/>
  <c r="E458" i="32"/>
  <c r="E459" i="32"/>
  <c r="E460" i="32"/>
  <c r="E461" i="32"/>
  <c r="E462" i="32"/>
  <c r="E463" i="32"/>
  <c r="E464" i="32"/>
  <c r="E465" i="32"/>
  <c r="E466" i="32"/>
  <c r="E467" i="32"/>
  <c r="E468" i="32"/>
  <c r="E469" i="32"/>
  <c r="E470" i="32"/>
  <c r="E471" i="32"/>
  <c r="E472" i="32"/>
  <c r="E473" i="32"/>
  <c r="E474" i="32"/>
  <c r="E475" i="32"/>
  <c r="E476" i="32"/>
  <c r="E477" i="32"/>
  <c r="E478" i="32"/>
  <c r="E479" i="32"/>
  <c r="E480" i="32"/>
  <c r="E481" i="32"/>
  <c r="E482" i="32"/>
  <c r="E483" i="32"/>
  <c r="E484" i="32"/>
  <c r="E485" i="32"/>
  <c r="E486" i="32"/>
  <c r="E487" i="32"/>
  <c r="E488" i="32"/>
  <c r="E489" i="32"/>
  <c r="E490" i="32"/>
  <c r="E491" i="32"/>
  <c r="E492" i="32"/>
  <c r="E493" i="32"/>
  <c r="E494" i="32"/>
  <c r="E495" i="32"/>
  <c r="E496" i="32"/>
  <c r="E497" i="32"/>
  <c r="E498" i="32"/>
  <c r="E499" i="32"/>
  <c r="E500" i="32"/>
  <c r="I498" i="23"/>
  <c r="I497" i="23"/>
  <c r="I496" i="23"/>
  <c r="I495" i="23"/>
  <c r="I494" i="23"/>
  <c r="I493" i="23"/>
  <c r="I492" i="23"/>
  <c r="I491" i="23"/>
  <c r="I490" i="23"/>
  <c r="I489" i="23"/>
  <c r="I488" i="23"/>
  <c r="I487" i="23"/>
  <c r="I486" i="23"/>
  <c r="I485" i="23"/>
  <c r="I484" i="23"/>
  <c r="I483" i="23"/>
  <c r="I482" i="23"/>
  <c r="I481" i="23"/>
  <c r="I480" i="23"/>
  <c r="I479" i="23"/>
  <c r="I478" i="23"/>
  <c r="I477" i="23"/>
  <c r="I476" i="23"/>
  <c r="I475" i="23"/>
  <c r="I474" i="23"/>
  <c r="I473" i="23"/>
  <c r="I472" i="23"/>
  <c r="I471" i="23"/>
  <c r="I470" i="23"/>
  <c r="I469" i="23"/>
  <c r="I468" i="23"/>
  <c r="I467" i="23"/>
  <c r="I466" i="23"/>
  <c r="I465" i="23"/>
  <c r="I464" i="23"/>
  <c r="I463" i="23"/>
  <c r="I462" i="23"/>
  <c r="I461" i="23"/>
  <c r="I460" i="23"/>
  <c r="I459" i="23"/>
  <c r="I458" i="23"/>
  <c r="I457" i="23"/>
  <c r="I456" i="23"/>
  <c r="I455" i="23"/>
  <c r="I454" i="23"/>
  <c r="I453" i="23"/>
  <c r="I452" i="23"/>
  <c r="I451" i="23"/>
  <c r="I450" i="23"/>
  <c r="I449" i="23"/>
  <c r="I448" i="23"/>
  <c r="I447" i="23"/>
  <c r="I446" i="23"/>
  <c r="I445" i="23"/>
  <c r="I444" i="23"/>
  <c r="I443" i="23"/>
  <c r="I442" i="23"/>
  <c r="I441" i="23"/>
  <c r="I440" i="23"/>
  <c r="I439" i="23"/>
  <c r="I438" i="23"/>
  <c r="I437" i="23"/>
  <c r="I436" i="23"/>
  <c r="I435" i="23"/>
  <c r="I434" i="23"/>
  <c r="I433" i="23"/>
  <c r="I432" i="23"/>
  <c r="I431" i="23"/>
  <c r="I430" i="23"/>
  <c r="I429" i="23"/>
  <c r="I428" i="23"/>
  <c r="I427" i="23"/>
  <c r="I426" i="23"/>
  <c r="I425" i="23"/>
  <c r="I424" i="23"/>
  <c r="I423" i="23"/>
  <c r="I422" i="23"/>
  <c r="I421" i="23"/>
  <c r="I420" i="23"/>
  <c r="I419" i="23"/>
  <c r="I418" i="23"/>
  <c r="I417" i="23"/>
  <c r="I416" i="23"/>
  <c r="I415" i="23"/>
  <c r="I414" i="23"/>
  <c r="I413" i="23"/>
  <c r="I412" i="23"/>
  <c r="I411" i="23"/>
  <c r="I410" i="23"/>
  <c r="I409" i="23"/>
  <c r="I408" i="23"/>
  <c r="I407" i="23"/>
  <c r="I406" i="23"/>
  <c r="I405" i="23"/>
  <c r="I404" i="23"/>
  <c r="I403" i="23"/>
  <c r="I402" i="23"/>
  <c r="I401" i="23"/>
  <c r="I400" i="23"/>
  <c r="I399" i="23"/>
  <c r="I398" i="23"/>
  <c r="I397" i="23"/>
  <c r="I396" i="23"/>
  <c r="I395" i="23"/>
  <c r="I394" i="23"/>
  <c r="I393" i="23"/>
  <c r="I392" i="23"/>
  <c r="I391" i="23"/>
  <c r="I390" i="23"/>
  <c r="I389" i="23"/>
  <c r="I388" i="23"/>
  <c r="I387" i="23"/>
  <c r="I386" i="23"/>
  <c r="I385" i="23"/>
  <c r="I384" i="23"/>
  <c r="I383" i="23"/>
  <c r="I382" i="23"/>
  <c r="I381" i="23"/>
  <c r="I380" i="23"/>
  <c r="I379" i="23"/>
  <c r="I378" i="23"/>
  <c r="I377" i="23"/>
  <c r="I376" i="23"/>
  <c r="I375" i="23"/>
  <c r="I374" i="23"/>
  <c r="I373" i="23"/>
  <c r="I372" i="23"/>
  <c r="I371" i="23"/>
  <c r="I370" i="23"/>
  <c r="I369" i="23"/>
  <c r="I368" i="23"/>
  <c r="I367" i="23"/>
  <c r="I366" i="23"/>
  <c r="I365" i="23"/>
  <c r="I364" i="23"/>
  <c r="I363" i="23"/>
  <c r="I362" i="23"/>
  <c r="I361" i="23"/>
  <c r="I360" i="23"/>
  <c r="I359" i="23"/>
  <c r="I358" i="23"/>
  <c r="I357" i="23"/>
  <c r="I356" i="23"/>
  <c r="I355" i="23"/>
  <c r="I354" i="23"/>
  <c r="I353" i="23"/>
  <c r="I352" i="23"/>
  <c r="I351" i="23"/>
  <c r="I350" i="23"/>
  <c r="I349" i="23"/>
  <c r="I348" i="23"/>
  <c r="I347" i="23"/>
  <c r="I346" i="23"/>
  <c r="I345" i="23"/>
  <c r="I344" i="23"/>
  <c r="I343" i="23"/>
  <c r="I342" i="23"/>
  <c r="I341" i="23"/>
  <c r="I340" i="23"/>
  <c r="I339" i="23"/>
  <c r="I338" i="23"/>
  <c r="I337" i="23"/>
  <c r="I336" i="23"/>
  <c r="I335" i="23"/>
  <c r="I334" i="23"/>
  <c r="I333" i="23"/>
  <c r="I332" i="23"/>
  <c r="I331" i="23"/>
  <c r="I330" i="23"/>
  <c r="I329" i="23"/>
  <c r="I328" i="23"/>
  <c r="I327" i="23"/>
  <c r="I326" i="23"/>
  <c r="I325" i="23"/>
  <c r="I324" i="23"/>
  <c r="I323" i="23"/>
  <c r="I322" i="23"/>
  <c r="I321" i="23"/>
  <c r="I320" i="23"/>
  <c r="I319" i="23"/>
  <c r="I318" i="23"/>
  <c r="I317" i="23"/>
  <c r="I316" i="23"/>
  <c r="I315" i="23"/>
  <c r="I314" i="23"/>
  <c r="I313" i="23"/>
  <c r="I312" i="23"/>
  <c r="I311" i="23"/>
  <c r="I310" i="23"/>
  <c r="I309" i="23"/>
  <c r="I308" i="23"/>
  <c r="I307" i="23"/>
  <c r="I306" i="23"/>
  <c r="I305" i="23"/>
  <c r="I304" i="23"/>
  <c r="I303" i="23"/>
  <c r="I302" i="23"/>
  <c r="I301" i="23"/>
  <c r="I300" i="23"/>
  <c r="I299" i="23"/>
  <c r="I298" i="23"/>
  <c r="I297" i="23"/>
  <c r="I296" i="23"/>
  <c r="I295" i="23"/>
  <c r="I294" i="23"/>
  <c r="I293" i="23"/>
  <c r="I292" i="23"/>
  <c r="I291" i="23"/>
  <c r="I290" i="23"/>
  <c r="I289" i="23"/>
  <c r="I288" i="23"/>
  <c r="I287" i="23"/>
  <c r="I286" i="23"/>
  <c r="I285" i="23"/>
  <c r="I284" i="23"/>
  <c r="I283" i="23"/>
  <c r="I282" i="23"/>
  <c r="I281" i="23"/>
  <c r="I280" i="23"/>
  <c r="I279" i="23"/>
  <c r="I278" i="23"/>
  <c r="I277" i="23"/>
  <c r="I276" i="23"/>
  <c r="I275" i="23"/>
  <c r="I274" i="23"/>
  <c r="I273" i="23"/>
  <c r="I272" i="23"/>
  <c r="I271" i="23"/>
  <c r="I270" i="23"/>
  <c r="I269" i="23"/>
  <c r="I268" i="23"/>
  <c r="I267" i="23"/>
  <c r="I266" i="23"/>
  <c r="I265" i="23"/>
  <c r="I264" i="23"/>
  <c r="I263" i="23"/>
  <c r="I262" i="23"/>
  <c r="I261" i="23"/>
  <c r="I260" i="23"/>
  <c r="I259" i="23"/>
  <c r="I258" i="23"/>
  <c r="I257" i="23"/>
  <c r="I256" i="23"/>
  <c r="I255" i="23"/>
  <c r="I254" i="23"/>
  <c r="I253" i="23"/>
  <c r="I252" i="23"/>
  <c r="I251" i="23"/>
  <c r="I250" i="23"/>
  <c r="I249" i="23"/>
  <c r="I248" i="23"/>
  <c r="I247" i="23"/>
  <c r="I246" i="23"/>
  <c r="I245" i="23"/>
  <c r="I244" i="23"/>
  <c r="I243" i="23"/>
  <c r="I242" i="23"/>
  <c r="I241" i="23"/>
  <c r="I240" i="23"/>
  <c r="I239" i="23"/>
  <c r="I238" i="23"/>
  <c r="I237" i="23"/>
  <c r="I236" i="23"/>
  <c r="I235" i="23"/>
  <c r="I234" i="23"/>
  <c r="I233" i="23"/>
  <c r="I232" i="23"/>
  <c r="I231" i="23"/>
  <c r="I230" i="23"/>
  <c r="I229" i="23"/>
  <c r="I228" i="23"/>
  <c r="I227" i="23"/>
  <c r="I226" i="23"/>
  <c r="I225" i="23"/>
  <c r="I224" i="23"/>
  <c r="I223" i="23"/>
  <c r="I222" i="23"/>
  <c r="I221" i="23"/>
  <c r="I220" i="23"/>
  <c r="I219" i="23"/>
  <c r="I218" i="23"/>
  <c r="I217" i="23"/>
  <c r="I216" i="23"/>
  <c r="I215" i="23"/>
  <c r="I214" i="23"/>
  <c r="I213" i="23"/>
  <c r="I212" i="23"/>
  <c r="I211" i="23"/>
  <c r="I210" i="23"/>
  <c r="I209" i="23"/>
  <c r="I208" i="23"/>
  <c r="I207" i="23"/>
  <c r="I206" i="23"/>
  <c r="I205" i="23"/>
  <c r="I204" i="23"/>
  <c r="I203" i="23"/>
  <c r="I202" i="23"/>
  <c r="I201" i="23"/>
  <c r="I200" i="23"/>
  <c r="I199" i="23"/>
  <c r="I198" i="23"/>
  <c r="I197" i="23"/>
  <c r="I196" i="23"/>
  <c r="I195" i="23"/>
  <c r="I194" i="23"/>
  <c r="I193" i="23"/>
  <c r="I192" i="23"/>
  <c r="I191" i="23"/>
  <c r="I190" i="23"/>
  <c r="I189" i="23"/>
  <c r="I188" i="23"/>
  <c r="I187" i="23"/>
  <c r="I186" i="23"/>
  <c r="I185" i="23"/>
  <c r="I184" i="23"/>
  <c r="I183" i="23"/>
  <c r="I182" i="23"/>
  <c r="I181" i="23"/>
  <c r="I180" i="23"/>
  <c r="I179" i="23"/>
  <c r="I178" i="23"/>
  <c r="I177" i="23"/>
  <c r="I176" i="23"/>
  <c r="I175" i="23"/>
  <c r="I174" i="23"/>
  <c r="I173" i="23"/>
  <c r="I172" i="23"/>
  <c r="I171" i="23"/>
  <c r="I170" i="23"/>
  <c r="I169" i="23"/>
  <c r="I168" i="23"/>
  <c r="I167" i="23"/>
  <c r="I166" i="23"/>
  <c r="I165" i="23"/>
  <c r="I164" i="23"/>
  <c r="I163" i="23"/>
  <c r="I162" i="23"/>
  <c r="I161" i="23"/>
  <c r="I160" i="23"/>
  <c r="I159" i="23"/>
  <c r="I158" i="23"/>
  <c r="I157" i="23"/>
  <c r="I156" i="23"/>
  <c r="I155" i="23"/>
  <c r="I154" i="23"/>
  <c r="I153" i="23"/>
  <c r="I152" i="23"/>
  <c r="I151" i="23"/>
  <c r="I150" i="23"/>
  <c r="I149" i="23"/>
  <c r="I148" i="23"/>
  <c r="I147" i="23"/>
  <c r="I146" i="23"/>
  <c r="I145" i="23"/>
  <c r="I144" i="23"/>
  <c r="I143" i="23"/>
  <c r="I142" i="23"/>
  <c r="I141" i="23"/>
  <c r="I140" i="23"/>
  <c r="I139" i="23"/>
  <c r="I138" i="23"/>
  <c r="I137" i="23"/>
  <c r="I136" i="23"/>
  <c r="I135" i="23"/>
  <c r="I134" i="23"/>
  <c r="I133" i="23"/>
  <c r="I132" i="23"/>
  <c r="I131" i="23"/>
  <c r="I130" i="23"/>
  <c r="I129" i="23"/>
  <c r="I128" i="23"/>
  <c r="I127" i="23"/>
  <c r="I126" i="23"/>
  <c r="I125" i="23"/>
  <c r="I124" i="23"/>
  <c r="I123" i="23"/>
  <c r="I122" i="23"/>
  <c r="I121" i="23"/>
  <c r="I120" i="23"/>
  <c r="I119" i="23"/>
  <c r="I118" i="23"/>
  <c r="I117" i="23"/>
  <c r="I116" i="23"/>
  <c r="I115" i="23"/>
  <c r="I114" i="23"/>
  <c r="I113" i="23"/>
  <c r="I112" i="23"/>
  <c r="I111" i="23"/>
  <c r="I110" i="23"/>
  <c r="I109" i="23"/>
  <c r="I108" i="23"/>
  <c r="I107" i="23"/>
  <c r="I106" i="23"/>
  <c r="I105" i="23"/>
  <c r="I104" i="23"/>
  <c r="I103" i="23"/>
  <c r="I102" i="23"/>
  <c r="I101" i="23"/>
  <c r="I100" i="23"/>
  <c r="I99" i="23"/>
  <c r="I98" i="23"/>
  <c r="I97" i="23"/>
  <c r="I96" i="23"/>
  <c r="I95" i="23"/>
  <c r="I94" i="23"/>
  <c r="I93"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I31" i="23"/>
  <c r="I30" i="23"/>
  <c r="I29" i="23"/>
  <c r="I28" i="23"/>
  <c r="I27" i="23"/>
  <c r="I26" i="23"/>
  <c r="I25" i="23"/>
  <c r="I24" i="23"/>
  <c r="I23" i="23"/>
  <c r="I22" i="23"/>
  <c r="I21" i="23"/>
  <c r="I20" i="23"/>
  <c r="I19" i="23"/>
  <c r="I18" i="23"/>
  <c r="I17" i="23"/>
  <c r="I16" i="23"/>
  <c r="I15" i="23"/>
  <c r="I14" i="23"/>
  <c r="I13" i="23"/>
  <c r="I12" i="23"/>
  <c r="I11" i="23"/>
  <c r="I10" i="23"/>
  <c r="I9" i="23"/>
  <c r="I8" i="23"/>
  <c r="I7" i="23"/>
  <c r="I6" i="23"/>
  <c r="F498" i="23"/>
  <c r="F497" i="23"/>
  <c r="F496" i="23"/>
  <c r="F495" i="23"/>
  <c r="F494" i="23"/>
  <c r="F493" i="23"/>
  <c r="F492" i="23"/>
  <c r="F491" i="23"/>
  <c r="F490" i="23"/>
  <c r="F489" i="23"/>
  <c r="F488" i="23"/>
  <c r="F487" i="23"/>
  <c r="F486" i="23"/>
  <c r="F485" i="23"/>
  <c r="F484" i="23"/>
  <c r="F483" i="23"/>
  <c r="F482" i="23"/>
  <c r="F481" i="23"/>
  <c r="F480" i="23"/>
  <c r="F479" i="23"/>
  <c r="F478" i="23"/>
  <c r="F477" i="23"/>
  <c r="F476" i="23"/>
  <c r="F475" i="23"/>
  <c r="F474" i="23"/>
  <c r="F473" i="23"/>
  <c r="F472" i="23"/>
  <c r="F471" i="23"/>
  <c r="F470" i="23"/>
  <c r="F469" i="23"/>
  <c r="F468" i="23"/>
  <c r="F467" i="23"/>
  <c r="F466" i="23"/>
  <c r="F465" i="23"/>
  <c r="F464" i="23"/>
  <c r="F463" i="23"/>
  <c r="F462" i="23"/>
  <c r="F461" i="23"/>
  <c r="F460" i="23"/>
  <c r="F459" i="23"/>
  <c r="F458" i="23"/>
  <c r="F457" i="23"/>
  <c r="F456" i="23"/>
  <c r="F455" i="23"/>
  <c r="F454" i="23"/>
  <c r="F453" i="23"/>
  <c r="F452" i="23"/>
  <c r="F451" i="23"/>
  <c r="F450" i="23"/>
  <c r="F449" i="23"/>
  <c r="F448" i="23"/>
  <c r="F447" i="23"/>
  <c r="F446" i="23"/>
  <c r="F445" i="23"/>
  <c r="F444" i="23"/>
  <c r="F443" i="23"/>
  <c r="F442" i="23"/>
  <c r="F441" i="23"/>
  <c r="F440" i="23"/>
  <c r="F439" i="23"/>
  <c r="F438" i="23"/>
  <c r="F437" i="23"/>
  <c r="F436" i="23"/>
  <c r="F435" i="23"/>
  <c r="F434" i="23"/>
  <c r="F433" i="23"/>
  <c r="F432" i="23"/>
  <c r="F431" i="23"/>
  <c r="F430" i="23"/>
  <c r="F429" i="23"/>
  <c r="F428" i="23"/>
  <c r="F427" i="23"/>
  <c r="F426" i="23"/>
  <c r="F425" i="23"/>
  <c r="F424" i="23"/>
  <c r="F423" i="23"/>
  <c r="F422" i="23"/>
  <c r="F421" i="23"/>
  <c r="F420" i="23"/>
  <c r="F419" i="23"/>
  <c r="F418" i="23"/>
  <c r="F417" i="23"/>
  <c r="F416" i="23"/>
  <c r="F415" i="23"/>
  <c r="F414" i="23"/>
  <c r="F413" i="23"/>
  <c r="F412" i="23"/>
  <c r="F411" i="23"/>
  <c r="F410" i="23"/>
  <c r="F409" i="23"/>
  <c r="F408" i="23"/>
  <c r="F407" i="23"/>
  <c r="F406" i="23"/>
  <c r="F405" i="23"/>
  <c r="F404" i="23"/>
  <c r="F403" i="23"/>
  <c r="F402" i="23"/>
  <c r="F401" i="23"/>
  <c r="F400" i="23"/>
  <c r="F399" i="23"/>
  <c r="F398" i="23"/>
  <c r="F397" i="23"/>
  <c r="F396" i="23"/>
  <c r="F395" i="23"/>
  <c r="F394" i="23"/>
  <c r="F393" i="23"/>
  <c r="F392" i="23"/>
  <c r="F391" i="23"/>
  <c r="F390" i="23"/>
  <c r="F389" i="23"/>
  <c r="F388" i="23"/>
  <c r="F387" i="23"/>
  <c r="F386" i="23"/>
  <c r="F385" i="23"/>
  <c r="F384" i="23"/>
  <c r="F383" i="23"/>
  <c r="F382" i="23"/>
  <c r="F381" i="23"/>
  <c r="F380" i="23"/>
  <c r="F379" i="23"/>
  <c r="F378" i="23"/>
  <c r="F377" i="23"/>
  <c r="F376" i="23"/>
  <c r="F375" i="23"/>
  <c r="F374" i="23"/>
  <c r="F373" i="23"/>
  <c r="F372" i="23"/>
  <c r="F371" i="23"/>
  <c r="F370" i="23"/>
  <c r="F369" i="23"/>
  <c r="F368" i="23"/>
  <c r="F367" i="23"/>
  <c r="F366" i="23"/>
  <c r="F365" i="23"/>
  <c r="F364" i="23"/>
  <c r="F363" i="23"/>
  <c r="F362" i="23"/>
  <c r="F361" i="23"/>
  <c r="F360" i="23"/>
  <c r="F359" i="23"/>
  <c r="F358" i="23"/>
  <c r="F357" i="23"/>
  <c r="F356" i="23"/>
  <c r="F355" i="23"/>
  <c r="F354" i="23"/>
  <c r="F353" i="23"/>
  <c r="F352" i="23"/>
  <c r="F351" i="23"/>
  <c r="F350" i="23"/>
  <c r="F349" i="23"/>
  <c r="F348" i="23"/>
  <c r="F347" i="23"/>
  <c r="F346" i="23"/>
  <c r="F345" i="23"/>
  <c r="F344" i="23"/>
  <c r="F343" i="23"/>
  <c r="F342" i="23"/>
  <c r="F341" i="23"/>
  <c r="F340" i="23"/>
  <c r="F339" i="23"/>
  <c r="F338" i="23"/>
  <c r="F337" i="23"/>
  <c r="F336" i="23"/>
  <c r="F335" i="23"/>
  <c r="F334" i="23"/>
  <c r="F333" i="23"/>
  <c r="F332" i="23"/>
  <c r="F331" i="23"/>
  <c r="F330" i="23"/>
  <c r="F329" i="23"/>
  <c r="F328" i="23"/>
  <c r="F327" i="23"/>
  <c r="F326" i="23"/>
  <c r="F325" i="23"/>
  <c r="F324" i="23"/>
  <c r="F323" i="23"/>
  <c r="F322" i="23"/>
  <c r="F321" i="23"/>
  <c r="F320" i="23"/>
  <c r="F319" i="23"/>
  <c r="F318" i="23"/>
  <c r="F317" i="23"/>
  <c r="F316" i="23"/>
  <c r="F315" i="23"/>
  <c r="F314" i="23"/>
  <c r="F313" i="23"/>
  <c r="F312" i="23"/>
  <c r="F311" i="23"/>
  <c r="F310" i="23"/>
  <c r="F309" i="23"/>
  <c r="F308" i="23"/>
  <c r="F307" i="23"/>
  <c r="F306" i="23"/>
  <c r="F305" i="23"/>
  <c r="F304" i="23"/>
  <c r="F303" i="23"/>
  <c r="F302" i="23"/>
  <c r="F301" i="23"/>
  <c r="F300" i="23"/>
  <c r="F299" i="23"/>
  <c r="F298" i="23"/>
  <c r="F297" i="23"/>
  <c r="F296" i="23"/>
  <c r="F295" i="23"/>
  <c r="F294" i="23"/>
  <c r="F293" i="23"/>
  <c r="F292" i="23"/>
  <c r="F291" i="23"/>
  <c r="F290" i="23"/>
  <c r="F289" i="23"/>
  <c r="F288" i="23"/>
  <c r="F287" i="23"/>
  <c r="F286" i="23"/>
  <c r="F285" i="23"/>
  <c r="F284" i="23"/>
  <c r="F283" i="23"/>
  <c r="F282" i="23"/>
  <c r="F281" i="23"/>
  <c r="F280" i="23"/>
  <c r="F279" i="23"/>
  <c r="F278" i="23"/>
  <c r="F277" i="23"/>
  <c r="F276" i="23"/>
  <c r="F275" i="23"/>
  <c r="F274" i="23"/>
  <c r="F273" i="23"/>
  <c r="F272" i="23"/>
  <c r="F271" i="23"/>
  <c r="F270" i="23"/>
  <c r="F269" i="23"/>
  <c r="F268" i="23"/>
  <c r="F267" i="23"/>
  <c r="F266" i="23"/>
  <c r="F265" i="23"/>
  <c r="F264" i="23"/>
  <c r="F263" i="23"/>
  <c r="F262" i="23"/>
  <c r="F261" i="23"/>
  <c r="F260" i="23"/>
  <c r="F259" i="23"/>
  <c r="F258" i="23"/>
  <c r="F257" i="23"/>
  <c r="F256" i="23"/>
  <c r="F255" i="23"/>
  <c r="F254" i="23"/>
  <c r="F253" i="23"/>
  <c r="F252" i="23"/>
  <c r="F251" i="23"/>
  <c r="F250" i="23"/>
  <c r="F249" i="23"/>
  <c r="F248" i="23"/>
  <c r="F247" i="23"/>
  <c r="F246" i="23"/>
  <c r="F245" i="23"/>
  <c r="F244" i="23"/>
  <c r="F243" i="23"/>
  <c r="F242" i="23"/>
  <c r="F241" i="23"/>
  <c r="F240" i="23"/>
  <c r="F239" i="23"/>
  <c r="F238" i="23"/>
  <c r="F237" i="23"/>
  <c r="F236" i="23"/>
  <c r="F235" i="23"/>
  <c r="F234" i="23"/>
  <c r="F233" i="23"/>
  <c r="F232" i="23"/>
  <c r="F231" i="23"/>
  <c r="F230" i="23"/>
  <c r="F229" i="23"/>
  <c r="F228" i="23"/>
  <c r="F227" i="23"/>
  <c r="F226" i="23"/>
  <c r="F225" i="23"/>
  <c r="F224" i="23"/>
  <c r="F223" i="23"/>
  <c r="F222" i="23"/>
  <c r="F221" i="23"/>
  <c r="F220" i="23"/>
  <c r="F219" i="23"/>
  <c r="F218" i="23"/>
  <c r="F217" i="23"/>
  <c r="F216" i="23"/>
  <c r="F215" i="23"/>
  <c r="F214" i="23"/>
  <c r="F213" i="23"/>
  <c r="F212" i="23"/>
  <c r="F211" i="23"/>
  <c r="F210" i="23"/>
  <c r="F209" i="23"/>
  <c r="F208" i="23"/>
  <c r="F207" i="23"/>
  <c r="F206" i="23"/>
  <c r="F205" i="23"/>
  <c r="F204" i="23"/>
  <c r="F203" i="23"/>
  <c r="F202" i="23"/>
  <c r="F201" i="23"/>
  <c r="F200" i="23"/>
  <c r="F199" i="23"/>
  <c r="F198" i="23"/>
  <c r="F197" i="23"/>
  <c r="F196" i="23"/>
  <c r="F195" i="23"/>
  <c r="F194" i="23"/>
  <c r="F193" i="23"/>
  <c r="F192" i="23"/>
  <c r="F191" i="23"/>
  <c r="F190" i="23"/>
  <c r="F189" i="23"/>
  <c r="F188" i="23"/>
  <c r="F187" i="23"/>
  <c r="F186" i="23"/>
  <c r="F185" i="23"/>
  <c r="F184" i="23"/>
  <c r="F183" i="23"/>
  <c r="F182" i="23"/>
  <c r="F181" i="23"/>
  <c r="F180" i="23"/>
  <c r="F179" i="23"/>
  <c r="F178" i="23"/>
  <c r="F177" i="23"/>
  <c r="F176" i="23"/>
  <c r="F175" i="23"/>
  <c r="F174" i="23"/>
  <c r="F173" i="23"/>
  <c r="F172" i="23"/>
  <c r="F171" i="23"/>
  <c r="F170" i="23"/>
  <c r="F169" i="23"/>
  <c r="F168" i="23"/>
  <c r="F167" i="23"/>
  <c r="F166" i="23"/>
  <c r="F165" i="23"/>
  <c r="F164" i="23"/>
  <c r="F163" i="23"/>
  <c r="F162" i="23"/>
  <c r="F161" i="23"/>
  <c r="F160" i="23"/>
  <c r="F159" i="23"/>
  <c r="F158" i="23"/>
  <c r="F157" i="23"/>
  <c r="F156" i="23"/>
  <c r="F155" i="23"/>
  <c r="F154" i="23"/>
  <c r="F153" i="23"/>
  <c r="F152" i="23"/>
  <c r="F151" i="23"/>
  <c r="F150" i="23"/>
  <c r="F149" i="23"/>
  <c r="F148" i="23"/>
  <c r="F147" i="23"/>
  <c r="F146" i="23"/>
  <c r="F145" i="23"/>
  <c r="F144" i="23"/>
  <c r="F143" i="23"/>
  <c r="F142" i="23"/>
  <c r="F141" i="23"/>
  <c r="F140" i="23"/>
  <c r="F139" i="23"/>
  <c r="F138" i="23"/>
  <c r="F137" i="23"/>
  <c r="F136" i="23"/>
  <c r="F135" i="23"/>
  <c r="F134" i="23"/>
  <c r="F133" i="23"/>
  <c r="F132" i="23"/>
  <c r="F131" i="23"/>
  <c r="F130" i="23"/>
  <c r="F129" i="23"/>
  <c r="F128" i="23"/>
  <c r="F127" i="23"/>
  <c r="F126" i="23"/>
  <c r="F125" i="23"/>
  <c r="F124" i="23"/>
  <c r="F123" i="23"/>
  <c r="F122" i="23"/>
  <c r="F121" i="23"/>
  <c r="F120" i="23"/>
  <c r="F119" i="23"/>
  <c r="F118" i="23"/>
  <c r="F117" i="23"/>
  <c r="F116" i="23"/>
  <c r="F115" i="23"/>
  <c r="F114" i="23"/>
  <c r="F113" i="23"/>
  <c r="F112" i="23"/>
  <c r="F111" i="23"/>
  <c r="F110" i="23"/>
  <c r="F109" i="23"/>
  <c r="F108" i="23"/>
  <c r="F107" i="23"/>
  <c r="F106" i="23"/>
  <c r="F105" i="23"/>
  <c r="F104" i="23"/>
  <c r="F103" i="23"/>
  <c r="F102" i="23"/>
  <c r="F101" i="23"/>
  <c r="F100" i="23"/>
  <c r="F99" i="23"/>
  <c r="F98" i="23"/>
  <c r="F97" i="23"/>
  <c r="F96" i="23"/>
  <c r="F95" i="23"/>
  <c r="F94" i="23"/>
  <c r="F93" i="23"/>
  <c r="F92" i="23"/>
  <c r="F91" i="23"/>
  <c r="F90" i="23"/>
  <c r="F89" i="23"/>
  <c r="F88" i="23"/>
  <c r="F87" i="23"/>
  <c r="F86" i="23"/>
  <c r="F85" i="23"/>
  <c r="F84" i="23"/>
  <c r="F83" i="23"/>
  <c r="F82" i="23"/>
  <c r="F81" i="23"/>
  <c r="F80" i="23"/>
  <c r="F79" i="23"/>
  <c r="F78" i="23"/>
  <c r="F77" i="23"/>
  <c r="F76" i="23"/>
  <c r="F75" i="23"/>
  <c r="F74" i="23"/>
  <c r="F73" i="23"/>
  <c r="F72" i="23"/>
  <c r="F71" i="23"/>
  <c r="F70" i="23"/>
  <c r="F69" i="23"/>
  <c r="F68" i="23"/>
  <c r="F67" i="23"/>
  <c r="F66" i="23"/>
  <c r="F65" i="23"/>
  <c r="F64" i="23"/>
  <c r="F63" i="23"/>
  <c r="F62" i="23"/>
  <c r="F61" i="23"/>
  <c r="F60" i="23"/>
  <c r="F59" i="23"/>
  <c r="F58" i="23"/>
  <c r="F57" i="23"/>
  <c r="F56" i="23"/>
  <c r="F55" i="23"/>
  <c r="F54" i="23"/>
  <c r="F53" i="23"/>
  <c r="F52" i="23"/>
  <c r="F51" i="23"/>
  <c r="F50" i="23"/>
  <c r="F49" i="23"/>
  <c r="F48" i="23"/>
  <c r="F47" i="23"/>
  <c r="F46" i="23"/>
  <c r="F45" i="23"/>
  <c r="F44" i="23"/>
  <c r="F43" i="23"/>
  <c r="F42" i="23"/>
  <c r="F41" i="23"/>
  <c r="F40" i="23"/>
  <c r="F39" i="23"/>
  <c r="F38" i="23"/>
  <c r="F37" i="23"/>
  <c r="F36" i="23"/>
  <c r="F35" i="23"/>
  <c r="F34" i="23"/>
  <c r="F33" i="23"/>
  <c r="F32" i="23"/>
  <c r="F31" i="23"/>
  <c r="F30" i="23"/>
  <c r="F29" i="23"/>
  <c r="F28" i="23"/>
  <c r="F27" i="23"/>
  <c r="F26" i="23"/>
  <c r="F25" i="23"/>
  <c r="F24" i="23"/>
  <c r="F23" i="23"/>
  <c r="F22" i="23"/>
  <c r="F21" i="23"/>
  <c r="F20" i="23"/>
  <c r="F19" i="23"/>
  <c r="F18" i="23"/>
  <c r="F17" i="23"/>
  <c r="F16" i="23"/>
  <c r="F15" i="23"/>
  <c r="H500" i="32"/>
  <c r="H499" i="32"/>
  <c r="H498" i="32"/>
  <c r="H497" i="32"/>
  <c r="H496" i="32"/>
  <c r="H495" i="32"/>
  <c r="H494" i="32"/>
  <c r="H493" i="32"/>
  <c r="H492" i="32"/>
  <c r="H491" i="32"/>
  <c r="H490" i="32"/>
  <c r="H489" i="32"/>
  <c r="H488" i="32"/>
  <c r="H487" i="32"/>
  <c r="H486" i="32"/>
  <c r="H485" i="32"/>
  <c r="H484" i="32"/>
  <c r="H483" i="32"/>
  <c r="H482" i="32"/>
  <c r="H481" i="32"/>
  <c r="H480" i="32"/>
  <c r="H479" i="32"/>
  <c r="H478" i="32"/>
  <c r="H477" i="32"/>
  <c r="H476" i="32"/>
  <c r="H475" i="32"/>
  <c r="H474" i="32"/>
  <c r="H473" i="32"/>
  <c r="H472" i="32"/>
  <c r="H471" i="32"/>
  <c r="H470" i="32"/>
  <c r="H469" i="32"/>
  <c r="H468" i="32"/>
  <c r="H467" i="32"/>
  <c r="H466" i="32"/>
  <c r="H465" i="32"/>
  <c r="H464" i="32"/>
  <c r="H463" i="32"/>
  <c r="H462" i="32"/>
  <c r="H461" i="32"/>
  <c r="H460" i="32"/>
  <c r="H459" i="32"/>
  <c r="H458" i="32"/>
  <c r="H457" i="32"/>
  <c r="H456" i="32"/>
  <c r="H455" i="32"/>
  <c r="H454" i="32"/>
  <c r="H453" i="32"/>
  <c r="H452" i="32"/>
  <c r="H451" i="32"/>
  <c r="H450" i="32"/>
  <c r="H449" i="32"/>
  <c r="H448" i="32"/>
  <c r="H447" i="32"/>
  <c r="H446" i="32"/>
  <c r="H445" i="32"/>
  <c r="H444" i="32"/>
  <c r="H443" i="32"/>
  <c r="H442" i="32"/>
  <c r="H441" i="32"/>
  <c r="H440" i="32"/>
  <c r="H439" i="32"/>
  <c r="H438" i="32"/>
  <c r="H437" i="32"/>
  <c r="H436" i="32"/>
  <c r="H435" i="32"/>
  <c r="H434" i="32"/>
  <c r="H433" i="32"/>
  <c r="H432" i="32"/>
  <c r="H431" i="32"/>
  <c r="H430" i="32"/>
  <c r="H429" i="32"/>
  <c r="H428" i="32"/>
  <c r="H427" i="32"/>
  <c r="H426" i="32"/>
  <c r="H425" i="32"/>
  <c r="H424" i="32"/>
  <c r="H423" i="32"/>
  <c r="H422" i="32"/>
  <c r="H421" i="32"/>
  <c r="H420" i="32"/>
  <c r="H419" i="32"/>
  <c r="H418" i="32"/>
  <c r="H417" i="32"/>
  <c r="H416" i="32"/>
  <c r="H415" i="32"/>
  <c r="H414" i="32"/>
  <c r="H413" i="32"/>
  <c r="H412" i="32"/>
  <c r="H411" i="32"/>
  <c r="H410" i="32"/>
  <c r="H409" i="32"/>
  <c r="H408" i="32"/>
  <c r="H407" i="32"/>
  <c r="H406" i="32"/>
  <c r="H405" i="32"/>
  <c r="H404" i="32"/>
  <c r="H403" i="32"/>
  <c r="H402" i="32"/>
  <c r="H401" i="32"/>
  <c r="H400" i="32"/>
  <c r="H399" i="32"/>
  <c r="H398" i="32"/>
  <c r="H397" i="32"/>
  <c r="H396" i="32"/>
  <c r="H395" i="32"/>
  <c r="H394" i="32"/>
  <c r="H393" i="32"/>
  <c r="H392" i="32"/>
  <c r="H391" i="32"/>
  <c r="H390" i="32"/>
  <c r="H389" i="32"/>
  <c r="H388" i="32"/>
  <c r="H387" i="32"/>
  <c r="H386" i="32"/>
  <c r="H385" i="32"/>
  <c r="H384" i="32"/>
  <c r="H383" i="32"/>
  <c r="H382" i="32"/>
  <c r="H381" i="32"/>
  <c r="H380" i="32"/>
  <c r="H379" i="32"/>
  <c r="H378" i="32"/>
  <c r="H377" i="32"/>
  <c r="H376" i="32"/>
  <c r="H375" i="32"/>
  <c r="H374" i="32"/>
  <c r="H373" i="32"/>
  <c r="H372" i="32"/>
  <c r="H371" i="32"/>
  <c r="H370" i="32"/>
  <c r="H369" i="32"/>
  <c r="H368" i="32"/>
  <c r="H367" i="32"/>
  <c r="H366" i="32"/>
  <c r="H365" i="32"/>
  <c r="H364" i="32"/>
  <c r="H363" i="32"/>
  <c r="H362" i="32"/>
  <c r="H361" i="32"/>
  <c r="H360" i="32"/>
  <c r="H359" i="32"/>
  <c r="H358" i="32"/>
  <c r="H357" i="32"/>
  <c r="H356" i="32"/>
  <c r="H355" i="32"/>
  <c r="H354" i="32"/>
  <c r="H353" i="32"/>
  <c r="H352" i="32"/>
  <c r="H351" i="32"/>
  <c r="H350" i="32"/>
  <c r="H349" i="32"/>
  <c r="H348" i="32"/>
  <c r="H347" i="32"/>
  <c r="H346" i="32"/>
  <c r="H345" i="32"/>
  <c r="H344" i="32"/>
  <c r="H343" i="32"/>
  <c r="H342" i="32"/>
  <c r="H341" i="32"/>
  <c r="H340" i="32"/>
  <c r="H339" i="32"/>
  <c r="H338" i="32"/>
  <c r="H337" i="32"/>
  <c r="H336" i="32"/>
  <c r="H335" i="32"/>
  <c r="H334" i="32"/>
  <c r="H333" i="32"/>
  <c r="H332" i="32"/>
  <c r="H331" i="32"/>
  <c r="H330" i="32"/>
  <c r="H329" i="32"/>
  <c r="H328" i="32"/>
  <c r="H327" i="32"/>
  <c r="H326" i="32"/>
  <c r="H325" i="32"/>
  <c r="H324" i="32"/>
  <c r="H323" i="32"/>
  <c r="H322" i="32"/>
  <c r="H321" i="32"/>
  <c r="H320" i="32"/>
  <c r="H319" i="32"/>
  <c r="H318" i="32"/>
  <c r="H317" i="32"/>
  <c r="H316" i="32"/>
  <c r="H315" i="32"/>
  <c r="H314" i="32"/>
  <c r="H313" i="32"/>
  <c r="H312" i="32"/>
  <c r="H311" i="32"/>
  <c r="H310" i="32"/>
  <c r="H309" i="32"/>
  <c r="H308" i="32"/>
  <c r="H307" i="32"/>
  <c r="H306" i="32"/>
  <c r="H305" i="32"/>
  <c r="H304" i="32"/>
  <c r="H303" i="32"/>
  <c r="H302" i="32"/>
  <c r="H301" i="32"/>
  <c r="H300" i="32"/>
  <c r="H299" i="32"/>
  <c r="H298" i="32"/>
  <c r="H297" i="32"/>
  <c r="H296" i="32"/>
  <c r="H295" i="32"/>
  <c r="H294" i="32"/>
  <c r="H293" i="32"/>
  <c r="H292" i="32"/>
  <c r="H291" i="32"/>
  <c r="H290" i="32"/>
  <c r="H289" i="32"/>
  <c r="H288" i="32"/>
  <c r="H287" i="32"/>
  <c r="H286" i="32"/>
  <c r="H285" i="32"/>
  <c r="H284" i="32"/>
  <c r="H283" i="32"/>
  <c r="H282" i="32"/>
  <c r="H281" i="32"/>
  <c r="H280" i="32"/>
  <c r="H279" i="32"/>
  <c r="H278" i="32"/>
  <c r="H277" i="32"/>
  <c r="H276" i="32"/>
  <c r="H275" i="32"/>
  <c r="H274" i="32"/>
  <c r="H273" i="32"/>
  <c r="H272" i="32"/>
  <c r="H271" i="32"/>
  <c r="H270" i="32"/>
  <c r="H269" i="32"/>
  <c r="H268" i="32"/>
  <c r="H267" i="32"/>
  <c r="H266" i="32"/>
  <c r="H265" i="32"/>
  <c r="H264" i="32"/>
  <c r="H263" i="32"/>
  <c r="H262" i="32"/>
  <c r="H261" i="32"/>
  <c r="H260" i="32"/>
  <c r="H259" i="32"/>
  <c r="H258" i="32"/>
  <c r="H257" i="32"/>
  <c r="H256" i="32"/>
  <c r="H255" i="32"/>
  <c r="H254" i="32"/>
  <c r="H253" i="32"/>
  <c r="H252" i="32"/>
  <c r="H251" i="32"/>
  <c r="H250" i="32"/>
  <c r="H249" i="32"/>
  <c r="H248" i="32"/>
  <c r="H247" i="32"/>
  <c r="H246" i="32"/>
  <c r="H245" i="32"/>
  <c r="H244" i="32"/>
  <c r="H243" i="32"/>
  <c r="H242" i="32"/>
  <c r="H241" i="32"/>
  <c r="H240" i="32"/>
  <c r="H239" i="32"/>
  <c r="H238" i="32"/>
  <c r="H237" i="32"/>
  <c r="H236" i="32"/>
  <c r="H235" i="32"/>
  <c r="H234" i="32"/>
  <c r="H233" i="32"/>
  <c r="H232" i="32"/>
  <c r="H231" i="32"/>
  <c r="H230" i="32"/>
  <c r="H229" i="32"/>
  <c r="H228" i="32"/>
  <c r="H227" i="32"/>
  <c r="H226" i="32"/>
  <c r="H225" i="32"/>
  <c r="H224" i="32"/>
  <c r="H223" i="32"/>
  <c r="H222" i="32"/>
  <c r="H221" i="32"/>
  <c r="H220" i="32"/>
  <c r="H219" i="32"/>
  <c r="H218" i="32"/>
  <c r="H217" i="32"/>
  <c r="H216" i="32"/>
  <c r="H215" i="32"/>
  <c r="H214" i="32"/>
  <c r="H213" i="32"/>
  <c r="H212" i="32"/>
  <c r="H211" i="32"/>
  <c r="H210" i="32"/>
  <c r="H209" i="32"/>
  <c r="H208" i="32"/>
  <c r="H207" i="32"/>
  <c r="H206" i="32"/>
  <c r="H205" i="32"/>
  <c r="H204" i="32"/>
  <c r="H203" i="32"/>
  <c r="H202" i="32"/>
  <c r="H201" i="32"/>
  <c r="H200" i="32"/>
  <c r="H199" i="32"/>
  <c r="H198" i="32"/>
  <c r="H197" i="32"/>
  <c r="H196" i="32"/>
  <c r="H195" i="32"/>
  <c r="H194" i="32"/>
  <c r="H193" i="32"/>
  <c r="H192" i="32"/>
  <c r="H191" i="32"/>
  <c r="H190" i="32"/>
  <c r="H189" i="32"/>
  <c r="H188" i="32"/>
  <c r="H187" i="32"/>
  <c r="H186" i="32"/>
  <c r="H185" i="32"/>
  <c r="H184" i="32"/>
  <c r="H183" i="32"/>
  <c r="H182" i="32"/>
  <c r="H181" i="32"/>
  <c r="H180" i="32"/>
  <c r="H179" i="32"/>
  <c r="H178" i="32"/>
  <c r="H177" i="32"/>
  <c r="H176" i="32"/>
  <c r="H175" i="32"/>
  <c r="H174" i="32"/>
  <c r="H173" i="32"/>
  <c r="H172" i="32"/>
  <c r="H171" i="32"/>
  <c r="H170" i="32"/>
  <c r="H169" i="32"/>
  <c r="H168" i="32"/>
  <c r="H167" i="32"/>
  <c r="H166" i="32"/>
  <c r="H165" i="32"/>
  <c r="H164" i="32"/>
  <c r="H163" i="32"/>
  <c r="H162" i="32"/>
  <c r="H161" i="32"/>
  <c r="H160" i="32"/>
  <c r="H159" i="32"/>
  <c r="H158" i="32"/>
  <c r="H157" i="32"/>
  <c r="H156" i="32"/>
  <c r="H155" i="32"/>
  <c r="H154" i="32"/>
  <c r="H153" i="32"/>
  <c r="H152" i="32"/>
  <c r="H151" i="32"/>
  <c r="H150" i="32"/>
  <c r="H149" i="32"/>
  <c r="H148" i="32"/>
  <c r="H147" i="32"/>
  <c r="H146" i="32"/>
  <c r="H145" i="32"/>
  <c r="H144" i="32"/>
  <c r="H143" i="32"/>
  <c r="H142" i="32"/>
  <c r="H141" i="32"/>
  <c r="H140" i="32"/>
  <c r="H139" i="32"/>
  <c r="H138" i="32"/>
  <c r="H137" i="32"/>
  <c r="H136" i="32"/>
  <c r="H135" i="32"/>
  <c r="H134" i="32"/>
  <c r="H133" i="32"/>
  <c r="H132" i="32"/>
  <c r="H131" i="32"/>
  <c r="H130" i="32"/>
  <c r="H129" i="32"/>
  <c r="H128" i="32"/>
  <c r="H127" i="32"/>
  <c r="H126" i="32"/>
  <c r="H125" i="32"/>
  <c r="H124" i="32"/>
  <c r="H123" i="32"/>
  <c r="H122" i="32"/>
  <c r="H121" i="32"/>
  <c r="H120" i="32"/>
  <c r="H119" i="32"/>
  <c r="H118" i="32"/>
  <c r="H117" i="32"/>
  <c r="H116" i="32"/>
  <c r="H115" i="32"/>
  <c r="H114" i="32"/>
  <c r="H113" i="32"/>
  <c r="H112" i="32"/>
  <c r="H111" i="32"/>
  <c r="H110" i="32"/>
  <c r="H109" i="32"/>
  <c r="H108" i="32"/>
  <c r="H107" i="32"/>
  <c r="H106" i="32"/>
  <c r="H105" i="32"/>
  <c r="H104" i="32"/>
  <c r="H103" i="32"/>
  <c r="H102" i="32"/>
  <c r="H101" i="32"/>
  <c r="H100" i="32"/>
  <c r="H99" i="32"/>
  <c r="H98" i="32"/>
  <c r="H97" i="32"/>
  <c r="H96" i="32"/>
  <c r="H95" i="32"/>
  <c r="H94" i="32"/>
  <c r="H93" i="32"/>
  <c r="H92" i="32"/>
  <c r="H91" i="32"/>
  <c r="H90" i="32"/>
  <c r="H89" i="32"/>
  <c r="H88" i="32"/>
  <c r="H87" i="32"/>
  <c r="H86" i="32"/>
  <c r="H85" i="32"/>
  <c r="H84" i="32"/>
  <c r="H83" i="32"/>
  <c r="H82" i="32"/>
  <c r="H81" i="32"/>
  <c r="H80" i="32"/>
  <c r="H79" i="32"/>
  <c r="H78" i="32"/>
  <c r="H77" i="32"/>
  <c r="H76" i="32"/>
  <c r="H75" i="32"/>
  <c r="H74" i="32"/>
  <c r="H73" i="32"/>
  <c r="H72" i="32"/>
  <c r="H71" i="32"/>
  <c r="H70" i="32"/>
  <c r="H69" i="32"/>
  <c r="H68" i="32"/>
  <c r="H67" i="32"/>
  <c r="H66" i="32"/>
  <c r="H65" i="32"/>
  <c r="H64" i="32"/>
  <c r="H63" i="32"/>
  <c r="H62" i="32"/>
  <c r="H61" i="32"/>
  <c r="H60" i="32"/>
  <c r="H59" i="32"/>
  <c r="H58" i="32"/>
  <c r="H57" i="32"/>
  <c r="H56" i="32"/>
  <c r="H55" i="32"/>
  <c r="H54" i="32"/>
  <c r="H53" i="32"/>
  <c r="H52" i="32"/>
  <c r="H51" i="32"/>
  <c r="H50" i="32"/>
  <c r="H49" i="32"/>
  <c r="H48" i="32"/>
  <c r="H47" i="32"/>
  <c r="H46" i="32"/>
  <c r="H45" i="32"/>
  <c r="H44" i="32"/>
  <c r="H43" i="32"/>
  <c r="H42" i="32"/>
  <c r="H41" i="32"/>
  <c r="H40" i="32"/>
  <c r="H39" i="32"/>
  <c r="H38" i="32"/>
  <c r="H37" i="32"/>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8" i="32"/>
  <c r="H7" i="32"/>
  <c r="T498" i="31"/>
  <c r="T497" i="31"/>
  <c r="T496" i="31"/>
  <c r="T495" i="31"/>
  <c r="T494" i="31"/>
  <c r="T493" i="31"/>
  <c r="T492" i="31"/>
  <c r="T491" i="31"/>
  <c r="T490" i="31"/>
  <c r="W498" i="31"/>
  <c r="W497" i="31"/>
  <c r="W496" i="31"/>
  <c r="W495" i="31"/>
  <c r="W494" i="31"/>
  <c r="W493" i="31"/>
  <c r="W492" i="31"/>
  <c r="W491" i="31"/>
  <c r="W490" i="31"/>
  <c r="W489" i="31"/>
  <c r="W488" i="31"/>
  <c r="W487" i="31"/>
  <c r="W486" i="31"/>
  <c r="W485" i="31"/>
  <c r="W484" i="31"/>
  <c r="W483" i="31"/>
  <c r="W482" i="31"/>
  <c r="W481" i="31"/>
  <c r="W480" i="31"/>
  <c r="W479" i="31"/>
  <c r="W478" i="31"/>
  <c r="W477" i="31"/>
  <c r="W476" i="31"/>
  <c r="W475" i="31"/>
  <c r="W474" i="31"/>
  <c r="W473" i="31"/>
  <c r="W472" i="31"/>
  <c r="W471" i="31"/>
  <c r="W470" i="31"/>
  <c r="W469" i="31"/>
  <c r="W468" i="31"/>
  <c r="W467" i="31"/>
  <c r="W466" i="31"/>
  <c r="W465" i="31"/>
  <c r="W464" i="31"/>
  <c r="W463" i="31"/>
  <c r="W462" i="31"/>
  <c r="W461" i="31"/>
  <c r="W460" i="31"/>
  <c r="W459" i="31"/>
  <c r="W458" i="31"/>
  <c r="W457" i="31"/>
  <c r="W456" i="31"/>
  <c r="W455" i="31"/>
  <c r="W454" i="31"/>
  <c r="W453" i="31"/>
  <c r="W452" i="31"/>
  <c r="W451" i="31"/>
  <c r="W450" i="31"/>
  <c r="W449" i="31"/>
  <c r="W448" i="31"/>
  <c r="W447" i="31"/>
  <c r="W446" i="31"/>
  <c r="W445" i="31"/>
  <c r="W444" i="31"/>
  <c r="W443" i="31"/>
  <c r="W442" i="31"/>
  <c r="W441" i="31"/>
  <c r="W440" i="31"/>
  <c r="W439" i="31"/>
  <c r="W438" i="31"/>
  <c r="W437" i="31"/>
  <c r="W436" i="31"/>
  <c r="W435" i="31"/>
  <c r="W434" i="31"/>
  <c r="W433" i="31"/>
  <c r="W432" i="31"/>
  <c r="W431" i="31"/>
  <c r="W430" i="31"/>
  <c r="W429" i="31"/>
  <c r="W428" i="31"/>
  <c r="W427" i="31"/>
  <c r="W426" i="31"/>
  <c r="W425" i="31"/>
  <c r="W424" i="31"/>
  <c r="W423" i="31"/>
  <c r="W422" i="31"/>
  <c r="W421" i="31"/>
  <c r="W420" i="31"/>
  <c r="W419" i="31"/>
  <c r="W418" i="31"/>
  <c r="W417" i="31"/>
  <c r="W416" i="31"/>
  <c r="W415" i="31"/>
  <c r="W414" i="31"/>
  <c r="W413" i="31"/>
  <c r="W412" i="31"/>
  <c r="W411" i="31"/>
  <c r="W410" i="31"/>
  <c r="W409" i="31"/>
  <c r="W408" i="31"/>
  <c r="W407" i="31"/>
  <c r="W406" i="31"/>
  <c r="W405" i="31"/>
  <c r="W404" i="31"/>
  <c r="W403" i="31"/>
  <c r="W402" i="31"/>
  <c r="W401" i="31"/>
  <c r="W400" i="31"/>
  <c r="W399" i="31"/>
  <c r="W398" i="31"/>
  <c r="W397" i="31"/>
  <c r="W396" i="31"/>
  <c r="W395" i="31"/>
  <c r="W394" i="31"/>
  <c r="W393" i="31"/>
  <c r="W392" i="31"/>
  <c r="W391" i="31"/>
  <c r="W390" i="31"/>
  <c r="W389" i="31"/>
  <c r="W388" i="31"/>
  <c r="W387" i="31"/>
  <c r="W386" i="31"/>
  <c r="W385" i="31"/>
  <c r="W384" i="31"/>
  <c r="W383" i="31"/>
  <c r="W382" i="31"/>
  <c r="W381" i="31"/>
  <c r="W380" i="31"/>
  <c r="W379" i="31"/>
  <c r="W378" i="31"/>
  <c r="W377" i="31"/>
  <c r="W376" i="31"/>
  <c r="W375" i="31"/>
  <c r="W374" i="31"/>
  <c r="W373" i="31"/>
  <c r="W372" i="31"/>
  <c r="W371" i="31"/>
  <c r="W370" i="31"/>
  <c r="W369" i="31"/>
  <c r="W368" i="31"/>
  <c r="W367" i="31"/>
  <c r="W366" i="31"/>
  <c r="W365" i="31"/>
  <c r="W364" i="31"/>
  <c r="W363" i="31"/>
  <c r="W362" i="31"/>
  <c r="W361" i="31"/>
  <c r="W360" i="31"/>
  <c r="W359" i="31"/>
  <c r="W358" i="31"/>
  <c r="W357" i="31"/>
  <c r="W356" i="31"/>
  <c r="W355" i="31"/>
  <c r="W354" i="31"/>
  <c r="W353" i="31"/>
  <c r="W352" i="31"/>
  <c r="W351" i="31"/>
  <c r="W350" i="31"/>
  <c r="W349" i="31"/>
  <c r="W348" i="31"/>
  <c r="W347" i="31"/>
  <c r="W346" i="31"/>
  <c r="W345" i="31"/>
  <c r="W344" i="31"/>
  <c r="W343" i="31"/>
  <c r="W342" i="31"/>
  <c r="W341" i="31"/>
  <c r="W340" i="31"/>
  <c r="W339" i="31"/>
  <c r="W338" i="31"/>
  <c r="W337" i="31"/>
  <c r="W336" i="31"/>
  <c r="W335" i="31"/>
  <c r="W334" i="31"/>
  <c r="W333" i="31"/>
  <c r="W332" i="31"/>
  <c r="W331" i="31"/>
  <c r="W330" i="31"/>
  <c r="W329" i="31"/>
  <c r="W328" i="31"/>
  <c r="W327" i="31"/>
  <c r="W326" i="31"/>
  <c r="W325" i="31"/>
  <c r="W324" i="31"/>
  <c r="W323" i="31"/>
  <c r="W322" i="31"/>
  <c r="W321" i="31"/>
  <c r="W320" i="31"/>
  <c r="W319" i="31"/>
  <c r="W318" i="31"/>
  <c r="W317" i="31"/>
  <c r="W316" i="31"/>
  <c r="W315" i="31"/>
  <c r="W314" i="31"/>
  <c r="W313" i="31"/>
  <c r="W312" i="31"/>
  <c r="W311" i="31"/>
  <c r="W310" i="31"/>
  <c r="W309" i="31"/>
  <c r="W308" i="31"/>
  <c r="W307" i="31"/>
  <c r="W306" i="31"/>
  <c r="W305" i="31"/>
  <c r="W304" i="31"/>
  <c r="W303" i="31"/>
  <c r="W302" i="31"/>
  <c r="W301" i="31"/>
  <c r="W300" i="31"/>
  <c r="W299" i="31"/>
  <c r="W298" i="31"/>
  <c r="W297" i="31"/>
  <c r="W296" i="31"/>
  <c r="W295" i="31"/>
  <c r="W294" i="31"/>
  <c r="W293" i="31"/>
  <c r="W292" i="31"/>
  <c r="W291" i="31"/>
  <c r="W290" i="31"/>
  <c r="W289" i="31"/>
  <c r="W288" i="31"/>
  <c r="W287" i="31"/>
  <c r="W286" i="31"/>
  <c r="W285" i="31"/>
  <c r="W284" i="31"/>
  <c r="W283" i="31"/>
  <c r="W282" i="31"/>
  <c r="W281" i="31"/>
  <c r="W280" i="31"/>
  <c r="W279" i="31"/>
  <c r="W278" i="31"/>
  <c r="W277" i="31"/>
  <c r="W276" i="31"/>
  <c r="W275" i="31"/>
  <c r="W274" i="31"/>
  <c r="W273" i="31"/>
  <c r="W272" i="31"/>
  <c r="W271" i="31"/>
  <c r="W270" i="31"/>
  <c r="W269" i="31"/>
  <c r="W268" i="31"/>
  <c r="W267" i="31"/>
  <c r="W266" i="31"/>
  <c r="W265" i="31"/>
  <c r="W264" i="31"/>
  <c r="W263" i="31"/>
  <c r="W262" i="31"/>
  <c r="W261" i="31"/>
  <c r="W260" i="31"/>
  <c r="W259" i="31"/>
  <c r="W258" i="31"/>
  <c r="W257" i="31"/>
  <c r="W256" i="31"/>
  <c r="W255" i="31"/>
  <c r="W254" i="31"/>
  <c r="W253" i="31"/>
  <c r="W252" i="31"/>
  <c r="W251" i="31"/>
  <c r="W250" i="31"/>
  <c r="W249" i="31"/>
  <c r="W248" i="31"/>
  <c r="W247" i="31"/>
  <c r="W246" i="31"/>
  <c r="W245" i="31"/>
  <c r="W244" i="31"/>
  <c r="W243" i="31"/>
  <c r="W242" i="31"/>
  <c r="W241" i="31"/>
  <c r="W240" i="31"/>
  <c r="W239" i="31"/>
  <c r="W238" i="31"/>
  <c r="W237" i="31"/>
  <c r="W236" i="31"/>
  <c r="W235" i="31"/>
  <c r="W234" i="31"/>
  <c r="W233" i="31"/>
  <c r="W232" i="31"/>
  <c r="W231" i="31"/>
  <c r="W230" i="31"/>
  <c r="W229" i="31"/>
  <c r="W228" i="31"/>
  <c r="W227" i="31"/>
  <c r="W226" i="31"/>
  <c r="W225" i="31"/>
  <c r="W224" i="31"/>
  <c r="W223" i="31"/>
  <c r="W222" i="31"/>
  <c r="W221" i="31"/>
  <c r="W220" i="31"/>
  <c r="W219" i="31"/>
  <c r="W218" i="31"/>
  <c r="W217" i="31"/>
  <c r="W216" i="31"/>
  <c r="W215" i="31"/>
  <c r="W214" i="31"/>
  <c r="W213" i="31"/>
  <c r="W212" i="31"/>
  <c r="W211" i="31"/>
  <c r="W210" i="31"/>
  <c r="W209" i="31"/>
  <c r="W208" i="31"/>
  <c r="W207" i="31"/>
  <c r="W206" i="31"/>
  <c r="W205" i="31"/>
  <c r="W204" i="31"/>
  <c r="W203" i="31"/>
  <c r="W202" i="31"/>
  <c r="W201" i="31"/>
  <c r="W200" i="31"/>
  <c r="W199" i="31"/>
  <c r="W198" i="31"/>
  <c r="W197" i="31"/>
  <c r="W196" i="31"/>
  <c r="W195" i="31"/>
  <c r="W194" i="31"/>
  <c r="W193" i="31"/>
  <c r="W192" i="31"/>
  <c r="W191" i="31"/>
  <c r="W190" i="31"/>
  <c r="W189" i="31"/>
  <c r="W188" i="31"/>
  <c r="W187" i="31"/>
  <c r="W186" i="31"/>
  <c r="W185" i="31"/>
  <c r="W184" i="31"/>
  <c r="W183" i="31"/>
  <c r="W182" i="31"/>
  <c r="W181" i="31"/>
  <c r="W180" i="31"/>
  <c r="W179" i="31"/>
  <c r="W178" i="31"/>
  <c r="W177" i="31"/>
  <c r="W176" i="31"/>
  <c r="W175" i="31"/>
  <c r="W174" i="31"/>
  <c r="W173" i="31"/>
  <c r="W172" i="31"/>
  <c r="W171" i="31"/>
  <c r="W170" i="31"/>
  <c r="W169" i="31"/>
  <c r="W168" i="31"/>
  <c r="W167" i="31"/>
  <c r="W166" i="31"/>
  <c r="W165" i="31"/>
  <c r="W164" i="31"/>
  <c r="W163" i="31"/>
  <c r="W162" i="31"/>
  <c r="W161" i="31"/>
  <c r="W160" i="31"/>
  <c r="W159" i="31"/>
  <c r="W158" i="31"/>
  <c r="W157" i="31"/>
  <c r="W156" i="31"/>
  <c r="W155" i="31"/>
  <c r="W154" i="31"/>
  <c r="W153" i="31"/>
  <c r="W152" i="31"/>
  <c r="W151" i="31"/>
  <c r="W150" i="31"/>
  <c r="W149" i="31"/>
  <c r="W148" i="31"/>
  <c r="W147" i="31"/>
  <c r="W146" i="31"/>
  <c r="W145" i="31"/>
  <c r="W144" i="31"/>
  <c r="W143" i="31"/>
  <c r="W142" i="31"/>
  <c r="W141" i="31"/>
  <c r="W140" i="31"/>
  <c r="W139" i="31"/>
  <c r="W138" i="31"/>
  <c r="W137" i="31"/>
  <c r="W136" i="31"/>
  <c r="W135" i="31"/>
  <c r="W134" i="31"/>
  <c r="W133" i="31"/>
  <c r="W132" i="31"/>
  <c r="W131" i="31"/>
  <c r="W130" i="31"/>
  <c r="W129" i="31"/>
  <c r="W128" i="31"/>
  <c r="W127" i="31"/>
  <c r="W126" i="31"/>
  <c r="W125" i="31"/>
  <c r="W124" i="31"/>
  <c r="W123" i="31"/>
  <c r="W122" i="31"/>
  <c r="W121" i="31"/>
  <c r="W120" i="31"/>
  <c r="W119" i="31"/>
  <c r="W118" i="31"/>
  <c r="W117" i="31"/>
  <c r="W116" i="31"/>
  <c r="W115" i="31"/>
  <c r="W114" i="31"/>
  <c r="W113" i="31"/>
  <c r="W112" i="31"/>
  <c r="W111" i="31"/>
  <c r="W110" i="31"/>
  <c r="W109" i="31"/>
  <c r="W108" i="31"/>
  <c r="W107" i="31"/>
  <c r="W106" i="31"/>
  <c r="W105" i="31"/>
  <c r="W104" i="31"/>
  <c r="W103" i="31"/>
  <c r="W102" i="31"/>
  <c r="W101" i="31"/>
  <c r="W100" i="31"/>
  <c r="W99" i="31"/>
  <c r="W98" i="31"/>
  <c r="W97" i="31"/>
  <c r="W96" i="31"/>
  <c r="W95" i="31"/>
  <c r="W94" i="31"/>
  <c r="W93" i="31"/>
  <c r="W92" i="31"/>
  <c r="W91" i="31"/>
  <c r="W90" i="31"/>
  <c r="W89" i="31"/>
  <c r="W88" i="31"/>
  <c r="W87" i="31"/>
  <c r="W86" i="31"/>
  <c r="W85" i="31"/>
  <c r="W84" i="31"/>
  <c r="W83" i="31"/>
  <c r="W82" i="31"/>
  <c r="W81" i="31"/>
  <c r="W80" i="31"/>
  <c r="W79" i="31"/>
  <c r="W78" i="31"/>
  <c r="W77" i="31"/>
  <c r="W76" i="31"/>
  <c r="W75" i="31"/>
  <c r="W74" i="31"/>
  <c r="W73" i="31"/>
  <c r="W72" i="31"/>
  <c r="W71" i="31"/>
  <c r="W70" i="31"/>
  <c r="W69" i="31"/>
  <c r="W68" i="31"/>
  <c r="W67" i="31"/>
  <c r="W66" i="31"/>
  <c r="W65" i="31"/>
  <c r="W64" i="31"/>
  <c r="W63" i="31"/>
  <c r="W62" i="31"/>
  <c r="W61" i="31"/>
  <c r="W60" i="31"/>
  <c r="W59" i="31"/>
  <c r="W58" i="31"/>
  <c r="W57" i="31"/>
  <c r="W56" i="31"/>
  <c r="W55" i="31"/>
  <c r="W54" i="31"/>
  <c r="W53" i="31"/>
  <c r="W52" i="31"/>
  <c r="W51" i="31"/>
  <c r="W50" i="31"/>
  <c r="W49" i="31"/>
  <c r="W48" i="31"/>
  <c r="W47" i="31"/>
  <c r="W46" i="31"/>
  <c r="W45" i="31"/>
  <c r="W44" i="31"/>
  <c r="W43" i="31"/>
  <c r="W42" i="31"/>
  <c r="W41" i="31"/>
  <c r="W40" i="31"/>
  <c r="W39" i="31"/>
  <c r="W38" i="31"/>
  <c r="W37" i="31"/>
  <c r="W36" i="31"/>
  <c r="W35" i="31"/>
  <c r="W34" i="31"/>
  <c r="W33" i="31"/>
  <c r="W32" i="31"/>
  <c r="W31" i="31"/>
  <c r="W30" i="31"/>
  <c r="W29" i="31"/>
  <c r="W28" i="31"/>
  <c r="W27" i="31"/>
  <c r="W26" i="31"/>
  <c r="W25" i="31"/>
  <c r="W24" i="31"/>
  <c r="W23" i="31"/>
  <c r="W22" i="31"/>
  <c r="W21" i="31"/>
  <c r="W20" i="31"/>
  <c r="W19" i="31"/>
  <c r="W18" i="31"/>
  <c r="W17" i="31"/>
  <c r="W16" i="31"/>
  <c r="W15" i="31"/>
  <c r="W14" i="31"/>
  <c r="W13" i="31"/>
  <c r="W12" i="31"/>
  <c r="W11" i="31"/>
  <c r="W10" i="31"/>
  <c r="W9" i="31"/>
  <c r="W8" i="31"/>
  <c r="W3" i="31"/>
  <c r="T489" i="31"/>
  <c r="T488" i="31"/>
  <c r="T487" i="31"/>
  <c r="T486" i="31"/>
  <c r="T485" i="31"/>
  <c r="T484" i="31"/>
  <c r="T483" i="31"/>
  <c r="T482" i="31"/>
  <c r="T481" i="31"/>
  <c r="T480" i="31"/>
  <c r="T479" i="31"/>
  <c r="T478" i="31"/>
  <c r="T477" i="31"/>
  <c r="T476" i="31"/>
  <c r="T475" i="31"/>
  <c r="T474" i="31"/>
  <c r="T473" i="31"/>
  <c r="T472" i="31"/>
  <c r="T471" i="31"/>
  <c r="T470" i="31"/>
  <c r="T469" i="31"/>
  <c r="T468" i="31"/>
  <c r="T467" i="31"/>
  <c r="T466" i="31"/>
  <c r="T465" i="31"/>
  <c r="T464" i="31"/>
  <c r="T463" i="31"/>
  <c r="T462" i="31"/>
  <c r="T461" i="31"/>
  <c r="T460" i="31"/>
  <c r="T459" i="31"/>
  <c r="T458" i="31"/>
  <c r="T457" i="31"/>
  <c r="T456" i="31"/>
  <c r="T455" i="31"/>
  <c r="T454" i="31"/>
  <c r="T453" i="31"/>
  <c r="T452" i="31"/>
  <c r="T451" i="31"/>
  <c r="T450" i="31"/>
  <c r="T449" i="31"/>
  <c r="T448" i="31"/>
  <c r="T447" i="31"/>
  <c r="T446" i="31"/>
  <c r="T445" i="31"/>
  <c r="T444" i="31"/>
  <c r="T443" i="31"/>
  <c r="T442" i="31"/>
  <c r="T441" i="31"/>
  <c r="T440" i="31"/>
  <c r="T439" i="31"/>
  <c r="T438" i="31"/>
  <c r="T437" i="31"/>
  <c r="T436" i="31"/>
  <c r="T435" i="31"/>
  <c r="T434" i="31"/>
  <c r="T433" i="31"/>
  <c r="T432" i="31"/>
  <c r="T431" i="31"/>
  <c r="T430" i="31"/>
  <c r="T429" i="31"/>
  <c r="T428" i="31"/>
  <c r="T427" i="31"/>
  <c r="T426" i="31"/>
  <c r="T425" i="31"/>
  <c r="T424" i="31"/>
  <c r="T423" i="31"/>
  <c r="T422" i="31"/>
  <c r="T421" i="31"/>
  <c r="T420" i="31"/>
  <c r="T419" i="31"/>
  <c r="T418" i="31"/>
  <c r="T417" i="31"/>
  <c r="T416" i="31"/>
  <c r="T415" i="31"/>
  <c r="T414" i="31"/>
  <c r="T413" i="31"/>
  <c r="T412" i="31"/>
  <c r="T411" i="31"/>
  <c r="T410" i="31"/>
  <c r="T409" i="31"/>
  <c r="T408" i="31"/>
  <c r="T407" i="31"/>
  <c r="T406" i="31"/>
  <c r="T405" i="31"/>
  <c r="T404" i="31"/>
  <c r="T403" i="31"/>
  <c r="T402" i="31"/>
  <c r="T401" i="31"/>
  <c r="T400" i="31"/>
  <c r="T399" i="31"/>
  <c r="T398" i="31"/>
  <c r="T397" i="31"/>
  <c r="T396" i="31"/>
  <c r="T395" i="31"/>
  <c r="T394" i="31"/>
  <c r="T393" i="31"/>
  <c r="T392" i="31"/>
  <c r="T391" i="31"/>
  <c r="T390" i="31"/>
  <c r="T389" i="31"/>
  <c r="T388" i="31"/>
  <c r="T387" i="31"/>
  <c r="T386" i="31"/>
  <c r="T385" i="31"/>
  <c r="T384" i="31"/>
  <c r="T383" i="31"/>
  <c r="T382" i="31"/>
  <c r="T381" i="31"/>
  <c r="T380" i="31"/>
  <c r="T379" i="31"/>
  <c r="T378" i="31"/>
  <c r="T377" i="31"/>
  <c r="T376" i="31"/>
  <c r="T375" i="31"/>
  <c r="T374" i="31"/>
  <c r="T373" i="31"/>
  <c r="T372" i="31"/>
  <c r="T371" i="31"/>
  <c r="T370" i="31"/>
  <c r="T369" i="31"/>
  <c r="T368" i="31"/>
  <c r="T367" i="31"/>
  <c r="T366" i="31"/>
  <c r="T365" i="31"/>
  <c r="T364" i="31"/>
  <c r="T363" i="31"/>
  <c r="T362" i="31"/>
  <c r="T361" i="31"/>
  <c r="T360" i="31"/>
  <c r="T359" i="31"/>
  <c r="T358" i="31"/>
  <c r="T357" i="31"/>
  <c r="T356" i="31"/>
  <c r="T355" i="31"/>
  <c r="T354" i="31"/>
  <c r="T353" i="31"/>
  <c r="T352" i="31"/>
  <c r="T351" i="31"/>
  <c r="T350" i="31"/>
  <c r="T349" i="31"/>
  <c r="T348" i="31"/>
  <c r="T347" i="31"/>
  <c r="T346" i="31"/>
  <c r="T345" i="31"/>
  <c r="T344" i="31"/>
  <c r="T343" i="31"/>
  <c r="T342" i="31"/>
  <c r="T341" i="31"/>
  <c r="T340" i="31"/>
  <c r="T339" i="31"/>
  <c r="T338" i="31"/>
  <c r="T337" i="31"/>
  <c r="T336" i="31"/>
  <c r="T335" i="31"/>
  <c r="T334" i="31"/>
  <c r="T333" i="31"/>
  <c r="T332" i="31"/>
  <c r="T331" i="31"/>
  <c r="T330" i="31"/>
  <c r="T329" i="31"/>
  <c r="T328" i="31"/>
  <c r="T327" i="31"/>
  <c r="T326" i="31"/>
  <c r="T325" i="31"/>
  <c r="T324" i="31"/>
  <c r="T323" i="31"/>
  <c r="T322" i="31"/>
  <c r="T321" i="31"/>
  <c r="T320" i="31"/>
  <c r="T319" i="31"/>
  <c r="T318" i="31"/>
  <c r="T317" i="31"/>
  <c r="T316" i="31"/>
  <c r="T315" i="31"/>
  <c r="T314" i="31"/>
  <c r="T313" i="31"/>
  <c r="T312" i="31"/>
  <c r="T311" i="31"/>
  <c r="T310" i="31"/>
  <c r="T309" i="31"/>
  <c r="T308" i="31"/>
  <c r="T307" i="31"/>
  <c r="T306" i="31"/>
  <c r="T305" i="31"/>
  <c r="T304" i="31"/>
  <c r="T303" i="31"/>
  <c r="T302" i="31"/>
  <c r="T301" i="31"/>
  <c r="T300" i="31"/>
  <c r="T299" i="31"/>
  <c r="T298" i="31"/>
  <c r="T297" i="31"/>
  <c r="T296" i="31"/>
  <c r="T295" i="31"/>
  <c r="T294" i="31"/>
  <c r="T293" i="31"/>
  <c r="T292" i="31"/>
  <c r="T291" i="31"/>
  <c r="T290" i="31"/>
  <c r="T289" i="31"/>
  <c r="T288" i="31"/>
  <c r="T287" i="31"/>
  <c r="T286" i="31"/>
  <c r="T285" i="31"/>
  <c r="T284" i="31"/>
  <c r="T283" i="31"/>
  <c r="T282" i="31"/>
  <c r="T281" i="31"/>
  <c r="T280" i="31"/>
  <c r="T279" i="31"/>
  <c r="T278" i="31"/>
  <c r="T277" i="31"/>
  <c r="T276" i="31"/>
  <c r="T275" i="31"/>
  <c r="T274" i="31"/>
  <c r="T273" i="31"/>
  <c r="T272" i="31"/>
  <c r="T271" i="31"/>
  <c r="T270" i="31"/>
  <c r="T269" i="31"/>
  <c r="T268" i="31"/>
  <c r="T267" i="31"/>
  <c r="T266" i="31"/>
  <c r="T265" i="31"/>
  <c r="T264" i="31"/>
  <c r="T263" i="31"/>
  <c r="T262" i="31"/>
  <c r="T261" i="31"/>
  <c r="T260" i="31"/>
  <c r="T259" i="31"/>
  <c r="T258" i="31"/>
  <c r="T257" i="31"/>
  <c r="T256" i="31"/>
  <c r="T255" i="31"/>
  <c r="T254" i="31"/>
  <c r="T253" i="31"/>
  <c r="T252" i="31"/>
  <c r="T251" i="31"/>
  <c r="T250" i="31"/>
  <c r="T249" i="31"/>
  <c r="T248" i="31"/>
  <c r="T247" i="31"/>
  <c r="T246" i="31"/>
  <c r="T245" i="31"/>
  <c r="T244" i="31"/>
  <c r="T243" i="31"/>
  <c r="T242" i="31"/>
  <c r="T241" i="31"/>
  <c r="T240" i="31"/>
  <c r="T239" i="31"/>
  <c r="T238" i="31"/>
  <c r="T237" i="31"/>
  <c r="T236" i="31"/>
  <c r="T235" i="31"/>
  <c r="T234" i="31"/>
  <c r="T233" i="31"/>
  <c r="T232" i="31"/>
  <c r="T231" i="31"/>
  <c r="T230" i="31"/>
  <c r="T229" i="31"/>
  <c r="T228" i="31"/>
  <c r="T227" i="31"/>
  <c r="T226" i="31"/>
  <c r="T225" i="31"/>
  <c r="T224" i="31"/>
  <c r="T223" i="31"/>
  <c r="T222" i="31"/>
  <c r="T221" i="31"/>
  <c r="T220" i="31"/>
  <c r="T219" i="31"/>
  <c r="T218" i="31"/>
  <c r="T217" i="31"/>
  <c r="T216" i="31"/>
  <c r="T215" i="31"/>
  <c r="T214" i="31"/>
  <c r="T213" i="31"/>
  <c r="T212" i="31"/>
  <c r="T211" i="31"/>
  <c r="T210" i="31"/>
  <c r="T209" i="31"/>
  <c r="T208" i="31"/>
  <c r="T207" i="31"/>
  <c r="T206" i="31"/>
  <c r="T205" i="31"/>
  <c r="T204" i="31"/>
  <c r="T203" i="31"/>
  <c r="T202" i="31"/>
  <c r="T201" i="31"/>
  <c r="T200" i="31"/>
  <c r="T199" i="31"/>
  <c r="T198" i="31"/>
  <c r="T197" i="31"/>
  <c r="T196" i="31"/>
  <c r="T195" i="31"/>
  <c r="T194" i="31"/>
  <c r="T193" i="31"/>
  <c r="T192" i="31"/>
  <c r="T191" i="31"/>
  <c r="T190" i="31"/>
  <c r="T189" i="31"/>
  <c r="T188" i="31"/>
  <c r="T187" i="31"/>
  <c r="T186" i="31"/>
  <c r="T185" i="31"/>
  <c r="T184" i="31"/>
  <c r="T183" i="31"/>
  <c r="T182" i="31"/>
  <c r="T181" i="31"/>
  <c r="T180" i="31"/>
  <c r="T179" i="31"/>
  <c r="T178" i="31"/>
  <c r="T177" i="31"/>
  <c r="T176" i="31"/>
  <c r="T175" i="31"/>
  <c r="T174" i="31"/>
  <c r="T173" i="31"/>
  <c r="T172" i="31"/>
  <c r="T171" i="31"/>
  <c r="T170" i="31"/>
  <c r="T169" i="31"/>
  <c r="T168" i="31"/>
  <c r="T167" i="31"/>
  <c r="T166" i="31"/>
  <c r="T165" i="31"/>
  <c r="T164" i="31"/>
  <c r="T163" i="31"/>
  <c r="T162" i="31"/>
  <c r="T161" i="31"/>
  <c r="T160" i="31"/>
  <c r="T159" i="31"/>
  <c r="T158" i="31"/>
  <c r="T157" i="31"/>
  <c r="T156" i="31"/>
  <c r="T155" i="31"/>
  <c r="T154" i="31"/>
  <c r="T153" i="31"/>
  <c r="T152" i="31"/>
  <c r="T151" i="31"/>
  <c r="T150" i="31"/>
  <c r="T149" i="31"/>
  <c r="T148" i="31"/>
  <c r="T147" i="31"/>
  <c r="T146" i="31"/>
  <c r="T145" i="31"/>
  <c r="T144" i="31"/>
  <c r="T143" i="31"/>
  <c r="T142" i="31"/>
  <c r="T141" i="31"/>
  <c r="T140" i="31"/>
  <c r="T139" i="31"/>
  <c r="T138" i="31"/>
  <c r="T137" i="31"/>
  <c r="T136" i="31"/>
  <c r="T135" i="31"/>
  <c r="T134" i="31"/>
  <c r="T133" i="31"/>
  <c r="T132" i="31"/>
  <c r="T131" i="31"/>
  <c r="T130" i="31"/>
  <c r="T129" i="31"/>
  <c r="T128" i="31"/>
  <c r="T127" i="31"/>
  <c r="T126" i="31"/>
  <c r="T125" i="31"/>
  <c r="T124" i="31"/>
  <c r="T123" i="31"/>
  <c r="T122" i="31"/>
  <c r="T121" i="31"/>
  <c r="T120" i="31"/>
  <c r="T119" i="31"/>
  <c r="T118" i="31"/>
  <c r="T117" i="31"/>
  <c r="T116" i="31"/>
  <c r="T115" i="31"/>
  <c r="T114" i="31"/>
  <c r="T113" i="31"/>
  <c r="T112" i="31"/>
  <c r="T111" i="31"/>
  <c r="T110" i="31"/>
  <c r="T109" i="31"/>
  <c r="T108" i="31"/>
  <c r="T107" i="31"/>
  <c r="T106" i="31"/>
  <c r="T105" i="31"/>
  <c r="T104" i="31"/>
  <c r="T103" i="31"/>
  <c r="T102" i="31"/>
  <c r="T101" i="31"/>
  <c r="T100" i="31"/>
  <c r="T99" i="31"/>
  <c r="T98" i="31"/>
  <c r="T97" i="31"/>
  <c r="T96" i="31"/>
  <c r="T95" i="31"/>
  <c r="T94" i="31"/>
  <c r="T93" i="31"/>
  <c r="T92" i="31"/>
  <c r="T91" i="31"/>
  <c r="T90" i="31"/>
  <c r="T89" i="31"/>
  <c r="T88" i="31"/>
  <c r="T87" i="31"/>
  <c r="T86" i="31"/>
  <c r="T85" i="31"/>
  <c r="T84" i="31"/>
  <c r="T83" i="31"/>
  <c r="T82" i="31"/>
  <c r="T81" i="31"/>
  <c r="T80" i="31"/>
  <c r="T79" i="31"/>
  <c r="T78" i="31"/>
  <c r="T77" i="31"/>
  <c r="T76" i="31"/>
  <c r="T75" i="31"/>
  <c r="T74" i="31"/>
  <c r="T73" i="31"/>
  <c r="T72" i="31"/>
  <c r="T71" i="31"/>
  <c r="T70" i="31"/>
  <c r="T69" i="31"/>
  <c r="T68" i="31"/>
  <c r="T67" i="31"/>
  <c r="T66" i="31"/>
  <c r="T65" i="31"/>
  <c r="T64" i="31"/>
  <c r="T63" i="31"/>
  <c r="T62" i="31"/>
  <c r="T61" i="31"/>
  <c r="T60" i="31"/>
  <c r="T59" i="31"/>
  <c r="T58" i="31"/>
  <c r="T57" i="31"/>
  <c r="T56" i="31"/>
  <c r="T55" i="31"/>
  <c r="T54" i="31"/>
  <c r="T53" i="31"/>
  <c r="T52" i="31"/>
  <c r="T51" i="31"/>
  <c r="T50" i="31"/>
  <c r="T49" i="31"/>
  <c r="T48" i="31"/>
  <c r="T47" i="31"/>
  <c r="T46" i="31"/>
  <c r="T45" i="31"/>
  <c r="T44" i="31"/>
  <c r="T43" i="31"/>
  <c r="T42" i="31"/>
  <c r="T41" i="31"/>
  <c r="T40" i="31"/>
  <c r="T39" i="31"/>
  <c r="T38" i="31"/>
  <c r="T37" i="31"/>
  <c r="T36" i="31"/>
  <c r="T35" i="31"/>
  <c r="T34" i="31"/>
  <c r="T33" i="31"/>
  <c r="T32" i="31"/>
  <c r="T31" i="31"/>
  <c r="T30" i="31"/>
  <c r="T29" i="31"/>
  <c r="T28" i="31"/>
  <c r="T27" i="31"/>
  <c r="T26" i="31"/>
  <c r="T25" i="31"/>
  <c r="T24" i="31"/>
  <c r="T23" i="31"/>
  <c r="T22" i="31"/>
  <c r="T21" i="31"/>
  <c r="T20" i="31"/>
  <c r="T19" i="31"/>
  <c r="T18" i="31"/>
  <c r="T17" i="31"/>
  <c r="T16" i="31"/>
  <c r="A500" i="32" l="1"/>
  <c r="A499" i="32"/>
  <c r="A498" i="32"/>
  <c r="A497" i="32"/>
  <c r="A496" i="32"/>
  <c r="A495" i="32"/>
  <c r="A494" i="32"/>
  <c r="A493" i="32"/>
  <c r="A492" i="32"/>
  <c r="A491" i="32"/>
  <c r="A490" i="32"/>
  <c r="A489" i="32"/>
  <c r="A488" i="32"/>
  <c r="A487" i="32"/>
  <c r="A486" i="32"/>
  <c r="A485" i="32"/>
  <c r="A484" i="32"/>
  <c r="A483" i="32"/>
  <c r="A482" i="32"/>
  <c r="A481" i="32"/>
  <c r="A480" i="32"/>
  <c r="A479" i="32"/>
  <c r="A478" i="32"/>
  <c r="A477" i="32"/>
  <c r="A476" i="32"/>
  <c r="A475" i="32"/>
  <c r="A474" i="32"/>
  <c r="A473" i="32"/>
  <c r="A472" i="32"/>
  <c r="A471" i="32"/>
  <c r="A470" i="32"/>
  <c r="A469" i="32"/>
  <c r="A468" i="32"/>
  <c r="A467" i="32"/>
  <c r="A466" i="32"/>
  <c r="A465" i="32"/>
  <c r="A464" i="32"/>
  <c r="A463" i="32"/>
  <c r="A462" i="32"/>
  <c r="A461" i="32"/>
  <c r="A460" i="32"/>
  <c r="A459" i="32"/>
  <c r="A458" i="32"/>
  <c r="A457" i="32"/>
  <c r="A456" i="32"/>
  <c r="A455" i="32"/>
  <c r="A454" i="32"/>
  <c r="A453" i="32"/>
  <c r="A452" i="32"/>
  <c r="A451" i="32"/>
  <c r="A450" i="32"/>
  <c r="A449" i="32"/>
  <c r="A448" i="32"/>
  <c r="A447" i="32"/>
  <c r="A446" i="32"/>
  <c r="A445" i="32"/>
  <c r="A444" i="32"/>
  <c r="A443" i="32"/>
  <c r="A442" i="32"/>
  <c r="A441" i="32"/>
  <c r="A440" i="32"/>
  <c r="A439" i="32"/>
  <c r="A438" i="32"/>
  <c r="A437" i="32"/>
  <c r="A436" i="32"/>
  <c r="A435" i="32"/>
  <c r="A434" i="32"/>
  <c r="A433" i="32"/>
  <c r="A432" i="32"/>
  <c r="A431" i="32"/>
  <c r="A430" i="32"/>
  <c r="A429" i="32"/>
  <c r="A428" i="32"/>
  <c r="A427" i="32"/>
  <c r="A426" i="32"/>
  <c r="A425" i="32"/>
  <c r="A424" i="32"/>
  <c r="A423" i="32"/>
  <c r="A422" i="32"/>
  <c r="A421" i="32"/>
  <c r="A420" i="32"/>
  <c r="A419" i="32"/>
  <c r="A418" i="32"/>
  <c r="A417" i="32"/>
  <c r="A416" i="32"/>
  <c r="A415" i="32"/>
  <c r="A414" i="32"/>
  <c r="A413" i="32"/>
  <c r="A412" i="32"/>
  <c r="A411" i="32"/>
  <c r="A410" i="32"/>
  <c r="A409" i="32"/>
  <c r="A408" i="32"/>
  <c r="A407" i="32"/>
  <c r="A406" i="32"/>
  <c r="A405" i="32"/>
  <c r="A404" i="32"/>
  <c r="A403" i="32"/>
  <c r="A402" i="32"/>
  <c r="A401" i="32"/>
  <c r="A400" i="32"/>
  <c r="A399" i="32"/>
  <c r="A398" i="32"/>
  <c r="A397" i="32"/>
  <c r="A396" i="32"/>
  <c r="A395" i="32"/>
  <c r="A394" i="32"/>
  <c r="A393" i="32"/>
  <c r="A392" i="32"/>
  <c r="A391" i="32"/>
  <c r="A390" i="32"/>
  <c r="A389" i="32"/>
  <c r="A388" i="32"/>
  <c r="A387" i="32"/>
  <c r="A386" i="32"/>
  <c r="A385" i="32"/>
  <c r="A384" i="32"/>
  <c r="A383" i="32"/>
  <c r="A382" i="32"/>
  <c r="A381" i="32"/>
  <c r="A380" i="32"/>
  <c r="A379" i="32"/>
  <c r="A378" i="32"/>
  <c r="A377" i="32"/>
  <c r="A376" i="32"/>
  <c r="A375" i="32"/>
  <c r="A374" i="32"/>
  <c r="A373" i="32"/>
  <c r="A372" i="32"/>
  <c r="A371" i="32"/>
  <c r="A370" i="32"/>
  <c r="A369" i="32"/>
  <c r="A368" i="32"/>
  <c r="A367" i="32"/>
  <c r="A366" i="32"/>
  <c r="A365" i="32"/>
  <c r="A364" i="32"/>
  <c r="A363" i="32"/>
  <c r="A362" i="32"/>
  <c r="A361" i="32"/>
  <c r="A360" i="32"/>
  <c r="A359" i="32"/>
  <c r="A358" i="32"/>
  <c r="A357" i="32"/>
  <c r="A356" i="32"/>
  <c r="A355" i="32"/>
  <c r="A354" i="32"/>
  <c r="A353" i="32"/>
  <c r="A352" i="32"/>
  <c r="A351" i="32"/>
  <c r="A350" i="32"/>
  <c r="A349" i="32"/>
  <c r="A348" i="32"/>
  <c r="A347" i="32"/>
  <c r="A346" i="32"/>
  <c r="A345" i="32"/>
  <c r="A344" i="32"/>
  <c r="A343" i="32"/>
  <c r="A342" i="32"/>
  <c r="A341" i="32"/>
  <c r="A340" i="32"/>
  <c r="A339" i="32"/>
  <c r="A338" i="32"/>
  <c r="A337" i="32"/>
  <c r="A336" i="32"/>
  <c r="A335" i="32"/>
  <c r="A334" i="32"/>
  <c r="A333" i="32"/>
  <c r="A332" i="32"/>
  <c r="A331" i="32"/>
  <c r="A330" i="32"/>
  <c r="A329" i="32"/>
  <c r="A328" i="32"/>
  <c r="A327" i="32"/>
  <c r="A326" i="32"/>
  <c r="A325" i="32"/>
  <c r="A324" i="32"/>
  <c r="A323" i="32"/>
  <c r="A322" i="32"/>
  <c r="A321" i="32"/>
  <c r="A320" i="32"/>
  <c r="A319" i="32"/>
  <c r="A318" i="32"/>
  <c r="A317" i="32"/>
  <c r="A316" i="32"/>
  <c r="A315" i="32"/>
  <c r="A314" i="32"/>
  <c r="A313" i="32"/>
  <c r="A312" i="32"/>
  <c r="A311" i="32"/>
  <c r="A310" i="32"/>
  <c r="A309" i="32"/>
  <c r="A308" i="32"/>
  <c r="A307" i="32"/>
  <c r="A306" i="32"/>
  <c r="A305" i="32"/>
  <c r="A304" i="32"/>
  <c r="A303" i="32"/>
  <c r="A302" i="32"/>
  <c r="A301" i="32"/>
  <c r="A300" i="32"/>
  <c r="A299" i="32"/>
  <c r="A298" i="32"/>
  <c r="A297" i="32"/>
  <c r="A296" i="32"/>
  <c r="A295" i="32"/>
  <c r="A294" i="32"/>
  <c r="A293" i="32"/>
  <c r="A292" i="32"/>
  <c r="A291" i="32"/>
  <c r="A290" i="32"/>
  <c r="A289" i="32"/>
  <c r="A288" i="32"/>
  <c r="A287" i="32"/>
  <c r="A286" i="32"/>
  <c r="A285" i="32"/>
  <c r="A284" i="32"/>
  <c r="A283" i="32"/>
  <c r="A282" i="32"/>
  <c r="A281" i="32"/>
  <c r="A280" i="32"/>
  <c r="A279" i="32"/>
  <c r="A278" i="32"/>
  <c r="A277" i="32"/>
  <c r="A276" i="32"/>
  <c r="A275" i="32"/>
  <c r="A274" i="32"/>
  <c r="A273" i="32"/>
  <c r="A272" i="32"/>
  <c r="A271" i="32"/>
  <c r="A270" i="32"/>
  <c r="A269" i="32"/>
  <c r="A268" i="32"/>
  <c r="A267" i="32"/>
  <c r="A266" i="32"/>
  <c r="A265" i="32"/>
  <c r="A264" i="32"/>
  <c r="A263" i="32"/>
  <c r="A262" i="32"/>
  <c r="A261"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A210" i="32"/>
  <c r="A209" i="32"/>
  <c r="A208" i="32"/>
  <c r="A207" i="32"/>
  <c r="A206" i="32"/>
  <c r="A205" i="32"/>
  <c r="A204" i="32"/>
  <c r="A203" i="32"/>
  <c r="A202" i="32"/>
  <c r="A201" i="32"/>
  <c r="A200" i="32"/>
  <c r="A199" i="32"/>
  <c r="A198" i="32"/>
  <c r="A197" i="32"/>
  <c r="A196" i="32"/>
  <c r="A195" i="32"/>
  <c r="A194" i="32"/>
  <c r="A193" i="32"/>
  <c r="A192" i="32"/>
  <c r="A191" i="32"/>
  <c r="A190" i="32"/>
  <c r="A189" i="32"/>
  <c r="A188" i="32"/>
  <c r="A187" i="32"/>
  <c r="A186" i="32"/>
  <c r="A185" i="32"/>
  <c r="A184" i="32"/>
  <c r="A183" i="32"/>
  <c r="A182" i="32"/>
  <c r="A181" i="32"/>
  <c r="A180" i="32"/>
  <c r="A179" i="32"/>
  <c r="A178" i="32"/>
  <c r="A177" i="32"/>
  <c r="A176" i="32"/>
  <c r="A175" i="32"/>
  <c r="A174" i="32"/>
  <c r="A173" i="32"/>
  <c r="A172" i="32"/>
  <c r="A171" i="32"/>
  <c r="A170" i="32"/>
  <c r="A169" i="32"/>
  <c r="A168" i="32"/>
  <c r="A167" i="32"/>
  <c r="A166" i="32"/>
  <c r="A165" i="32"/>
  <c r="A164" i="32"/>
  <c r="A163" i="32"/>
  <c r="A162"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3" i="32"/>
  <c r="A92" i="32"/>
  <c r="A91" i="32"/>
  <c r="A90" i="32"/>
  <c r="A89" i="32"/>
  <c r="A88" i="32"/>
  <c r="A87" i="32"/>
  <c r="A86" i="32"/>
  <c r="A85" i="32"/>
  <c r="A84" i="32"/>
  <c r="A83"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G13" i="27"/>
  <c r="AG14" i="27" s="1"/>
  <c r="AF13" i="27"/>
  <c r="AF14" i="27" s="1"/>
  <c r="AE13" i="27"/>
  <c r="AE14" i="27" s="1"/>
  <c r="AD13" i="27"/>
  <c r="AD14" i="27" s="1"/>
  <c r="AC13" i="27"/>
  <c r="AC14" i="27" s="1"/>
  <c r="AB13" i="27"/>
  <c r="AB14" i="27" s="1"/>
  <c r="AA13" i="27"/>
  <c r="AA14" i="27" s="1"/>
  <c r="Z13" i="27"/>
  <c r="Z14" i="27" s="1"/>
  <c r="Y13" i="27"/>
  <c r="Y14" i="27" s="1"/>
  <c r="D18" i="27"/>
  <c r="D19" i="27" s="1"/>
  <c r="X13" i="27"/>
  <c r="X14" i="27" s="1"/>
  <c r="AH19" i="27" l="1"/>
  <c r="H15" i="22"/>
  <c r="C2" i="12"/>
  <c r="C9" i="26"/>
  <c r="C8" i="26"/>
  <c r="C7" i="26"/>
  <c r="C6" i="26"/>
  <c r="C5" i="26"/>
  <c r="C4" i="26"/>
  <c r="C3" i="26"/>
  <c r="H20" i="27" l="1"/>
  <c r="G20" i="27"/>
  <c r="F20" i="27"/>
  <c r="E20" i="27"/>
  <c r="D20" i="27"/>
  <c r="AF15" i="27"/>
  <c r="T9" i="31"/>
  <c r="T3" i="31"/>
  <c r="T8" i="31"/>
  <c r="T14" i="31"/>
  <c r="T12" i="31"/>
  <c r="T15" i="31"/>
  <c r="T13" i="31"/>
  <c r="T10" i="31"/>
  <c r="T11" i="31"/>
  <c r="AG15" i="27"/>
  <c r="AE15" i="27"/>
  <c r="AD15" i="27"/>
  <c r="AC15" i="27"/>
  <c r="Y15" i="27"/>
  <c r="Z15" i="27"/>
  <c r="AB15" i="27"/>
  <c r="AA15" i="27"/>
  <c r="X15" i="27"/>
  <c r="C5" i="12"/>
  <c r="J19" i="22"/>
  <c r="H19" i="22"/>
  <c r="I18" i="22"/>
  <c r="H18" i="22"/>
  <c r="I17" i="22"/>
  <c r="H17" i="22"/>
  <c r="A494" i="22"/>
  <c r="A493" i="22"/>
  <c r="A492" i="22"/>
  <c r="A491" i="22"/>
  <c r="A490" i="22"/>
  <c r="A489" i="22"/>
  <c r="A488" i="22"/>
  <c r="A487" i="22"/>
  <c r="A486" i="22"/>
  <c r="A485" i="22"/>
  <c r="A484" i="22"/>
  <c r="A483" i="22"/>
  <c r="A482" i="22"/>
  <c r="A481" i="22"/>
  <c r="A480" i="22"/>
  <c r="A479" i="22"/>
  <c r="A478" i="22"/>
  <c r="A477" i="22"/>
  <c r="A476" i="22"/>
  <c r="A475" i="22"/>
  <c r="A474" i="22"/>
  <c r="A473" i="22"/>
  <c r="A472" i="22"/>
  <c r="A471" i="22"/>
  <c r="A470" i="22"/>
  <c r="A469" i="22"/>
  <c r="A468" i="22"/>
  <c r="A467" i="22"/>
  <c r="A466" i="22"/>
  <c r="A465" i="22"/>
  <c r="A464" i="22"/>
  <c r="A463" i="22"/>
  <c r="A462" i="22"/>
  <c r="A461" i="22"/>
  <c r="A460" i="22"/>
  <c r="A459" i="22"/>
  <c r="A458" i="22"/>
  <c r="A457" i="22"/>
  <c r="A456" i="22"/>
  <c r="A455" i="22"/>
  <c r="A454" i="22"/>
  <c r="A453" i="22"/>
  <c r="A452" i="22"/>
  <c r="A451" i="22"/>
  <c r="A450" i="22"/>
  <c r="A449" i="22"/>
  <c r="A448" i="22"/>
  <c r="A447" i="22"/>
  <c r="A446" i="22"/>
  <c r="A445" i="22"/>
  <c r="A444" i="22"/>
  <c r="A443" i="22"/>
  <c r="A442" i="22"/>
  <c r="A441" i="22"/>
  <c r="A440" i="22"/>
  <c r="A439" i="22"/>
  <c r="A438" i="22"/>
  <c r="A437" i="22"/>
  <c r="A436" i="22"/>
  <c r="A435" i="22"/>
  <c r="A434" i="22"/>
  <c r="A433" i="22"/>
  <c r="A432" i="22"/>
  <c r="A431" i="22"/>
  <c r="A430" i="22"/>
  <c r="A429" i="22"/>
  <c r="A428" i="22"/>
  <c r="A427" i="22"/>
  <c r="A426" i="22"/>
  <c r="A425" i="22"/>
  <c r="A424" i="22"/>
  <c r="A423" i="22"/>
  <c r="A422" i="22"/>
  <c r="A421" i="22"/>
  <c r="A420" i="22"/>
  <c r="A419" i="22"/>
  <c r="A418" i="22"/>
  <c r="A417" i="22"/>
  <c r="A416" i="22"/>
  <c r="A415" i="22"/>
  <c r="A414" i="22"/>
  <c r="A413" i="22"/>
  <c r="A412" i="22"/>
  <c r="A411" i="22"/>
  <c r="A410" i="22"/>
  <c r="A409" i="22"/>
  <c r="A408" i="22"/>
  <c r="A407" i="22"/>
  <c r="A406" i="22"/>
  <c r="A405" i="22"/>
  <c r="A404" i="22"/>
  <c r="A403" i="22"/>
  <c r="A402" i="22"/>
  <c r="A401" i="22"/>
  <c r="A400" i="22"/>
  <c r="A399" i="22"/>
  <c r="A398" i="22"/>
  <c r="A397" i="22"/>
  <c r="A396" i="22"/>
  <c r="A395" i="22"/>
  <c r="A394" i="22"/>
  <c r="A393" i="22"/>
  <c r="A392" i="22"/>
  <c r="A391" i="22"/>
  <c r="A390" i="22"/>
  <c r="A389" i="22"/>
  <c r="A388" i="22"/>
  <c r="A387" i="22"/>
  <c r="A386" i="22"/>
  <c r="A385" i="22"/>
  <c r="A384" i="22"/>
  <c r="A383" i="22"/>
  <c r="A382" i="22"/>
  <c r="A381" i="22"/>
  <c r="A380" i="22"/>
  <c r="A379" i="22"/>
  <c r="A378" i="22"/>
  <c r="A377" i="22"/>
  <c r="A376" i="22"/>
  <c r="A375" i="22"/>
  <c r="A374" i="22"/>
  <c r="A373" i="22"/>
  <c r="A372" i="22"/>
  <c r="A371" i="22"/>
  <c r="A370" i="22"/>
  <c r="A369" i="22"/>
  <c r="A368" i="22"/>
  <c r="A367" i="22"/>
  <c r="A366" i="22"/>
  <c r="A365" i="22"/>
  <c r="A364" i="22"/>
  <c r="A363" i="22"/>
  <c r="A362" i="22"/>
  <c r="A361" i="22"/>
  <c r="A360" i="22"/>
  <c r="A359" i="22"/>
  <c r="A358" i="22"/>
  <c r="A357" i="22"/>
  <c r="A356" i="22"/>
  <c r="A355" i="22"/>
  <c r="A354" i="22"/>
  <c r="A353" i="22"/>
  <c r="A352" i="22"/>
  <c r="A351" i="22"/>
  <c r="A350" i="22"/>
  <c r="A349" i="22"/>
  <c r="A348" i="22"/>
  <c r="A347" i="22"/>
  <c r="A346" i="22"/>
  <c r="A345" i="22"/>
  <c r="A344" i="22"/>
  <c r="A343" i="22"/>
  <c r="A342" i="22"/>
  <c r="A341" i="22"/>
  <c r="A340" i="22"/>
  <c r="A339" i="22"/>
  <c r="A338" i="22"/>
  <c r="A337" i="22"/>
  <c r="A336" i="22"/>
  <c r="A335" i="22"/>
  <c r="A334" i="22"/>
  <c r="A333" i="22"/>
  <c r="A332" i="22"/>
  <c r="A331" i="22"/>
  <c r="A330" i="22"/>
  <c r="A329" i="22"/>
  <c r="A328" i="22"/>
  <c r="A327" i="22"/>
  <c r="A326" i="22"/>
  <c r="A325" i="22"/>
  <c r="A324" i="22"/>
  <c r="A323" i="22"/>
  <c r="A322" i="22"/>
  <c r="A321" i="22"/>
  <c r="A320" i="22"/>
  <c r="A319" i="22"/>
  <c r="A318" i="22"/>
  <c r="A317" i="22"/>
  <c r="A316" i="22"/>
  <c r="A315" i="22"/>
  <c r="A314" i="22"/>
  <c r="A313" i="22"/>
  <c r="A312" i="22"/>
  <c r="A311" i="22"/>
  <c r="A310" i="22"/>
  <c r="A309" i="22"/>
  <c r="A308" i="22"/>
  <c r="A307" i="22"/>
  <c r="A306" i="22"/>
  <c r="A305" i="22"/>
  <c r="A304" i="22"/>
  <c r="A303" i="22"/>
  <c r="A302" i="22"/>
  <c r="A301" i="22"/>
  <c r="A300" i="22"/>
  <c r="A299" i="22"/>
  <c r="A298" i="22"/>
  <c r="A297" i="22"/>
  <c r="A296" i="22"/>
  <c r="A295" i="22"/>
  <c r="A294" i="22"/>
  <c r="A293" i="22"/>
  <c r="A292" i="22"/>
  <c r="A291" i="22"/>
  <c r="A290" i="22"/>
  <c r="A289" i="22"/>
  <c r="A288" i="22"/>
  <c r="A287" i="22"/>
  <c r="A286" i="22"/>
  <c r="A285" i="22"/>
  <c r="A284" i="22"/>
  <c r="A283" i="22"/>
  <c r="A282" i="22"/>
  <c r="A281" i="22"/>
  <c r="A280" i="22"/>
  <c r="A279" i="22"/>
  <c r="A278" i="22"/>
  <c r="A277" i="22"/>
  <c r="A276" i="22"/>
  <c r="A275" i="22"/>
  <c r="A274" i="22"/>
  <c r="A273" i="22"/>
  <c r="A272" i="22"/>
  <c r="A271" i="22"/>
  <c r="A270" i="22"/>
  <c r="A269" i="22"/>
  <c r="A268" i="22"/>
  <c r="A267" i="22"/>
  <c r="A266" i="22"/>
  <c r="A265" i="22"/>
  <c r="A264" i="22"/>
  <c r="A263" i="22"/>
  <c r="A262" i="22"/>
  <c r="A261" i="22"/>
  <c r="A260" i="22"/>
  <c r="A259" i="22"/>
  <c r="A258" i="22"/>
  <c r="A257" i="22"/>
  <c r="A256" i="22"/>
  <c r="A255" i="22"/>
  <c r="A254" i="22"/>
  <c r="A253" i="22"/>
  <c r="A252" i="22"/>
  <c r="A251" i="22"/>
  <c r="A250" i="22"/>
  <c r="A249" i="22"/>
  <c r="A248" i="22"/>
  <c r="A247" i="22"/>
  <c r="A246" i="22"/>
  <c r="A245" i="22"/>
  <c r="A244" i="22"/>
  <c r="A243" i="22"/>
  <c r="A242" i="22"/>
  <c r="A241" i="22"/>
  <c r="A240" i="22"/>
  <c r="A239" i="22"/>
  <c r="A238" i="22"/>
  <c r="A237" i="22"/>
  <c r="A236" i="22"/>
  <c r="A235" i="22"/>
  <c r="A234" i="22"/>
  <c r="A233" i="22"/>
  <c r="A232" i="22"/>
  <c r="A231" i="22"/>
  <c r="A230" i="22"/>
  <c r="A229" i="22"/>
  <c r="A228" i="22"/>
  <c r="A227" i="22"/>
  <c r="A226" i="22"/>
  <c r="A225" i="22"/>
  <c r="A224" i="22"/>
  <c r="A223" i="22"/>
  <c r="A222" i="22"/>
  <c r="A221" i="22"/>
  <c r="A220" i="22"/>
  <c r="A219" i="22"/>
  <c r="A218" i="22"/>
  <c r="A217" i="22"/>
  <c r="A216" i="22"/>
  <c r="A215" i="22"/>
  <c r="A214" i="22"/>
  <c r="A213" i="22"/>
  <c r="A212" i="22"/>
  <c r="A211" i="22"/>
  <c r="A210" i="22"/>
  <c r="A209" i="22"/>
  <c r="A208" i="22"/>
  <c r="A207" i="22"/>
  <c r="A206" i="22"/>
  <c r="A205" i="22"/>
  <c r="A204" i="22"/>
  <c r="A203" i="22"/>
  <c r="A202" i="22"/>
  <c r="A201" i="22"/>
  <c r="A200" i="22"/>
  <c r="A199" i="22"/>
  <c r="A198" i="22"/>
  <c r="A197" i="22"/>
  <c r="A196" i="22"/>
  <c r="A195" i="22"/>
  <c r="A194" i="22"/>
  <c r="A193" i="22"/>
  <c r="A192" i="22"/>
  <c r="A191" i="22"/>
  <c r="A190" i="22"/>
  <c r="A189" i="22"/>
  <c r="A188" i="22"/>
  <c r="A187" i="22"/>
  <c r="A186" i="22"/>
  <c r="A185" i="22"/>
  <c r="A184" i="22"/>
  <c r="A183" i="22"/>
  <c r="A182" i="22"/>
  <c r="A181" i="22"/>
  <c r="A180" i="22"/>
  <c r="A179" i="22"/>
  <c r="A178" i="22"/>
  <c r="A177" i="22"/>
  <c r="A176" i="22"/>
  <c r="A175"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H14" i="22"/>
  <c r="A14" i="22" s="1"/>
  <c r="H13" i="22"/>
  <c r="A13" i="22" s="1"/>
  <c r="H12" i="22"/>
  <c r="A12" i="22" s="1"/>
  <c r="H11" i="22"/>
  <c r="A11" i="22" s="1"/>
  <c r="H10" i="22"/>
  <c r="A10" i="22" s="1"/>
  <c r="H9" i="22"/>
  <c r="A9" i="22" s="1"/>
  <c r="I7" i="22"/>
  <c r="T7" i="22" s="1"/>
  <c r="I6" i="22"/>
  <c r="T6" i="22" s="1"/>
  <c r="A18" i="22" l="1"/>
  <c r="A19" i="22"/>
  <c r="A15" i="22"/>
  <c r="A17" i="22"/>
  <c r="A16" i="22"/>
  <c r="A6" i="22"/>
  <c r="A7" i="22"/>
  <c r="I8" i="22"/>
  <c r="A8" i="22" s="1"/>
  <c r="I5" i="22"/>
  <c r="A5" i="22" s="1"/>
  <c r="I4" i="22"/>
  <c r="I3" i="22"/>
  <c r="T4" i="22" l="1"/>
  <c r="A4" i="22"/>
  <c r="T3" i="22"/>
  <c r="A3" i="22"/>
  <c r="D3" i="16"/>
  <c r="K3" i="16"/>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D4" i="12"/>
  <c r="D3" i="12"/>
  <c r="C3" i="12"/>
  <c r="D2" i="12"/>
  <c r="C17" i="21" l="1"/>
  <c r="C16" i="21"/>
  <c r="C15"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tc={BB43EFF0-E80C-4CC3-B67A-DCFB256162A5}</author>
  </authors>
  <commentList>
    <comment ref="C7" authorId="0" shapeId="0" xr:uid="{BB43EFF0-E80C-4CC3-B67A-DCFB256162A5}">
      <text>
        <t>[Threaded comment]
Your version of Excel allows you to read this threaded comment; however, any edits to it will get removed if the file is opened in a newer version of Excel. Learn more: https://go.microsoft.com/fwlink/?linkid=870924
Comment:
    4 possible layouts:
1 - equal strings connected to 1 hub/substation and 1 export cable
2 - farm divided in 2 (2 hub/substations and 2 export cables) with hubs connected
3- farm connected to 1 hub/substation and multiples export cable
4- CPO layout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tc={ACEACDFF-9ABF-4010-A06F-C965FBCF0094}</author>
    <author>tc={D698119D-FA94-4B4B-96A5-81DF87C7D8A3}</author>
    <author>tc={3F6402F6-0A2D-43C6-96EA-7632AAD372FB}</author>
    <author>tc={7FD26017-B7ED-4AC4-8F7C-22C999653350}</author>
    <author>tc={DFA9FFB3-A6D5-4CA9-AE5A-AB1590443305}</author>
  </authors>
  <commentList>
    <comment ref="M3" authorId="0" shapeId="0" xr:uid="{ACEACDFF-9ABF-4010-A06F-C965FBCF0094}">
      <text>
        <t>[Threaded comment]
Your version of Excel allows you to read this threaded comment; however, any edits to it will get removed if the file is opened in a newer version of Excel. Learn more: https://go.microsoft.com/fwlink/?linkid=870924
Comment:
    Dispositivos sempre on-site (docking station) or travel to site on vessel</t>
      </text>
    </comment>
    <comment ref="S3" authorId="1" shapeId="0" xr:uid="{D698119D-FA94-4B4B-96A5-81DF87C7D8A3}">
      <text>
        <t>[Threaded comment]
Your version of Excel allows you to read this threaded comment; however, any edits to it will get removed if the file is opened in a newer version of Excel. Learn more: https://go.microsoft.com/fwlink/?linkid=870924
Comment:
    Dispositivos sempre on-site (docking station) or travel to site on vessel</t>
      </text>
    </comment>
    <comment ref="V3" authorId="2" shapeId="0" xr:uid="{3F6402F6-0A2D-43C6-96EA-7632AAD372FB}">
      <text>
        <t>[Threaded comment]
Your version of Excel allows you to read this threaded comment; however, any edits to it will get removed if the file is opened in a newer version of Excel. Learn more: https://go.microsoft.com/fwlink/?linkid=870924
Comment:
    Not real daily_charter but a cost must be included</t>
      </text>
    </comment>
    <comment ref="V7" authorId="3" shapeId="0" xr:uid="{7FD26017-B7ED-4AC4-8F7C-22C999653350}">
      <text>
        <t>[Threaded comment]
Your version of Excel allows you to read this threaded comment; however, any edits to it will get removed if the file is opened in a newer version of Excel. Learn more: https://go.microsoft.com/fwlink/?linkid=870924
Comment:
    Not a real daily_charter but a cost must be included</t>
      </text>
    </comment>
    <comment ref="V8" authorId="4" shapeId="0" xr:uid="{DFA9FFB3-A6D5-4CA9-AE5A-AB1590443305}">
      <text>
        <t>[Threaded comment]
Your version of Excel allows you to read this threaded comment; however, any edits to it will get removed if the file is opened in a newer version of Excel. Learn more: https://go.microsoft.com/fwlink/?linkid=870924
Comment:
    Not a real daily charter but a cost must be included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tc={257FB04F-AD1F-4AB6-A0C2-C6100D3BDFF3}</author>
    <author>tc={63657B79-B8EA-4327-87A3-D47AA13BFEE3}</author>
  </authors>
  <commentList>
    <comment ref="K6" authorId="0" shapeId="0" xr:uid="{257FB04F-AD1F-4AB6-A0C2-C6100D3BDFF3}">
      <text>
        <t>[Threaded comment]
Your version of Excel allows you to read this threaded comment; however, any edits to it will get removed if the file is opened in a newer version of Excel. Learn more: https://go.microsoft.com/fwlink/?linkid=870924
Comment:
    5 m per minute</t>
      </text>
    </comment>
    <comment ref="K7" authorId="1" shapeId="0" xr:uid="{63657B79-B8EA-4327-87A3-D47AA13BFEE3}">
      <text>
        <t>[Threaded comment]
Your version of Excel allows you to read this threaded comment; however, any edits to it will get removed if the file is opened in a newer version of Excel. Learn more: https://go.microsoft.com/fwlink/?linkid=870924
Comment:
    5 m per minute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tc={16EDFF92-E536-4039-BEA5-B3A786681647}</author>
    <author>tc={F9E207A3-335E-4CD1-8FF5-4AAEC86E5BAB}</author>
    <author>tc={1DE308C3-0399-4E8B-A637-E2239239D80D}</author>
  </authors>
  <commentList>
    <comment ref="C3" authorId="0" shapeId="0" xr:uid="{16EDFF92-E536-4039-BEA5-B3A786681647}">
      <text>
        <t>[Threaded comment]
Your version of Excel allows you to read this threaded comment; however, any edits to it will get removed if the file is opened in a newer version of Excel. Learn more: https://go.microsoft.com/fwlink/?linkid=870924
Comment:
    nº power electronic * power device</t>
      </text>
    </comment>
    <comment ref="D3" authorId="1" shapeId="0" xr:uid="{F9E207A3-335E-4CD1-8FF5-4AAEC86E5BAB}">
      <text>
        <t>[Threaded comment]
Your version of Excel allows you to read this threaded comment; however, any edits to it will get removed if the file is opened in a newer version of Excel. Learn more: https://go.microsoft.com/fwlink/?linkid=870924
Comment:
    10000 h of work / 8760 * CF of 30%</t>
      </text>
    </comment>
    <comment ref="C4" authorId="2" shapeId="0" xr:uid="{1DE308C3-0399-4E8B-A637-E2239239D80D}">
      <text>
        <t>[Threaded comment]
Your version of Excel allows you to read this threaded comment; however, any edits to it will get removed if the file is opened in a newer version of Excel. Learn more: https://go.microsoft.com/fwlink/?linkid=870924
Comment:
    nº power electronic * power device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tc={637EEE0E-D2EA-4CBF-B6E8-92BFA38AD7C1}</author>
    <author>Author</author>
  </authors>
  <commentList>
    <comment ref="C4" authorId="0" shapeId="0" xr:uid="{637EEE0E-D2EA-4CBF-B6E8-92BFA38AD7C1}">
      <text>
        <t>[Threaded comment]
Your version of Excel allows you to read this threaded comment; however, any edits to it will get removed if the file is opened in a newer version of Excel. Learn more: https://go.microsoft.com/fwlink/?linkid=870924
Comment:
    Based on found specification sheet main engine rated power: http://www.dofsubsea.com/media/1300/skandi-vinland.pdf</t>
      </text>
    </comment>
    <comment ref="A9" authorId="1" shapeId="0" xr:uid="{F35394AC-70F9-450C-9121-492CD8AA7BFC}">
      <text>
        <r>
          <rPr>
            <b/>
            <sz val="9"/>
            <color indexed="81"/>
            <rFont val="Tahoma"/>
            <family val="2"/>
          </rPr>
          <t>Author:</t>
        </r>
        <r>
          <rPr>
            <sz val="9"/>
            <color indexed="81"/>
            <rFont val="Tahoma"/>
            <family val="2"/>
          </rPr>
          <t xml:space="preserve">
Assumption: Large vessels have similar consumptions</t>
        </r>
      </text>
    </comment>
  </commentList>
</comments>
</file>

<file path=xl/sharedStrings.xml><?xml version="1.0" encoding="utf-8"?>
<sst xmlns="http://schemas.openxmlformats.org/spreadsheetml/2006/main" count="1468" uniqueCount="460">
  <si>
    <t>Experienced users only</t>
  </si>
  <si>
    <t>Gen</t>
  </si>
  <si>
    <t>General</t>
  </si>
  <si>
    <t>TSA</t>
  </si>
  <si>
    <t>Timeseries analysis</t>
  </si>
  <si>
    <t>SA</t>
  </si>
  <si>
    <t>Statistical analysis</t>
  </si>
  <si>
    <t>C</t>
  </si>
  <si>
    <t>Cost analysis</t>
  </si>
  <si>
    <t>input</t>
  </si>
  <si>
    <t>units</t>
  </si>
  <si>
    <t>value</t>
  </si>
  <si>
    <t>Use previous run directory</t>
  </si>
  <si>
    <t>-</t>
  </si>
  <si>
    <t>Use previous TimeSeries Analysis</t>
  </si>
  <si>
    <t>Number of runs with same TimeSeries Analysis</t>
  </si>
  <si>
    <t>Overwrite run directory</t>
  </si>
  <si>
    <t>Consider double shifts</t>
  </si>
  <si>
    <t>Log events file</t>
  </si>
  <si>
    <t>Failure events file</t>
  </si>
  <si>
    <t>Input</t>
  </si>
  <si>
    <t>Units</t>
  </si>
  <si>
    <t>Value</t>
  </si>
  <si>
    <t>WTG devices</t>
  </si>
  <si>
    <t>WTG rated power</t>
  </si>
  <si>
    <t>MW/device</t>
  </si>
  <si>
    <t>WTG cut-in wind speed</t>
  </si>
  <si>
    <t>m/s</t>
  </si>
  <si>
    <t>WTG cut-off wind speed</t>
  </si>
  <si>
    <t>WTG hub height</t>
  </si>
  <si>
    <t>m</t>
  </si>
  <si>
    <t>WTG power curve file</t>
  </si>
  <si>
    <t>Moorings per WTG</t>
  </si>
  <si>
    <t>WTG number of strings</t>
  </si>
  <si>
    <t>WTG type layout</t>
  </si>
  <si>
    <t>WTG number of substations</t>
  </si>
  <si>
    <t>WTG number of export cables</t>
  </si>
  <si>
    <t>WEC devices</t>
  </si>
  <si>
    <t>WEC rated power</t>
  </si>
  <si>
    <t>kW/device</t>
  </si>
  <si>
    <t>WEC power matrix file</t>
  </si>
  <si>
    <t>.\tests\test_files\pmatrix_wave.csv</t>
  </si>
  <si>
    <t>WEC number of strings</t>
  </si>
  <si>
    <t>WEC type layout</t>
  </si>
  <si>
    <t>WEC number of substations</t>
  </si>
  <si>
    <t>WEC number of export cables</t>
  </si>
  <si>
    <t>WEC number of O&amp;M device at port</t>
  </si>
  <si>
    <t>WEC number of device stored at port</t>
  </si>
  <si>
    <t>PV inverters</t>
  </si>
  <si>
    <t>PV devices</t>
  </si>
  <si>
    <t>PV strings</t>
  </si>
  <si>
    <t>PV MV transformers</t>
  </si>
  <si>
    <t>PV rated device power</t>
  </si>
  <si>
    <t xml:space="preserve">Morings </t>
  </si>
  <si>
    <t>Anchors</t>
  </si>
  <si>
    <t>Floaters</t>
  </si>
  <si>
    <t>PV power curve file</t>
  </si>
  <si>
    <t>Degradation rate</t>
  </si>
  <si>
    <t>%/year</t>
  </si>
  <si>
    <t>PV layout</t>
  </si>
  <si>
    <t>PV number of substations</t>
  </si>
  <si>
    <t>max failure module each str</t>
  </si>
  <si>
    <t>PV number of export cables</t>
  </si>
  <si>
    <t>PV number island per array</t>
  </si>
  <si>
    <t>PV number of O&amp;M device at port</t>
  </si>
  <si>
    <t>PV number of device stored at port</t>
  </si>
  <si>
    <t>id</t>
  </si>
  <si>
    <t>type</t>
  </si>
  <si>
    <t>list_name</t>
  </si>
  <si>
    <t>number_vessels</t>
  </si>
  <si>
    <t>speed_transit</t>
  </si>
  <si>
    <t>speed_towing</t>
  </si>
  <si>
    <t>daily_charter</t>
  </si>
  <si>
    <t>mobilisation_time</t>
  </si>
  <si>
    <t>mobilisation_cost</t>
  </si>
  <si>
    <t>crew_capacity</t>
  </si>
  <si>
    <t>num_berths</t>
  </si>
  <si>
    <t>power</t>
  </si>
  <si>
    <t>fuel_type</t>
  </si>
  <si>
    <t>overnight</t>
  </si>
  <si>
    <t>mother_vessel</t>
  </si>
  <si>
    <t>fuel_cons_transit</t>
  </si>
  <si>
    <t>fuel_cons_maneuver</t>
  </si>
  <si>
    <t>fuel_cons_standby</t>
  </si>
  <si>
    <t>annual_contract</t>
  </si>
  <si>
    <t>n_ves_annual_contract</t>
  </si>
  <si>
    <t>months_contract</t>
  </si>
  <si>
    <t>monthly_contract_cost</t>
  </si>
  <si>
    <t>n_ves_monthly_contract</t>
  </si>
  <si>
    <t>notes</t>
  </si>
  <si>
    <t>€</t>
  </si>
  <si>
    <t>h</t>
  </si>
  <si>
    <t>kW</t>
  </si>
  <si>
    <t>€/year</t>
  </si>
  <si>
    <t>€/month</t>
  </si>
  <si>
    <t>V001</t>
  </si>
  <si>
    <t>Tug</t>
  </si>
  <si>
    <t>V002</t>
  </si>
  <si>
    <t>Multicat</t>
  </si>
  <si>
    <t>V003</t>
  </si>
  <si>
    <t>AHTS</t>
  </si>
  <si>
    <t>V004</t>
  </si>
  <si>
    <t>DSV</t>
  </si>
  <si>
    <t>V005</t>
  </si>
  <si>
    <t>CTV</t>
  </si>
  <si>
    <t>MDO</t>
  </si>
  <si>
    <t>V006</t>
  </si>
  <si>
    <t>CPO vessel</t>
  </si>
  <si>
    <t>V101</t>
  </si>
  <si>
    <t>Farm dedicated vessel 1</t>
  </si>
  <si>
    <t>V201</t>
  </si>
  <si>
    <t>rov name</t>
  </si>
  <si>
    <t>dimensions</t>
  </si>
  <si>
    <t>weight</t>
  </si>
  <si>
    <t>useful_capacity</t>
  </si>
  <si>
    <t>battery_capacity</t>
  </si>
  <si>
    <t>recharging_duration</t>
  </si>
  <si>
    <t>max_distance</t>
  </si>
  <si>
    <t>avg_autonomy</t>
  </si>
  <si>
    <t>on_site</t>
  </si>
  <si>
    <t>support_vessel</t>
  </si>
  <si>
    <t>nr_technicians</t>
  </si>
  <si>
    <t>ws_max</t>
  </si>
  <si>
    <t>h_max</t>
  </si>
  <si>
    <t>hs_max</t>
  </si>
  <si>
    <t>daylight</t>
  </si>
  <si>
    <t>precipitation_max</t>
  </si>
  <si>
    <t>cost_half_day</t>
  </si>
  <si>
    <t>[-]</t>
  </si>
  <si>
    <t>[m]</t>
  </si>
  <si>
    <t>[kg]</t>
  </si>
  <si>
    <t>[km/h]</t>
  </si>
  <si>
    <t>[kWh]</t>
  </si>
  <si>
    <t>[h]</t>
  </si>
  <si>
    <t>[km]</t>
  </si>
  <si>
    <t>[m/s]</t>
  </si>
  <si>
    <t>[mm]</t>
  </si>
  <si>
    <t>stork_1</t>
  </si>
  <si>
    <t>Stork</t>
  </si>
  <si>
    <t>Aerial</t>
  </si>
  <si>
    <t>grifo_1</t>
  </si>
  <si>
    <t>Grifo</t>
  </si>
  <si>
    <t>EVA_AUV_1</t>
  </si>
  <si>
    <t>EVA_AUV</t>
  </si>
  <si>
    <t>Water</t>
  </si>
  <si>
    <t>EVA_ROV_2</t>
  </si>
  <si>
    <t>EVA_ROV</t>
  </si>
  <si>
    <t>IRIS_AUV</t>
  </si>
  <si>
    <t>IRIS_ROV</t>
  </si>
  <si>
    <t>id_short</t>
  </si>
  <si>
    <t>name</t>
  </si>
  <si>
    <t>overnight_stay</t>
  </si>
  <si>
    <t>periodicity</t>
  </si>
  <si>
    <t>preferred_months</t>
  </si>
  <si>
    <t>day_start</t>
  </si>
  <si>
    <t>wtg_intervened</t>
  </si>
  <si>
    <t>wec_intervened</t>
  </si>
  <si>
    <t>pv_intervened</t>
  </si>
  <si>
    <t>dur_per_device</t>
  </si>
  <si>
    <t>device_shutdown</t>
  </si>
  <si>
    <t>hs</t>
  </si>
  <si>
    <t>tp</t>
  </si>
  <si>
    <t>ws</t>
  </si>
  <si>
    <t>ws_hub</t>
  </si>
  <si>
    <t>cs</t>
  </si>
  <si>
    <t>light</t>
  </si>
  <si>
    <t>vessel1</t>
  </si>
  <si>
    <t>vessel1_id</t>
  </si>
  <si>
    <t>vessel2</t>
  </si>
  <si>
    <t>vessel2_id</t>
  </si>
  <si>
    <t>rov_drone</t>
  </si>
  <si>
    <t>technicians_per_device</t>
  </si>
  <si>
    <t>technician_cost</t>
  </si>
  <si>
    <t>parts_cost</t>
  </si>
  <si>
    <t>other_costs</t>
  </si>
  <si>
    <t>level</t>
  </si>
  <si>
    <t>to_group_with</t>
  </si>
  <si>
    <t>to_be_grouped</t>
  </si>
  <si>
    <t>double_shift</t>
  </si>
  <si>
    <t>every X years</t>
  </si>
  <si>
    <t>s</t>
  </si>
  <si>
    <t>€/technician/day</t>
  </si>
  <si>
    <t>CPO_A1</t>
  </si>
  <si>
    <t>Power Electronics inspection</t>
  </si>
  <si>
    <t>V201 - CTV</t>
  </si>
  <si>
    <t>device</t>
  </si>
  <si>
    <t>CPO_A2</t>
  </si>
  <si>
    <t>C-GEN inspection</t>
  </si>
  <si>
    <t>CPO_U1</t>
  </si>
  <si>
    <t>UAV Inspection</t>
  </si>
  <si>
    <t>CPO_M1</t>
  </si>
  <si>
    <t>Mooring inspection</t>
  </si>
  <si>
    <t>CPO_A5</t>
  </si>
  <si>
    <t>PTO inspection</t>
  </si>
  <si>
    <t>op_prev</t>
  </si>
  <si>
    <t>op_next</t>
  </si>
  <si>
    <t>WEC visual inspection</t>
  </si>
  <si>
    <t>04, 05, 10, 11</t>
  </si>
  <si>
    <t>V101 - CTV</t>
  </si>
  <si>
    <t>WEC visual inspection and filter replacement</t>
  </si>
  <si>
    <t>06, 07, 08, 09</t>
  </si>
  <si>
    <t>CPO_A3_0</t>
  </si>
  <si>
    <t>WEC removal</t>
  </si>
  <si>
    <t>V006 - Multicat</t>
  </si>
  <si>
    <t>CPO_A3_1</t>
  </si>
  <si>
    <t>WEC on land inspection</t>
  </si>
  <si>
    <t>owc_CPO_A3_0</t>
  </si>
  <si>
    <t>owc_CPO_A3_3</t>
  </si>
  <si>
    <t>CPO_A3_2</t>
  </si>
  <si>
    <t>WEC on land replacement</t>
  </si>
  <si>
    <t>CPO_A3_3</t>
  </si>
  <si>
    <t>WEC re-deploy</t>
  </si>
  <si>
    <t>SuAB_1</t>
  </si>
  <si>
    <t>Visual inspection - blades</t>
  </si>
  <si>
    <t>04, 05, 06, 07, 08, 09</t>
  </si>
  <si>
    <t>V005 - CTV</t>
  </si>
  <si>
    <t>stork_1 - Stork (Aerial)</t>
  </si>
  <si>
    <t>SuAB_2</t>
  </si>
  <si>
    <t>Drive train inspection</t>
  </si>
  <si>
    <t>SuAB_3</t>
  </si>
  <si>
    <t>Inspection of control system and electrical</t>
  </si>
  <si>
    <t>SuAB_4</t>
  </si>
  <si>
    <t>Inspection of hydraulic and pneumatic systems</t>
  </si>
  <si>
    <t>SuAB_5</t>
  </si>
  <si>
    <t>Visual inspection to tower</t>
  </si>
  <si>
    <t>SuAB_6</t>
  </si>
  <si>
    <t>Inspection of mooring system (3 mooring lines)</t>
  </si>
  <si>
    <t>V004 - DSV</t>
  </si>
  <si>
    <t>SuAB_cable_1</t>
  </si>
  <si>
    <t>Inspection of WTG dynamic power cables</t>
  </si>
  <si>
    <t>SuAB_cable_2</t>
  </si>
  <si>
    <t>Inspection of export power cables</t>
  </si>
  <si>
    <t>OP001</t>
  </si>
  <si>
    <t>General inspection</t>
  </si>
  <si>
    <t>OP002</t>
  </si>
  <si>
    <t>Underwater inspection</t>
  </si>
  <si>
    <t>OP003</t>
  </si>
  <si>
    <t>General inspection with drone</t>
  </si>
  <si>
    <t>devices_intervened</t>
  </si>
  <si>
    <t>port_costs</t>
  </si>
  <si>
    <t>€/day</t>
  </si>
  <si>
    <t>CPO_P1</t>
  </si>
  <si>
    <t>WEC maintenance</t>
  </si>
  <si>
    <t>wtg</t>
  </si>
  <si>
    <t>wec</t>
  </si>
  <si>
    <t>pv</t>
  </si>
  <si>
    <t>duration_net</t>
  </si>
  <si>
    <t>technicians</t>
  </si>
  <si>
    <t>M01</t>
  </si>
  <si>
    <t>M01 - Inverter</t>
  </si>
  <si>
    <t>x</t>
  </si>
  <si>
    <t>M02</t>
  </si>
  <si>
    <t>M02 - C-gen</t>
  </si>
  <si>
    <t>M03</t>
  </si>
  <si>
    <t>M03 - PTO</t>
  </si>
  <si>
    <t> </t>
  </si>
  <si>
    <t>tow_to_port</t>
  </si>
  <si>
    <t>technicians_required</t>
  </si>
  <si>
    <t>MJ1</t>
  </si>
  <si>
    <t>Power Electronics</t>
  </si>
  <si>
    <t>V002 - Multicat</t>
  </si>
  <si>
    <t>MJ2</t>
  </si>
  <si>
    <t>C-Gen</t>
  </si>
  <si>
    <t>MJ3</t>
  </si>
  <si>
    <t>PTO</t>
  </si>
  <si>
    <t>vessel1_qt</t>
  </si>
  <si>
    <t>owc_removal</t>
  </si>
  <si>
    <t>owc_redeploy_removal</t>
  </si>
  <si>
    <t>WEC re-deploy and removal</t>
  </si>
  <si>
    <t>owc_redeploy</t>
  </si>
  <si>
    <t>op_type</t>
  </si>
  <si>
    <t>op</t>
  </si>
  <si>
    <t>location</t>
  </si>
  <si>
    <t>wtg_shutdown_dur</t>
  </si>
  <si>
    <t>wec_shutdown_dur</t>
  </si>
  <si>
    <t>pv_shutdown_dur</t>
  </si>
  <si>
    <t>duration</t>
  </si>
  <si>
    <t>hours</t>
  </si>
  <si>
    <t>CPO_A30_A1</t>
  </si>
  <si>
    <t>Tow</t>
  </si>
  <si>
    <t>owc_removal_tow</t>
  </si>
  <si>
    <t>Transit to site</t>
  </si>
  <si>
    <t>transit</t>
  </si>
  <si>
    <t>CPO_A30_A2</t>
  </si>
  <si>
    <t>WEC disconnect</t>
  </si>
  <si>
    <t>site</t>
  </si>
  <si>
    <t>CPO_A30_A3</t>
  </si>
  <si>
    <t>Tow to port</t>
  </si>
  <si>
    <t>CPO_A31_A1</t>
  </si>
  <si>
    <t>owc_redeploy_removal_tow</t>
  </si>
  <si>
    <t>Tow to site</t>
  </si>
  <si>
    <t>CPO_A31_A2</t>
  </si>
  <si>
    <t>WEC connect</t>
  </si>
  <si>
    <t>CPO_A31_A3</t>
  </si>
  <si>
    <t>Transit to next device</t>
  </si>
  <si>
    <t>CPO_A31_A4</t>
  </si>
  <si>
    <t>CPO_A31_A5</t>
  </si>
  <si>
    <t>CPO_A33_A1</t>
  </si>
  <si>
    <t>owc_redeploy_tow</t>
  </si>
  <si>
    <t>CPO_A33_A2</t>
  </si>
  <si>
    <t>CPO_A33_A3</t>
  </si>
  <si>
    <t>Transit to port</t>
  </si>
  <si>
    <t>ACT_MJ2_01</t>
  </si>
  <si>
    <t>CorrectiveMajor</t>
  </si>
  <si>
    <t>owc_MJ2</t>
  </si>
  <si>
    <t>Maintenance G-GEN</t>
  </si>
  <si>
    <t>port</t>
  </si>
  <si>
    <t>ACT_MJ1_01</t>
  </si>
  <si>
    <t>ACT_MJ1_02</t>
  </si>
  <si>
    <t>Exchange of power electronics</t>
  </si>
  <si>
    <t>ACT_MJ1_03</t>
  </si>
  <si>
    <t>ACT_MJ3_01</t>
  </si>
  <si>
    <t>owc_MJ3</t>
  </si>
  <si>
    <t>Maintenance PTO</t>
  </si>
  <si>
    <t>Site latitude</t>
  </si>
  <si>
    <t>degree</t>
  </si>
  <si>
    <t>Site longitude</t>
  </si>
  <si>
    <t>Metocean file location</t>
  </si>
  <si>
    <t>Metocean wind speed height</t>
  </si>
  <si>
    <t>Surface roughness</t>
  </si>
  <si>
    <t>Distance to port</t>
  </si>
  <si>
    <t>km</t>
  </si>
  <si>
    <t>Transit time between devices pv</t>
  </si>
  <si>
    <t>Transit time between devices wt</t>
  </si>
  <si>
    <t>Transit time between devices wec</t>
  </si>
  <si>
    <t>Max WoW between activities</t>
  </si>
  <si>
    <t>Timeseries analysed percentage (montecarlo)</t>
  </si>
  <si>
    <t>Length of export cable</t>
  </si>
  <si>
    <t>Duration of a shift</t>
  </si>
  <si>
    <t>Merge operation vessel type</t>
  </si>
  <si>
    <t>Project lifetime</t>
  </si>
  <si>
    <t>years</t>
  </si>
  <si>
    <t>Start year of the project</t>
  </si>
  <si>
    <t>Start month of the project</t>
  </si>
  <si>
    <t>Percentile Main</t>
  </si>
  <si>
    <t>Percentile 1</t>
  </si>
  <si>
    <t>Percentile 2</t>
  </si>
  <si>
    <t>Euros</t>
  </si>
  <si>
    <t>Last day for scheduling an operation</t>
  </si>
  <si>
    <t>Infant mortality period</t>
  </si>
  <si>
    <t>Wear out period</t>
  </si>
  <si>
    <t>Failure ratio during these periods</t>
  </si>
  <si>
    <t>Failure ratio sensitivity factor</t>
  </si>
  <si>
    <t>year</t>
  </si>
  <si>
    <t>average</t>
  </si>
  <si>
    <t>pf</t>
  </si>
  <si>
    <t>scenarios</t>
  </si>
  <si>
    <t>january</t>
  </si>
  <si>
    <t>february</t>
  </si>
  <si>
    <t>march</t>
  </si>
  <si>
    <t>april</t>
  </si>
  <si>
    <t>may</t>
  </si>
  <si>
    <t>june</t>
  </si>
  <si>
    <t>july</t>
  </si>
  <si>
    <t>august</t>
  </si>
  <si>
    <t>september</t>
  </si>
  <si>
    <t>october</t>
  </si>
  <si>
    <t>november</t>
  </si>
  <si>
    <t>december</t>
  </si>
  <si>
    <t>number_of_element_farm</t>
  </si>
  <si>
    <t>probability_failure</t>
  </si>
  <si>
    <t>maintenance_strategy</t>
  </si>
  <si>
    <t>level_failure</t>
  </si>
  <si>
    <t>severity</t>
  </si>
  <si>
    <t>op_trigger</t>
  </si>
  <si>
    <t>preferred_month</t>
  </si>
  <si>
    <t>lead_time</t>
  </si>
  <si>
    <t>bath_tub</t>
  </si>
  <si>
    <t>potential_shutdown</t>
  </si>
  <si>
    <t>perc_shutdown</t>
  </si>
  <si>
    <t>fail_variation</t>
  </si>
  <si>
    <t>element/year</t>
  </si>
  <si>
    <t>owc_fail_M01</t>
  </si>
  <si>
    <t>M01 - Power Electronic</t>
  </si>
  <si>
    <t>Immediately</t>
  </si>
  <si>
    <t>Minor</t>
  </si>
  <si>
    <t>owc_M01</t>
  </si>
  <si>
    <t>owc_fail_M02</t>
  </si>
  <si>
    <t>M02 - Power Electronic Major</t>
  </si>
  <si>
    <t>Major</t>
  </si>
  <si>
    <t>owc_MJ1</t>
  </si>
  <si>
    <t>owc_fail_M03</t>
  </si>
  <si>
    <t>M03 - C-GEN</t>
  </si>
  <si>
    <t>owc_M02</t>
  </si>
  <si>
    <t>owc_fail_M04</t>
  </si>
  <si>
    <t>M04 - C-GEN Major</t>
  </si>
  <si>
    <t>owc_fail_M05</t>
  </si>
  <si>
    <t>M05 - PTO</t>
  </si>
  <si>
    <t>owc_M03</t>
  </si>
  <si>
    <t>owc_fail_M06</t>
  </si>
  <si>
    <t>M06 - PTO Major</t>
  </si>
  <si>
    <t>Fuel cost HFO</t>
  </si>
  <si>
    <t>Euros/ton</t>
  </si>
  <si>
    <t>Fuel cost MGO</t>
  </si>
  <si>
    <t>Fuel cost MDO</t>
  </si>
  <si>
    <t>Port / terminal annual costs</t>
  </si>
  <si>
    <t>Try to merge operations</t>
  </si>
  <si>
    <t>Time distance between operations to merge</t>
  </si>
  <si>
    <t>days</t>
  </si>
  <si>
    <t>Insurance annual costs</t>
  </si>
  <si>
    <t>Electricity selling price</t>
  </si>
  <si>
    <t>Euros/MWh</t>
  </si>
  <si>
    <t>Technicians annual costs</t>
  </si>
  <si>
    <t>vessel</t>
  </si>
  <si>
    <t>fuel type</t>
  </si>
  <si>
    <t>rated power</t>
  </si>
  <si>
    <t>SFOC</t>
  </si>
  <si>
    <t>HFO</t>
  </si>
  <si>
    <t>CLV</t>
  </si>
  <si>
    <t>CSV</t>
  </si>
  <si>
    <t>Dredger Vessel</t>
  </si>
  <si>
    <t>Guard Vessel</t>
  </si>
  <si>
    <t>Jack-up Vessel</t>
  </si>
  <si>
    <t>Non-propelled Crane</t>
  </si>
  <si>
    <t>Propelled Crane</t>
  </si>
  <si>
    <t>PSV</t>
  </si>
  <si>
    <t>Rigid Inflatable Boat</t>
  </si>
  <si>
    <t>Rock Dumper</t>
  </si>
  <si>
    <t>SOV</t>
  </si>
  <si>
    <t>MGO</t>
  </si>
  <si>
    <t>Survey Vessel</t>
  </si>
  <si>
    <t>operation</t>
  </si>
  <si>
    <t>load_factor</t>
  </si>
  <si>
    <t>maneuver</t>
  </si>
  <si>
    <t>standby</t>
  </si>
  <si>
    <t>fuel</t>
  </si>
  <si>
    <t>density</t>
  </si>
  <si>
    <t>hfo</t>
  </si>
  <si>
    <t>mgo</t>
  </si>
  <si>
    <t>mdo</t>
  </si>
  <si>
    <t>vessel2_qt</t>
  </si>
  <si>
    <t>Tow string shutdown</t>
  </si>
  <si>
    <t>.\tests\test_files\metocean\metocean_1year.csv</t>
  </si>
  <si>
    <t/>
  </si>
  <si>
    <t>additional_previous_op_tow</t>
  </si>
  <si>
    <t>string_disconnection</t>
  </si>
  <si>
    <t>WTG number of O&amp;M device at port</t>
  </si>
  <si>
    <t>WTG number of device stored at port</t>
  </si>
  <si>
    <t>WTG n strings to connector</t>
  </si>
  <si>
    <t>recommissioning_time</t>
  </si>
  <si>
    <t>avoid_month_correction</t>
  </si>
  <si>
    <t>Specific month</t>
  </si>
  <si>
    <t>hub</t>
  </si>
  <si>
    <t>WEC n strings to connector</t>
  </si>
  <si>
    <t>Power events file</t>
  </si>
  <si>
    <t>l/h</t>
  </si>
  <si>
    <t>Metocean tow file location 1</t>
  </si>
  <si>
    <t>.\tests\test_files\metocean\metocean_02years.csv</t>
  </si>
  <si>
    <t>Metocean tow file location 2</t>
  </si>
  <si>
    <t>Metocean tow file number</t>
  </si>
  <si>
    <t>Metocean tow distance to previous point 1</t>
  </si>
  <si>
    <t>Metocean tow distance to previous point 2</t>
  </si>
  <si>
    <t>Metocean file port</t>
  </si>
  <si>
    <t>Electric losses file location</t>
  </si>
  <si>
    <t>Wave losses file location</t>
  </si>
  <si>
    <t>Failure scenario selection</t>
  </si>
  <si>
    <t>preferred_day</t>
  </si>
  <si>
    <t>WTG distances</t>
  </si>
  <si>
    <t>WEC distances</t>
  </si>
  <si>
    <t>PV distances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</si>
</sst>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2]\ * #,##0.00_-;\-[$€-2]\ * #,##0.00_-;_-[$€-2]\ * &quot;-&quot;??_-;_-@_-"/>
  </numFmts>
  <fonts count="16" x14ac:knownFonts="1">
    <font>
      <sz val="11"/>
      <color theme="1"/>
      <name val="Calibri"/>
      <family val="2"/>
      <scheme val="minor"/>
    </font>
    <font>
      <b/>
      <sz val="9"/>
      <color indexed="81"/>
      <name val="Tahoma"/>
      <family val="2"/>
    </font>
    <font>
      <sz val="9"/>
      <color indexed="81"/>
      <name val="Tahoma"/>
      <family val="2"/>
    </font>
    <font>
      <sz val="8"/>
      <name val="Calibri"/>
      <family val="2"/>
      <scheme val="minor"/>
    </font>
    <font>
      <sz val="8"/>
      <color theme="1"/>
      <name val="Calibri"/>
      <family val="2"/>
      <scheme val="minor"/>
    </font>
    <font>
      <sz val="11"/>
      <color theme="1"/>
      <name val="Calibri"/>
      <family val="2"/>
      <scheme val="minor"/>
    </font>
    <font>
      <sz val="11"/>
      <color theme="0"/>
      <name val="Calibri"/>
      <family val="2"/>
      <scheme val="minor"/>
    </font>
    <font>
      <sz val="11"/>
      <color rgb="FF000000"/>
      <name val="Calibri"/>
      <family val="2"/>
    </font>
    <font>
      <sz val="11"/>
      <color rgb="FF242424"/>
      <name val="Aptos Narrow"/>
      <family val="2"/>
    </font>
    <font>
      <sz val="11"/>
      <color rgb="FFFF0000"/>
      <name val="Calibri"/>
      <family val="2"/>
      <scheme val="minor"/>
    </font>
    <font>
      <sz val="11"/>
      <color rgb="FF000000"/>
      <name val="Calibri"/>
      <family val="2"/>
    </font>
    <font>
      <sz val="11"/>
      <color rgb="FF000000"/>
      <name val="Calibri"/>
      <family val="2"/>
      <scheme val="minor"/>
    </font>
    <font>
      <sz val="11"/>
      <color rgb="FF242424"/>
      <name val="Consolas"/>
      <family val="3"/>
    </font>
    <font>
      <sz val="11"/>
      <color rgb="FF242424"/>
      <name val="Aptos Narrow"/>
      <family val="2"/>
    </font>
    <font>
      <sz val="11"/>
      <color rgb="FF000000"/>
      <name val="Aptos Narrow"/>
      <family val="2"/>
    </font>
    <font>
      <sz val="11"/>
      <color rgb="FF000000"/>
      <name val="Consolas"/>
      <family val="3"/>
    </font>
  </fonts>
  <fills count="12">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top/>
      <bottom/>
      <diagonal/>
    </border>
    <border>
      <left/>
      <right style="thin">
        <color auto="1"/>
      </right>
      <top/>
      <bottom/>
      <diagonal/>
    </border>
    <border>
      <left style="thin">
        <color rgb="FF000000"/>
      </left>
      <right style="thin">
        <color indexed="64"/>
      </right>
      <top/>
      <bottom/>
      <diagonal/>
    </border>
    <border>
      <left style="thin">
        <color rgb="FF000000"/>
      </left>
      <right/>
      <top/>
      <bottom/>
      <diagonal/>
    </border>
    <border>
      <left/>
      <right style="thin">
        <color rgb="FF000000"/>
      </right>
      <top/>
      <bottom/>
      <diagonal/>
    </border>
    <border>
      <left/>
      <right/>
      <top/>
      <bottom style="thin">
        <color rgb="FF000000"/>
      </bottom>
      <diagonal/>
    </border>
  </borders>
  <cellStyleXfs count="2">
    <xf numFmtId="0" fontId="0" fillId="0" borderId="0"/>
    <xf numFmtId="9" fontId="5" fillId="0" borderId="0" applyFont="0" applyFill="0" applyBorder="0" applyAlignment="0" applyProtection="0"/>
  </cellStyleXfs>
  <cellXfs count="84">
    <xf numFmtId="0" fontId="0" fillId="0" borderId="0" xfId="0"/>
    <xf numFmtId="1" fontId="0" fillId="0" borderId="0" xfId="0" applyNumberFormat="1"/>
    <xf numFmtId="164" fontId="0" fillId="0" borderId="0" xfId="0" applyNumberFormat="1"/>
    <xf numFmtId="0" fontId="0" fillId="2" borderId="0" xfId="0" applyFill="1"/>
    <xf numFmtId="0" fontId="0" fillId="3" borderId="0" xfId="0" applyFill="1"/>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4" fillId="8" borderId="1" xfId="0" applyFont="1" applyFill="1" applyBorder="1" applyAlignment="1">
      <alignment horizontal="center"/>
    </xf>
    <xf numFmtId="0" fontId="4" fillId="9"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0" fillId="0" borderId="0" xfId="0" applyAlignment="1">
      <alignment horizontal="center" vertical="center"/>
    </xf>
    <xf numFmtId="0" fontId="0" fillId="0" borderId="0" xfId="0" applyAlignment="1">
      <alignment horizontal="left" vertical="center"/>
    </xf>
    <xf numFmtId="0" fontId="0" fillId="7" borderId="2" xfId="0" applyFill="1" applyBorder="1" applyAlignment="1">
      <alignment horizontal="center"/>
    </xf>
    <xf numFmtId="164" fontId="0" fillId="7" borderId="0" xfId="0" applyNumberFormat="1" applyFill="1"/>
    <xf numFmtId="165" fontId="0" fillId="0" borderId="0" xfId="0" applyNumberFormat="1"/>
    <xf numFmtId="0" fontId="0" fillId="0" borderId="0" xfId="0" applyAlignment="1">
      <alignment vertical="center"/>
    </xf>
    <xf numFmtId="0" fontId="0" fillId="0" borderId="0" xfId="0" applyAlignment="1">
      <alignment horizontal="right" vertical="center" indent="1"/>
    </xf>
    <xf numFmtId="0" fontId="0" fillId="0" borderId="0" xfId="0" applyAlignment="1">
      <alignment horizontal="left" vertical="center" indent="1"/>
    </xf>
    <xf numFmtId="0" fontId="0" fillId="0" borderId="0" xfId="0" applyAlignment="1">
      <alignment horizontal="right" indent="1"/>
    </xf>
    <xf numFmtId="164" fontId="0" fillId="0" borderId="0" xfId="0" applyNumberFormat="1" applyAlignment="1">
      <alignment horizontal="right" indent="1"/>
    </xf>
    <xf numFmtId="0" fontId="0" fillId="0" borderId="0" xfId="0" quotePrefix="1"/>
    <xf numFmtId="1" fontId="0" fillId="0" borderId="0" xfId="0" applyNumberFormat="1" applyAlignment="1">
      <alignment horizontal="right" indent="1"/>
    </xf>
    <xf numFmtId="0" fontId="0" fillId="0" borderId="0" xfId="0" applyAlignment="1" applyProtection="1">
      <alignment vertical="center"/>
      <protection locked="0"/>
    </xf>
    <xf numFmtId="0" fontId="0" fillId="0" borderId="0" xfId="0" applyProtection="1">
      <protection locked="0"/>
    </xf>
    <xf numFmtId="0" fontId="0" fillId="7" borderId="0" xfId="0" applyFill="1" applyAlignment="1" applyProtection="1">
      <alignment vertical="center"/>
      <protection locked="0"/>
    </xf>
    <xf numFmtId="2" fontId="0" fillId="0" borderId="0" xfId="0" applyNumberFormat="1" applyAlignment="1">
      <alignment horizontal="center" vertical="center"/>
    </xf>
    <xf numFmtId="164" fontId="0" fillId="0" borderId="0" xfId="0" applyNumberFormat="1" applyAlignment="1">
      <alignment vertical="center"/>
    </xf>
    <xf numFmtId="1" fontId="0" fillId="0" borderId="0" xfId="1" applyNumberFormat="1" applyFont="1" applyFill="1" applyAlignment="1">
      <alignment horizontal="right" indent="1"/>
    </xf>
    <xf numFmtId="2" fontId="0" fillId="0" borderId="0" xfId="0" applyNumberFormat="1"/>
    <xf numFmtId="164" fontId="0" fillId="0" borderId="0" xfId="0" applyNumberFormat="1" applyAlignment="1">
      <alignment horizontal="left" indent="1"/>
    </xf>
    <xf numFmtId="0" fontId="6" fillId="0" borderId="0" xfId="0" applyFont="1" applyAlignment="1">
      <alignment horizontal="center" vertical="center"/>
    </xf>
    <xf numFmtId="0" fontId="6" fillId="0" borderId="0" xfId="0" applyFont="1"/>
    <xf numFmtId="0" fontId="0" fillId="0" borderId="3" xfId="0" applyBorder="1" applyAlignment="1">
      <alignment vertical="center"/>
    </xf>
    <xf numFmtId="0" fontId="0" fillId="0" borderId="4" xfId="0" applyBorder="1" applyAlignment="1">
      <alignment vertical="center"/>
    </xf>
    <xf numFmtId="0" fontId="0" fillId="0" borderId="3" xfId="0" applyBorder="1" applyAlignment="1" applyProtection="1">
      <alignment vertical="center"/>
      <protection locked="0"/>
    </xf>
    <xf numFmtId="0" fontId="0" fillId="0" borderId="4" xfId="0" applyBorder="1" applyAlignment="1" applyProtection="1">
      <alignment vertical="center"/>
      <protection locked="0"/>
    </xf>
    <xf numFmtId="0" fontId="0" fillId="7" borderId="3" xfId="0" applyFill="1" applyBorder="1" applyAlignment="1" applyProtection="1">
      <alignment vertical="center"/>
      <protection locked="0"/>
    </xf>
    <xf numFmtId="164" fontId="0" fillId="0" borderId="0" xfId="0" applyNumberFormat="1" applyAlignment="1" applyProtection="1">
      <alignment vertical="center"/>
      <protection locked="0"/>
    </xf>
    <xf numFmtId="0" fontId="0" fillId="0" borderId="2" xfId="0" applyBorder="1" applyAlignment="1">
      <alignment vertical="center"/>
    </xf>
    <xf numFmtId="0" fontId="0" fillId="0" borderId="2" xfId="0" applyBorder="1" applyAlignment="1" applyProtection="1">
      <alignment vertical="center"/>
      <protection locked="0"/>
    </xf>
    <xf numFmtId="0" fontId="0" fillId="0" borderId="3"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3" xfId="0" applyBorder="1" applyAlignment="1">
      <alignment horizontal="center" vertical="center"/>
    </xf>
    <xf numFmtId="0" fontId="0" fillId="0" borderId="4" xfId="0" applyBorder="1" applyAlignment="1">
      <alignment horizontal="center" vertical="center"/>
    </xf>
    <xf numFmtId="164" fontId="0" fillId="0" borderId="0" xfId="0" applyNumberFormat="1" applyAlignment="1">
      <alignment horizontal="center" vertical="center"/>
    </xf>
    <xf numFmtId="0" fontId="7" fillId="0" borderId="0" xfId="0" applyFont="1"/>
    <xf numFmtId="0" fontId="7" fillId="0" borderId="0" xfId="0" quotePrefix="1" applyFont="1"/>
    <xf numFmtId="0" fontId="8" fillId="0" borderId="0" xfId="0" applyFont="1"/>
    <xf numFmtId="2" fontId="9" fillId="0" borderId="0" xfId="0" applyNumberFormat="1" applyFont="1"/>
    <xf numFmtId="0" fontId="9" fillId="0" borderId="0" xfId="0" applyFont="1"/>
    <xf numFmtId="0" fontId="10" fillId="0" borderId="0" xfId="0" applyFont="1"/>
    <xf numFmtId="0" fontId="7" fillId="0" borderId="5" xfId="0" applyFont="1" applyBorder="1" applyAlignment="1">
      <alignment wrapText="1"/>
    </xf>
    <xf numFmtId="0" fontId="7" fillId="0" borderId="5" xfId="0" quotePrefix="1" applyFont="1" applyBorder="1" applyAlignment="1">
      <alignment wrapText="1"/>
    </xf>
    <xf numFmtId="0" fontId="0" fillId="0" borderId="6" xfId="0" applyBorder="1" applyAlignment="1" applyProtection="1">
      <alignment vertical="center"/>
      <protection locked="0"/>
    </xf>
    <xf numFmtId="0" fontId="0" fillId="0" borderId="6" xfId="0" applyBorder="1" applyAlignment="1">
      <alignment vertical="center"/>
    </xf>
    <xf numFmtId="164" fontId="11" fillId="0" borderId="0" xfId="0" applyNumberFormat="1" applyFont="1" applyAlignment="1">
      <alignment horizontal="right" indent="1"/>
    </xf>
    <xf numFmtId="0" fontId="0" fillId="0" borderId="0" xfId="0" applyAlignment="1">
      <alignment vertical="center" wrapText="1"/>
    </xf>
    <xf numFmtId="43" fontId="11" fillId="0" borderId="0" xfId="0" applyNumberFormat="1" applyFont="1" applyAlignment="1" applyProtection="1">
      <alignment vertical="center"/>
      <protection locked="0"/>
    </xf>
    <xf numFmtId="0" fontId="11" fillId="0" borderId="0" xfId="0" applyFont="1" applyAlignment="1">
      <alignment vertical="center"/>
    </xf>
    <xf numFmtId="0" fontId="11" fillId="0" borderId="3" xfId="0" applyFont="1" applyBorder="1" applyAlignment="1">
      <alignment horizontal="center" vertical="center"/>
    </xf>
    <xf numFmtId="0" fontId="11" fillId="0" borderId="0" xfId="0" applyFont="1" applyAlignment="1">
      <alignment horizontal="center" vertical="center"/>
    </xf>
    <xf numFmtId="0" fontId="11" fillId="0" borderId="4" xfId="0" applyFont="1" applyBorder="1" applyAlignment="1">
      <alignment horizontal="center" vertical="center"/>
    </xf>
    <xf numFmtId="0" fontId="0" fillId="0" borderId="7" xfId="0" applyBorder="1" applyAlignment="1" applyProtection="1">
      <alignment vertical="center"/>
      <protection locked="0"/>
    </xf>
    <xf numFmtId="0" fontId="0" fillId="0" borderId="7" xfId="0" applyBorder="1" applyAlignment="1">
      <alignment vertical="center"/>
    </xf>
    <xf numFmtId="0" fontId="0" fillId="0" borderId="8" xfId="0" applyBorder="1" applyAlignment="1">
      <alignment vertical="center"/>
    </xf>
    <xf numFmtId="2" fontId="0" fillId="0" borderId="8" xfId="0" applyNumberFormat="1" applyBorder="1" applyAlignment="1">
      <alignment horizontal="center" vertical="center"/>
    </xf>
    <xf numFmtId="0" fontId="11" fillId="0" borderId="0" xfId="0" applyFont="1"/>
    <xf numFmtId="0" fontId="11" fillId="0" borderId="0" xfId="0" applyFont="1" applyAlignment="1">
      <alignment vertical="center" wrapText="1"/>
    </xf>
    <xf numFmtId="0" fontId="12" fillId="0" borderId="0" xfId="0" applyFont="1" applyAlignment="1">
      <alignment wrapText="1"/>
    </xf>
    <xf numFmtId="164" fontId="0" fillId="0" borderId="8" xfId="0" applyNumberFormat="1" applyBorder="1" applyAlignment="1" applyProtection="1">
      <alignment vertical="center"/>
      <protection locked="0"/>
    </xf>
    <xf numFmtId="0" fontId="13" fillId="0" borderId="0" xfId="0" applyFont="1"/>
    <xf numFmtId="0" fontId="15" fillId="0" borderId="0" xfId="0" applyFont="1"/>
    <xf numFmtId="0" fontId="7" fillId="0" borderId="0" xfId="0" applyFont="1" applyAlignment="1">
      <alignment wrapText="1"/>
    </xf>
    <xf numFmtId="4" fontId="14" fillId="0" borderId="0" xfId="0" applyNumberFormat="1" applyFont="1" applyAlignment="1">
      <alignment wrapText="1"/>
    </xf>
    <xf numFmtId="0" fontId="14" fillId="0" borderId="0" xfId="0" applyFont="1" applyAlignment="1">
      <alignment wrapText="1"/>
    </xf>
    <xf numFmtId="0" fontId="0" fillId="0" borderId="0" xfId="0" applyAlignment="1">
      <alignment horizontal="left" inden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xf>
    <xf numFmtId="0" fontId="11" fillId="0" borderId="0" xfId="0" applyFont="1" applyAlignment="1">
      <alignment horizontal="right" indent="1"/>
    </xf>
  </cellXfs>
  <cellStyles count="2">
    <cellStyle name="Normal" xfId="0" builtinId="0"/>
    <cellStyle name="Percent" xfId="1" builtinId="5"/>
  </cellStyles>
  <dxfs count="86">
    <dxf>
      <fill>
        <patternFill>
          <bgColor rgb="FFFF0000"/>
        </patternFill>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bgColor rgb="FFFF0000"/>
        </patternFill>
      </fill>
    </dxf>
    <dxf>
      <fill>
        <patternFill patternType="mediumGray"/>
      </fill>
    </dxf>
    <dxf>
      <fill>
        <patternFill patternType="mediumGray"/>
      </fill>
    </dxf>
    <dxf>
      <fill>
        <patternFill>
          <bgColor rgb="FFFF0000"/>
        </patternFill>
      </fill>
    </dxf>
    <dxf>
      <fill>
        <patternFill patternType="mediumGray"/>
      </fill>
    </dxf>
    <dxf>
      <fill>
        <patternFill patternType="mediumGray"/>
      </fill>
    </dxf>
    <dxf>
      <fill>
        <patternFill>
          <bgColor rgb="FFFF0000"/>
        </patternFill>
      </fill>
    </dxf>
    <dxf>
      <fill>
        <patternFill>
          <bgColor rgb="FFFF0000"/>
        </patternFill>
      </fill>
    </dxf>
    <dxf>
      <fill>
        <patternFill patternType="darkGray">
          <fgColor auto="1"/>
          <bgColor auto="1"/>
        </patternFill>
      </fill>
    </dxf>
    <dxf>
      <fill>
        <patternFill patternType="darkGray">
          <fgColor auto="1"/>
          <bgColor auto="1"/>
        </patternFill>
      </fill>
    </dxf>
    <dxf>
      <fill>
        <patternFill patternType="darkGray">
          <fgColor auto="1"/>
          <bgColor auto="1"/>
        </patternFill>
      </fill>
    </dxf>
    <dxf>
      <fill>
        <patternFill patternType="darkGray">
          <fgColor auto="1"/>
          <bgColor auto="1"/>
        </patternFill>
      </fill>
    </dxf>
    <dxf>
      <fill>
        <patternFill>
          <bgColor theme="7"/>
        </patternFill>
      </fill>
    </dxf>
    <dxf>
      <border>
        <bottom style="thin">
          <color auto="1"/>
        </bottom>
        <vertical/>
        <horizontal/>
      </border>
    </dxf>
    <dxf>
      <border>
        <bottom style="thin">
          <color auto="1"/>
        </bottom>
        <vertical/>
        <horizontal/>
      </border>
    </dxf>
    <dxf>
      <fill>
        <patternFill patternType="darkGray">
          <fgColor auto="1"/>
        </patternFill>
      </fill>
    </dxf>
    <dxf>
      <fill>
        <patternFill>
          <bgColor rgb="FFFFC000"/>
        </patternFill>
      </fill>
    </dxf>
    <dxf>
      <fill>
        <patternFill>
          <bgColor rgb="FFFFC000"/>
        </patternFill>
      </fill>
    </dxf>
    <dxf>
      <fill>
        <patternFill patternType="darkGray">
          <fgColor auto="1"/>
        </patternFill>
      </fill>
    </dxf>
    <dxf>
      <fill>
        <patternFill>
          <bgColor rgb="FFFFC000"/>
        </patternFill>
      </fill>
    </dxf>
    <dxf>
      <fill>
        <patternFill>
          <bgColor rgb="FFFFC000"/>
        </patternFill>
      </fill>
    </dxf>
    <dxf>
      <fill>
        <patternFill patternType="darkGray">
          <fgColor auto="1"/>
        </patternFill>
      </fill>
    </dxf>
    <dxf>
      <fill>
        <patternFill>
          <bgColor rgb="FFFFC000"/>
        </patternFill>
      </fill>
    </dxf>
    <dxf>
      <fill>
        <patternFill>
          <bgColor rgb="FFFFC000"/>
        </patternFill>
      </fill>
    </dxf>
    <dxf>
      <fill>
        <patternFill patternType="darkGray">
          <fgColor auto="1"/>
        </patternFill>
      </fill>
    </dxf>
    <dxf>
      <fill>
        <patternFill patternType="darkGray">
          <fgColor auto="1"/>
        </patternFill>
      </fill>
    </dxf>
    <dxf>
      <fill>
        <patternFill patternType="darkGray">
          <fgColor auto="1"/>
        </patternFill>
      </fill>
    </dxf>
    <dxf>
      <fill>
        <patternFill>
          <bgColor rgb="FFFFC000"/>
        </patternFill>
      </fill>
    </dxf>
    <dxf>
      <fill>
        <patternFill patternType="darkGray">
          <fgColor auto="1"/>
        </patternFill>
      </fill>
    </dxf>
    <dxf>
      <border>
        <bottom style="thin">
          <color auto="1"/>
        </bottom>
        <vertical/>
        <horizontal/>
      </border>
    </dxf>
    <dxf>
      <border>
        <bottom style="thin">
          <color auto="1"/>
        </bottom>
        <vertical/>
        <horizontal/>
      </border>
    </dxf>
    <dxf>
      <border>
        <bottom style="thin">
          <color auto="1"/>
        </bottom>
        <vertical/>
        <horizontal/>
      </border>
    </dxf>
    <dxf>
      <fill>
        <patternFill>
          <bgColor rgb="FFFF0000"/>
        </patternFill>
      </fill>
    </dxf>
    <dxf>
      <fill>
        <patternFill>
          <bgColor rgb="FFFF0000"/>
        </patternFill>
      </fill>
    </dxf>
    <dxf>
      <fill>
        <patternFill>
          <bgColor rgb="FFFF0000"/>
        </patternFill>
      </fill>
    </dxf>
    <dxf>
      <font>
        <color auto="1"/>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rgb="FFFFC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chemeClr val="accent3"/>
            </a:solidFill>
            <a:ln>
              <a:noFill/>
            </a:ln>
            <a:effectLst/>
          </c:spPr>
          <c:invertIfNegative val="0"/>
          <c:cat>
            <c:numRef>
              <c:f>SA_inputs!$D$17:$AG$17</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SA_inputs!$D$20:$AG$20</c:f>
              <c:numCache>
                <c:formatCode>General</c:formatCode>
                <c:ptCount val="3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BD32-4AE0-BFA1-CB611724EA2E}"/>
            </c:ext>
          </c:extLst>
        </c:ser>
        <c:dLbls>
          <c:showLegendKey val="0"/>
          <c:showVal val="0"/>
          <c:showCatName val="0"/>
          <c:showSerName val="0"/>
          <c:showPercent val="0"/>
          <c:showBubbleSize val="0"/>
        </c:dLbls>
        <c:gapWidth val="150"/>
        <c:axId val="2108445216"/>
        <c:axId val="2108452288"/>
      </c:barChart>
      <c:catAx>
        <c:axId val="2108445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 of the project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52288"/>
        <c:crosses val="autoZero"/>
        <c:auto val="1"/>
        <c:lblAlgn val="ctr"/>
        <c:lblOffset val="100"/>
        <c:noMultiLvlLbl val="0"/>
      </c:catAx>
      <c:valAx>
        <c:axId val="210845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4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19050</xdr:rowOff>
    </xdr:from>
    <xdr:to>
      <xdr:col>5</xdr:col>
      <xdr:colOff>323850</xdr:colOff>
      <xdr:row>41</xdr:row>
      <xdr:rowOff>142875</xdr:rowOff>
    </xdr:to>
    <xdr:sp macro="" textlink="">
      <xdr:nvSpPr>
        <xdr:cNvPr id="2" name="TextBox 1">
          <a:extLst>
            <a:ext uri="{FF2B5EF4-FFF2-40B4-BE49-F238E27FC236}">
              <a16:creationId xmlns:a16="http://schemas.microsoft.com/office/drawing/2014/main" id="{4933FBF4-BE9F-E9AF-503B-CB523AD784ED}"/>
            </a:ext>
          </a:extLst>
        </xdr:cNvPr>
        <xdr:cNvSpPr txBox="1"/>
      </xdr:nvSpPr>
      <xdr:spPr>
        <a:xfrm>
          <a:off x="0" y="2114550"/>
          <a:ext cx="5876925" cy="5838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u="sng"/>
            <a:t>NO REUSE AVAILABLE FOR PUBLIC</a:t>
          </a:r>
          <a:r>
            <a:rPr lang="en-GB" sz="1100" b="1" u="sng" baseline="0"/>
            <a:t> GITHUB REPOSITORY</a:t>
          </a:r>
          <a:endParaRPr lang="en-GB" sz="1100" b="1" u="sng"/>
        </a:p>
        <a:p>
          <a:pPr marL="0" marR="0" lvl="0" indent="0" defTabSz="914400" eaLnBrk="1" fontAlgn="auto" latinLnBrk="0" hangingPunct="1">
            <a:lnSpc>
              <a:spcPct val="100000"/>
            </a:lnSpc>
            <a:spcBef>
              <a:spcPts val="0"/>
            </a:spcBef>
            <a:spcAft>
              <a:spcPts val="0"/>
            </a:spcAft>
            <a:buClrTx/>
            <a:buSzTx/>
            <a:buFontTx/>
            <a:buNone/>
            <a:tabLst/>
            <a:defRPr/>
          </a:pPr>
          <a:endParaRPr lang="en-GB" sz="1100" b="1"/>
        </a:p>
        <a:p>
          <a:pPr marL="0" marR="0" lvl="0" indent="0" defTabSz="914400" eaLnBrk="1" fontAlgn="auto" latinLnBrk="0" hangingPunct="1">
            <a:lnSpc>
              <a:spcPct val="100000"/>
            </a:lnSpc>
            <a:spcBef>
              <a:spcPts val="0"/>
            </a:spcBef>
            <a:spcAft>
              <a:spcPts val="0"/>
            </a:spcAft>
            <a:buClrTx/>
            <a:buSzTx/>
            <a:buFontTx/>
            <a:buNone/>
            <a:tabLst/>
            <a:defRPr/>
          </a:pPr>
          <a:r>
            <a:rPr lang="en-GB" sz="1100" b="1"/>
            <a:t>Use previous</a:t>
          </a:r>
          <a:r>
            <a:rPr lang="en-GB" sz="1100" b="1" baseline="0"/>
            <a:t> run directory (string)</a:t>
          </a:r>
          <a:br>
            <a:rPr lang="en-GB" sz="1100" b="1" baseline="0"/>
          </a:br>
          <a:r>
            <a:rPr lang="en-GB" sz="1100" b="0" baseline="0"/>
            <a:t>If a path is defined, the following files will be copied from that directory:</a:t>
          </a:r>
          <a:br>
            <a:rPr lang="en-GB" sz="1100" b="0" baseline="0"/>
          </a:br>
          <a:r>
            <a:rPr lang="en-GB" sz="1100" b="0" baseline="0"/>
            <a:t>  - Inputs about technologies:</a:t>
          </a:r>
          <a:br>
            <a:rPr lang="en-GB" sz="1100" b="0" baseline="0"/>
          </a:br>
          <a:r>
            <a:rPr lang="en-GB" sz="1100" b="0" baseline="0"/>
            <a:t>    - wtg.yaml</a:t>
          </a:r>
        </a:p>
        <a:p>
          <a:pPr marL="0" marR="0" lvl="0" indent="0" defTabSz="914400" eaLnBrk="1" fontAlgn="auto" latinLnBrk="0" hangingPunct="1">
            <a:lnSpc>
              <a:spcPct val="100000"/>
            </a:lnSpc>
            <a:spcBef>
              <a:spcPts val="0"/>
            </a:spcBef>
            <a:spcAft>
              <a:spcPts val="0"/>
            </a:spcAft>
            <a:buClrTx/>
            <a:buSzTx/>
            <a:buFontTx/>
            <a:buNone/>
            <a:tabLst/>
            <a:defRPr/>
          </a:pPr>
          <a:r>
            <a:rPr lang="en-GB" sz="1100" b="0" baseline="0"/>
            <a:t>    - wec.yaml</a:t>
          </a:r>
          <a:br>
            <a:rPr lang="en-GB" sz="1100" b="0" baseline="0"/>
          </a:br>
          <a:r>
            <a:rPr lang="en-GB" sz="1100" b="0" baseline="0"/>
            <a:t>    - pv.yaml</a:t>
          </a:r>
          <a:br>
            <a:rPr lang="en-GB" sz="1100" b="0" baseline="0"/>
          </a:br>
          <a:r>
            <a:rPr lang="en-GB" sz="1100" b="0" baseline="0"/>
            <a:t>  - Metocean timeseries:</a:t>
          </a:r>
          <a:br>
            <a:rPr lang="en-GB" sz="1100" b="0" baseline="0"/>
          </a:br>
          <a:r>
            <a:rPr lang="en-GB" sz="1100" b="0" baseline="0"/>
            <a:t>    - inputs_tseries.yaml</a:t>
          </a:r>
          <a:br>
            <a:rPr lang="en-GB" sz="1100" b="0" baseline="0"/>
          </a:br>
          <a:r>
            <a:rPr lang="en-GB" sz="1100" b="0" baseline="0"/>
            <a:t>    - metocean.csv;</a:t>
          </a:r>
          <a:br>
            <a:rPr lang="en-GB" sz="1100" b="0" baseline="0"/>
          </a:br>
          <a:r>
            <a:rPr lang="en-GB" sz="1100" b="0" baseline="0"/>
            <a:t>    - timeseries_daylight.csv;</a:t>
          </a:r>
          <a:br>
            <a:rPr lang="en-GB" sz="1100" b="0" baseline="0"/>
          </a:br>
          <a:r>
            <a:rPr lang="en-GB" sz="1100" b="0" baseline="0"/>
            <a:t>    - timeseries_power.csv;</a:t>
          </a:r>
          <a:br>
            <a:rPr lang="en-GB" sz="1100" b="0" baseline="0"/>
          </a:br>
          <a:br>
            <a:rPr lang="en-GB" sz="1100" b="0" baseline="0"/>
          </a:br>
          <a:r>
            <a:rPr lang="en-GB" sz="1100" b="1">
              <a:solidFill>
                <a:schemeClr val="dk1"/>
              </a:solidFill>
              <a:effectLst/>
              <a:latin typeface="+mn-lt"/>
              <a:ea typeface="+mn-ea"/>
              <a:cs typeface="+mn-cs"/>
            </a:rPr>
            <a:t>Use previous</a:t>
          </a:r>
          <a:r>
            <a:rPr lang="en-GB" sz="1100" b="1" baseline="0">
              <a:solidFill>
                <a:schemeClr val="dk1"/>
              </a:solidFill>
              <a:effectLst/>
              <a:latin typeface="+mn-lt"/>
              <a:ea typeface="+mn-ea"/>
              <a:cs typeface="+mn-cs"/>
            </a:rPr>
            <a:t> TimeSeries Analysis (boolean)</a:t>
          </a:r>
          <a:br>
            <a:rPr lang="en-GB" sz="1100" b="1" baseline="0">
              <a:solidFill>
                <a:schemeClr val="dk1"/>
              </a:solidFill>
              <a:effectLst/>
              <a:latin typeface="+mn-lt"/>
              <a:ea typeface="+mn-ea"/>
              <a:cs typeface="+mn-cs"/>
            </a:rPr>
          </a:br>
          <a:r>
            <a:rPr lang="en-GB" sz="1100" b="0" baseline="0">
              <a:solidFill>
                <a:schemeClr val="dk1"/>
              </a:solidFill>
              <a:effectLst/>
              <a:latin typeface="+mn-lt"/>
              <a:ea typeface="+mn-ea"/>
              <a:cs typeface="+mn-cs"/>
            </a:rPr>
            <a:t>If this value is defined as TRUE, the following files will be copied from the previous run directory:</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Operation related inputs:</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activities.csv;</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workability.csv;</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startability.csv;</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operation_schedule.csv</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Use previous</a:t>
          </a:r>
          <a:r>
            <a:rPr lang="en-GB" sz="1100" b="1" baseline="0">
              <a:solidFill>
                <a:schemeClr val="dk1"/>
              </a:solidFill>
              <a:effectLst/>
              <a:latin typeface="+mn-lt"/>
              <a:ea typeface="+mn-ea"/>
              <a:cs typeface="+mn-cs"/>
            </a:rPr>
            <a:t> Log events file or failure events or power file (string)</a:t>
          </a: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To reuse Log events file is necessary reuse Failure events file</a:t>
          </a: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To reuse Power file is necessary reuse Failure events file and Log events file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GB" sz="1100" b="1" baseline="0">
              <a:solidFill>
                <a:schemeClr val="dk1"/>
              </a:solidFill>
              <a:effectLst/>
              <a:latin typeface="+mn-lt"/>
              <a:ea typeface="+mn-ea"/>
              <a:cs typeface="+mn-cs"/>
            </a:rPr>
          </a:br>
          <a:r>
            <a:rPr lang="en-GB" sz="1100" b="0" baseline="0">
              <a:solidFill>
                <a:schemeClr val="dk1"/>
              </a:solidFill>
              <a:effectLst/>
              <a:latin typeface="+mn-lt"/>
              <a:ea typeface="+mn-ea"/>
              <a:cs typeface="+mn-cs"/>
            </a:rPr>
            <a:t>If a path is defined, the following files will be copied from that directory:</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Simulation run:</a:t>
          </a:r>
        </a:p>
        <a:p>
          <a:pPr marL="0" marR="0" lvl="0" indent="0" defTabSz="914400" eaLnBrk="1" fontAlgn="auto" latinLnBrk="0" hangingPunct="1">
            <a:lnSpc>
              <a:spcPct val="100000"/>
            </a:lnSpc>
            <a:spcBef>
              <a:spcPts val="0"/>
            </a:spcBef>
            <a:spcAft>
              <a:spcPts val="0"/>
            </a:spcAft>
            <a:buClrTx/>
            <a:buSzTx/>
            <a:buFontTx/>
            <a:buNone/>
            <a:tabLst/>
            <a:defRPr/>
          </a:pPr>
          <a:r>
            <a:rPr lang="en-GB" sz="1100" b="0" baseline="0">
              <a:solidFill>
                <a:schemeClr val="dk1"/>
              </a:solidFill>
              <a:effectLst/>
              <a:latin typeface="+mn-lt"/>
              <a:ea typeface="+mn-ea"/>
              <a:cs typeface="+mn-cs"/>
            </a:rPr>
            <a:t>    - dates_failures.csv</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log_events.csv;</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log_events_merged.csv;</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wave_preventive_energy.csv;</a:t>
          </a:r>
          <a:br>
            <a:rPr lang="en-GB" sz="1100" b="0" baseline="0">
              <a:solidFill>
                <a:schemeClr val="dk1"/>
              </a:solidFill>
              <a:effectLst/>
              <a:latin typeface="+mn-lt"/>
              <a:ea typeface="+mn-ea"/>
              <a:cs typeface="+mn-cs"/>
            </a:rPr>
          </a:br>
          <a:r>
            <a:rPr lang="en-GB" sz="1100" b="0" baseline="0">
              <a:solidFill>
                <a:schemeClr val="dk1"/>
              </a:solidFill>
              <a:effectLst/>
              <a:latin typeface="+mn-lt"/>
              <a:ea typeface="+mn-ea"/>
              <a:cs typeface="+mn-cs"/>
            </a:rPr>
            <a:t>    - wave_corrective_energy.csv</a:t>
          </a:r>
          <a:endParaRPr lang="en-GB">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32</xdr:col>
      <xdr:colOff>314324</xdr:colOff>
      <xdr:row>28</xdr:row>
      <xdr:rowOff>22500</xdr:rowOff>
    </xdr:to>
    <xdr:graphicFrame macro="">
      <xdr:nvGraphicFramePr>
        <xdr:cNvPr id="2" name="Chart 1">
          <a:extLst>
            <a:ext uri="{FF2B5EF4-FFF2-40B4-BE49-F238E27FC236}">
              <a16:creationId xmlns:a16="http://schemas.microsoft.com/office/drawing/2014/main" id="{2BCA8939-1679-64EF-F238-A1A080553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avec.sharepoint.com/sites/EquipaWavEC/Shared%20Documents/General/20%20Projects/Proj_SCORES/WP5/T5.1/CaseStudies/hybrid/form_v5_hybr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_Vessels"/>
    </sheetNames>
    <sheetDataSet>
      <sheetData sheetId="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3-09-26T13:28:37.15" personId="{00000000-0000-0000-0000-000000000000}" id="{BB43EFF0-E80C-4CC3-B67A-DCFB256162A5}">
    <text>4 possible layouts:
1 - equal strings connected to 1 hub/substation and 1 export cable
2 - farm divided in 2 (2 hub/substations and 2 export cables) with hubs connected
3- farm connected to 1 hub/substation and multiples export cable
4- CPO layout</text>
  </threadedComment>
</ThreadedComments>
</file>

<file path=xl/threadedComments/threadedComment2.xml><?xml version="1.0" encoding="utf-8"?>
<ThreadedComments xmlns="http://schemas.microsoft.com/office/spreadsheetml/2018/threadedcomments" xmlns:x="http://schemas.openxmlformats.org/spreadsheetml/2006/main">
  <threadedComment ref="M3" dT="2022-03-07T15:38:46.25" personId="{00000000-0000-0000-0000-000000000000}" id="{ACEACDFF-9ABF-4010-A06F-C965FBCF0094}">
    <text>Dispositivos sempre on-site (docking station) or travel to site on vessel</text>
  </threadedComment>
  <threadedComment ref="S3" dT="2022-03-07T15:38:46.25" personId="{00000000-0000-0000-0000-000000000000}" id="{D698119D-FA94-4B4B-96A5-81DF87C7D8A3}">
    <text>Dispositivos sempre on-site (docking station) or travel to site on vessel</text>
  </threadedComment>
  <threadedComment ref="V3" dT="2023-09-18T16:36:17.64" personId="{00000000-0000-0000-0000-000000000000}" id="{3F6402F6-0A2D-43C6-96EA-7632AAD372FB}">
    <text>Not real daily_charter but a cost must be included</text>
  </threadedComment>
  <threadedComment ref="V7" dT="2023-09-18T16:36:35.32" personId="{00000000-0000-0000-0000-000000000000}" id="{7FD26017-B7ED-4AC4-8F7C-22C999653350}">
    <text>Not a real daily_charter but a cost must be included</text>
  </threadedComment>
  <threadedComment ref="V8" dT="2023-09-18T16:36:55.82" personId="{00000000-0000-0000-0000-000000000000}" id="{DFA9FFB3-A6D5-4CA9-AE5A-AB1590443305}">
    <text>Not a real daily charter but a cost must be included</text>
  </threadedComment>
</ThreadedComments>
</file>

<file path=xl/threadedComments/threadedComment3.xml><?xml version="1.0" encoding="utf-8"?>
<ThreadedComments xmlns="http://schemas.microsoft.com/office/spreadsheetml/2018/threadedcomments" xmlns:x="http://schemas.openxmlformats.org/spreadsheetml/2006/main">
  <threadedComment ref="K6" dT="2025-10-01T13:40:54.20" personId="{00000000-0000-0000-0000-000000000000}" id="{257FB04F-AD1F-4AB6-A0C2-C6100D3BDFF3}">
    <text>5 m per minute</text>
  </threadedComment>
  <threadedComment ref="K7" dT="2025-10-01T13:40:54.20" personId="{00000000-0000-0000-0000-000000000000}" id="{63657B79-B8EA-4327-87A3-D47AA13BFEE3}">
    <text>5 m per minute</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5-10-01T14:10:30.65" personId="{00000000-0000-0000-0000-000000000000}" id="{16EDFF92-E536-4039-BEA5-B3A786681647}">
    <text>nº power electronic * power device</text>
  </threadedComment>
  <threadedComment ref="D3" dT="2025-10-01T14:11:44.91" personId="{00000000-0000-0000-0000-000000000000}" id="{F9E207A3-335E-4CD1-8FF5-4AAEC86E5BAB}">
    <text>10000 h of work / 8760 * CF of 30%</text>
  </threadedComment>
  <threadedComment ref="C4" dT="2025-10-01T14:13:57.22" personId="{00000000-0000-0000-0000-000000000000}" id="{1DE308C3-0399-4E8B-A637-E2239239D80D}">
    <text>nº power electronic * power device</text>
  </threadedComment>
</ThreadedComments>
</file>

<file path=xl/threadedComments/threadedComment5.xml><?xml version="1.0" encoding="utf-8"?>
<ThreadedComments xmlns="http://schemas.microsoft.com/office/spreadsheetml/2018/threadedcomments" xmlns:x="http://schemas.openxmlformats.org/spreadsheetml/2006/main">
  <threadedComment ref="C4" dT="2021-12-21T17:33:19.81" personId="{00000000-0000-0000-0000-000000000000}" id="{637EEE0E-D2EA-4CBF-B6E8-92BFA38AD7C1}">
    <text>Based on found specification sheet main engine rated power: http://www.dofsubsea.com/media/1300/skandi-vinland.pdf</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8642-2F78-4756-9D48-A4F6AE11FC4F}">
  <dimension ref="B2:C6"/>
  <sheetViews>
    <sheetView workbookViewId="0">
      <selection activeCell="F31" sqref="F31"/>
    </sheetView>
  </sheetViews>
  <sheetFormatPr defaultRowHeight="15" x14ac:dyDescent="0.25"/>
  <sheetData>
    <row r="2" spans="2:3" x14ac:dyDescent="0.25">
      <c r="B2" s="3"/>
      <c r="C2" t="s">
        <v>0</v>
      </c>
    </row>
    <row r="3" spans="2:3" x14ac:dyDescent="0.25">
      <c r="B3" t="s">
        <v>1</v>
      </c>
      <c r="C3" t="s">
        <v>2</v>
      </c>
    </row>
    <row r="4" spans="2:3" x14ac:dyDescent="0.25">
      <c r="B4" t="s">
        <v>3</v>
      </c>
      <c r="C4" t="s">
        <v>4</v>
      </c>
    </row>
    <row r="5" spans="2:3" x14ac:dyDescent="0.25">
      <c r="B5" t="s">
        <v>5</v>
      </c>
      <c r="C5" t="s">
        <v>6</v>
      </c>
    </row>
    <row r="6" spans="2:3" x14ac:dyDescent="0.25">
      <c r="B6" t="s">
        <v>7</v>
      </c>
      <c r="C6"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E77E-3C5A-4D53-AB7F-8F772DDDC86A}">
  <sheetPr>
    <tabColor theme="4" tint="0.39997558519241921"/>
  </sheetPr>
  <dimension ref="A1:C26"/>
  <sheetViews>
    <sheetView zoomScaleNormal="100" workbookViewId="0">
      <selection activeCell="A2" sqref="A2:A9"/>
    </sheetView>
  </sheetViews>
  <sheetFormatPr defaultRowHeight="15" x14ac:dyDescent="0.25"/>
  <cols>
    <col min="1" max="1" width="41.5703125" customWidth="1"/>
    <col min="2" max="2" width="10.7109375" customWidth="1"/>
    <col min="3" max="3" width="12.7109375" customWidth="1"/>
  </cols>
  <sheetData>
    <row r="1" spans="1:3" x14ac:dyDescent="0.25">
      <c r="A1" t="s">
        <v>9</v>
      </c>
      <c r="B1" t="s">
        <v>10</v>
      </c>
      <c r="C1" t="s">
        <v>11</v>
      </c>
    </row>
    <row r="2" spans="1:3" x14ac:dyDescent="0.25">
      <c r="A2" t="s">
        <v>12</v>
      </c>
      <c r="B2" t="s">
        <v>13</v>
      </c>
      <c r="C2" s="74"/>
    </row>
    <row r="3" spans="1:3" x14ac:dyDescent="0.25">
      <c r="A3" t="s">
        <v>14</v>
      </c>
      <c r="B3" t="s">
        <v>13</v>
      </c>
      <c r="C3" s="32" t="b">
        <v>0</v>
      </c>
    </row>
    <row r="4" spans="1:3" x14ac:dyDescent="0.25">
      <c r="A4" t="s">
        <v>15</v>
      </c>
      <c r="B4" t="s">
        <v>13</v>
      </c>
      <c r="C4" s="32">
        <v>10</v>
      </c>
    </row>
    <row r="5" spans="1:3" x14ac:dyDescent="0.25">
      <c r="A5" s="49" t="s">
        <v>16</v>
      </c>
      <c r="B5" s="50" t="s">
        <v>13</v>
      </c>
      <c r="C5" s="49"/>
    </row>
    <row r="6" spans="1:3" x14ac:dyDescent="0.25">
      <c r="A6" t="s">
        <v>17</v>
      </c>
      <c r="B6" t="s">
        <v>13</v>
      </c>
      <c r="C6" s="32"/>
    </row>
    <row r="7" spans="1:3" x14ac:dyDescent="0.25">
      <c r="A7" s="49" t="s">
        <v>18</v>
      </c>
      <c r="B7" s="50" t="s">
        <v>13</v>
      </c>
      <c r="C7" s="51"/>
    </row>
    <row r="8" spans="1:3" x14ac:dyDescent="0.25">
      <c r="A8" s="49" t="s">
        <v>19</v>
      </c>
      <c r="B8" t="s">
        <v>13</v>
      </c>
      <c r="C8" s="74"/>
    </row>
    <row r="9" spans="1:3" x14ac:dyDescent="0.25">
      <c r="A9" s="49" t="s">
        <v>444</v>
      </c>
      <c r="B9" s="49" t="s">
        <v>13</v>
      </c>
      <c r="C9" s="21"/>
    </row>
    <row r="10" spans="1:3" x14ac:dyDescent="0.25">
      <c r="C10" s="21"/>
    </row>
    <row r="11" spans="1:3" x14ac:dyDescent="0.25">
      <c r="C11" s="22"/>
    </row>
    <row r="12" spans="1:3" x14ac:dyDescent="0.25">
      <c r="C12" s="24"/>
    </row>
    <row r="13" spans="1:3" x14ac:dyDescent="0.25">
      <c r="C13" s="24"/>
    </row>
    <row r="14" spans="1:3" x14ac:dyDescent="0.25">
      <c r="C14" s="24"/>
    </row>
    <row r="15" spans="1:3" x14ac:dyDescent="0.25">
      <c r="C15" s="24"/>
    </row>
    <row r="16" spans="1:3" x14ac:dyDescent="0.25">
      <c r="C16" s="24"/>
    </row>
    <row r="17" spans="3:3" x14ac:dyDescent="0.25">
      <c r="C17" s="22"/>
    </row>
    <row r="18" spans="3:3" x14ac:dyDescent="0.25">
      <c r="C18" s="22"/>
    </row>
    <row r="19" spans="3:3" x14ac:dyDescent="0.25">
      <c r="C19" s="21"/>
    </row>
    <row r="20" spans="3:3" x14ac:dyDescent="0.25">
      <c r="C20" s="21"/>
    </row>
    <row r="21" spans="3:3" x14ac:dyDescent="0.25">
      <c r="C21" s="17"/>
    </row>
    <row r="22" spans="3:3" x14ac:dyDescent="0.25">
      <c r="C22" s="22"/>
    </row>
    <row r="23" spans="3:3" x14ac:dyDescent="0.25">
      <c r="C23" s="24"/>
    </row>
    <row r="24" spans="3:3" x14ac:dyDescent="0.25">
      <c r="C24" s="17"/>
    </row>
    <row r="25" spans="3:3" x14ac:dyDescent="0.25">
      <c r="C25" s="17"/>
    </row>
    <row r="26" spans="3:3" x14ac:dyDescent="0.25">
      <c r="C26" s="17"/>
    </row>
  </sheetData>
  <conditionalFormatting sqref="C5">
    <cfRule type="expression" dxfId="85" priority="1">
      <formula>AND(ISBLANK($C$3),$C$5&lt;&gt;FALSE)</formula>
    </cfRule>
    <cfRule type="expression" dxfId="84" priority="2">
      <formula>AND($C$3&lt;&gt;TRUE, $C$5&lt;&gt;FALSE)</formula>
    </cfRule>
  </conditionalFormatting>
  <dataValidations count="10">
    <dataValidation type="decimal" operator="greaterThan" allowBlank="1" showInputMessage="1" showErrorMessage="1" sqref="C24:C26" xr:uid="{66695783-C8F6-473A-B18D-5A5D848AD511}">
      <formula1>0</formula1>
    </dataValidation>
    <dataValidation type="whole" allowBlank="1" showInputMessage="1" showErrorMessage="1" sqref="C23" xr:uid="{6FDF200D-25A5-4EC4-9650-CC9F0B087055}">
      <formula1>1</formula1>
      <formula2>31</formula2>
    </dataValidation>
    <dataValidation type="decimal" operator="greaterThanOrEqual" allowBlank="1" showInputMessage="1" showErrorMessage="1" sqref="C22" xr:uid="{5D3D36C0-A61A-4A27-ADCC-85D3DD515434}">
      <formula1>0</formula1>
    </dataValidation>
    <dataValidation type="decimal" operator="greaterThanOrEqual" allowBlank="1" showInputMessage="1" showErrorMessage="1" errorTitle="Wrong input" error="It must be a decimal greater than or equal to 0.0." sqref="C18" xr:uid="{8F121728-4596-488B-8EEA-85ACD87F0C97}">
      <formula1>0</formula1>
    </dataValidation>
    <dataValidation type="decimal" operator="greaterThan" allowBlank="1" showInputMessage="1" showErrorMessage="1" errorTitle="Wrong input" error="It must be a decimal greater than 0.0." sqref="C11:C17" xr:uid="{D3F1DF8A-5D10-48C5-B065-C9DC10DD97CB}">
      <formula1>0</formula1>
    </dataValidation>
    <dataValidation allowBlank="1" showInputMessage="1" showErrorMessage="1" errorTitle="Wrong input" error="It must be a decimal between -90.0 and 90.0." sqref="C4" xr:uid="{4BC3F61A-A6FB-4B96-B4DC-F02B2507BB78}"/>
    <dataValidation type="whole" operator="greaterThanOrEqual" allowBlank="1" showInputMessage="1" showErrorMessage="1" errorTitle="Wrong input" error="It must be an integer greater than or equal to 0." sqref="C19" xr:uid="{887137AB-774C-45A7-8462-C3103B7425B0}">
      <formula1>0</formula1>
    </dataValidation>
    <dataValidation type="custom" allowBlank="1" showInputMessage="1" showErrorMessage="1" errorTitle="Wrong input" error="It must be a decimal greater than 0 and less than or equal to 1." sqref="C20" xr:uid="{D31430B8-894F-4961-AF78-9FBE68652133}">
      <formula1>AND(ISNUMBER(C20), C20&gt;0, C20&lt;=1)</formula1>
    </dataValidation>
    <dataValidation type="list" allowBlank="1" showInputMessage="1" showErrorMessage="1" errorTitle="Wrong input" error="It must be a decimal between -90.0 and 90.0." sqref="C3 C6" xr:uid="{C015EBD6-02CE-41E5-8F44-BA6360311F94}">
      <formula1>"TRUE,FALSE"</formula1>
    </dataValidation>
    <dataValidation type="list" allowBlank="1" showInputMessage="1" showErrorMessage="1" sqref="C5" xr:uid="{77ADF5B8-A6A4-4CAE-9E71-98D2CBC23809}">
      <formula1>"TRUE,FALSE"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487F7F9-E2D2-493F-AF87-B4395CBBA365}">
          <x14:formula1>
            <xm:f>SA_Failures!$A$3:$A$12</xm:f>
          </x14:formula1>
          <xm:sqref>H20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48B89-4A51-4457-90E8-BEFF1A19A74D}">
  <sheetPr>
    <tabColor theme="4" tint="0.39997558519241921"/>
  </sheetPr>
  <dimension ref="A1:C17"/>
  <sheetViews>
    <sheetView workbookViewId="0">
      <selection activeCell="C14" sqref="C14"/>
    </sheetView>
  </sheetViews>
  <sheetFormatPr defaultRowHeight="15" x14ac:dyDescent="0.25"/>
  <cols>
    <col min="1" max="1" width="40.7109375" customWidth="1"/>
    <col min="2" max="2" width="10.7109375" customWidth="1"/>
    <col min="3" max="3" width="12.7109375" customWidth="1"/>
    <col min="4" max="4" width="18.42578125" customWidth="1"/>
    <col min="5" max="5" width="15.5703125" customWidth="1"/>
    <col min="6" max="6" width="21.42578125" customWidth="1"/>
    <col min="7" max="7" width="13.5703125" customWidth="1"/>
    <col min="8" max="8" width="12.7109375" customWidth="1"/>
  </cols>
  <sheetData>
    <row r="1" spans="1:3" x14ac:dyDescent="0.25">
      <c r="A1" t="s">
        <v>20</v>
      </c>
      <c r="B1" t="s">
        <v>21</v>
      </c>
      <c r="C1" t="s">
        <v>22</v>
      </c>
    </row>
    <row r="2" spans="1:3" x14ac:dyDescent="0.25">
      <c r="A2" t="s">
        <v>23</v>
      </c>
      <c r="B2" t="s">
        <v>13</v>
      </c>
      <c r="C2">
        <v>0</v>
      </c>
    </row>
    <row r="3" spans="1:3" x14ac:dyDescent="0.25">
      <c r="A3" t="s">
        <v>24</v>
      </c>
      <c r="B3" t="s">
        <v>25</v>
      </c>
    </row>
    <row r="4" spans="1:3" x14ac:dyDescent="0.25">
      <c r="A4" t="s">
        <v>26</v>
      </c>
      <c r="B4" t="s">
        <v>27</v>
      </c>
      <c r="C4" s="2"/>
    </row>
    <row r="5" spans="1:3" x14ac:dyDescent="0.25">
      <c r="A5" t="s">
        <v>28</v>
      </c>
      <c r="B5" t="s">
        <v>27</v>
      </c>
      <c r="C5" s="2"/>
    </row>
    <row r="6" spans="1:3" x14ac:dyDescent="0.25">
      <c r="A6" t="s">
        <v>29</v>
      </c>
      <c r="B6" t="s">
        <v>30</v>
      </c>
      <c r="C6" s="2"/>
    </row>
    <row r="7" spans="1:3" x14ac:dyDescent="0.25">
      <c r="A7" t="s">
        <v>31</v>
      </c>
      <c r="B7" t="s">
        <v>13</v>
      </c>
    </row>
    <row r="8" spans="1:3" x14ac:dyDescent="0.25">
      <c r="A8" t="s">
        <v>32</v>
      </c>
      <c r="B8" t="s">
        <v>13</v>
      </c>
      <c r="C8" s="1"/>
    </row>
    <row r="9" spans="1:3" x14ac:dyDescent="0.25">
      <c r="A9" t="s">
        <v>33</v>
      </c>
      <c r="B9" t="s">
        <v>13</v>
      </c>
      <c r="C9" s="1"/>
    </row>
    <row r="10" spans="1:3" x14ac:dyDescent="0.25">
      <c r="A10" t="s">
        <v>438</v>
      </c>
      <c r="B10" t="s">
        <v>13</v>
      </c>
      <c r="C10" s="1"/>
    </row>
    <row r="11" spans="1:3" x14ac:dyDescent="0.25">
      <c r="A11" t="s">
        <v>34</v>
      </c>
      <c r="B11" t="s">
        <v>13</v>
      </c>
    </row>
    <row r="12" spans="1:3" x14ac:dyDescent="0.25">
      <c r="A12" t="s">
        <v>35</v>
      </c>
      <c r="B12" t="s">
        <v>13</v>
      </c>
    </row>
    <row r="13" spans="1:3" x14ac:dyDescent="0.25">
      <c r="A13" t="s">
        <v>36</v>
      </c>
      <c r="B13" t="s">
        <v>13</v>
      </c>
      <c r="C13" s="25"/>
    </row>
    <row r="14" spans="1:3" x14ac:dyDescent="0.25">
      <c r="A14" t="s">
        <v>431</v>
      </c>
      <c r="B14" t="s">
        <v>13</v>
      </c>
      <c r="C14" s="25"/>
    </row>
    <row r="15" spans="1:3" x14ac:dyDescent="0.25">
      <c r="A15" s="49" t="s">
        <v>436</v>
      </c>
      <c r="B15" t="s">
        <v>13</v>
      </c>
    </row>
    <row r="16" spans="1:3" x14ac:dyDescent="0.25">
      <c r="A16" s="49" t="s">
        <v>437</v>
      </c>
      <c r="B16" t="s">
        <v>13</v>
      </c>
    </row>
    <row r="17" spans="1:2" x14ac:dyDescent="0.25">
      <c r="A17" t="s">
        <v>457</v>
      </c>
      <c r="B17" t="s">
        <v>321</v>
      </c>
    </row>
  </sheetData>
  <conditionalFormatting sqref="C9:C10">
    <cfRule type="expression" dxfId="83" priority="1">
      <formula>MOD($C$2/$C$9,1)&lt;&gt;0</formula>
    </cfRule>
  </conditionalFormatting>
  <dataValidations count="8">
    <dataValidation type="whole" operator="greaterThanOrEqual" allowBlank="1" showInputMessage="1" showErrorMessage="1" errorTitle="Wrong input" error="It must be an integer greater than or equal to 0." sqref="C2" xr:uid="{6611E6D6-C544-4555-8140-1AF56C213EE2}">
      <formula1>0</formula1>
    </dataValidation>
    <dataValidation type="decimal" operator="greaterThan" allowBlank="1" showInputMessage="1" showErrorMessage="1" errorTitle="Wrong input" error="It must be a decimal greater than 0.0." sqref="C3" xr:uid="{E76F230B-0901-4791-84BF-C6F95AAFECF0}">
      <formula1>0</formula1>
    </dataValidation>
    <dataValidation type="custom" operator="lessThan" allowBlank="1" showInputMessage="1" showErrorMessage="1" errorTitle="Wrong input" error="It must be a decimal greater than 0.0 and less than cut-off speed." sqref="C4" xr:uid="{7288F9B6-E106-4414-83C0-8C00C8642888}">
      <formula1>AND(ISNUMBER(C4),IF(ISBLANK(C5),C4&gt;0,AND(C4&gt;0,C4&lt;C5)))</formula1>
    </dataValidation>
    <dataValidation type="custom" operator="lessThan" allowBlank="1" showInputMessage="1" showErrorMessage="1" errorTitle="Wrong input" error="It must be a decimal greater than cut-in speed." sqref="C5:C6" xr:uid="{4270137A-B6BF-464F-88AB-14DEC151D39F}">
      <formula1>AND(ISNUMBER(C5),IF(ISBLANK(C4),C5&gt;0,C5&gt;C4))</formula1>
    </dataValidation>
    <dataValidation type="whole" operator="greaterThanOrEqual" allowBlank="1" showInputMessage="1" showErrorMessage="1" sqref="C8" xr:uid="{55F1E979-1532-48F8-8F43-C93A30FA0814}">
      <formula1>0</formula1>
    </dataValidation>
    <dataValidation type="list" allowBlank="1" showInputMessage="1" showErrorMessage="1" sqref="E4:E21" xr:uid="{65B2FB42-9E7F-4479-AEDC-CC435C9BABDE}">
      <formula1>#REF!</formula1>
    </dataValidation>
    <dataValidation type="whole" operator="greaterThanOrEqual" allowBlank="1" showInputMessage="1" showErrorMessage="1" sqref="C9" xr:uid="{6824B7D9-E9B1-4DB4-91FE-C16A163871AC}">
      <formula1>1</formula1>
    </dataValidation>
    <dataValidation type="list" allowBlank="1" showInputMessage="1" showErrorMessage="1" sqref="C14" xr:uid="{1C051500-1A20-4A98-9F9C-F128E748CFF3}">
      <formula1>"False,True"</formula1>
    </dataValidation>
  </dataValidation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EB514-6022-4556-966D-3C9DB5A54B27}">
  <sheetPr>
    <tabColor theme="4" tint="0.39997558519241921"/>
  </sheetPr>
  <dimension ref="A1:C13"/>
  <sheetViews>
    <sheetView workbookViewId="0">
      <selection activeCell="C12" sqref="C12"/>
    </sheetView>
  </sheetViews>
  <sheetFormatPr defaultRowHeight="15" x14ac:dyDescent="0.25"/>
  <cols>
    <col min="1" max="1" width="40.7109375" customWidth="1"/>
    <col min="2" max="2" width="10.7109375" customWidth="1"/>
    <col min="3" max="3" width="12.7109375" customWidth="1"/>
    <col min="4" max="4" width="18.42578125" customWidth="1"/>
    <col min="5" max="5" width="15.5703125" customWidth="1"/>
    <col min="6" max="6" width="21.42578125" customWidth="1"/>
    <col min="7" max="7" width="13.5703125" customWidth="1"/>
    <col min="8" max="8" width="12.7109375" customWidth="1"/>
  </cols>
  <sheetData>
    <row r="1" spans="1:3" x14ac:dyDescent="0.25">
      <c r="A1" t="s">
        <v>20</v>
      </c>
      <c r="B1" t="s">
        <v>21</v>
      </c>
      <c r="C1" t="s">
        <v>22</v>
      </c>
    </row>
    <row r="2" spans="1:3" x14ac:dyDescent="0.25">
      <c r="A2" t="s">
        <v>37</v>
      </c>
      <c r="B2" t="s">
        <v>13</v>
      </c>
      <c r="C2">
        <v>1</v>
      </c>
    </row>
    <row r="3" spans="1:3" x14ac:dyDescent="0.25">
      <c r="A3" t="s">
        <v>38</v>
      </c>
      <c r="B3" t="s">
        <v>39</v>
      </c>
      <c r="C3" s="2">
        <v>400</v>
      </c>
    </row>
    <row r="4" spans="1:3" x14ac:dyDescent="0.25">
      <c r="A4" t="s">
        <v>40</v>
      </c>
      <c r="B4" t="s">
        <v>13</v>
      </c>
      <c r="C4" t="s">
        <v>41</v>
      </c>
    </row>
    <row r="5" spans="1:3" x14ac:dyDescent="0.25">
      <c r="A5" t="s">
        <v>42</v>
      </c>
      <c r="B5" t="s">
        <v>13</v>
      </c>
      <c r="C5" s="2">
        <v>1</v>
      </c>
    </row>
    <row r="6" spans="1:3" x14ac:dyDescent="0.25">
      <c r="A6" t="s">
        <v>443</v>
      </c>
      <c r="B6" t="s">
        <v>13</v>
      </c>
      <c r="C6" s="2"/>
    </row>
    <row r="7" spans="1:3" x14ac:dyDescent="0.25">
      <c r="A7" t="s">
        <v>43</v>
      </c>
      <c r="B7" t="s">
        <v>13</v>
      </c>
      <c r="C7" s="2">
        <v>5</v>
      </c>
    </row>
    <row r="8" spans="1:3" x14ac:dyDescent="0.25">
      <c r="A8" t="s">
        <v>44</v>
      </c>
      <c r="B8" t="s">
        <v>13</v>
      </c>
      <c r="C8">
        <v>1</v>
      </c>
    </row>
    <row r="9" spans="1:3" x14ac:dyDescent="0.25">
      <c r="A9" t="s">
        <v>45</v>
      </c>
      <c r="B9" t="s">
        <v>13</v>
      </c>
      <c r="C9">
        <v>1</v>
      </c>
    </row>
    <row r="10" spans="1:3" x14ac:dyDescent="0.25">
      <c r="A10" s="49" t="s">
        <v>46</v>
      </c>
      <c r="B10" s="50" t="s">
        <v>13</v>
      </c>
      <c r="C10" s="49">
        <v>1</v>
      </c>
    </row>
    <row r="11" spans="1:3" x14ac:dyDescent="0.25">
      <c r="A11" s="49" t="s">
        <v>47</v>
      </c>
      <c r="B11" s="50" t="s">
        <v>13</v>
      </c>
      <c r="C11" s="49">
        <v>0</v>
      </c>
    </row>
    <row r="12" spans="1:3" x14ac:dyDescent="0.25">
      <c r="A12" t="s">
        <v>431</v>
      </c>
      <c r="B12" t="s">
        <v>13</v>
      </c>
      <c r="C12" s="25"/>
    </row>
    <row r="13" spans="1:3" x14ac:dyDescent="0.25">
      <c r="A13" t="s">
        <v>458</v>
      </c>
      <c r="B13" t="s">
        <v>321</v>
      </c>
    </row>
  </sheetData>
  <conditionalFormatting sqref="C7">
    <cfRule type="expression" dxfId="82" priority="1">
      <formula>AND(MOD($C$2/$C$5,1)&lt;&gt;0,$C$7&lt;&gt;5)</formula>
    </cfRule>
  </conditionalFormatting>
  <dataValidations count="4">
    <dataValidation type="decimal" operator="greaterThan" allowBlank="1" showInputMessage="1" showErrorMessage="1" errorTitle="Wrong input" error="It must be a decimal greater than 0.0." sqref="C3" xr:uid="{46D5F1E5-5CE1-40BD-90A9-68D45167A92F}">
      <formula1>0</formula1>
    </dataValidation>
    <dataValidation type="whole" operator="greaterThanOrEqual" allowBlank="1" showInputMessage="1" showErrorMessage="1" errorTitle="Wrong input" error="It must be an integer greater than or equal to 0." sqref="C2" xr:uid="{D28CE923-4317-46E6-903E-B2C2EFE05851}">
      <formula1>0</formula1>
    </dataValidation>
    <dataValidation type="list" allowBlank="1" showInputMessage="1" showErrorMessage="1" sqref="E4:E19" xr:uid="{72619015-34B1-4C7C-8E35-2305E4FE3917}">
      <formula1>#REF!</formula1>
    </dataValidation>
    <dataValidation type="list" allowBlank="1" showInputMessage="1" showErrorMessage="1" sqref="C12" xr:uid="{FFB48D77-8474-4641-BCE4-278E0F4BED6E}">
      <formula1>"False,True"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33D1-2CAB-4398-ADA1-F57E9288811A}">
  <sheetPr>
    <tabColor theme="4" tint="0.39997558519241921"/>
  </sheetPr>
  <dimension ref="A1:C20"/>
  <sheetViews>
    <sheetView workbookViewId="0">
      <selection activeCell="B20" sqref="A1:B20"/>
    </sheetView>
  </sheetViews>
  <sheetFormatPr defaultRowHeight="15" x14ac:dyDescent="0.25"/>
  <cols>
    <col min="1" max="1" width="40.7109375" customWidth="1"/>
    <col min="2" max="2" width="10.7109375" customWidth="1"/>
    <col min="3" max="3" width="12.7109375" customWidth="1"/>
    <col min="4" max="4" width="18.42578125" customWidth="1"/>
    <col min="5" max="5" width="15.5703125" customWidth="1"/>
    <col min="6" max="6" width="21.42578125" customWidth="1"/>
    <col min="7" max="7" width="13.5703125" customWidth="1"/>
    <col min="8" max="8" width="12.7109375" customWidth="1"/>
  </cols>
  <sheetData>
    <row r="1" spans="1:3" x14ac:dyDescent="0.25">
      <c r="A1" t="s">
        <v>20</v>
      </c>
      <c r="B1" t="s">
        <v>21</v>
      </c>
      <c r="C1" t="s">
        <v>22</v>
      </c>
    </row>
    <row r="2" spans="1:3" x14ac:dyDescent="0.25">
      <c r="A2" s="49" t="s">
        <v>48</v>
      </c>
      <c r="B2" s="50" t="s">
        <v>13</v>
      </c>
      <c r="C2" s="76"/>
    </row>
    <row r="3" spans="1:3" x14ac:dyDescent="0.25">
      <c r="A3" s="49" t="s">
        <v>49</v>
      </c>
      <c r="B3" s="50" t="s">
        <v>13</v>
      </c>
      <c r="C3" s="77"/>
    </row>
    <row r="4" spans="1:3" x14ac:dyDescent="0.25">
      <c r="A4" s="49" t="s">
        <v>50</v>
      </c>
      <c r="B4" s="50" t="s">
        <v>13</v>
      </c>
      <c r="C4" s="76"/>
    </row>
    <row r="5" spans="1:3" x14ac:dyDescent="0.25">
      <c r="A5" s="49" t="s">
        <v>51</v>
      </c>
      <c r="B5" s="50" t="s">
        <v>13</v>
      </c>
      <c r="C5" s="76"/>
    </row>
    <row r="6" spans="1:3" x14ac:dyDescent="0.25">
      <c r="A6" s="49" t="s">
        <v>52</v>
      </c>
      <c r="B6" s="49" t="s">
        <v>39</v>
      </c>
      <c r="C6" s="76"/>
    </row>
    <row r="7" spans="1:3" x14ac:dyDescent="0.25">
      <c r="A7" s="49" t="s">
        <v>53</v>
      </c>
      <c r="B7" s="50" t="s">
        <v>13</v>
      </c>
      <c r="C7" s="76"/>
    </row>
    <row r="8" spans="1:3" x14ac:dyDescent="0.25">
      <c r="A8" s="49" t="s">
        <v>54</v>
      </c>
      <c r="B8" s="49"/>
      <c r="C8" s="76"/>
    </row>
    <row r="9" spans="1:3" x14ac:dyDescent="0.25">
      <c r="A9" s="49" t="s">
        <v>55</v>
      </c>
      <c r="B9" s="50" t="s">
        <v>13</v>
      </c>
      <c r="C9" s="78"/>
    </row>
    <row r="10" spans="1:3" x14ac:dyDescent="0.25">
      <c r="A10" s="49" t="s">
        <v>56</v>
      </c>
      <c r="B10" s="50" t="s">
        <v>13</v>
      </c>
      <c r="C10" s="75"/>
    </row>
    <row r="11" spans="1:3" x14ac:dyDescent="0.25">
      <c r="A11" s="49" t="s">
        <v>57</v>
      </c>
      <c r="B11" s="49" t="s">
        <v>58</v>
      </c>
      <c r="C11" s="76"/>
    </row>
    <row r="12" spans="1:3" x14ac:dyDescent="0.25">
      <c r="A12" s="49" t="s">
        <v>59</v>
      </c>
      <c r="B12" s="50" t="s">
        <v>13</v>
      </c>
      <c r="C12" s="76"/>
    </row>
    <row r="13" spans="1:3" x14ac:dyDescent="0.25">
      <c r="A13" s="49" t="s">
        <v>60</v>
      </c>
      <c r="B13" s="50" t="s">
        <v>13</v>
      </c>
      <c r="C13" s="76"/>
    </row>
    <row r="14" spans="1:3" x14ac:dyDescent="0.25">
      <c r="A14" s="49" t="s">
        <v>61</v>
      </c>
      <c r="B14" s="50" t="s">
        <v>13</v>
      </c>
      <c r="C14" s="76"/>
    </row>
    <row r="15" spans="1:3" x14ac:dyDescent="0.25">
      <c r="A15" s="49" t="s">
        <v>62</v>
      </c>
      <c r="B15" s="50" t="s">
        <v>13</v>
      </c>
      <c r="C15" s="76"/>
    </row>
    <row r="16" spans="1:3" x14ac:dyDescent="0.25">
      <c r="A16" s="49" t="s">
        <v>63</v>
      </c>
      <c r="B16" s="50" t="s">
        <v>13</v>
      </c>
      <c r="C16" s="76"/>
    </row>
    <row r="17" spans="1:3" x14ac:dyDescent="0.25">
      <c r="A17" s="49" t="s">
        <v>64</v>
      </c>
      <c r="B17" s="50" t="s">
        <v>13</v>
      </c>
      <c r="C17" s="76"/>
    </row>
    <row r="18" spans="1:3" x14ac:dyDescent="0.25">
      <c r="A18" s="49" t="s">
        <v>65</v>
      </c>
      <c r="B18" s="50" t="s">
        <v>13</v>
      </c>
      <c r="C18" s="76"/>
    </row>
    <row r="19" spans="1:3" x14ac:dyDescent="0.25">
      <c r="A19" t="s">
        <v>431</v>
      </c>
      <c r="B19" t="s">
        <v>13</v>
      </c>
      <c r="C19" s="25"/>
    </row>
    <row r="20" spans="1:3" x14ac:dyDescent="0.25">
      <c r="A20" t="s">
        <v>459</v>
      </c>
      <c r="B20" t="s">
        <v>321</v>
      </c>
    </row>
  </sheetData>
  <dataValidations count="2">
    <dataValidation type="list" allowBlank="1" showInputMessage="1" showErrorMessage="1" sqref="E8:E21" xr:uid="{057FEF9F-03E9-4C57-B73C-DE65F3AB6B93}">
      <formula1>#REF!</formula1>
    </dataValidation>
    <dataValidation type="list" allowBlank="1" showInputMessage="1" showErrorMessage="1" sqref="C19" xr:uid="{A3601537-32ED-4FB4-BF70-44C11BE9CDC5}">
      <formula1>"False,True"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80B83-2B53-46AC-A36E-4262D87FA7B2}">
  <sheetPr>
    <tabColor theme="4" tint="0.39997558519241921"/>
  </sheetPr>
  <dimension ref="A1:X361"/>
  <sheetViews>
    <sheetView topLeftCell="K1" workbookViewId="0">
      <selection activeCell="F14" sqref="F14"/>
    </sheetView>
  </sheetViews>
  <sheetFormatPr defaultRowHeight="15" x14ac:dyDescent="0.25"/>
  <cols>
    <col min="3" max="3" width="14.7109375" bestFit="1" customWidth="1"/>
    <col min="4" max="4" width="16.7109375" customWidth="1"/>
    <col min="5" max="5" width="15.28515625" customWidth="1"/>
    <col min="6" max="6" width="20.28515625" style="2" customWidth="1"/>
    <col min="7" max="7" width="14.5703125" customWidth="1"/>
    <col min="8" max="8" width="17.140625" bestFit="1" customWidth="1"/>
    <col min="9" max="9" width="14.5703125" customWidth="1"/>
    <col min="10" max="11" width="14.5703125" style="1" customWidth="1"/>
    <col min="16" max="23" width="18.7109375" customWidth="1"/>
    <col min="24" max="24" width="50.7109375" customWidth="1"/>
  </cols>
  <sheetData>
    <row r="1" spans="1:24" x14ac:dyDescent="0.25">
      <c r="A1" t="s">
        <v>66</v>
      </c>
      <c r="B1" t="s">
        <v>67</v>
      </c>
      <c r="C1" t="s">
        <v>68</v>
      </c>
      <c r="D1" t="s">
        <v>69</v>
      </c>
      <c r="E1" t="s">
        <v>70</v>
      </c>
      <c r="F1" t="s">
        <v>71</v>
      </c>
      <c r="G1" t="s">
        <v>72</v>
      </c>
      <c r="H1" t="s">
        <v>73</v>
      </c>
      <c r="I1" t="s">
        <v>74</v>
      </c>
      <c r="J1" t="s">
        <v>75</v>
      </c>
      <c r="K1" t="s">
        <v>76</v>
      </c>
      <c r="L1" t="s">
        <v>77</v>
      </c>
      <c r="M1" t="s">
        <v>78</v>
      </c>
      <c r="N1" t="s">
        <v>79</v>
      </c>
      <c r="O1" t="s">
        <v>80</v>
      </c>
      <c r="P1" t="s">
        <v>81</v>
      </c>
      <c r="Q1" t="s">
        <v>82</v>
      </c>
      <c r="R1" t="s">
        <v>83</v>
      </c>
      <c r="S1" t="s">
        <v>84</v>
      </c>
      <c r="T1" s="49" t="s">
        <v>85</v>
      </c>
      <c r="U1" s="49" t="s">
        <v>86</v>
      </c>
      <c r="V1" s="49" t="s">
        <v>87</v>
      </c>
      <c r="W1" s="49" t="s">
        <v>88</v>
      </c>
      <c r="X1" t="s">
        <v>89</v>
      </c>
    </row>
    <row r="2" spans="1:24" x14ac:dyDescent="0.25">
      <c r="A2" t="s">
        <v>13</v>
      </c>
      <c r="E2" t="s">
        <v>27</v>
      </c>
      <c r="F2" t="s">
        <v>27</v>
      </c>
      <c r="G2" t="s">
        <v>90</v>
      </c>
      <c r="H2" t="s">
        <v>91</v>
      </c>
      <c r="I2" t="s">
        <v>90</v>
      </c>
      <c r="J2" t="s">
        <v>13</v>
      </c>
      <c r="K2" t="s">
        <v>13</v>
      </c>
      <c r="L2" t="s">
        <v>92</v>
      </c>
      <c r="M2" t="s">
        <v>13</v>
      </c>
      <c r="N2" t="s">
        <v>13</v>
      </c>
      <c r="O2" t="s">
        <v>13</v>
      </c>
      <c r="P2" t="s">
        <v>445</v>
      </c>
      <c r="Q2" t="s">
        <v>445</v>
      </c>
      <c r="R2" t="s">
        <v>445</v>
      </c>
      <c r="S2" t="s">
        <v>93</v>
      </c>
      <c r="T2" s="50" t="s">
        <v>13</v>
      </c>
      <c r="U2" s="50" t="s">
        <v>13</v>
      </c>
      <c r="V2" s="49" t="s">
        <v>94</v>
      </c>
      <c r="W2" s="49" t="s">
        <v>13</v>
      </c>
    </row>
    <row r="3" spans="1:24" x14ac:dyDescent="0.25">
      <c r="A3" t="s">
        <v>95</v>
      </c>
      <c r="B3" t="s">
        <v>96</v>
      </c>
      <c r="C3" t="str">
        <f t="shared" ref="C3:C10" si="0">_xlfn.CONCAT(A3," - ",B3)</f>
        <v>V001 - Tug</v>
      </c>
      <c r="D3" s="1">
        <v>2</v>
      </c>
      <c r="E3" s="2">
        <v>3</v>
      </c>
      <c r="F3" s="2">
        <v>2</v>
      </c>
      <c r="G3" s="2">
        <v>2500</v>
      </c>
      <c r="H3" s="2">
        <v>0</v>
      </c>
      <c r="I3" s="2">
        <v>0</v>
      </c>
      <c r="J3" s="1">
        <v>2</v>
      </c>
      <c r="L3" s="1">
        <v>600</v>
      </c>
      <c r="N3" t="b">
        <v>0</v>
      </c>
      <c r="O3" t="b">
        <v>0</v>
      </c>
      <c r="P3" s="31"/>
      <c r="Q3" s="31"/>
      <c r="R3" s="31"/>
      <c r="S3" s="49"/>
      <c r="T3" s="49"/>
      <c r="U3" s="49"/>
      <c r="V3" s="49"/>
      <c r="W3" s="49"/>
    </row>
    <row r="4" spans="1:24" x14ac:dyDescent="0.25">
      <c r="A4" t="s">
        <v>97</v>
      </c>
      <c r="B4" t="s">
        <v>98</v>
      </c>
      <c r="C4" t="str">
        <f t="shared" si="0"/>
        <v>V002 - Multicat</v>
      </c>
      <c r="D4" s="1">
        <v>1</v>
      </c>
      <c r="E4" s="2">
        <v>4</v>
      </c>
      <c r="F4" s="2">
        <v>2</v>
      </c>
      <c r="G4" s="2">
        <v>3000</v>
      </c>
      <c r="H4" s="2">
        <v>0</v>
      </c>
      <c r="I4" s="2">
        <v>0</v>
      </c>
      <c r="J4" s="1">
        <v>6</v>
      </c>
      <c r="L4" s="1">
        <v>350</v>
      </c>
      <c r="N4" t="b">
        <v>0</v>
      </c>
      <c r="O4" t="b">
        <v>0</v>
      </c>
      <c r="P4" s="31">
        <v>0.35</v>
      </c>
      <c r="Q4" s="31">
        <v>0.22</v>
      </c>
      <c r="R4" s="31">
        <v>0.1</v>
      </c>
      <c r="S4" s="49"/>
    </row>
    <row r="5" spans="1:24" x14ac:dyDescent="0.25">
      <c r="A5" t="s">
        <v>99</v>
      </c>
      <c r="B5" t="s">
        <v>100</v>
      </c>
      <c r="C5" t="str">
        <f t="shared" si="0"/>
        <v>V003 - AHTS</v>
      </c>
      <c r="D5" s="1">
        <v>1</v>
      </c>
      <c r="E5" s="2">
        <v>5</v>
      </c>
      <c r="F5" s="2">
        <v>2</v>
      </c>
      <c r="G5" s="2">
        <v>4500</v>
      </c>
      <c r="H5" s="2">
        <v>0</v>
      </c>
      <c r="I5" s="2">
        <v>0</v>
      </c>
      <c r="J5" s="1">
        <v>2</v>
      </c>
      <c r="L5" s="1">
        <v>750</v>
      </c>
      <c r="N5" t="b">
        <v>0</v>
      </c>
      <c r="O5" t="b">
        <v>0</v>
      </c>
      <c r="P5" s="31"/>
      <c r="Q5" s="31"/>
      <c r="R5" s="31"/>
      <c r="S5" s="49"/>
    </row>
    <row r="6" spans="1:24" x14ac:dyDescent="0.25">
      <c r="A6" t="s">
        <v>101</v>
      </c>
      <c r="B6" t="s">
        <v>102</v>
      </c>
      <c r="C6" t="str">
        <f t="shared" si="0"/>
        <v>V004 - DSV</v>
      </c>
      <c r="D6" s="1">
        <v>1</v>
      </c>
      <c r="E6" s="2">
        <v>4</v>
      </c>
      <c r="G6" s="2">
        <v>3500</v>
      </c>
      <c r="H6" s="2">
        <v>72</v>
      </c>
      <c r="I6" s="2">
        <v>10000</v>
      </c>
      <c r="J6" s="1">
        <v>12</v>
      </c>
      <c r="L6" s="1">
        <v>250</v>
      </c>
      <c r="N6" t="b">
        <v>0</v>
      </c>
      <c r="O6" t="b">
        <v>0</v>
      </c>
      <c r="P6" s="31">
        <v>0.32</v>
      </c>
      <c r="Q6" s="31">
        <v>0.12</v>
      </c>
      <c r="R6" s="31">
        <v>0.05</v>
      </c>
    </row>
    <row r="7" spans="1:24" x14ac:dyDescent="0.25">
      <c r="A7" t="s">
        <v>103</v>
      </c>
      <c r="B7" t="s">
        <v>104</v>
      </c>
      <c r="C7" t="str">
        <f t="shared" si="0"/>
        <v>V005 - CTV</v>
      </c>
      <c r="D7" s="1">
        <v>2</v>
      </c>
      <c r="E7" s="2">
        <v>8</v>
      </c>
      <c r="G7" s="2">
        <v>2200</v>
      </c>
      <c r="H7" s="2">
        <v>0</v>
      </c>
      <c r="I7" s="2">
        <v>0</v>
      </c>
      <c r="J7" s="1">
        <v>12</v>
      </c>
      <c r="L7" s="1">
        <v>200</v>
      </c>
      <c r="M7" t="s">
        <v>105</v>
      </c>
      <c r="N7" t="b">
        <v>0</v>
      </c>
      <c r="O7" t="b">
        <v>0</v>
      </c>
      <c r="P7" s="31">
        <v>0.4</v>
      </c>
      <c r="Q7" s="31">
        <v>0.05</v>
      </c>
      <c r="R7" s="31">
        <v>0.01</v>
      </c>
    </row>
    <row r="8" spans="1:24" x14ac:dyDescent="0.25">
      <c r="A8" t="s">
        <v>106</v>
      </c>
      <c r="B8" t="s">
        <v>98</v>
      </c>
      <c r="C8" t="str">
        <f t="shared" si="0"/>
        <v>V006 - Multicat</v>
      </c>
      <c r="D8" s="1">
        <v>1</v>
      </c>
      <c r="E8" s="2">
        <v>12</v>
      </c>
      <c r="F8" s="16">
        <v>2</v>
      </c>
      <c r="G8" s="2">
        <v>5600</v>
      </c>
      <c r="H8" s="2">
        <v>168</v>
      </c>
      <c r="I8" s="2">
        <v>1000</v>
      </c>
      <c r="J8" s="1">
        <v>6</v>
      </c>
      <c r="L8" s="1">
        <v>4046</v>
      </c>
      <c r="M8" t="s">
        <v>105</v>
      </c>
      <c r="N8" t="b">
        <v>0</v>
      </c>
      <c r="O8" t="b">
        <v>0</v>
      </c>
      <c r="P8" s="31"/>
      <c r="Q8" s="31"/>
      <c r="R8" s="31"/>
      <c r="S8" s="49"/>
      <c r="T8" s="49"/>
      <c r="U8" s="49"/>
      <c r="V8" s="49"/>
      <c r="W8" s="49"/>
      <c r="X8" t="s">
        <v>107</v>
      </c>
    </row>
    <row r="9" spans="1:24" x14ac:dyDescent="0.25">
      <c r="A9" t="s">
        <v>108</v>
      </c>
      <c r="B9" t="s">
        <v>104</v>
      </c>
      <c r="C9" t="str">
        <f t="shared" si="0"/>
        <v>V101 - CTV</v>
      </c>
      <c r="D9" s="1">
        <v>2</v>
      </c>
      <c r="E9" s="2">
        <v>12</v>
      </c>
      <c r="G9" s="2">
        <v>0</v>
      </c>
      <c r="H9" s="2">
        <v>24</v>
      </c>
      <c r="I9" s="2">
        <v>500</v>
      </c>
      <c r="J9" s="1">
        <v>6</v>
      </c>
      <c r="L9" s="1">
        <v>200</v>
      </c>
      <c r="M9" t="s">
        <v>105</v>
      </c>
      <c r="N9" t="b">
        <v>0</v>
      </c>
      <c r="O9" t="b">
        <v>0</v>
      </c>
      <c r="P9" s="31"/>
      <c r="Q9" s="31"/>
      <c r="R9" s="31"/>
      <c r="S9" s="52">
        <v>900000</v>
      </c>
      <c r="T9" s="53">
        <v>2</v>
      </c>
      <c r="X9" t="s">
        <v>109</v>
      </c>
    </row>
    <row r="10" spans="1:24" x14ac:dyDescent="0.25">
      <c r="A10" t="s">
        <v>110</v>
      </c>
      <c r="B10" t="s">
        <v>104</v>
      </c>
      <c r="C10" t="str">
        <f t="shared" si="0"/>
        <v>V201 - CTV</v>
      </c>
      <c r="D10">
        <v>3</v>
      </c>
      <c r="E10">
        <v>10.3</v>
      </c>
      <c r="G10">
        <v>3800</v>
      </c>
      <c r="H10" s="2">
        <v>24</v>
      </c>
      <c r="I10">
        <v>500</v>
      </c>
      <c r="J10" s="1">
        <v>12</v>
      </c>
      <c r="L10">
        <v>1500</v>
      </c>
      <c r="M10" t="s">
        <v>105</v>
      </c>
      <c r="N10" t="b">
        <v>0</v>
      </c>
      <c r="O10" t="b">
        <v>0</v>
      </c>
    </row>
    <row r="11" spans="1:24" x14ac:dyDescent="0.25">
      <c r="H11" s="2"/>
    </row>
    <row r="12" spans="1:24" x14ac:dyDescent="0.25">
      <c r="H12" s="2"/>
    </row>
    <row r="13" spans="1:24" x14ac:dyDescent="0.25">
      <c r="H13" s="2"/>
    </row>
    <row r="14" spans="1:24" x14ac:dyDescent="0.25">
      <c r="H14" s="2"/>
    </row>
    <row r="15" spans="1:24" x14ac:dyDescent="0.25">
      <c r="H15" s="2"/>
    </row>
    <row r="16" spans="1:24" x14ac:dyDescent="0.25">
      <c r="H16" s="2"/>
    </row>
    <row r="17" spans="8:8" x14ac:dyDescent="0.25">
      <c r="H17" s="2"/>
    </row>
    <row r="18" spans="8:8" x14ac:dyDescent="0.25">
      <c r="H18" s="2"/>
    </row>
    <row r="19" spans="8:8" x14ac:dyDescent="0.25">
      <c r="H19" s="2"/>
    </row>
    <row r="20" spans="8:8" x14ac:dyDescent="0.25">
      <c r="H20" s="2"/>
    </row>
    <row r="21" spans="8:8" x14ac:dyDescent="0.25">
      <c r="H21" s="2"/>
    </row>
    <row r="22" spans="8:8" x14ac:dyDescent="0.25">
      <c r="H22" s="2"/>
    </row>
    <row r="23" spans="8:8" x14ac:dyDescent="0.25">
      <c r="H23" s="2"/>
    </row>
    <row r="24" spans="8:8" x14ac:dyDescent="0.25">
      <c r="H24" s="2"/>
    </row>
    <row r="25" spans="8:8" x14ac:dyDescent="0.25">
      <c r="H25" s="2"/>
    </row>
    <row r="26" spans="8:8" x14ac:dyDescent="0.25">
      <c r="H26" s="2"/>
    </row>
    <row r="27" spans="8:8" x14ac:dyDescent="0.25">
      <c r="H27" s="2"/>
    </row>
    <row r="28" spans="8:8" x14ac:dyDescent="0.25">
      <c r="H28" s="2"/>
    </row>
    <row r="29" spans="8:8" x14ac:dyDescent="0.25">
      <c r="H29" s="2"/>
    </row>
    <row r="30" spans="8:8" x14ac:dyDescent="0.25">
      <c r="H30" s="2"/>
    </row>
    <row r="31" spans="8:8" x14ac:dyDescent="0.25">
      <c r="H31" s="2"/>
    </row>
    <row r="32" spans="8:8" x14ac:dyDescent="0.25">
      <c r="H32" s="2"/>
    </row>
    <row r="33" spans="8:8" x14ac:dyDescent="0.25">
      <c r="H33" s="2"/>
    </row>
    <row r="34" spans="8:8" x14ac:dyDescent="0.25">
      <c r="H34" s="2"/>
    </row>
    <row r="35" spans="8:8" x14ac:dyDescent="0.25">
      <c r="H35" s="2"/>
    </row>
    <row r="36" spans="8:8" x14ac:dyDescent="0.25">
      <c r="H36" s="2"/>
    </row>
    <row r="37" spans="8:8" x14ac:dyDescent="0.25">
      <c r="H37" s="2"/>
    </row>
    <row r="38" spans="8:8" x14ac:dyDescent="0.25">
      <c r="H38" s="2"/>
    </row>
    <row r="39" spans="8:8" x14ac:dyDescent="0.25">
      <c r="H39" s="2"/>
    </row>
    <row r="40" spans="8:8" x14ac:dyDescent="0.25">
      <c r="H40" s="2"/>
    </row>
    <row r="41" spans="8:8" x14ac:dyDescent="0.25">
      <c r="H41" s="2"/>
    </row>
    <row r="42" spans="8:8" x14ac:dyDescent="0.25">
      <c r="H42" s="2"/>
    </row>
    <row r="43" spans="8:8" x14ac:dyDescent="0.25">
      <c r="H43" s="2"/>
    </row>
    <row r="44" spans="8:8" x14ac:dyDescent="0.25">
      <c r="H44" s="2"/>
    </row>
    <row r="45" spans="8:8" x14ac:dyDescent="0.25">
      <c r="H45" s="2"/>
    </row>
    <row r="46" spans="8:8" x14ac:dyDescent="0.25">
      <c r="H46" s="2"/>
    </row>
    <row r="47" spans="8:8" x14ac:dyDescent="0.25">
      <c r="H47" s="2"/>
    </row>
    <row r="48" spans="8:8" x14ac:dyDescent="0.25">
      <c r="H48" s="2"/>
    </row>
    <row r="49" spans="8:8" x14ac:dyDescent="0.25">
      <c r="H49" s="2"/>
    </row>
    <row r="50" spans="8:8" x14ac:dyDescent="0.25">
      <c r="H50" s="2"/>
    </row>
    <row r="51" spans="8:8" x14ac:dyDescent="0.25">
      <c r="H51" s="2"/>
    </row>
    <row r="52" spans="8:8" x14ac:dyDescent="0.25">
      <c r="H52" s="2"/>
    </row>
    <row r="53" spans="8:8" x14ac:dyDescent="0.25">
      <c r="H53" s="2"/>
    </row>
    <row r="54" spans="8:8" x14ac:dyDescent="0.25">
      <c r="H54" s="2"/>
    </row>
    <row r="55" spans="8:8" x14ac:dyDescent="0.25">
      <c r="H55" s="2"/>
    </row>
    <row r="56" spans="8:8" x14ac:dyDescent="0.25">
      <c r="H56" s="2"/>
    </row>
    <row r="57" spans="8:8" x14ac:dyDescent="0.25">
      <c r="H57" s="2"/>
    </row>
    <row r="58" spans="8:8" x14ac:dyDescent="0.25">
      <c r="H58" s="2"/>
    </row>
    <row r="59" spans="8:8" x14ac:dyDescent="0.25">
      <c r="H59" s="2"/>
    </row>
    <row r="60" spans="8:8" x14ac:dyDescent="0.25">
      <c r="H60" s="2"/>
    </row>
    <row r="61" spans="8:8" x14ac:dyDescent="0.25">
      <c r="H61" s="2"/>
    </row>
    <row r="62" spans="8:8" x14ac:dyDescent="0.25">
      <c r="H62" s="2"/>
    </row>
    <row r="63" spans="8:8" x14ac:dyDescent="0.25">
      <c r="H63" s="2"/>
    </row>
    <row r="64" spans="8:8" x14ac:dyDescent="0.25">
      <c r="H64" s="2"/>
    </row>
    <row r="65" spans="8:8" x14ac:dyDescent="0.25">
      <c r="H65" s="2"/>
    </row>
    <row r="66" spans="8:8" x14ac:dyDescent="0.25">
      <c r="H66" s="2"/>
    </row>
    <row r="67" spans="8:8" x14ac:dyDescent="0.25">
      <c r="H67" s="2"/>
    </row>
    <row r="68" spans="8:8" x14ac:dyDescent="0.25">
      <c r="H68" s="2"/>
    </row>
    <row r="69" spans="8:8" x14ac:dyDescent="0.25">
      <c r="H69" s="2"/>
    </row>
    <row r="70" spans="8:8" x14ac:dyDescent="0.25">
      <c r="H70" s="2"/>
    </row>
    <row r="71" spans="8:8" x14ac:dyDescent="0.25">
      <c r="H71" s="2"/>
    </row>
    <row r="72" spans="8:8" x14ac:dyDescent="0.25">
      <c r="H72" s="2"/>
    </row>
    <row r="73" spans="8:8" x14ac:dyDescent="0.25">
      <c r="H73" s="2"/>
    </row>
    <row r="74" spans="8:8" x14ac:dyDescent="0.25">
      <c r="H74" s="2"/>
    </row>
    <row r="75" spans="8:8" x14ac:dyDescent="0.25">
      <c r="H75" s="2"/>
    </row>
    <row r="76" spans="8:8" x14ac:dyDescent="0.25">
      <c r="H76" s="2"/>
    </row>
    <row r="77" spans="8:8" x14ac:dyDescent="0.25">
      <c r="H77" s="2"/>
    </row>
    <row r="78" spans="8:8" x14ac:dyDescent="0.25">
      <c r="H78" s="2"/>
    </row>
    <row r="79" spans="8:8" x14ac:dyDescent="0.25">
      <c r="H79" s="2"/>
    </row>
    <row r="80" spans="8:8" x14ac:dyDescent="0.25">
      <c r="H80" s="2"/>
    </row>
    <row r="81" spans="8:8" x14ac:dyDescent="0.25">
      <c r="H81" s="2"/>
    </row>
    <row r="82" spans="8:8" x14ac:dyDescent="0.25">
      <c r="H82" s="2"/>
    </row>
    <row r="83" spans="8:8" x14ac:dyDescent="0.25">
      <c r="H83" s="2"/>
    </row>
    <row r="84" spans="8:8" x14ac:dyDescent="0.25">
      <c r="H84" s="2"/>
    </row>
    <row r="85" spans="8:8" x14ac:dyDescent="0.25">
      <c r="H85" s="2"/>
    </row>
    <row r="86" spans="8:8" x14ac:dyDescent="0.25">
      <c r="H86" s="2"/>
    </row>
    <row r="87" spans="8:8" x14ac:dyDescent="0.25">
      <c r="H87" s="2"/>
    </row>
    <row r="88" spans="8:8" x14ac:dyDescent="0.25">
      <c r="H88" s="2"/>
    </row>
    <row r="89" spans="8:8" x14ac:dyDescent="0.25">
      <c r="H89" s="2"/>
    </row>
    <row r="90" spans="8:8" x14ac:dyDescent="0.25">
      <c r="H90" s="2"/>
    </row>
    <row r="91" spans="8:8" x14ac:dyDescent="0.25">
      <c r="H91" s="2"/>
    </row>
    <row r="92" spans="8:8" x14ac:dyDescent="0.25">
      <c r="H92" s="2"/>
    </row>
    <row r="93" spans="8:8" x14ac:dyDescent="0.25">
      <c r="H93" s="2"/>
    </row>
    <row r="94" spans="8:8" x14ac:dyDescent="0.25">
      <c r="H94" s="2"/>
    </row>
    <row r="95" spans="8:8" x14ac:dyDescent="0.25">
      <c r="H95" s="2"/>
    </row>
    <row r="96" spans="8:8" x14ac:dyDescent="0.25">
      <c r="H96" s="2"/>
    </row>
    <row r="97" spans="8:8" x14ac:dyDescent="0.25">
      <c r="H97" s="2"/>
    </row>
    <row r="98" spans="8:8" x14ac:dyDescent="0.25">
      <c r="H98" s="2"/>
    </row>
    <row r="99" spans="8:8" x14ac:dyDescent="0.25">
      <c r="H99" s="2"/>
    </row>
    <row r="100" spans="8:8" x14ac:dyDescent="0.25">
      <c r="H100" s="2"/>
    </row>
    <row r="101" spans="8:8" x14ac:dyDescent="0.25">
      <c r="H101" s="2"/>
    </row>
    <row r="102" spans="8:8" x14ac:dyDescent="0.25">
      <c r="H102" s="2"/>
    </row>
    <row r="103" spans="8:8" x14ac:dyDescent="0.25">
      <c r="H103" s="2"/>
    </row>
    <row r="104" spans="8:8" x14ac:dyDescent="0.25">
      <c r="H104" s="2"/>
    </row>
    <row r="105" spans="8:8" x14ac:dyDescent="0.25">
      <c r="H105" s="2"/>
    </row>
    <row r="106" spans="8:8" x14ac:dyDescent="0.25">
      <c r="H106" s="2"/>
    </row>
    <row r="107" spans="8:8" x14ac:dyDescent="0.25">
      <c r="H107" s="2"/>
    </row>
    <row r="108" spans="8:8" x14ac:dyDescent="0.25">
      <c r="H108" s="2"/>
    </row>
    <row r="109" spans="8:8" x14ac:dyDescent="0.25">
      <c r="H109" s="2"/>
    </row>
    <row r="110" spans="8:8" x14ac:dyDescent="0.25">
      <c r="H110" s="2"/>
    </row>
    <row r="111" spans="8:8" x14ac:dyDescent="0.25">
      <c r="H111" s="2"/>
    </row>
    <row r="112" spans="8:8" x14ac:dyDescent="0.25">
      <c r="H112" s="2"/>
    </row>
    <row r="113" spans="8:8" x14ac:dyDescent="0.25">
      <c r="H113" s="2"/>
    </row>
    <row r="114" spans="8:8" x14ac:dyDescent="0.25">
      <c r="H114" s="2"/>
    </row>
    <row r="115" spans="8:8" x14ac:dyDescent="0.25">
      <c r="H115" s="2"/>
    </row>
    <row r="116" spans="8:8" x14ac:dyDescent="0.25">
      <c r="H116" s="2"/>
    </row>
    <row r="117" spans="8:8" x14ac:dyDescent="0.25">
      <c r="H117" s="2"/>
    </row>
    <row r="118" spans="8:8" x14ac:dyDescent="0.25">
      <c r="H118" s="2"/>
    </row>
    <row r="119" spans="8:8" x14ac:dyDescent="0.25">
      <c r="H119" s="2"/>
    </row>
    <row r="120" spans="8:8" x14ac:dyDescent="0.25">
      <c r="H120" s="2"/>
    </row>
    <row r="121" spans="8:8" x14ac:dyDescent="0.25">
      <c r="H121" s="2"/>
    </row>
    <row r="122" spans="8:8" x14ac:dyDescent="0.25">
      <c r="H122" s="2"/>
    </row>
    <row r="123" spans="8:8" x14ac:dyDescent="0.25">
      <c r="H123" s="2"/>
    </row>
    <row r="124" spans="8:8" x14ac:dyDescent="0.25">
      <c r="H124" s="2"/>
    </row>
    <row r="125" spans="8:8" x14ac:dyDescent="0.25">
      <c r="H125" s="2"/>
    </row>
    <row r="126" spans="8:8" x14ac:dyDescent="0.25">
      <c r="H126" s="2"/>
    </row>
    <row r="127" spans="8:8" x14ac:dyDescent="0.25">
      <c r="H127" s="2"/>
    </row>
    <row r="128" spans="8:8" x14ac:dyDescent="0.25">
      <c r="H128" s="2"/>
    </row>
    <row r="129" spans="8:8" x14ac:dyDescent="0.25">
      <c r="H129" s="2"/>
    </row>
    <row r="130" spans="8:8" x14ac:dyDescent="0.25">
      <c r="H130" s="2"/>
    </row>
    <row r="131" spans="8:8" x14ac:dyDescent="0.25">
      <c r="H131" s="2"/>
    </row>
    <row r="132" spans="8:8" x14ac:dyDescent="0.25">
      <c r="H132" s="2"/>
    </row>
    <row r="133" spans="8:8" x14ac:dyDescent="0.25">
      <c r="H133" s="2"/>
    </row>
    <row r="134" spans="8:8" x14ac:dyDescent="0.25">
      <c r="H134" s="2"/>
    </row>
    <row r="135" spans="8:8" x14ac:dyDescent="0.25">
      <c r="H135" s="2"/>
    </row>
    <row r="136" spans="8:8" x14ac:dyDescent="0.25">
      <c r="H136" s="2"/>
    </row>
    <row r="137" spans="8:8" x14ac:dyDescent="0.25">
      <c r="H137" s="2"/>
    </row>
    <row r="138" spans="8:8" x14ac:dyDescent="0.25">
      <c r="H138" s="2"/>
    </row>
    <row r="139" spans="8:8" x14ac:dyDescent="0.25">
      <c r="H139" s="2"/>
    </row>
    <row r="140" spans="8:8" x14ac:dyDescent="0.25">
      <c r="H140" s="2"/>
    </row>
    <row r="141" spans="8:8" x14ac:dyDescent="0.25">
      <c r="H141" s="2"/>
    </row>
    <row r="142" spans="8:8" x14ac:dyDescent="0.25">
      <c r="H142" s="2"/>
    </row>
    <row r="143" spans="8:8" x14ac:dyDescent="0.25">
      <c r="H143" s="2"/>
    </row>
    <row r="144" spans="8:8" x14ac:dyDescent="0.25">
      <c r="H144" s="2"/>
    </row>
    <row r="145" spans="8:8" x14ac:dyDescent="0.25">
      <c r="H145" s="2"/>
    </row>
    <row r="146" spans="8:8" x14ac:dyDescent="0.25">
      <c r="H146" s="2"/>
    </row>
    <row r="147" spans="8:8" x14ac:dyDescent="0.25">
      <c r="H147" s="2"/>
    </row>
    <row r="148" spans="8:8" x14ac:dyDescent="0.25">
      <c r="H148" s="2"/>
    </row>
    <row r="149" spans="8:8" x14ac:dyDescent="0.25">
      <c r="H149" s="2"/>
    </row>
    <row r="150" spans="8:8" x14ac:dyDescent="0.25">
      <c r="H150" s="2"/>
    </row>
    <row r="151" spans="8:8" x14ac:dyDescent="0.25">
      <c r="H151" s="2"/>
    </row>
    <row r="152" spans="8:8" x14ac:dyDescent="0.25">
      <c r="H152" s="2"/>
    </row>
    <row r="153" spans="8:8" x14ac:dyDescent="0.25">
      <c r="H153" s="2"/>
    </row>
    <row r="154" spans="8:8" x14ac:dyDescent="0.25">
      <c r="H154" s="2"/>
    </row>
    <row r="155" spans="8:8" x14ac:dyDescent="0.25">
      <c r="H155" s="2"/>
    </row>
    <row r="156" spans="8:8" x14ac:dyDescent="0.25">
      <c r="H156" s="2"/>
    </row>
    <row r="157" spans="8:8" x14ac:dyDescent="0.25">
      <c r="H157" s="2"/>
    </row>
    <row r="158" spans="8:8" x14ac:dyDescent="0.25">
      <c r="H158" s="2"/>
    </row>
    <row r="159" spans="8:8" x14ac:dyDescent="0.25">
      <c r="H159" s="2"/>
    </row>
    <row r="160" spans="8:8" x14ac:dyDescent="0.25">
      <c r="H160" s="2"/>
    </row>
    <row r="161" spans="8:8" x14ac:dyDescent="0.25">
      <c r="H161" s="2"/>
    </row>
    <row r="162" spans="8:8" x14ac:dyDescent="0.25">
      <c r="H162" s="2"/>
    </row>
    <row r="163" spans="8:8" x14ac:dyDescent="0.25">
      <c r="H163" s="2"/>
    </row>
    <row r="164" spans="8:8" x14ac:dyDescent="0.25">
      <c r="H164" s="2"/>
    </row>
    <row r="165" spans="8:8" x14ac:dyDescent="0.25">
      <c r="H165" s="2"/>
    </row>
    <row r="166" spans="8:8" x14ac:dyDescent="0.25">
      <c r="H166" s="2"/>
    </row>
    <row r="167" spans="8:8" x14ac:dyDescent="0.25">
      <c r="H167" s="2"/>
    </row>
    <row r="168" spans="8:8" x14ac:dyDescent="0.25">
      <c r="H168" s="2"/>
    </row>
    <row r="169" spans="8:8" x14ac:dyDescent="0.25">
      <c r="H169" s="2"/>
    </row>
    <row r="170" spans="8:8" x14ac:dyDescent="0.25">
      <c r="H170" s="2"/>
    </row>
    <row r="171" spans="8:8" x14ac:dyDescent="0.25">
      <c r="H171" s="2"/>
    </row>
    <row r="172" spans="8:8" x14ac:dyDescent="0.25">
      <c r="H172" s="2"/>
    </row>
    <row r="173" spans="8:8" x14ac:dyDescent="0.25">
      <c r="H173" s="2"/>
    </row>
    <row r="174" spans="8:8" x14ac:dyDescent="0.25">
      <c r="H174" s="2"/>
    </row>
    <row r="175" spans="8:8" x14ac:dyDescent="0.25">
      <c r="H175" s="2"/>
    </row>
    <row r="176" spans="8:8" x14ac:dyDescent="0.25">
      <c r="H176" s="2"/>
    </row>
    <row r="177" spans="8:8" x14ac:dyDescent="0.25">
      <c r="H177" s="2"/>
    </row>
    <row r="178" spans="8:8" x14ac:dyDescent="0.25">
      <c r="H178" s="2"/>
    </row>
    <row r="179" spans="8:8" x14ac:dyDescent="0.25">
      <c r="H179" s="2"/>
    </row>
    <row r="180" spans="8:8" x14ac:dyDescent="0.25">
      <c r="H180" s="2"/>
    </row>
    <row r="181" spans="8:8" x14ac:dyDescent="0.25">
      <c r="H181" s="2"/>
    </row>
    <row r="182" spans="8:8" x14ac:dyDescent="0.25">
      <c r="H182" s="2"/>
    </row>
    <row r="183" spans="8:8" x14ac:dyDescent="0.25">
      <c r="H183" s="2"/>
    </row>
    <row r="184" spans="8:8" x14ac:dyDescent="0.25">
      <c r="H184" s="2"/>
    </row>
    <row r="185" spans="8:8" x14ac:dyDescent="0.25">
      <c r="H185" s="2"/>
    </row>
    <row r="186" spans="8:8" x14ac:dyDescent="0.25">
      <c r="H186" s="2"/>
    </row>
    <row r="187" spans="8:8" x14ac:dyDescent="0.25">
      <c r="H187" s="2"/>
    </row>
    <row r="188" spans="8:8" x14ac:dyDescent="0.25">
      <c r="H188" s="2"/>
    </row>
    <row r="189" spans="8:8" x14ac:dyDescent="0.25">
      <c r="H189" s="2"/>
    </row>
    <row r="190" spans="8:8" x14ac:dyDescent="0.25">
      <c r="H190" s="2"/>
    </row>
    <row r="191" spans="8:8" x14ac:dyDescent="0.25">
      <c r="H191" s="2"/>
    </row>
    <row r="192" spans="8:8" x14ac:dyDescent="0.25">
      <c r="H192" s="2"/>
    </row>
    <row r="193" spans="8:8" x14ac:dyDescent="0.25">
      <c r="H193" s="2"/>
    </row>
    <row r="194" spans="8:8" x14ac:dyDescent="0.25">
      <c r="H194" s="2"/>
    </row>
    <row r="195" spans="8:8" x14ac:dyDescent="0.25">
      <c r="H195" s="2"/>
    </row>
    <row r="196" spans="8:8" x14ac:dyDescent="0.25">
      <c r="H196" s="2"/>
    </row>
    <row r="197" spans="8:8" x14ac:dyDescent="0.25">
      <c r="H197" s="2"/>
    </row>
    <row r="198" spans="8:8" x14ac:dyDescent="0.25">
      <c r="H198" s="2"/>
    </row>
    <row r="199" spans="8:8" x14ac:dyDescent="0.25">
      <c r="H199" s="2"/>
    </row>
    <row r="200" spans="8:8" x14ac:dyDescent="0.25">
      <c r="H200" s="2"/>
    </row>
    <row r="201" spans="8:8" x14ac:dyDescent="0.25">
      <c r="H201" s="2"/>
    </row>
    <row r="202" spans="8:8" x14ac:dyDescent="0.25">
      <c r="H202" s="2"/>
    </row>
    <row r="203" spans="8:8" x14ac:dyDescent="0.25">
      <c r="H203" s="2"/>
    </row>
    <row r="204" spans="8:8" x14ac:dyDescent="0.25">
      <c r="H204" s="2"/>
    </row>
    <row r="205" spans="8:8" x14ac:dyDescent="0.25">
      <c r="H205" s="2"/>
    </row>
    <row r="206" spans="8:8" x14ac:dyDescent="0.25">
      <c r="H206" s="2"/>
    </row>
    <row r="207" spans="8:8" x14ac:dyDescent="0.25">
      <c r="H207" s="2"/>
    </row>
    <row r="208" spans="8:8" x14ac:dyDescent="0.25">
      <c r="H208" s="2"/>
    </row>
    <row r="209" spans="8:8" x14ac:dyDescent="0.25">
      <c r="H209" s="2"/>
    </row>
    <row r="210" spans="8:8" x14ac:dyDescent="0.25">
      <c r="H210" s="2"/>
    </row>
    <row r="211" spans="8:8" x14ac:dyDescent="0.25">
      <c r="H211" s="2"/>
    </row>
    <row r="212" spans="8:8" x14ac:dyDescent="0.25">
      <c r="H212" s="2"/>
    </row>
    <row r="213" spans="8:8" x14ac:dyDescent="0.25">
      <c r="H213" s="2"/>
    </row>
    <row r="214" spans="8:8" x14ac:dyDescent="0.25">
      <c r="H214" s="2"/>
    </row>
    <row r="215" spans="8:8" x14ac:dyDescent="0.25">
      <c r="H215" s="2"/>
    </row>
    <row r="216" spans="8:8" x14ac:dyDescent="0.25">
      <c r="H216" s="2"/>
    </row>
    <row r="217" spans="8:8" x14ac:dyDescent="0.25">
      <c r="H217" s="2"/>
    </row>
    <row r="218" spans="8:8" x14ac:dyDescent="0.25">
      <c r="H218" s="2"/>
    </row>
    <row r="219" spans="8:8" x14ac:dyDescent="0.25">
      <c r="H219" s="2"/>
    </row>
    <row r="220" spans="8:8" x14ac:dyDescent="0.25">
      <c r="H220" s="2"/>
    </row>
    <row r="221" spans="8:8" x14ac:dyDescent="0.25">
      <c r="H221" s="2"/>
    </row>
    <row r="222" spans="8:8" x14ac:dyDescent="0.25">
      <c r="H222" s="2"/>
    </row>
    <row r="223" spans="8:8" x14ac:dyDescent="0.25">
      <c r="H223" s="2"/>
    </row>
    <row r="224" spans="8:8" x14ac:dyDescent="0.25">
      <c r="H224" s="2"/>
    </row>
    <row r="225" spans="8:8" x14ac:dyDescent="0.25">
      <c r="H225" s="2"/>
    </row>
    <row r="226" spans="8:8" x14ac:dyDescent="0.25">
      <c r="H226" s="2"/>
    </row>
    <row r="227" spans="8:8" x14ac:dyDescent="0.25">
      <c r="H227" s="2"/>
    </row>
    <row r="228" spans="8:8" x14ac:dyDescent="0.25">
      <c r="H228" s="2"/>
    </row>
    <row r="229" spans="8:8" x14ac:dyDescent="0.25">
      <c r="H229" s="2"/>
    </row>
    <row r="230" spans="8:8" x14ac:dyDescent="0.25">
      <c r="H230" s="2"/>
    </row>
    <row r="231" spans="8:8" x14ac:dyDescent="0.25">
      <c r="H231" s="2"/>
    </row>
    <row r="232" spans="8:8" x14ac:dyDescent="0.25">
      <c r="H232" s="2"/>
    </row>
    <row r="233" spans="8:8" x14ac:dyDescent="0.25">
      <c r="H233" s="2"/>
    </row>
    <row r="234" spans="8:8" x14ac:dyDescent="0.25">
      <c r="H234" s="2"/>
    </row>
    <row r="235" spans="8:8" x14ac:dyDescent="0.25">
      <c r="H235" s="2"/>
    </row>
    <row r="236" spans="8:8" x14ac:dyDescent="0.25">
      <c r="H236" s="2"/>
    </row>
    <row r="237" spans="8:8" x14ac:dyDescent="0.25">
      <c r="H237" s="2"/>
    </row>
    <row r="238" spans="8:8" x14ac:dyDescent="0.25">
      <c r="H238" s="2"/>
    </row>
    <row r="239" spans="8:8" x14ac:dyDescent="0.25">
      <c r="H239" s="2"/>
    </row>
    <row r="240" spans="8:8" x14ac:dyDescent="0.25">
      <c r="H240" s="2"/>
    </row>
    <row r="241" spans="8:8" x14ac:dyDescent="0.25">
      <c r="H241" s="2"/>
    </row>
    <row r="242" spans="8:8" x14ac:dyDescent="0.25">
      <c r="H242" s="2"/>
    </row>
    <row r="243" spans="8:8" x14ac:dyDescent="0.25">
      <c r="H243" s="2"/>
    </row>
    <row r="244" spans="8:8" x14ac:dyDescent="0.25">
      <c r="H244" s="2"/>
    </row>
    <row r="245" spans="8:8" x14ac:dyDescent="0.25">
      <c r="H245" s="2"/>
    </row>
    <row r="246" spans="8:8" x14ac:dyDescent="0.25">
      <c r="H246" s="2"/>
    </row>
    <row r="247" spans="8:8" x14ac:dyDescent="0.25">
      <c r="H247" s="2"/>
    </row>
    <row r="248" spans="8:8" x14ac:dyDescent="0.25">
      <c r="H248" s="2"/>
    </row>
    <row r="249" spans="8:8" x14ac:dyDescent="0.25">
      <c r="H249" s="2"/>
    </row>
    <row r="250" spans="8:8" x14ac:dyDescent="0.25">
      <c r="H250" s="2"/>
    </row>
    <row r="251" spans="8:8" x14ac:dyDescent="0.25">
      <c r="H251" s="2"/>
    </row>
    <row r="252" spans="8:8" x14ac:dyDescent="0.25">
      <c r="H252" s="2"/>
    </row>
    <row r="253" spans="8:8" x14ac:dyDescent="0.25">
      <c r="H253" s="2"/>
    </row>
    <row r="254" spans="8:8" x14ac:dyDescent="0.25">
      <c r="H254" s="2"/>
    </row>
    <row r="255" spans="8:8" x14ac:dyDescent="0.25">
      <c r="H255" s="2"/>
    </row>
    <row r="256" spans="8:8" x14ac:dyDescent="0.25">
      <c r="H256" s="2"/>
    </row>
    <row r="257" spans="8:8" x14ac:dyDescent="0.25">
      <c r="H257" s="2"/>
    </row>
    <row r="258" spans="8:8" x14ac:dyDescent="0.25">
      <c r="H258" s="2"/>
    </row>
    <row r="259" spans="8:8" x14ac:dyDescent="0.25">
      <c r="H259" s="2"/>
    </row>
    <row r="260" spans="8:8" x14ac:dyDescent="0.25">
      <c r="H260" s="2"/>
    </row>
    <row r="261" spans="8:8" x14ac:dyDescent="0.25">
      <c r="H261" s="2"/>
    </row>
    <row r="262" spans="8:8" x14ac:dyDescent="0.25">
      <c r="H262" s="2"/>
    </row>
    <row r="263" spans="8:8" x14ac:dyDescent="0.25">
      <c r="H263" s="2"/>
    </row>
    <row r="264" spans="8:8" x14ac:dyDescent="0.25">
      <c r="H264" s="2"/>
    </row>
    <row r="265" spans="8:8" x14ac:dyDescent="0.25">
      <c r="H265" s="2"/>
    </row>
    <row r="266" spans="8:8" x14ac:dyDescent="0.25">
      <c r="H266" s="2"/>
    </row>
    <row r="267" spans="8:8" x14ac:dyDescent="0.25">
      <c r="H267" s="2"/>
    </row>
    <row r="268" spans="8:8" x14ac:dyDescent="0.25">
      <c r="H268" s="2"/>
    </row>
    <row r="269" spans="8:8" x14ac:dyDescent="0.25">
      <c r="H269" s="2"/>
    </row>
    <row r="270" spans="8:8" x14ac:dyDescent="0.25">
      <c r="H270" s="2"/>
    </row>
    <row r="271" spans="8:8" x14ac:dyDescent="0.25">
      <c r="H271" s="2"/>
    </row>
    <row r="272" spans="8:8" x14ac:dyDescent="0.25">
      <c r="H272" s="2"/>
    </row>
    <row r="273" spans="8:8" x14ac:dyDescent="0.25">
      <c r="H273" s="2"/>
    </row>
    <row r="274" spans="8:8" x14ac:dyDescent="0.25">
      <c r="H274" s="2"/>
    </row>
    <row r="275" spans="8:8" x14ac:dyDescent="0.25">
      <c r="H275" s="2"/>
    </row>
    <row r="276" spans="8:8" x14ac:dyDescent="0.25">
      <c r="H276" s="2"/>
    </row>
    <row r="277" spans="8:8" x14ac:dyDescent="0.25">
      <c r="H277" s="2"/>
    </row>
    <row r="278" spans="8:8" x14ac:dyDescent="0.25">
      <c r="H278" s="2"/>
    </row>
    <row r="279" spans="8:8" x14ac:dyDescent="0.25">
      <c r="H279" s="2"/>
    </row>
    <row r="280" spans="8:8" x14ac:dyDescent="0.25">
      <c r="H280" s="2"/>
    </row>
    <row r="281" spans="8:8" x14ac:dyDescent="0.25">
      <c r="H281" s="2"/>
    </row>
    <row r="282" spans="8:8" x14ac:dyDescent="0.25">
      <c r="H282" s="2"/>
    </row>
    <row r="283" spans="8:8" x14ac:dyDescent="0.25">
      <c r="H283" s="2"/>
    </row>
    <row r="284" spans="8:8" x14ac:dyDescent="0.25">
      <c r="H284" s="2"/>
    </row>
    <row r="285" spans="8:8" x14ac:dyDescent="0.25">
      <c r="H285" s="2"/>
    </row>
    <row r="286" spans="8:8" x14ac:dyDescent="0.25">
      <c r="H286" s="2"/>
    </row>
    <row r="287" spans="8:8" x14ac:dyDescent="0.25">
      <c r="H287" s="2"/>
    </row>
    <row r="288" spans="8:8" x14ac:dyDescent="0.25">
      <c r="H288" s="2"/>
    </row>
    <row r="289" spans="8:8" x14ac:dyDescent="0.25">
      <c r="H289" s="2"/>
    </row>
    <row r="290" spans="8:8" x14ac:dyDescent="0.25">
      <c r="H290" s="2"/>
    </row>
    <row r="291" spans="8:8" x14ac:dyDescent="0.25">
      <c r="H291" s="2"/>
    </row>
    <row r="292" spans="8:8" x14ac:dyDescent="0.25">
      <c r="H292" s="2"/>
    </row>
    <row r="293" spans="8:8" x14ac:dyDescent="0.25">
      <c r="H293" s="2"/>
    </row>
    <row r="294" spans="8:8" x14ac:dyDescent="0.25">
      <c r="H294" s="2"/>
    </row>
    <row r="295" spans="8:8" x14ac:dyDescent="0.25">
      <c r="H295" s="2"/>
    </row>
    <row r="296" spans="8:8" x14ac:dyDescent="0.25">
      <c r="H296" s="2"/>
    </row>
    <row r="297" spans="8:8" x14ac:dyDescent="0.25">
      <c r="H297" s="2"/>
    </row>
    <row r="298" spans="8:8" x14ac:dyDescent="0.25">
      <c r="H298" s="2"/>
    </row>
    <row r="299" spans="8:8" x14ac:dyDescent="0.25">
      <c r="H299" s="2"/>
    </row>
    <row r="300" spans="8:8" x14ac:dyDescent="0.25">
      <c r="H300" s="2"/>
    </row>
    <row r="301" spans="8:8" x14ac:dyDescent="0.25">
      <c r="H301" s="2"/>
    </row>
    <row r="302" spans="8:8" x14ac:dyDescent="0.25">
      <c r="H302" s="2"/>
    </row>
    <row r="303" spans="8:8" x14ac:dyDescent="0.25">
      <c r="H303" s="2"/>
    </row>
    <row r="304" spans="8:8" x14ac:dyDescent="0.25">
      <c r="H304" s="2"/>
    </row>
    <row r="305" spans="8:8" x14ac:dyDescent="0.25">
      <c r="H305" s="2"/>
    </row>
    <row r="306" spans="8:8" x14ac:dyDescent="0.25">
      <c r="H306" s="2"/>
    </row>
    <row r="307" spans="8:8" x14ac:dyDescent="0.25">
      <c r="H307" s="2"/>
    </row>
    <row r="308" spans="8:8" x14ac:dyDescent="0.25">
      <c r="H308" s="2"/>
    </row>
    <row r="309" spans="8:8" x14ac:dyDescent="0.25">
      <c r="H309" s="2"/>
    </row>
    <row r="310" spans="8:8" x14ac:dyDescent="0.25">
      <c r="H310" s="2"/>
    </row>
    <row r="311" spans="8:8" x14ac:dyDescent="0.25">
      <c r="H311" s="2"/>
    </row>
    <row r="312" spans="8:8" x14ac:dyDescent="0.25">
      <c r="H312" s="2"/>
    </row>
    <row r="313" spans="8:8" x14ac:dyDescent="0.25">
      <c r="H313" s="2"/>
    </row>
    <row r="314" spans="8:8" x14ac:dyDescent="0.25">
      <c r="H314" s="2"/>
    </row>
    <row r="315" spans="8:8" x14ac:dyDescent="0.25">
      <c r="H315" s="2"/>
    </row>
    <row r="316" spans="8:8" x14ac:dyDescent="0.25">
      <c r="H316" s="2"/>
    </row>
    <row r="317" spans="8:8" x14ac:dyDescent="0.25">
      <c r="H317" s="2"/>
    </row>
    <row r="318" spans="8:8" x14ac:dyDescent="0.25">
      <c r="H318" s="2"/>
    </row>
    <row r="319" spans="8:8" x14ac:dyDescent="0.25">
      <c r="H319" s="2"/>
    </row>
    <row r="320" spans="8:8" x14ac:dyDescent="0.25">
      <c r="H320" s="2"/>
    </row>
    <row r="321" spans="8:8" x14ac:dyDescent="0.25">
      <c r="H321" s="2"/>
    </row>
    <row r="322" spans="8:8" x14ac:dyDescent="0.25">
      <c r="H322" s="2"/>
    </row>
    <row r="323" spans="8:8" x14ac:dyDescent="0.25">
      <c r="H323" s="2"/>
    </row>
    <row r="324" spans="8:8" x14ac:dyDescent="0.25">
      <c r="H324" s="2"/>
    </row>
    <row r="325" spans="8:8" x14ac:dyDescent="0.25">
      <c r="H325" s="2"/>
    </row>
    <row r="326" spans="8:8" x14ac:dyDescent="0.25">
      <c r="H326" s="2"/>
    </row>
    <row r="327" spans="8:8" x14ac:dyDescent="0.25">
      <c r="H327" s="2"/>
    </row>
    <row r="328" spans="8:8" x14ac:dyDescent="0.25">
      <c r="H328" s="2"/>
    </row>
    <row r="329" spans="8:8" x14ac:dyDescent="0.25">
      <c r="H329" s="2"/>
    </row>
    <row r="330" spans="8:8" x14ac:dyDescent="0.25">
      <c r="H330" s="2"/>
    </row>
    <row r="331" spans="8:8" x14ac:dyDescent="0.25">
      <c r="H331" s="2"/>
    </row>
    <row r="332" spans="8:8" x14ac:dyDescent="0.25">
      <c r="H332" s="2"/>
    </row>
    <row r="333" spans="8:8" x14ac:dyDescent="0.25">
      <c r="H333" s="2"/>
    </row>
    <row r="334" spans="8:8" x14ac:dyDescent="0.25">
      <c r="H334" s="2"/>
    </row>
    <row r="335" spans="8:8" x14ac:dyDescent="0.25">
      <c r="H335" s="2"/>
    </row>
    <row r="336" spans="8:8" x14ac:dyDescent="0.25">
      <c r="H336" s="2"/>
    </row>
    <row r="337" spans="8:8" x14ac:dyDescent="0.25">
      <c r="H337" s="2"/>
    </row>
    <row r="338" spans="8:8" x14ac:dyDescent="0.25">
      <c r="H338" s="2"/>
    </row>
    <row r="339" spans="8:8" x14ac:dyDescent="0.25">
      <c r="H339" s="2"/>
    </row>
    <row r="340" spans="8:8" x14ac:dyDescent="0.25">
      <c r="H340" s="2"/>
    </row>
    <row r="341" spans="8:8" x14ac:dyDescent="0.25">
      <c r="H341" s="2"/>
    </row>
    <row r="342" spans="8:8" x14ac:dyDescent="0.25">
      <c r="H342" s="2"/>
    </row>
    <row r="343" spans="8:8" x14ac:dyDescent="0.25">
      <c r="H343" s="2"/>
    </row>
    <row r="344" spans="8:8" x14ac:dyDescent="0.25">
      <c r="H344" s="2"/>
    </row>
    <row r="345" spans="8:8" x14ac:dyDescent="0.25">
      <c r="H345" s="2"/>
    </row>
    <row r="346" spans="8:8" x14ac:dyDescent="0.25">
      <c r="H346" s="2"/>
    </row>
    <row r="347" spans="8:8" x14ac:dyDescent="0.25">
      <c r="H347" s="2"/>
    </row>
    <row r="348" spans="8:8" x14ac:dyDescent="0.25">
      <c r="H348" s="2"/>
    </row>
    <row r="349" spans="8:8" x14ac:dyDescent="0.25">
      <c r="H349" s="2"/>
    </row>
    <row r="350" spans="8:8" x14ac:dyDescent="0.25">
      <c r="H350" s="2"/>
    </row>
    <row r="351" spans="8:8" x14ac:dyDescent="0.25">
      <c r="H351" s="2"/>
    </row>
    <row r="352" spans="8:8" x14ac:dyDescent="0.25">
      <c r="H352" s="2"/>
    </row>
    <row r="353" spans="8:8" x14ac:dyDescent="0.25">
      <c r="H353" s="2"/>
    </row>
    <row r="354" spans="8:8" x14ac:dyDescent="0.25">
      <c r="H354" s="2"/>
    </row>
    <row r="355" spans="8:8" x14ac:dyDescent="0.25">
      <c r="H355" s="2"/>
    </row>
    <row r="356" spans="8:8" x14ac:dyDescent="0.25">
      <c r="H356" s="2"/>
    </row>
    <row r="357" spans="8:8" x14ac:dyDescent="0.25">
      <c r="H357" s="2"/>
    </row>
    <row r="358" spans="8:8" x14ac:dyDescent="0.25">
      <c r="H358" s="2"/>
    </row>
    <row r="359" spans="8:8" x14ac:dyDescent="0.25">
      <c r="H359" s="2"/>
    </row>
    <row r="360" spans="8:8" x14ac:dyDescent="0.25">
      <c r="H360" s="2"/>
    </row>
    <row r="361" spans="8:8" x14ac:dyDescent="0.25">
      <c r="H361" s="2"/>
    </row>
  </sheetData>
  <conditionalFormatting sqref="H3:H1048576">
    <cfRule type="expression" dxfId="81" priority="2">
      <formula>AND(ISBLANK($H$3:$H$1048576), NOT(ISBLANK($I$3:$I$1048576)))</formula>
    </cfRule>
  </conditionalFormatting>
  <conditionalFormatting sqref="I4">
    <cfRule type="expression" dxfId="80" priority="1">
      <formula>ANS(NOT(ISBLANK($H$3:$H$1048576)), ISBLANK($I$3:$I$1048576))</formula>
    </cfRule>
  </conditionalFormatting>
  <dataValidations count="7">
    <dataValidation type="decimal" operator="greaterThanOrEqual" allowBlank="1" showInputMessage="1" showErrorMessage="1" errorTitle="Wrong input" error="It must be a decimal greater than or equal to 0.0." sqref="I3:I9" xr:uid="{9488C726-37DF-4438-B93E-FE25382B9662}">
      <formula1>0</formula1>
    </dataValidation>
    <dataValidation type="decimal" operator="greaterThan" allowBlank="1" showInputMessage="1" showErrorMessage="1" errorTitle="Wrong input" error="Leave it empy or it must be a decimal greater than 0.0." sqref="G3:G9 P3:W9" xr:uid="{86C53C5B-DAF4-4C1A-B27F-E8888D49B30A}">
      <formula1>0</formula1>
    </dataValidation>
    <dataValidation type="decimal" operator="greaterThan" allowBlank="1" showInputMessage="1" showErrorMessage="1" errorTitle="Wrong input" error="It must be a decimal greater than 0.0." sqref="E3:E7" xr:uid="{D0188272-144C-4806-87CA-6645F71164CF}">
      <formula1>0</formula1>
    </dataValidation>
    <dataValidation type="list" allowBlank="1" showInputMessage="1" showErrorMessage="1" sqref="M10:M1048576" xr:uid="{E5CA29DA-84DD-4BFB-97E8-F74CB7876C12}">
      <formula1>"MGO,HFO,MDO"</formula1>
    </dataValidation>
    <dataValidation type="whole" operator="greaterThanOrEqual" allowBlank="1" showInputMessage="1" showErrorMessage="1" errorTitle="Wrong input" error="It must be a decimal greater than or equal to 0.0." sqref="J3:K1048576 D3:D9" xr:uid="{294ABCAA-0D96-4201-B4B4-986D4EDD86CC}">
      <formula1>1</formula1>
    </dataValidation>
    <dataValidation type="decimal" operator="greaterThanOrEqual" allowBlank="1" showInputMessage="1" showErrorMessage="1" errorTitle="Wrong input" error="Leave it empy or it must be a decimal greater than 0.0." sqref="H3:H351 F3:F1048576" xr:uid="{A7B1612D-2902-4989-A454-87B557065E4C}">
      <formula1>0</formula1>
    </dataValidation>
    <dataValidation type="list" allowBlank="1" showInputMessage="1" showErrorMessage="1" sqref="N3:O1048576" xr:uid="{539EE3AE-D259-4C0F-9394-4D9D10AAC93A}">
      <formula1>"True, False"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7343-C089-4013-ABD0-AF733586921F}">
  <sheetPr>
    <tabColor theme="4" tint="0.39997558519241921"/>
  </sheetPr>
  <dimension ref="A1:V1048576"/>
  <sheetViews>
    <sheetView topLeftCell="E1" workbookViewId="0">
      <selection activeCell="E15" sqref="E15"/>
    </sheetView>
  </sheetViews>
  <sheetFormatPr defaultRowHeight="15" x14ac:dyDescent="0.25"/>
  <cols>
    <col min="1" max="1" width="11.42578125" bestFit="1" customWidth="1"/>
    <col min="2" max="2" width="10" bestFit="1" customWidth="1"/>
    <col min="4" max="4" width="20.7109375" hidden="1" customWidth="1"/>
    <col min="5" max="5" width="19" customWidth="1"/>
    <col min="6" max="6" width="15.28515625" customWidth="1"/>
    <col min="7" max="7" width="20.28515625" customWidth="1"/>
    <col min="8" max="8" width="14.5703125" customWidth="1"/>
    <col min="9" max="9" width="15" bestFit="1" customWidth="1"/>
    <col min="10" max="10" width="18.42578125" bestFit="1" customWidth="1"/>
    <col min="11" max="13" width="18.7109375" customWidth="1"/>
    <col min="14" max="14" width="14" bestFit="1" customWidth="1"/>
    <col min="15" max="15" width="14.28515625" bestFit="1" customWidth="1"/>
    <col min="18" max="18" width="7.28515625" bestFit="1" customWidth="1"/>
    <col min="19" max="19" width="17.7109375" bestFit="1" customWidth="1"/>
    <col min="20" max="20" width="17.28515625" bestFit="1" customWidth="1"/>
    <col min="22" max="22" width="15.5703125" customWidth="1"/>
  </cols>
  <sheetData>
    <row r="1" spans="1:22" x14ac:dyDescent="0.25">
      <c r="A1" s="5" t="s">
        <v>66</v>
      </c>
      <c r="B1" s="5" t="s">
        <v>111</v>
      </c>
      <c r="C1" s="5" t="s">
        <v>67</v>
      </c>
      <c r="D1" s="5"/>
      <c r="E1" s="5" t="s">
        <v>112</v>
      </c>
      <c r="F1" s="5" t="s">
        <v>113</v>
      </c>
      <c r="G1" s="5" t="s">
        <v>114</v>
      </c>
      <c r="H1" s="6" t="s">
        <v>70</v>
      </c>
      <c r="I1" s="6" t="s">
        <v>115</v>
      </c>
      <c r="J1" s="6" t="s">
        <v>116</v>
      </c>
      <c r="K1" s="6" t="s">
        <v>117</v>
      </c>
      <c r="L1" s="6" t="s">
        <v>118</v>
      </c>
      <c r="M1" s="7" t="s">
        <v>119</v>
      </c>
      <c r="N1" s="7" t="s">
        <v>120</v>
      </c>
      <c r="O1" s="7" t="s">
        <v>121</v>
      </c>
      <c r="P1" s="8" t="s">
        <v>122</v>
      </c>
      <c r="Q1" s="8" t="s">
        <v>123</v>
      </c>
      <c r="R1" s="8" t="s">
        <v>124</v>
      </c>
      <c r="S1" s="8" t="s">
        <v>125</v>
      </c>
      <c r="T1" s="8" t="s">
        <v>126</v>
      </c>
      <c r="U1" s="15" t="s">
        <v>127</v>
      </c>
      <c r="V1" s="15" t="s">
        <v>72</v>
      </c>
    </row>
    <row r="2" spans="1:22" x14ac:dyDescent="0.25">
      <c r="A2" s="9" t="s">
        <v>128</v>
      </c>
      <c r="B2" s="9" t="s">
        <v>128</v>
      </c>
      <c r="C2" s="9" t="s">
        <v>128</v>
      </c>
      <c r="D2" s="9"/>
      <c r="E2" s="9" t="s">
        <v>129</v>
      </c>
      <c r="F2" s="9" t="s">
        <v>130</v>
      </c>
      <c r="G2" s="9" t="s">
        <v>130</v>
      </c>
      <c r="H2" s="10" t="s">
        <v>131</v>
      </c>
      <c r="I2" s="10" t="s">
        <v>132</v>
      </c>
      <c r="J2" s="10" t="s">
        <v>133</v>
      </c>
      <c r="K2" s="10" t="s">
        <v>134</v>
      </c>
      <c r="L2" s="10" t="s">
        <v>133</v>
      </c>
      <c r="M2" s="11" t="s">
        <v>128</v>
      </c>
      <c r="N2" s="11" t="s">
        <v>128</v>
      </c>
      <c r="O2" s="11" t="s">
        <v>128</v>
      </c>
      <c r="P2" s="12" t="s">
        <v>135</v>
      </c>
      <c r="Q2" s="12" t="s">
        <v>129</v>
      </c>
      <c r="R2" s="12" t="s">
        <v>129</v>
      </c>
      <c r="S2" s="12" t="s">
        <v>128</v>
      </c>
      <c r="T2" s="12" t="s">
        <v>136</v>
      </c>
    </row>
    <row r="3" spans="1:22" x14ac:dyDescent="0.25">
      <c r="A3" t="s">
        <v>137</v>
      </c>
      <c r="B3" t="s">
        <v>138</v>
      </c>
      <c r="C3" t="s">
        <v>139</v>
      </c>
      <c r="D3" t="str">
        <f>A3&amp;" - "&amp;B3&amp;" ("&amp;C3&amp;")"</f>
        <v>stork_1 - Stork (Aerial)</v>
      </c>
      <c r="E3">
        <v>1.5</v>
      </c>
      <c r="G3">
        <v>5</v>
      </c>
      <c r="H3" s="2">
        <v>17</v>
      </c>
      <c r="J3" s="2">
        <v>3</v>
      </c>
      <c r="K3" s="4">
        <f>H3*L3</f>
        <v>10.199999999999999</v>
      </c>
      <c r="L3">
        <v>0.6</v>
      </c>
      <c r="M3" t="b">
        <v>1</v>
      </c>
      <c r="N3" t="s">
        <v>104</v>
      </c>
      <c r="O3">
        <v>1</v>
      </c>
      <c r="P3">
        <v>10</v>
      </c>
      <c r="V3">
        <v>4920</v>
      </c>
    </row>
    <row r="4" spans="1:22" x14ac:dyDescent="0.25">
      <c r="A4" t="s">
        <v>140</v>
      </c>
      <c r="B4" t="s">
        <v>141</v>
      </c>
      <c r="C4" t="s">
        <v>139</v>
      </c>
      <c r="D4" t="str">
        <f t="shared" ref="D4:D63" si="0">A4&amp;" - "&amp;B4&amp;" ("&amp;C4&amp;")"</f>
        <v>grifo_1 - Grifo (Aerial)</v>
      </c>
      <c r="F4" s="2"/>
      <c r="G4" s="2"/>
      <c r="H4" s="2">
        <v>17</v>
      </c>
      <c r="I4" s="2"/>
      <c r="J4" s="2">
        <v>3</v>
      </c>
      <c r="K4" s="2"/>
      <c r="L4" s="2">
        <v>0.5</v>
      </c>
      <c r="M4" s="2" t="b">
        <v>1</v>
      </c>
      <c r="N4" t="s">
        <v>104</v>
      </c>
      <c r="O4">
        <v>2</v>
      </c>
      <c r="P4">
        <v>10</v>
      </c>
      <c r="S4" s="2"/>
      <c r="U4">
        <v>7540</v>
      </c>
      <c r="V4">
        <v>4920</v>
      </c>
    </row>
    <row r="5" spans="1:22" x14ac:dyDescent="0.25">
      <c r="A5" t="s">
        <v>142</v>
      </c>
      <c r="B5" t="s">
        <v>143</v>
      </c>
      <c r="C5" t="s">
        <v>144</v>
      </c>
      <c r="D5" t="str">
        <f t="shared" si="0"/>
        <v>EVA_AUV_1 - EVA_AUV (Water)</v>
      </c>
      <c r="E5">
        <v>0.9</v>
      </c>
      <c r="F5" s="2">
        <v>290</v>
      </c>
      <c r="G5" s="2"/>
      <c r="H5" s="2"/>
      <c r="I5" s="2"/>
      <c r="J5" s="2"/>
      <c r="K5" s="2"/>
      <c r="L5" s="2"/>
      <c r="M5" s="2" t="b">
        <v>0</v>
      </c>
      <c r="N5" t="s">
        <v>104</v>
      </c>
      <c r="O5">
        <v>2</v>
      </c>
      <c r="S5" s="2"/>
      <c r="U5">
        <v>9700</v>
      </c>
      <c r="V5">
        <v>6000</v>
      </c>
    </row>
    <row r="6" spans="1:22" x14ac:dyDescent="0.25">
      <c r="A6" t="s">
        <v>145</v>
      </c>
      <c r="B6" t="s">
        <v>146</v>
      </c>
      <c r="C6" t="s">
        <v>144</v>
      </c>
      <c r="D6" t="str">
        <f t="shared" si="0"/>
        <v>EVA_ROV_2 - EVA_ROV (Water)</v>
      </c>
      <c r="E6">
        <v>1.8</v>
      </c>
      <c r="F6" s="2">
        <v>2540</v>
      </c>
      <c r="G6" s="2"/>
      <c r="H6" s="2"/>
      <c r="I6" s="2"/>
      <c r="J6" s="2"/>
      <c r="K6" s="2"/>
      <c r="L6" s="2"/>
      <c r="M6" s="2" t="b">
        <v>0</v>
      </c>
      <c r="N6" t="s">
        <v>102</v>
      </c>
      <c r="O6">
        <v>3</v>
      </c>
      <c r="S6" s="2"/>
      <c r="U6">
        <v>13300</v>
      </c>
      <c r="V6">
        <v>7800</v>
      </c>
    </row>
    <row r="7" spans="1:22" x14ac:dyDescent="0.25">
      <c r="A7" t="s">
        <v>147</v>
      </c>
      <c r="B7" t="s">
        <v>147</v>
      </c>
      <c r="C7" t="s">
        <v>144</v>
      </c>
      <c r="D7" t="str">
        <f t="shared" si="0"/>
        <v>IRIS_AUV - IRIS_AUV (Water)</v>
      </c>
      <c r="F7" s="2"/>
      <c r="G7" s="2"/>
      <c r="H7" s="2"/>
      <c r="I7" s="2"/>
      <c r="J7" s="2"/>
      <c r="K7" s="2"/>
      <c r="L7" s="2"/>
      <c r="M7" s="2"/>
      <c r="S7" s="2"/>
      <c r="V7">
        <v>7800</v>
      </c>
    </row>
    <row r="8" spans="1:22" x14ac:dyDescent="0.25">
      <c r="A8" t="s">
        <v>148</v>
      </c>
      <c r="B8" t="s">
        <v>148</v>
      </c>
      <c r="C8" t="s">
        <v>144</v>
      </c>
      <c r="D8" t="str">
        <f t="shared" si="0"/>
        <v>IRIS_ROV - IRIS_ROV (Water)</v>
      </c>
      <c r="H8" s="2"/>
      <c r="J8" s="2"/>
      <c r="M8" s="2"/>
      <c r="S8" s="2"/>
      <c r="V8">
        <v>7800</v>
      </c>
    </row>
    <row r="9" spans="1:22" x14ac:dyDescent="0.25">
      <c r="D9" t="str">
        <f t="shared" si="0"/>
        <v xml:space="preserve"> -  ()</v>
      </c>
      <c r="H9" s="2"/>
      <c r="J9" s="2"/>
      <c r="M9" s="2"/>
      <c r="S9" s="2"/>
    </row>
    <row r="10" spans="1:22" x14ac:dyDescent="0.25">
      <c r="D10" t="str">
        <f t="shared" si="0"/>
        <v xml:space="preserve"> -  ()</v>
      </c>
      <c r="H10" s="2"/>
      <c r="J10" s="2"/>
      <c r="M10" s="2"/>
      <c r="S10" s="2"/>
    </row>
    <row r="11" spans="1:22" x14ac:dyDescent="0.25">
      <c r="D11" t="str">
        <f t="shared" si="0"/>
        <v xml:space="preserve"> -  ()</v>
      </c>
      <c r="H11" s="2"/>
      <c r="J11" s="2"/>
      <c r="M11" s="2"/>
      <c r="S11" s="2"/>
    </row>
    <row r="12" spans="1:22" x14ac:dyDescent="0.25">
      <c r="D12" t="str">
        <f t="shared" si="0"/>
        <v xml:space="preserve"> -  ()</v>
      </c>
      <c r="H12" s="2"/>
      <c r="J12" s="2"/>
      <c r="M12" s="2"/>
      <c r="S12" s="2"/>
    </row>
    <row r="13" spans="1:22" x14ac:dyDescent="0.25">
      <c r="D13" t="str">
        <f t="shared" si="0"/>
        <v xml:space="preserve"> -  ()</v>
      </c>
      <c r="H13" s="2"/>
      <c r="J13" s="2"/>
      <c r="M13" s="2"/>
      <c r="S13" s="2"/>
    </row>
    <row r="14" spans="1:22" x14ac:dyDescent="0.25">
      <c r="D14" t="str">
        <f t="shared" si="0"/>
        <v xml:space="preserve"> -  ()</v>
      </c>
      <c r="H14" s="2"/>
      <c r="J14" s="2"/>
      <c r="M14" s="2"/>
      <c r="S14" s="2"/>
    </row>
    <row r="15" spans="1:22" x14ac:dyDescent="0.25">
      <c r="D15" t="str">
        <f t="shared" si="0"/>
        <v xml:space="preserve"> -  ()</v>
      </c>
      <c r="H15" s="2"/>
      <c r="J15" s="2"/>
      <c r="M15" s="2"/>
      <c r="S15" s="2"/>
    </row>
    <row r="16" spans="1:22" x14ac:dyDescent="0.25">
      <c r="D16" t="str">
        <f t="shared" si="0"/>
        <v xml:space="preserve"> -  ()</v>
      </c>
      <c r="H16" s="2"/>
      <c r="J16" s="2"/>
      <c r="M16" s="2"/>
      <c r="S16" s="2"/>
    </row>
    <row r="17" spans="4:10" x14ac:dyDescent="0.25">
      <c r="D17" t="str">
        <f t="shared" si="0"/>
        <v xml:space="preserve"> -  ()</v>
      </c>
      <c r="H17" s="2"/>
      <c r="J17" s="2"/>
    </row>
    <row r="18" spans="4:10" x14ac:dyDescent="0.25">
      <c r="D18" t="str">
        <f t="shared" si="0"/>
        <v xml:space="preserve"> -  ()</v>
      </c>
      <c r="H18" s="2"/>
      <c r="J18" s="2"/>
    </row>
    <row r="19" spans="4:10" x14ac:dyDescent="0.25">
      <c r="D19" t="str">
        <f t="shared" si="0"/>
        <v xml:space="preserve"> -  ()</v>
      </c>
      <c r="H19" s="2"/>
      <c r="J19" s="2"/>
    </row>
    <row r="20" spans="4:10" x14ac:dyDescent="0.25">
      <c r="D20" t="str">
        <f t="shared" si="0"/>
        <v xml:space="preserve"> -  ()</v>
      </c>
      <c r="H20" s="2"/>
      <c r="J20" s="2"/>
    </row>
    <row r="21" spans="4:10" x14ac:dyDescent="0.25">
      <c r="D21" t="str">
        <f t="shared" si="0"/>
        <v xml:space="preserve"> -  ()</v>
      </c>
      <c r="H21" s="2"/>
      <c r="J21" s="2"/>
    </row>
    <row r="22" spans="4:10" x14ac:dyDescent="0.25">
      <c r="D22" t="str">
        <f t="shared" si="0"/>
        <v xml:space="preserve"> -  ()</v>
      </c>
      <c r="H22" s="2"/>
      <c r="J22" s="2"/>
    </row>
    <row r="23" spans="4:10" x14ac:dyDescent="0.25">
      <c r="D23" t="str">
        <f t="shared" si="0"/>
        <v xml:space="preserve"> -  ()</v>
      </c>
      <c r="H23" s="2"/>
      <c r="J23" s="2"/>
    </row>
    <row r="24" spans="4:10" x14ac:dyDescent="0.25">
      <c r="D24" t="str">
        <f t="shared" si="0"/>
        <v xml:space="preserve"> -  ()</v>
      </c>
      <c r="H24" s="2"/>
      <c r="J24" s="2"/>
    </row>
    <row r="25" spans="4:10" x14ac:dyDescent="0.25">
      <c r="D25" t="str">
        <f t="shared" si="0"/>
        <v xml:space="preserve"> -  ()</v>
      </c>
      <c r="H25" s="2"/>
      <c r="J25" s="2"/>
    </row>
    <row r="26" spans="4:10" x14ac:dyDescent="0.25">
      <c r="D26" t="str">
        <f t="shared" si="0"/>
        <v xml:space="preserve"> -  ()</v>
      </c>
      <c r="H26" s="2"/>
      <c r="J26" s="2"/>
    </row>
    <row r="27" spans="4:10" x14ac:dyDescent="0.25">
      <c r="D27" t="str">
        <f t="shared" si="0"/>
        <v xml:space="preserve"> -  ()</v>
      </c>
      <c r="H27" s="2"/>
      <c r="J27" s="2"/>
    </row>
    <row r="28" spans="4:10" x14ac:dyDescent="0.25">
      <c r="D28" t="str">
        <f t="shared" si="0"/>
        <v xml:space="preserve"> -  ()</v>
      </c>
      <c r="H28" s="2"/>
      <c r="J28" s="2"/>
    </row>
    <row r="29" spans="4:10" x14ac:dyDescent="0.25">
      <c r="D29" t="str">
        <f t="shared" si="0"/>
        <v xml:space="preserve"> -  ()</v>
      </c>
      <c r="H29" s="2"/>
      <c r="J29" s="2"/>
    </row>
    <row r="30" spans="4:10" x14ac:dyDescent="0.25">
      <c r="D30" t="str">
        <f t="shared" si="0"/>
        <v xml:space="preserve"> -  ()</v>
      </c>
      <c r="H30" s="2"/>
      <c r="J30" s="2"/>
    </row>
    <row r="31" spans="4:10" x14ac:dyDescent="0.25">
      <c r="D31" t="str">
        <f t="shared" si="0"/>
        <v xml:space="preserve"> -  ()</v>
      </c>
    </row>
    <row r="32" spans="4:10" x14ac:dyDescent="0.25">
      <c r="D32" t="str">
        <f t="shared" si="0"/>
        <v xml:space="preserve"> -  ()</v>
      </c>
    </row>
    <row r="33" spans="4:4" x14ac:dyDescent="0.25">
      <c r="D33" t="str">
        <f t="shared" si="0"/>
        <v xml:space="preserve"> -  ()</v>
      </c>
    </row>
    <row r="34" spans="4:4" x14ac:dyDescent="0.25">
      <c r="D34" t="str">
        <f t="shared" si="0"/>
        <v xml:space="preserve"> -  ()</v>
      </c>
    </row>
    <row r="35" spans="4:4" x14ac:dyDescent="0.25">
      <c r="D35" t="str">
        <f t="shared" si="0"/>
        <v xml:space="preserve"> -  ()</v>
      </c>
    </row>
    <row r="36" spans="4:4" x14ac:dyDescent="0.25">
      <c r="D36" t="str">
        <f t="shared" si="0"/>
        <v xml:space="preserve"> -  ()</v>
      </c>
    </row>
    <row r="37" spans="4:4" x14ac:dyDescent="0.25">
      <c r="D37" t="str">
        <f t="shared" si="0"/>
        <v xml:space="preserve"> -  ()</v>
      </c>
    </row>
    <row r="38" spans="4:4" x14ac:dyDescent="0.25">
      <c r="D38" t="str">
        <f t="shared" si="0"/>
        <v xml:space="preserve"> -  ()</v>
      </c>
    </row>
    <row r="39" spans="4:4" x14ac:dyDescent="0.25">
      <c r="D39" t="str">
        <f t="shared" si="0"/>
        <v xml:space="preserve"> -  ()</v>
      </c>
    </row>
    <row r="40" spans="4:4" x14ac:dyDescent="0.25">
      <c r="D40" t="str">
        <f t="shared" si="0"/>
        <v xml:space="preserve"> -  ()</v>
      </c>
    </row>
    <row r="41" spans="4:4" x14ac:dyDescent="0.25">
      <c r="D41" t="str">
        <f t="shared" si="0"/>
        <v xml:space="preserve"> -  ()</v>
      </c>
    </row>
    <row r="42" spans="4:4" x14ac:dyDescent="0.25">
      <c r="D42" t="str">
        <f t="shared" si="0"/>
        <v xml:space="preserve"> -  ()</v>
      </c>
    </row>
    <row r="43" spans="4:4" x14ac:dyDescent="0.25">
      <c r="D43" t="str">
        <f t="shared" si="0"/>
        <v xml:space="preserve"> -  ()</v>
      </c>
    </row>
    <row r="44" spans="4:4" x14ac:dyDescent="0.25">
      <c r="D44" t="str">
        <f t="shared" si="0"/>
        <v xml:space="preserve"> -  ()</v>
      </c>
    </row>
    <row r="45" spans="4:4" x14ac:dyDescent="0.25">
      <c r="D45" t="str">
        <f t="shared" si="0"/>
        <v xml:space="preserve"> -  ()</v>
      </c>
    </row>
    <row r="46" spans="4:4" x14ac:dyDescent="0.25">
      <c r="D46" t="str">
        <f t="shared" si="0"/>
        <v xml:space="preserve"> -  ()</v>
      </c>
    </row>
    <row r="47" spans="4:4" x14ac:dyDescent="0.25">
      <c r="D47" t="str">
        <f t="shared" si="0"/>
        <v xml:space="preserve"> -  ()</v>
      </c>
    </row>
    <row r="48" spans="4:4" x14ac:dyDescent="0.25">
      <c r="D48" t="str">
        <f t="shared" si="0"/>
        <v xml:space="preserve"> -  ()</v>
      </c>
    </row>
    <row r="49" spans="4:4" x14ac:dyDescent="0.25">
      <c r="D49" t="str">
        <f t="shared" si="0"/>
        <v xml:space="preserve"> -  ()</v>
      </c>
    </row>
    <row r="50" spans="4:4" x14ac:dyDescent="0.25">
      <c r="D50" t="str">
        <f t="shared" si="0"/>
        <v xml:space="preserve"> -  ()</v>
      </c>
    </row>
    <row r="51" spans="4:4" x14ac:dyDescent="0.25">
      <c r="D51" t="str">
        <f t="shared" si="0"/>
        <v xml:space="preserve"> -  ()</v>
      </c>
    </row>
    <row r="52" spans="4:4" x14ac:dyDescent="0.25">
      <c r="D52" t="str">
        <f t="shared" si="0"/>
        <v xml:space="preserve"> -  ()</v>
      </c>
    </row>
    <row r="53" spans="4:4" x14ac:dyDescent="0.25">
      <c r="D53" t="str">
        <f t="shared" si="0"/>
        <v xml:space="preserve"> -  ()</v>
      </c>
    </row>
    <row r="54" spans="4:4" x14ac:dyDescent="0.25">
      <c r="D54" t="str">
        <f t="shared" si="0"/>
        <v xml:space="preserve"> -  ()</v>
      </c>
    </row>
    <row r="55" spans="4:4" x14ac:dyDescent="0.25">
      <c r="D55" t="str">
        <f t="shared" si="0"/>
        <v xml:space="preserve"> -  ()</v>
      </c>
    </row>
    <row r="56" spans="4:4" x14ac:dyDescent="0.25">
      <c r="D56" t="str">
        <f t="shared" si="0"/>
        <v xml:space="preserve"> -  ()</v>
      </c>
    </row>
    <row r="57" spans="4:4" x14ac:dyDescent="0.25">
      <c r="D57" t="str">
        <f t="shared" si="0"/>
        <v xml:space="preserve"> -  ()</v>
      </c>
    </row>
    <row r="58" spans="4:4" x14ac:dyDescent="0.25">
      <c r="D58" t="str">
        <f t="shared" si="0"/>
        <v xml:space="preserve"> -  ()</v>
      </c>
    </row>
    <row r="59" spans="4:4" x14ac:dyDescent="0.25">
      <c r="D59" t="str">
        <f t="shared" si="0"/>
        <v xml:space="preserve"> -  ()</v>
      </c>
    </row>
    <row r="60" spans="4:4" x14ac:dyDescent="0.25">
      <c r="D60" t="str">
        <f t="shared" si="0"/>
        <v xml:space="preserve"> -  ()</v>
      </c>
    </row>
    <row r="61" spans="4:4" x14ac:dyDescent="0.25">
      <c r="D61" t="str">
        <f t="shared" si="0"/>
        <v xml:space="preserve"> -  ()</v>
      </c>
    </row>
    <row r="62" spans="4:4" x14ac:dyDescent="0.25">
      <c r="D62" t="str">
        <f t="shared" si="0"/>
        <v xml:space="preserve"> -  ()</v>
      </c>
    </row>
    <row r="63" spans="4:4" x14ac:dyDescent="0.25">
      <c r="D63" t="str">
        <f t="shared" si="0"/>
        <v xml:space="preserve"> -  ()</v>
      </c>
    </row>
    <row r="1048576" spans="13:13" x14ac:dyDescent="0.25">
      <c r="M1048576" s="2"/>
    </row>
  </sheetData>
  <phoneticPr fontId="3" type="noConversion"/>
  <dataValidations count="6">
    <dataValidation type="decimal" operator="greaterThan" allowBlank="1" showInputMessage="1" showErrorMessage="1" errorTitle="Wrong input" error="Leave it empy or it must be a decimal greater than 0.0." sqref="K3:L7 G3:G7" xr:uid="{E3CB7A07-3D3D-4509-BA84-7EB92D2F6550}">
      <formula1>0</formula1>
    </dataValidation>
    <dataValidation type="decimal" operator="greaterThan" allowBlank="1" showInputMessage="1" showErrorMessage="1" errorTitle="Wrong input" error="It must be a decimal greater than 0.0." sqref="F3:F7" xr:uid="{FB1DD900-49D6-432F-AD78-1E80A1DCA749}">
      <formula1>0</formula1>
    </dataValidation>
    <dataValidation type="list" allowBlank="1" showInputMessage="1" showErrorMessage="1" sqref="J5:J7" xr:uid="{235B112D-6CA5-4484-BA1A-1310FD8B58F4}">
      <formula1>"MGO,HFO,MDO,Battery"</formula1>
    </dataValidation>
    <dataValidation type="list" operator="greaterThan" allowBlank="1" showInputMessage="1" showErrorMessage="1" errorTitle="Wrong input" error="Leave it empy or it must be a decimal greater than 0.0." sqref="M17:M1048575 S17:S19" xr:uid="{244D8046-A7E3-498B-AC85-DDB7AEFDEDE6}">
      <formula1>"Yes,No"</formula1>
    </dataValidation>
    <dataValidation type="decimal" operator="greaterThan" allowBlank="1" showInputMessage="1" showErrorMessage="1" sqref="J3:J4" xr:uid="{FAD1D51D-C613-402F-BF62-2DF01127427B}">
      <formula1>0</formula1>
    </dataValidation>
    <dataValidation type="list" operator="greaterThan" allowBlank="1" showInputMessage="1" showErrorMessage="1" errorTitle="Wrong input" error="Leave it empy or it must be a decimal greater than 0.0." sqref="M3:M16 M1048576 S3:S16" xr:uid="{8A407EF7-C91E-4942-AC7E-C14DB1F458C1}">
      <formula1>"True,False"</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DBC0-AEE6-493D-9C10-09E3218E9C58}">
  <sheetPr>
    <tabColor theme="4" tint="0.39997558519241921"/>
  </sheetPr>
  <dimension ref="A1:AK1048576"/>
  <sheetViews>
    <sheetView zoomScale="85" zoomScaleNormal="85" workbookViewId="0">
      <pane xSplit="3" ySplit="2" topLeftCell="D3" activePane="bottomRight" state="frozen"/>
      <selection pane="topRight" activeCell="C1" sqref="C1"/>
      <selection pane="bottomLeft" activeCell="A3" sqref="A3"/>
      <selection pane="bottomRight" activeCell="C4" sqref="C4"/>
    </sheetView>
  </sheetViews>
  <sheetFormatPr defaultColWidth="9.28515625" defaultRowHeight="15" x14ac:dyDescent="0.25"/>
  <cols>
    <col min="1" max="1" width="18.7109375" style="18" customWidth="1"/>
    <col min="2" max="2" width="16.7109375" style="18" customWidth="1"/>
    <col min="3" max="3" width="40.7109375" style="18" customWidth="1"/>
    <col min="4" max="4" width="13.85546875" style="18" bestFit="1" customWidth="1"/>
    <col min="5" max="5" width="12.7109375" style="18" customWidth="1"/>
    <col min="6" max="7" width="19.42578125" style="18" customWidth="1"/>
    <col min="8" max="8" width="18.7109375" style="35" customWidth="1"/>
    <col min="9" max="9" width="18.7109375" style="18" customWidth="1"/>
    <col min="10" max="10" width="18.7109375" style="36" customWidth="1"/>
    <col min="11" max="11" width="13.7109375" style="18" customWidth="1"/>
    <col min="12" max="12" width="16.28515625" style="42" bestFit="1" customWidth="1"/>
    <col min="13" max="13" width="6.7109375" style="35" customWidth="1"/>
    <col min="14" max="17" width="6.7109375" style="18" customWidth="1"/>
    <col min="18" max="18" width="6.7109375" style="36" customWidth="1"/>
    <col min="19" max="19" width="15.5703125" style="18" customWidth="1"/>
    <col min="20" max="20" width="10.85546875" style="18" bestFit="1" customWidth="1"/>
    <col min="21" max="25" width="15.5703125" style="18" customWidth="1"/>
    <col min="26" max="26" width="23.140625" style="18" bestFit="1" customWidth="1"/>
    <col min="27" max="27" width="21.42578125" style="18" customWidth="1"/>
    <col min="28" max="28" width="13.5703125" style="18" customWidth="1"/>
    <col min="29" max="29" width="12.7109375" style="18" customWidth="1"/>
    <col min="30" max="30" width="15.42578125" bestFit="1" customWidth="1"/>
    <col min="31" max="31" width="15.140625" style="18" customWidth="1"/>
    <col min="32" max="16384" width="9.28515625" style="18"/>
  </cols>
  <sheetData>
    <row r="1" spans="1:37" x14ac:dyDescent="0.25">
      <c r="A1" s="18" t="s">
        <v>66</v>
      </c>
      <c r="B1" s="18" t="s">
        <v>149</v>
      </c>
      <c r="C1" s="18" t="s">
        <v>150</v>
      </c>
      <c r="D1" s="18" t="s">
        <v>151</v>
      </c>
      <c r="E1" s="18" t="s">
        <v>152</v>
      </c>
      <c r="F1" s="18" t="s">
        <v>153</v>
      </c>
      <c r="G1" s="54" t="s">
        <v>154</v>
      </c>
      <c r="H1" s="35" t="s">
        <v>155</v>
      </c>
      <c r="I1" s="18" t="s">
        <v>156</v>
      </c>
      <c r="J1" s="36" t="s">
        <v>157</v>
      </c>
      <c r="K1" s="18" t="s">
        <v>158</v>
      </c>
      <c r="L1" s="41" t="s">
        <v>159</v>
      </c>
      <c r="M1" s="35" t="s">
        <v>160</v>
      </c>
      <c r="N1" s="18" t="s">
        <v>161</v>
      </c>
      <c r="O1" s="18" t="s">
        <v>162</v>
      </c>
      <c r="P1" s="18" t="s">
        <v>163</v>
      </c>
      <c r="Q1" s="18" t="s">
        <v>164</v>
      </c>
      <c r="R1" s="36" t="s">
        <v>165</v>
      </c>
      <c r="S1" s="18" t="s">
        <v>166</v>
      </c>
      <c r="T1" s="18" t="s">
        <v>167</v>
      </c>
      <c r="U1" s="18" t="s">
        <v>265</v>
      </c>
      <c r="V1" s="18" t="s">
        <v>168</v>
      </c>
      <c r="W1" s="18" t="s">
        <v>169</v>
      </c>
      <c r="X1" s="25" t="s">
        <v>430</v>
      </c>
      <c r="Y1" s="18" t="s">
        <v>170</v>
      </c>
      <c r="Z1" s="18" t="s">
        <v>171</v>
      </c>
      <c r="AA1" s="18" t="s">
        <v>172</v>
      </c>
      <c r="AB1" s="18" t="s">
        <v>173</v>
      </c>
      <c r="AC1" s="18" t="s">
        <v>174</v>
      </c>
      <c r="AD1" s="18" t="s">
        <v>175</v>
      </c>
      <c r="AE1" s="18" t="s">
        <v>176</v>
      </c>
      <c r="AF1" s="49" t="s">
        <v>177</v>
      </c>
      <c r="AG1" s="18" t="s">
        <v>178</v>
      </c>
    </row>
    <row r="2" spans="1:37" x14ac:dyDescent="0.25">
      <c r="A2" s="18" t="s">
        <v>13</v>
      </c>
      <c r="B2" s="18" t="s">
        <v>13</v>
      </c>
      <c r="C2" s="18" t="s">
        <v>13</v>
      </c>
      <c r="D2" s="18" t="s">
        <v>13</v>
      </c>
      <c r="E2" s="18" t="s">
        <v>179</v>
      </c>
      <c r="F2" s="18" t="s">
        <v>13</v>
      </c>
      <c r="G2" s="18" t="s">
        <v>13</v>
      </c>
      <c r="H2" s="35" t="s">
        <v>13</v>
      </c>
      <c r="I2" s="18" t="s">
        <v>13</v>
      </c>
      <c r="J2" s="36" t="s">
        <v>13</v>
      </c>
      <c r="K2" s="18" t="s">
        <v>91</v>
      </c>
      <c r="L2" s="41" t="s">
        <v>13</v>
      </c>
      <c r="M2" s="35" t="s">
        <v>30</v>
      </c>
      <c r="N2" s="18" t="s">
        <v>180</v>
      </c>
      <c r="O2" s="18" t="s">
        <v>27</v>
      </c>
      <c r="P2" s="18" t="s">
        <v>27</v>
      </c>
      <c r="Q2" s="18" t="s">
        <v>27</v>
      </c>
      <c r="R2" s="36" t="s">
        <v>13</v>
      </c>
      <c r="S2" s="18" t="s">
        <v>13</v>
      </c>
      <c r="T2" s="18" t="s">
        <v>13</v>
      </c>
      <c r="U2" s="18" t="s">
        <v>13</v>
      </c>
      <c r="V2" s="18" t="s">
        <v>13</v>
      </c>
      <c r="W2" s="18" t="s">
        <v>13</v>
      </c>
      <c r="X2" s="25" t="s">
        <v>13</v>
      </c>
      <c r="Y2" s="18" t="s">
        <v>13</v>
      </c>
      <c r="Z2" s="18" t="s">
        <v>13</v>
      </c>
      <c r="AA2" s="18" t="s">
        <v>181</v>
      </c>
      <c r="AB2" s="18" t="s">
        <v>90</v>
      </c>
      <c r="AC2" s="18" t="s">
        <v>90</v>
      </c>
      <c r="AD2" s="18" t="s">
        <v>13</v>
      </c>
      <c r="AE2" s="18" t="s">
        <v>13</v>
      </c>
      <c r="AF2" s="50" t="s">
        <v>13</v>
      </c>
      <c r="AG2" s="18" t="s">
        <v>13</v>
      </c>
    </row>
    <row r="3" spans="1:37" x14ac:dyDescent="0.25">
      <c r="A3" s="18" t="str">
        <f>IF(ISBLANK($B3)=FALSE,IF(AND($H3&gt;0,$I3&lt;=0,$J3&lt;=0),_xlfn.CONCAT("ofw_",$B3),IF(AND($H3&lt;=0,$I3&gt;0,$J3&lt;=0),_xlfn.CONCAT("owc_",$B3),IF(AND($H3&lt;=0,$I3&lt;=0,$J3&gt;0),_xlfn.CONCAT("opv_",$B3),_xlfn.CONCAT("oce_",$B3)))),"")</f>
        <v>owc_CPO_A1</v>
      </c>
      <c r="B3" s="25" t="s">
        <v>182</v>
      </c>
      <c r="C3" s="25" t="s">
        <v>183</v>
      </c>
      <c r="D3" s="25" t="b">
        <v>0</v>
      </c>
      <c r="E3" s="25">
        <v>1</v>
      </c>
      <c r="F3" s="25">
        <v>7</v>
      </c>
      <c r="G3" s="25"/>
      <c r="H3" s="37">
        <v>0</v>
      </c>
      <c r="I3" s="25">
        <f>wec_devices</f>
        <v>1</v>
      </c>
      <c r="J3" s="38">
        <v>0</v>
      </c>
      <c r="K3" s="40">
        <v>1</v>
      </c>
      <c r="L3" s="42" t="b">
        <v>1</v>
      </c>
      <c r="M3" s="35">
        <v>1.5</v>
      </c>
      <c r="R3" s="38" t="b">
        <v>1</v>
      </c>
      <c r="S3" s="25" t="s">
        <v>184</v>
      </c>
      <c r="T3" s="25" t="str">
        <f>IFERROR(IF(ISBLANK(S3),"",INDEX(Gen_Vessels!$A$3:$C$500,MATCH(InspectionSite!$S3,Gen_Vessels!$C$3:$C$500,0),1)),"")</f>
        <v>V201</v>
      </c>
      <c r="U3" s="25">
        <v>1</v>
      </c>
      <c r="V3" s="25"/>
      <c r="W3" s="25" t="str">
        <f>IFERROR(IF(ISBLANK(V3),"",INDEX(Gen_Vessels!$A$3:$C$500,MATCH(InspectionSite!$V3,Gen_Vessels!$C$3:$C$500,0),1)),"")</f>
        <v/>
      </c>
      <c r="X3" s="25"/>
      <c r="Y3" s="25"/>
      <c r="Z3" s="25">
        <v>2</v>
      </c>
      <c r="AA3" s="25"/>
      <c r="AB3" s="25"/>
      <c r="AC3" s="25"/>
      <c r="AD3" s="20" t="s">
        <v>185</v>
      </c>
      <c r="AF3" s="49"/>
      <c r="AG3" s="25"/>
      <c r="AH3" s="25"/>
      <c r="AI3" s="25"/>
      <c r="AJ3" s="25"/>
      <c r="AK3" s="25"/>
    </row>
    <row r="4" spans="1:37" x14ac:dyDescent="0.25">
      <c r="A4" s="18" t="str">
        <f>IF(ISBLANK($B4)=FALSE,IF(AND($H4&gt;0,$I4&lt;=0,$J4&lt;=0),_xlfn.CONCAT("ofw_",$B4),IF(AND($H4&lt;=0,$I4&gt;0,$J4&lt;=0),_xlfn.CONCAT("owc_",$B4),IF(AND($H4&lt;=0,$I4&lt;=0,$J4&gt;0),_xlfn.CONCAT("opv_",$B4),_xlfn.CONCAT("oce_",$B4)))),"")</f>
        <v>owc_CPO_A2</v>
      </c>
      <c r="B4" s="25" t="s">
        <v>186</v>
      </c>
      <c r="C4" s="25" t="s">
        <v>187</v>
      </c>
      <c r="D4" s="25" t="b">
        <v>0</v>
      </c>
      <c r="E4" s="25">
        <v>1</v>
      </c>
      <c r="F4" s="25">
        <v>7</v>
      </c>
      <c r="G4" s="25"/>
      <c r="H4" s="37">
        <v>0</v>
      </c>
      <c r="I4" s="25">
        <f>wec_devices</f>
        <v>1</v>
      </c>
      <c r="J4" s="38">
        <v>0</v>
      </c>
      <c r="K4" s="40">
        <v>4</v>
      </c>
      <c r="L4" s="42" t="b">
        <v>1</v>
      </c>
      <c r="M4" s="35">
        <v>1.5</v>
      </c>
      <c r="R4" s="38" t="b">
        <v>1</v>
      </c>
      <c r="S4" s="25" t="s">
        <v>184</v>
      </c>
      <c r="T4" s="25" t="str">
        <f>IFERROR(IF(ISBLANK(S4),"",INDEX(Gen_Vessels!$A$3:$C$500,MATCH(InspectionSite!$S4,Gen_Vessels!$C$3:$C$500,0),1)),"")</f>
        <v>V201</v>
      </c>
      <c r="U4" s="25">
        <v>1</v>
      </c>
      <c r="V4" s="25"/>
      <c r="W4" s="25" t="str">
        <f>IFERROR(IF(ISBLANK(V4),"",INDEX(Gen_Vessels!$A$3:$C$500,MATCH(InspectionSite!$V4,Gen_Vessels!$C$3:$C$500,0),1)),"")</f>
        <v/>
      </c>
      <c r="X4" s="25"/>
      <c r="Y4" s="25"/>
      <c r="Z4" s="25">
        <v>2</v>
      </c>
      <c r="AA4" s="25"/>
      <c r="AB4" s="25"/>
      <c r="AC4" s="25"/>
      <c r="AD4" s="20" t="s">
        <v>185</v>
      </c>
      <c r="AF4" s="49"/>
      <c r="AG4" s="25"/>
      <c r="AH4" s="25"/>
      <c r="AI4" s="25"/>
      <c r="AJ4" s="25"/>
      <c r="AK4" s="25"/>
    </row>
    <row r="5" spans="1:37" x14ac:dyDescent="0.25">
      <c r="A5" s="18" t="str">
        <f t="shared" ref="A5:A68" si="0">IF(ISBLANK($B5)=FALSE,IF(AND($H5&gt;0,$I5&lt;=0,$J5&lt;=0),_xlfn.CONCAT("ofw_",$B5),IF(AND($H5&lt;=0,$I5&gt;0,$J5&lt;=0),_xlfn.CONCAT("owc_",$B5),IF(AND($H5&lt;=0,$I5&lt;=0,$J5&gt;0),_xlfn.CONCAT("opv_",$B5),_xlfn.CONCAT("oce_",$B5)))),"")</f>
        <v>owc_CPO_U1</v>
      </c>
      <c r="B5" s="25" t="s">
        <v>188</v>
      </c>
      <c r="C5" s="25" t="s">
        <v>189</v>
      </c>
      <c r="D5" s="25" t="b">
        <v>0</v>
      </c>
      <c r="E5" s="25">
        <v>1</v>
      </c>
      <c r="F5" s="25">
        <v>7</v>
      </c>
      <c r="G5" s="25"/>
      <c r="H5" s="37">
        <v>0</v>
      </c>
      <c r="I5" s="25">
        <f>wec_devices</f>
        <v>1</v>
      </c>
      <c r="J5" s="38">
        <v>0</v>
      </c>
      <c r="K5" s="40">
        <v>0.25</v>
      </c>
      <c r="L5" s="42" t="b">
        <v>1</v>
      </c>
      <c r="M5" s="35">
        <v>1.5</v>
      </c>
      <c r="R5" s="38" t="b">
        <v>1</v>
      </c>
      <c r="S5" s="25" t="s">
        <v>184</v>
      </c>
      <c r="T5" s="25" t="str">
        <f>IFERROR(IF(ISBLANK(S5),"",INDEX(Gen_Vessels!$A$3:$C$500,MATCH(InspectionSite!$S5,Gen_Vessels!$C$3:$C$500,0),1)),"")</f>
        <v>V201</v>
      </c>
      <c r="U5" s="25">
        <v>1</v>
      </c>
      <c r="V5" s="25"/>
      <c r="W5" s="25" t="str">
        <f>IFERROR(IF(ISBLANK(V5),"",INDEX(Gen_Vessels!$A$3:$C$500,MATCH(InspectionSite!$V5,Gen_Vessels!$C$3:$C$500,0),1)),"")</f>
        <v/>
      </c>
      <c r="X5" s="25"/>
      <c r="Y5" s="25" t="s">
        <v>142</v>
      </c>
      <c r="Z5" s="25">
        <v>2</v>
      </c>
      <c r="AA5" s="25"/>
      <c r="AB5" s="25"/>
      <c r="AC5" s="25"/>
      <c r="AD5" s="20" t="s">
        <v>185</v>
      </c>
      <c r="AF5" s="49"/>
      <c r="AG5" s="25"/>
      <c r="AH5" s="25"/>
      <c r="AI5" s="25"/>
      <c r="AJ5" s="25"/>
      <c r="AK5" s="25"/>
    </row>
    <row r="6" spans="1:37" x14ac:dyDescent="0.25">
      <c r="A6" s="18" t="str">
        <f t="shared" si="0"/>
        <v>owc_CPO_M1</v>
      </c>
      <c r="B6" s="25" t="s">
        <v>190</v>
      </c>
      <c r="C6" s="25" t="s">
        <v>191</v>
      </c>
      <c r="D6" s="25" t="b">
        <v>0</v>
      </c>
      <c r="E6" s="25">
        <v>1</v>
      </c>
      <c r="F6" s="25">
        <v>7</v>
      </c>
      <c r="G6" s="25"/>
      <c r="H6" s="37">
        <v>0</v>
      </c>
      <c r="I6" s="25">
        <f>wec_devices</f>
        <v>1</v>
      </c>
      <c r="J6" s="38">
        <v>0</v>
      </c>
      <c r="K6" s="40">
        <v>4</v>
      </c>
      <c r="L6" s="42" t="b">
        <v>1</v>
      </c>
      <c r="M6" s="35">
        <v>1.5</v>
      </c>
      <c r="R6" s="38" t="b">
        <v>1</v>
      </c>
      <c r="S6" s="25" t="s">
        <v>184</v>
      </c>
      <c r="T6" s="25" t="str">
        <f>IFERROR(IF(ISBLANK(S6),"",INDEX(Gen_Vessels!$A$3:$C$500,MATCH(InspectionSite!$S6,Gen_Vessels!$C$3:$C$500,0),1)),"")</f>
        <v>V201</v>
      </c>
      <c r="U6" s="25">
        <v>1</v>
      </c>
      <c r="V6" s="25"/>
      <c r="W6" s="25" t="str">
        <f>IFERROR(IF(ISBLANK(V6),"",INDEX(Gen_Vessels!$A$3:$C$500,MATCH(InspectionSite!$V6,Gen_Vessels!$C$3:$C$500,0),1)),"")</f>
        <v/>
      </c>
      <c r="X6" s="25"/>
      <c r="Y6" s="25"/>
      <c r="Z6" s="25">
        <v>2</v>
      </c>
      <c r="AA6" s="25"/>
      <c r="AB6" s="25"/>
      <c r="AC6" s="25"/>
      <c r="AD6" s="20" t="s">
        <v>185</v>
      </c>
      <c r="AF6" s="49"/>
      <c r="AG6" s="25"/>
      <c r="AH6" s="25"/>
      <c r="AI6" s="25"/>
      <c r="AJ6" s="25"/>
      <c r="AK6" s="25"/>
    </row>
    <row r="7" spans="1:37" x14ac:dyDescent="0.25">
      <c r="A7" s="18" t="str">
        <f t="shared" si="0"/>
        <v>owc_CPO_A5</v>
      </c>
      <c r="B7" s="25" t="s">
        <v>192</v>
      </c>
      <c r="C7" s="25" t="s">
        <v>193</v>
      </c>
      <c r="D7" s="25" t="b">
        <v>0</v>
      </c>
      <c r="E7" s="25">
        <v>1</v>
      </c>
      <c r="F7" s="25">
        <v>7</v>
      </c>
      <c r="G7" s="25"/>
      <c r="H7" s="37">
        <v>0</v>
      </c>
      <c r="I7" s="25">
        <f>wec_devices</f>
        <v>1</v>
      </c>
      <c r="J7" s="38">
        <v>0</v>
      </c>
      <c r="K7" s="40">
        <v>3</v>
      </c>
      <c r="L7" s="42" t="b">
        <v>1</v>
      </c>
      <c r="M7" s="35">
        <v>1.5</v>
      </c>
      <c r="R7" s="38" t="b">
        <v>1</v>
      </c>
      <c r="S7" s="25" t="s">
        <v>184</v>
      </c>
      <c r="T7" s="25" t="str">
        <f>IFERROR(IF(ISBLANK(S7),"",INDEX(Gen_Vessels!$A$3:$C$500,MATCH(InspectionSite!$S7,Gen_Vessels!$C$3:$C$500,0),1)),"")</f>
        <v>V201</v>
      </c>
      <c r="U7" s="25">
        <v>1</v>
      </c>
      <c r="V7" s="25"/>
      <c r="W7" s="25" t="str">
        <f>IFERROR(IF(ISBLANK(V7),"",INDEX(Gen_Vessels!$A$3:$C$500,MATCH(InspectionSite!$V7,Gen_Vessels!$C$3:$C$500,0),1)),"")</f>
        <v/>
      </c>
      <c r="X7" s="25"/>
      <c r="Y7" s="25"/>
      <c r="Z7" s="25">
        <v>2</v>
      </c>
      <c r="AA7" s="25"/>
      <c r="AB7" s="25"/>
      <c r="AC7" s="25"/>
      <c r="AD7" s="20" t="s">
        <v>185</v>
      </c>
      <c r="AF7" s="49"/>
      <c r="AG7" s="25"/>
      <c r="AH7" s="25"/>
      <c r="AI7" s="25"/>
      <c r="AJ7" s="25"/>
      <c r="AK7" s="25"/>
    </row>
    <row r="8" spans="1:37" x14ac:dyDescent="0.25">
      <c r="A8" s="18" t="str">
        <f t="shared" si="0"/>
        <v/>
      </c>
      <c r="B8" s="25"/>
      <c r="C8" s="25"/>
      <c r="D8" s="25"/>
      <c r="E8" s="25"/>
      <c r="F8" s="25"/>
      <c r="G8" s="25"/>
      <c r="H8" s="37"/>
      <c r="I8" s="25"/>
      <c r="J8" s="38"/>
      <c r="K8" s="40"/>
      <c r="R8" s="38"/>
      <c r="S8" s="25"/>
      <c r="T8" s="25" t="str">
        <f>IFERROR(IF(ISBLANK(S8),"",INDEX(Gen_Vessels!$A$3:$C$500,MATCH(InspectionSite!$S8,Gen_Vessels!$C$3:$C$500,0),1)),"")</f>
        <v/>
      </c>
      <c r="U8" s="25"/>
      <c r="V8" s="25"/>
      <c r="W8" s="25" t="str">
        <f>IFERROR(IF(ISBLANK(V8),"",INDEX(Gen_Vessels!$A$3:$C$500,MATCH(InspectionSite!$V8,Gen_Vessels!$C$3:$C$500,0),1)),"")</f>
        <v/>
      </c>
      <c r="X8" s="25"/>
      <c r="Y8" s="25"/>
      <c r="Z8" s="25"/>
      <c r="AA8" s="25"/>
      <c r="AB8" s="25"/>
      <c r="AC8" s="25"/>
      <c r="AD8" s="20"/>
      <c r="AE8" s="25"/>
      <c r="AF8" s="49"/>
      <c r="AG8" s="25"/>
      <c r="AH8" s="25"/>
      <c r="AI8" s="25"/>
      <c r="AJ8" s="25"/>
      <c r="AK8" s="25"/>
    </row>
    <row r="9" spans="1:37" x14ac:dyDescent="0.25">
      <c r="A9" s="18" t="str">
        <f t="shared" si="0"/>
        <v/>
      </c>
      <c r="B9" s="25"/>
      <c r="C9" s="25"/>
      <c r="D9" s="25"/>
      <c r="E9" s="25"/>
      <c r="F9" s="25"/>
      <c r="G9" s="25"/>
      <c r="H9" s="37"/>
      <c r="I9" s="25"/>
      <c r="J9" s="38"/>
      <c r="K9" s="40"/>
      <c r="R9" s="38"/>
      <c r="S9" s="25"/>
      <c r="T9" s="25" t="str">
        <f>IFERROR(IF(ISBLANK(S9),"",INDEX(Gen_Vessels!$A$3:$C$500,MATCH(InspectionSite!$S9,Gen_Vessels!$C$3:$C$500,0),1)),"")</f>
        <v/>
      </c>
      <c r="U9" s="25"/>
      <c r="V9" s="25"/>
      <c r="W9" s="25" t="str">
        <f>IFERROR(IF(ISBLANK(V9),"",INDEX(Gen_Vessels!$A$3:$C$500,MATCH(InspectionSite!$V9,Gen_Vessels!$C$3:$C$500,0),1)),"")</f>
        <v/>
      </c>
      <c r="X9" s="25"/>
      <c r="Y9" s="25"/>
      <c r="Z9" s="25"/>
      <c r="AA9" s="25"/>
      <c r="AB9" s="25"/>
      <c r="AC9" s="25"/>
      <c r="AD9" s="20"/>
      <c r="AE9" s="25"/>
      <c r="AF9" s="49"/>
      <c r="AG9" s="25"/>
      <c r="AH9" s="25"/>
      <c r="AI9" s="25"/>
      <c r="AJ9" s="25"/>
      <c r="AK9" s="25"/>
    </row>
    <row r="10" spans="1:37" x14ac:dyDescent="0.25">
      <c r="A10" s="18" t="str">
        <f t="shared" si="0"/>
        <v/>
      </c>
      <c r="B10" s="25"/>
      <c r="C10" s="25"/>
      <c r="D10" s="25"/>
      <c r="E10" s="25"/>
      <c r="F10" s="25"/>
      <c r="G10" s="25"/>
      <c r="H10" s="37"/>
      <c r="I10" s="25"/>
      <c r="J10" s="38"/>
      <c r="K10" s="40"/>
      <c r="R10" s="38"/>
      <c r="S10" s="25"/>
      <c r="T10" s="25" t="str">
        <f>IFERROR(IF(ISBLANK(S10),"",INDEX(Gen_Vessels!$A$3:$C$500,MATCH(InspectionSite!$S10,Gen_Vessels!$C$3:$C$500,0),1)),"")</f>
        <v/>
      </c>
      <c r="U10" s="25"/>
      <c r="V10" s="25"/>
      <c r="W10" s="25" t="str">
        <f>IFERROR(IF(ISBLANK(V10),"",INDEX(Gen_Vessels!$A$3:$C$500,MATCH(InspectionSite!$V10,Gen_Vessels!$C$3:$C$500,0),1)),"")</f>
        <v/>
      </c>
      <c r="X10" s="25"/>
      <c r="Y10" s="25"/>
      <c r="Z10" s="25"/>
      <c r="AA10" s="25"/>
      <c r="AB10" s="25"/>
      <c r="AC10" s="25"/>
      <c r="AD10" s="20"/>
      <c r="AE10" s="25"/>
      <c r="AF10" s="49"/>
      <c r="AG10" s="25"/>
      <c r="AH10" s="25"/>
      <c r="AI10" s="25"/>
      <c r="AJ10" s="25"/>
      <c r="AK10" s="25"/>
    </row>
    <row r="11" spans="1:37" x14ac:dyDescent="0.25">
      <c r="A11" s="18" t="str">
        <f t="shared" si="0"/>
        <v/>
      </c>
      <c r="B11" s="25"/>
      <c r="C11" s="25"/>
      <c r="D11" s="25"/>
      <c r="E11" s="25"/>
      <c r="F11" s="25"/>
      <c r="G11" s="25"/>
      <c r="H11" s="37"/>
      <c r="I11" s="25"/>
      <c r="J11" s="38"/>
      <c r="K11" s="40"/>
      <c r="R11" s="38"/>
      <c r="S11" s="25"/>
      <c r="T11" s="25" t="str">
        <f>IFERROR(IF(ISBLANK(S11),"",INDEX(Gen_Vessels!$A$3:$C$500,MATCH(InspectionSite!$S11,Gen_Vessels!$C$3:$C$500,0),1)),"")</f>
        <v/>
      </c>
      <c r="U11" s="25"/>
      <c r="V11" s="25"/>
      <c r="W11" s="25" t="str">
        <f>IFERROR(IF(ISBLANK(V11),"",INDEX(Gen_Vessels!$A$3:$C$500,MATCH(InspectionSite!$V11,Gen_Vessels!$C$3:$C$500,0),1)),"")</f>
        <v/>
      </c>
      <c r="X11" s="25"/>
      <c r="Y11" s="25"/>
      <c r="Z11" s="25"/>
      <c r="AA11" s="25"/>
      <c r="AB11" s="25"/>
      <c r="AC11" s="25"/>
      <c r="AD11" s="20"/>
      <c r="AE11" s="25"/>
      <c r="AF11" s="49"/>
      <c r="AG11" s="25"/>
      <c r="AH11" s="25"/>
      <c r="AI11" s="25"/>
      <c r="AJ11" s="25"/>
      <c r="AK11" s="25"/>
    </row>
    <row r="12" spans="1:37" x14ac:dyDescent="0.25">
      <c r="A12" s="18" t="str">
        <f t="shared" si="0"/>
        <v/>
      </c>
      <c r="B12" s="25"/>
      <c r="C12" s="25"/>
      <c r="D12" s="25"/>
      <c r="E12" s="25"/>
      <c r="F12" s="25"/>
      <c r="G12" s="25"/>
      <c r="H12" s="37"/>
      <c r="I12" s="25"/>
      <c r="J12" s="38"/>
      <c r="K12" s="40"/>
      <c r="R12" s="38"/>
      <c r="S12" s="25"/>
      <c r="T12" s="25" t="str">
        <f>IFERROR(IF(ISBLANK(S12),"",INDEX(Gen_Vessels!$A$3:$C$500,MATCH(InspectionSite!$S12,Gen_Vessels!$C$3:$C$500,0),1)),"")</f>
        <v/>
      </c>
      <c r="U12" s="25"/>
      <c r="V12" s="25"/>
      <c r="W12" s="25" t="str">
        <f>IFERROR(IF(ISBLANK(V12),"",INDEX(Gen_Vessels!$A$3:$C$500,MATCH(InspectionSite!$V12,Gen_Vessels!$C$3:$C$500,0),1)),"")</f>
        <v/>
      </c>
      <c r="X12" s="25"/>
      <c r="Y12" s="25"/>
      <c r="Z12" s="25"/>
      <c r="AA12" s="25"/>
      <c r="AB12" s="25"/>
      <c r="AC12" s="25"/>
      <c r="AD12" s="20"/>
      <c r="AE12" s="25"/>
      <c r="AF12" s="49"/>
      <c r="AG12" s="25"/>
      <c r="AH12" s="25"/>
      <c r="AI12" s="25"/>
      <c r="AJ12" s="25"/>
      <c r="AK12" s="25"/>
    </row>
    <row r="13" spans="1:37" x14ac:dyDescent="0.25">
      <c r="A13" s="18" t="str">
        <f t="shared" si="0"/>
        <v/>
      </c>
      <c r="B13" s="25"/>
      <c r="C13" s="25"/>
      <c r="D13" s="25"/>
      <c r="E13" s="25"/>
      <c r="F13" s="25"/>
      <c r="G13" s="25"/>
      <c r="H13" s="37"/>
      <c r="I13" s="25"/>
      <c r="J13" s="38"/>
      <c r="K13" s="40"/>
      <c r="R13" s="38"/>
      <c r="S13" s="25"/>
      <c r="T13" s="25" t="str">
        <f>IFERROR(IF(ISBLANK(S13),"",INDEX(Gen_Vessels!$A$3:$C$500,MATCH(InspectionSite!$S13,Gen_Vessels!$C$3:$C$500,0),1)),"")</f>
        <v/>
      </c>
      <c r="U13" s="25"/>
      <c r="V13" s="25"/>
      <c r="W13" s="25" t="str">
        <f>IFERROR(IF(ISBLANK(V13),"",INDEX(Gen_Vessels!$A$3:$C$500,MATCH(InspectionSite!$V13,Gen_Vessels!$C$3:$C$500,0),1)),"")</f>
        <v/>
      </c>
      <c r="X13" s="25"/>
      <c r="Y13" s="25"/>
      <c r="Z13" s="25"/>
      <c r="AA13" s="25"/>
      <c r="AB13" s="25"/>
      <c r="AC13" s="25"/>
      <c r="AD13" s="20"/>
      <c r="AE13" s="25"/>
      <c r="AF13" s="49"/>
      <c r="AG13" s="25"/>
      <c r="AH13" s="25"/>
      <c r="AI13" s="25"/>
      <c r="AJ13" s="25"/>
      <c r="AK13" s="25"/>
    </row>
    <row r="14" spans="1:37" x14ac:dyDescent="0.25">
      <c r="A14" s="18" t="str">
        <f t="shared" si="0"/>
        <v/>
      </c>
      <c r="B14" s="25"/>
      <c r="C14" s="25"/>
      <c r="D14" s="25"/>
      <c r="E14" s="25"/>
      <c r="F14" s="25"/>
      <c r="G14" s="25"/>
      <c r="H14" s="37"/>
      <c r="I14" s="25"/>
      <c r="J14" s="38"/>
      <c r="K14" s="40"/>
      <c r="R14" s="38"/>
      <c r="S14" s="25"/>
      <c r="T14" s="25" t="str">
        <f>IFERROR(IF(ISBLANK(S14),"",INDEX(Gen_Vessels!$A$3:$C$500,MATCH(InspectionSite!$S14,Gen_Vessels!$C$3:$C$500,0),1)),"")</f>
        <v/>
      </c>
      <c r="U14" s="25"/>
      <c r="V14" s="25"/>
      <c r="W14" s="25" t="str">
        <f>IFERROR(IF(ISBLANK(V14),"",INDEX(Gen_Vessels!$A$3:$C$500,MATCH(InspectionSite!$V14,Gen_Vessels!$C$3:$C$500,0),1)),"")</f>
        <v/>
      </c>
      <c r="X14" s="25"/>
      <c r="Y14" s="25"/>
      <c r="Z14" s="25"/>
      <c r="AA14" s="25"/>
      <c r="AB14" s="25"/>
      <c r="AC14" s="25"/>
      <c r="AD14" s="20"/>
      <c r="AE14" s="25"/>
      <c r="AF14" s="49"/>
      <c r="AG14" s="25"/>
      <c r="AH14" s="25"/>
      <c r="AI14" s="25"/>
      <c r="AJ14" s="25"/>
      <c r="AK14" s="25"/>
    </row>
    <row r="15" spans="1:37" x14ac:dyDescent="0.25">
      <c r="A15" s="18" t="str">
        <f t="shared" si="0"/>
        <v/>
      </c>
      <c r="B15" s="25"/>
      <c r="C15" s="25"/>
      <c r="D15" s="25"/>
      <c r="E15" s="25"/>
      <c r="F15" s="25"/>
      <c r="G15" s="25"/>
      <c r="H15" s="37"/>
      <c r="I15" s="25"/>
      <c r="J15" s="38"/>
      <c r="K15" s="40"/>
      <c r="R15" s="38"/>
      <c r="S15" s="25"/>
      <c r="T15" s="25" t="str">
        <f>IFERROR(IF(ISBLANK(S15),"",INDEX(Gen_Vessels!$A$3:$C$500,MATCH(InspectionSite!$S15,Gen_Vessels!$C$3:$C$500,0),1)),"")</f>
        <v/>
      </c>
      <c r="U15" s="25"/>
      <c r="V15" s="25"/>
      <c r="W15" s="25" t="str">
        <f>IFERROR(IF(ISBLANK(V15),"",INDEX(Gen_Vessels!$A$3:$C$500,MATCH(InspectionSite!$V15,Gen_Vessels!$C$3:$C$500,0),1)),"")</f>
        <v/>
      </c>
      <c r="X15" s="25"/>
      <c r="Y15" s="25"/>
      <c r="Z15" s="25"/>
      <c r="AA15" s="25"/>
      <c r="AB15" s="25"/>
      <c r="AC15" s="25"/>
      <c r="AD15" s="20"/>
      <c r="AE15" s="25"/>
      <c r="AF15" s="49"/>
      <c r="AG15" s="25"/>
      <c r="AH15" s="25"/>
      <c r="AI15" s="25"/>
      <c r="AJ15" s="25"/>
      <c r="AK15" s="25"/>
    </row>
    <row r="16" spans="1:37" x14ac:dyDescent="0.25">
      <c r="A16" s="18" t="str">
        <f t="shared" si="0"/>
        <v/>
      </c>
      <c r="B16" s="25"/>
      <c r="C16" s="25"/>
      <c r="D16" s="25"/>
      <c r="E16" s="25"/>
      <c r="F16" s="25"/>
      <c r="G16" s="25"/>
      <c r="H16" s="37"/>
      <c r="I16" s="25"/>
      <c r="J16" s="38"/>
      <c r="K16" s="40"/>
      <c r="R16" s="38"/>
      <c r="S16" s="25"/>
      <c r="T16" s="25" t="str">
        <f>IFERROR(IF(ISBLANK(S16),"",INDEX(Gen_Vessels!$A$3:$C$500,MATCH(InspectionSite!$S16,Gen_Vessels!$C$3:$C$500,0),1)),"")</f>
        <v/>
      </c>
      <c r="U16" s="25"/>
      <c r="V16" s="25"/>
      <c r="W16" s="25" t="str">
        <f>IFERROR(IF(ISBLANK(V16),"",INDEX(Gen_Vessels!$A$3:$C$500,MATCH(InspectionSite!$V16,Gen_Vessels!$C$3:$C$500,0),1)),"")</f>
        <v/>
      </c>
      <c r="X16" s="25"/>
      <c r="Y16" s="25"/>
      <c r="Z16" s="25"/>
      <c r="AA16" s="25"/>
      <c r="AB16" s="25"/>
      <c r="AC16" s="25"/>
      <c r="AD16" s="25"/>
      <c r="AE16" s="25"/>
      <c r="AF16" s="49"/>
      <c r="AG16" s="25"/>
      <c r="AH16" s="25"/>
      <c r="AI16" s="25"/>
      <c r="AJ16" s="25"/>
      <c r="AK16" s="25"/>
    </row>
    <row r="17" spans="1:37" x14ac:dyDescent="0.25">
      <c r="A17" s="18" t="str">
        <f t="shared" si="0"/>
        <v/>
      </c>
      <c r="B17" s="25"/>
      <c r="C17" s="25"/>
      <c r="D17" s="25"/>
      <c r="E17" s="25"/>
      <c r="F17" s="25"/>
      <c r="G17" s="25"/>
      <c r="H17" s="37"/>
      <c r="I17" s="25"/>
      <c r="J17" s="38"/>
      <c r="K17" s="40"/>
      <c r="R17" s="38"/>
      <c r="S17" s="25"/>
      <c r="T17" s="25" t="str">
        <f>IFERROR(IF(ISBLANK(S17),"",INDEX(Gen_Vessels!$A$3:$C$500,MATCH(InspectionSite!$S17,Gen_Vessels!$C$3:$C$500,0),1)),"")</f>
        <v/>
      </c>
      <c r="U17" s="25"/>
      <c r="V17" s="25"/>
      <c r="W17" s="25" t="str">
        <f>IFERROR(IF(ISBLANK(V17),"",INDEX(Gen_Vessels!$A$3:$C$500,MATCH(InspectionSite!$V17,Gen_Vessels!$C$3:$C$500,0),1)),"")</f>
        <v/>
      </c>
      <c r="X17" s="25"/>
      <c r="Y17" s="25"/>
      <c r="Z17" s="25"/>
      <c r="AA17" s="25"/>
      <c r="AB17" s="25"/>
      <c r="AC17" s="25"/>
      <c r="AE17" s="25"/>
      <c r="AF17" s="49"/>
      <c r="AG17" s="25"/>
      <c r="AH17" s="25"/>
      <c r="AI17" s="25"/>
      <c r="AJ17" s="25"/>
      <c r="AK17" s="25"/>
    </row>
    <row r="18" spans="1:37" x14ac:dyDescent="0.25">
      <c r="A18" s="18" t="str">
        <f t="shared" si="0"/>
        <v/>
      </c>
      <c r="B18" s="25"/>
      <c r="C18" s="25"/>
      <c r="D18" s="25"/>
      <c r="E18" s="25"/>
      <c r="F18" s="25"/>
      <c r="G18" s="25"/>
      <c r="H18" s="37"/>
      <c r="I18" s="25"/>
      <c r="J18" s="38"/>
      <c r="K18" s="40"/>
      <c r="R18" s="38"/>
      <c r="S18" s="25"/>
      <c r="T18" s="25" t="str">
        <f>IFERROR(IF(ISBLANK(S18),"",INDEX(Gen_Vessels!$A$3:$C$500,MATCH(InspectionSite!$S18,Gen_Vessels!$C$3:$C$500,0),1)),"")</f>
        <v/>
      </c>
      <c r="U18" s="25"/>
      <c r="V18" s="25"/>
      <c r="W18" s="25" t="str">
        <f>IFERROR(IF(ISBLANK(V18),"",INDEX(Gen_Vessels!$A$3:$C$500,MATCH(InspectionSite!$V18,Gen_Vessels!$C$3:$C$500,0),1)),"")</f>
        <v/>
      </c>
      <c r="X18" s="25"/>
      <c r="Y18" s="25"/>
      <c r="Z18" s="25"/>
      <c r="AA18" s="25"/>
      <c r="AB18" s="25"/>
      <c r="AC18" s="25"/>
      <c r="AE18" s="25"/>
      <c r="AF18" s="49"/>
      <c r="AG18" s="25"/>
      <c r="AH18" s="25"/>
      <c r="AI18" s="25"/>
      <c r="AJ18" s="25"/>
      <c r="AK18" s="25"/>
    </row>
    <row r="19" spans="1:37" x14ac:dyDescent="0.25">
      <c r="A19" s="18" t="str">
        <f t="shared" si="0"/>
        <v/>
      </c>
      <c r="B19" s="25"/>
      <c r="C19" s="25"/>
      <c r="D19" s="25"/>
      <c r="E19" s="25"/>
      <c r="F19" s="25"/>
      <c r="G19" s="25"/>
      <c r="H19" s="37"/>
      <c r="I19" s="25"/>
      <c r="J19" s="38"/>
      <c r="K19" s="40"/>
      <c r="R19" s="38"/>
      <c r="S19" s="25"/>
      <c r="T19" s="25" t="str">
        <f>IFERROR(IF(ISBLANK(S19),"",INDEX(Gen_Vessels!$A$3:$C$500,MATCH(InspectionSite!$S19,Gen_Vessels!$C$3:$C$500,0),1)),"")</f>
        <v/>
      </c>
      <c r="U19" s="25"/>
      <c r="V19" s="25"/>
      <c r="W19" s="25" t="str">
        <f>IFERROR(IF(ISBLANK(V19),"",INDEX(Gen_Vessels!$A$3:$C$500,MATCH(InspectionSite!$V19,Gen_Vessels!$C$3:$C$500,0),1)),"")</f>
        <v/>
      </c>
      <c r="X19" s="25"/>
      <c r="Y19" s="25"/>
      <c r="Z19" s="25"/>
      <c r="AA19" s="25"/>
      <c r="AB19" s="25"/>
      <c r="AC19" s="25"/>
      <c r="AE19" s="25"/>
      <c r="AF19" s="49"/>
      <c r="AG19" s="25"/>
      <c r="AH19" s="25"/>
      <c r="AI19" s="25"/>
      <c r="AJ19" s="25"/>
      <c r="AK19" s="25"/>
    </row>
    <row r="20" spans="1:37" x14ac:dyDescent="0.25">
      <c r="A20" s="18" t="str">
        <f t="shared" si="0"/>
        <v/>
      </c>
      <c r="B20" s="25"/>
      <c r="C20" s="25"/>
      <c r="D20" s="25"/>
      <c r="E20" s="25"/>
      <c r="F20" s="25"/>
      <c r="G20" s="25"/>
      <c r="H20" s="37"/>
      <c r="I20" s="25"/>
      <c r="J20" s="38"/>
      <c r="K20" s="40"/>
      <c r="R20" s="38"/>
      <c r="S20" s="25"/>
      <c r="T20" s="25" t="str">
        <f>IFERROR(IF(ISBLANK(S20),"",INDEX(Gen_Vessels!$A$3:$C$500,MATCH(InspectionSite!$S20,Gen_Vessels!$C$3:$C$500,0),1)),"")</f>
        <v/>
      </c>
      <c r="U20" s="25"/>
      <c r="V20" s="25"/>
      <c r="W20" s="25" t="str">
        <f>IFERROR(IF(ISBLANK(V20),"",INDEX(Gen_Vessels!$A$3:$C$500,MATCH(InspectionSite!$V20,Gen_Vessels!$C$3:$C$500,0),1)),"")</f>
        <v/>
      </c>
      <c r="X20" s="25"/>
      <c r="Y20" s="25"/>
      <c r="Z20" s="25"/>
      <c r="AA20" s="25"/>
      <c r="AB20" s="25"/>
      <c r="AC20" s="25"/>
      <c r="AE20" s="25"/>
      <c r="AF20" s="49"/>
      <c r="AG20" s="25"/>
      <c r="AH20" s="25"/>
      <c r="AI20" s="25"/>
      <c r="AJ20" s="25"/>
      <c r="AK20" s="25"/>
    </row>
    <row r="21" spans="1:37" x14ac:dyDescent="0.25">
      <c r="A21" s="18" t="str">
        <f t="shared" si="0"/>
        <v/>
      </c>
      <c r="B21" s="25"/>
      <c r="C21" s="25"/>
      <c r="D21" s="25"/>
      <c r="E21" s="25"/>
      <c r="F21" s="25"/>
      <c r="G21" s="25"/>
      <c r="H21" s="37"/>
      <c r="I21" s="25"/>
      <c r="J21" s="38"/>
      <c r="K21" s="40"/>
      <c r="R21" s="38"/>
      <c r="S21" s="25"/>
      <c r="T21" s="25" t="str">
        <f>IFERROR(IF(ISBLANK(S21),"",INDEX(Gen_Vessels!$A$3:$C$500,MATCH(InspectionSite!$S21,Gen_Vessels!$C$3:$C$500,0),1)),"")</f>
        <v/>
      </c>
      <c r="U21" s="25"/>
      <c r="V21" s="25"/>
      <c r="W21" s="25" t="str">
        <f>IFERROR(IF(ISBLANK(V21),"",INDEX(Gen_Vessels!$A$3:$C$500,MATCH(InspectionSite!$V21,Gen_Vessels!$C$3:$C$500,0),1)),"")</f>
        <v/>
      </c>
      <c r="X21" s="25"/>
      <c r="Y21" s="25"/>
      <c r="Z21" s="25"/>
      <c r="AA21" s="25"/>
      <c r="AB21" s="25"/>
      <c r="AC21" s="25"/>
      <c r="AE21" s="25"/>
      <c r="AF21" s="49"/>
      <c r="AG21" s="25"/>
      <c r="AH21" s="25"/>
      <c r="AI21" s="25"/>
      <c r="AJ21" s="25"/>
      <c r="AK21" s="25"/>
    </row>
    <row r="22" spans="1:37" x14ac:dyDescent="0.25">
      <c r="A22" s="18" t="str">
        <f t="shared" si="0"/>
        <v/>
      </c>
      <c r="B22" s="25"/>
      <c r="C22" s="25"/>
      <c r="D22" s="25"/>
      <c r="E22" s="25"/>
      <c r="F22" s="25"/>
      <c r="G22" s="25"/>
      <c r="H22" s="37"/>
      <c r="I22" s="25"/>
      <c r="J22" s="38"/>
      <c r="K22" s="40"/>
      <c r="R22" s="38"/>
      <c r="S22" s="25"/>
      <c r="T22" s="25" t="str">
        <f>IFERROR(IF(ISBLANK(S22),"",INDEX(Gen_Vessels!$A$3:$C$500,MATCH(InspectionSite!$S22,Gen_Vessels!$C$3:$C$500,0),1)),"")</f>
        <v/>
      </c>
      <c r="U22" s="25"/>
      <c r="V22" s="25"/>
      <c r="W22" s="25" t="str">
        <f>IFERROR(IF(ISBLANK(V22),"",INDEX(Gen_Vessels!$A$3:$C$500,MATCH(InspectionSite!$V22,Gen_Vessels!$C$3:$C$500,0),1)),"")</f>
        <v/>
      </c>
      <c r="X22" s="25"/>
      <c r="Y22" s="25"/>
      <c r="Z22" s="25"/>
      <c r="AA22" s="25"/>
      <c r="AB22" s="25"/>
      <c r="AC22" s="25"/>
      <c r="AE22" s="25"/>
      <c r="AF22" s="49"/>
      <c r="AG22" s="25"/>
      <c r="AH22" s="25"/>
      <c r="AI22" s="25"/>
      <c r="AJ22" s="25"/>
      <c r="AK22" s="25"/>
    </row>
    <row r="23" spans="1:37" x14ac:dyDescent="0.25">
      <c r="A23" s="18" t="str">
        <f t="shared" si="0"/>
        <v/>
      </c>
      <c r="B23" s="25"/>
      <c r="C23" s="25"/>
      <c r="D23" s="25"/>
      <c r="E23" s="25"/>
      <c r="F23" s="25"/>
      <c r="G23" s="25"/>
      <c r="H23" s="37"/>
      <c r="I23" s="25"/>
      <c r="J23" s="38"/>
      <c r="K23" s="40"/>
      <c r="R23" s="38"/>
      <c r="S23" s="25"/>
      <c r="T23" s="25" t="str">
        <f>IFERROR(IF(ISBLANK(S23),"",INDEX(Gen_Vessels!$A$3:$C$500,MATCH(InspectionSite!$S23,Gen_Vessels!$C$3:$C$500,0),1)),"")</f>
        <v/>
      </c>
      <c r="U23" s="25"/>
      <c r="V23" s="25"/>
      <c r="W23" s="25" t="str">
        <f>IFERROR(IF(ISBLANK(V23),"",INDEX(Gen_Vessels!$A$3:$C$500,MATCH(InspectionSite!$V23,Gen_Vessels!$C$3:$C$500,0),1)),"")</f>
        <v/>
      </c>
      <c r="X23" s="25"/>
      <c r="Y23" s="25"/>
      <c r="Z23" s="25"/>
      <c r="AA23" s="25"/>
      <c r="AB23" s="25"/>
      <c r="AC23" s="25"/>
      <c r="AE23" s="25"/>
      <c r="AF23" s="49"/>
      <c r="AG23" s="25"/>
      <c r="AH23" s="25"/>
      <c r="AI23" s="25"/>
      <c r="AJ23" s="25"/>
      <c r="AK23" s="25"/>
    </row>
    <row r="24" spans="1:37" x14ac:dyDescent="0.25">
      <c r="A24" s="18" t="str">
        <f t="shared" si="0"/>
        <v/>
      </c>
      <c r="B24" s="25"/>
      <c r="C24" s="25"/>
      <c r="D24" s="25"/>
      <c r="E24" s="25"/>
      <c r="F24" s="25"/>
      <c r="G24" s="25"/>
      <c r="H24" s="37"/>
      <c r="I24" s="25"/>
      <c r="J24" s="38"/>
      <c r="K24" s="40"/>
      <c r="R24" s="38"/>
      <c r="S24" s="25"/>
      <c r="T24" s="25" t="str">
        <f>IFERROR(IF(ISBLANK(S24),"",INDEX(Gen_Vessels!$A$3:$C$500,MATCH(InspectionSite!$S24,Gen_Vessels!$C$3:$C$500,0),1)),"")</f>
        <v/>
      </c>
      <c r="U24" s="25"/>
      <c r="V24" s="25"/>
      <c r="W24" s="25" t="str">
        <f>IFERROR(IF(ISBLANK(V24),"",INDEX(Gen_Vessels!$A$3:$C$500,MATCH(InspectionSite!$V24,Gen_Vessels!$C$3:$C$500,0),1)),"")</f>
        <v/>
      </c>
      <c r="X24" s="25"/>
      <c r="Y24" s="25"/>
      <c r="Z24" s="25"/>
      <c r="AA24" s="25"/>
      <c r="AB24" s="25"/>
      <c r="AC24" s="25"/>
      <c r="AE24" s="25"/>
      <c r="AF24" s="49"/>
      <c r="AG24" s="25"/>
      <c r="AH24" s="25"/>
      <c r="AI24" s="25"/>
      <c r="AJ24" s="25"/>
      <c r="AK24" s="25"/>
    </row>
    <row r="25" spans="1:37" x14ac:dyDescent="0.25">
      <c r="A25" s="18" t="str">
        <f t="shared" si="0"/>
        <v/>
      </c>
      <c r="B25" s="25"/>
      <c r="C25" s="25"/>
      <c r="D25" s="25"/>
      <c r="E25" s="25"/>
      <c r="F25" s="25"/>
      <c r="G25" s="25"/>
      <c r="H25" s="37"/>
      <c r="I25" s="25"/>
      <c r="J25" s="38"/>
      <c r="K25" s="40"/>
      <c r="R25" s="38"/>
      <c r="S25" s="25"/>
      <c r="T25" s="25" t="str">
        <f>IFERROR(IF(ISBLANK(S25),"",INDEX(Gen_Vessels!$A$3:$C$500,MATCH(InspectionSite!$S25,Gen_Vessels!$C$3:$C$500,0),1)),"")</f>
        <v/>
      </c>
      <c r="U25" s="25"/>
      <c r="V25" s="25"/>
      <c r="W25" s="25" t="str">
        <f>IFERROR(IF(ISBLANK(V25),"",INDEX(Gen_Vessels!$A$3:$C$500,MATCH(InspectionSite!$V25,Gen_Vessels!$C$3:$C$500,0),1)),"")</f>
        <v/>
      </c>
      <c r="X25" s="25"/>
      <c r="Y25" s="25"/>
      <c r="Z25" s="25"/>
      <c r="AA25" s="25"/>
      <c r="AB25" s="25"/>
      <c r="AC25" s="25"/>
      <c r="AE25" s="25"/>
      <c r="AF25" s="49"/>
      <c r="AG25" s="25"/>
      <c r="AH25" s="25"/>
      <c r="AI25" s="25"/>
      <c r="AJ25" s="25"/>
      <c r="AK25" s="25"/>
    </row>
    <row r="26" spans="1:37" x14ac:dyDescent="0.25">
      <c r="A26" s="18" t="str">
        <f t="shared" si="0"/>
        <v/>
      </c>
      <c r="B26" s="25"/>
      <c r="C26" s="25"/>
      <c r="D26" s="25"/>
      <c r="E26" s="25"/>
      <c r="F26" s="25"/>
      <c r="G26" s="25"/>
      <c r="H26" s="37"/>
      <c r="I26" s="25"/>
      <c r="J26" s="38"/>
      <c r="K26" s="40"/>
      <c r="R26" s="38"/>
      <c r="S26" s="25"/>
      <c r="T26" s="25" t="str">
        <f>IFERROR(IF(ISBLANK(S26),"",INDEX(Gen_Vessels!$A$3:$C$500,MATCH(InspectionSite!$S26,Gen_Vessels!$C$3:$C$500,0),1)),"")</f>
        <v/>
      </c>
      <c r="U26" s="25"/>
      <c r="V26" s="25"/>
      <c r="W26" s="25" t="str">
        <f>IFERROR(IF(ISBLANK(V26),"",INDEX(Gen_Vessels!$A$3:$C$500,MATCH(InspectionSite!$V26,Gen_Vessels!$C$3:$C$500,0),1)),"")</f>
        <v/>
      </c>
      <c r="X26" s="25"/>
      <c r="Y26" s="25"/>
      <c r="Z26" s="25"/>
      <c r="AA26" s="25"/>
      <c r="AB26" s="25"/>
      <c r="AC26" s="25"/>
      <c r="AE26" s="25"/>
      <c r="AF26" s="49"/>
      <c r="AG26" s="25"/>
      <c r="AH26" s="25"/>
      <c r="AI26" s="25"/>
      <c r="AJ26" s="25"/>
      <c r="AK26" s="25"/>
    </row>
    <row r="27" spans="1:37" x14ac:dyDescent="0.25">
      <c r="A27" s="18" t="str">
        <f t="shared" si="0"/>
        <v/>
      </c>
      <c r="B27" s="25"/>
      <c r="C27" s="25"/>
      <c r="D27" s="25"/>
      <c r="E27" s="25"/>
      <c r="F27" s="25"/>
      <c r="G27" s="25"/>
      <c r="H27" s="37"/>
      <c r="I27" s="25"/>
      <c r="J27" s="38"/>
      <c r="K27" s="40"/>
      <c r="R27" s="38"/>
      <c r="S27" s="25"/>
      <c r="T27" s="25" t="str">
        <f>IFERROR(IF(ISBLANK(S27),"",INDEX(Gen_Vessels!$A$3:$C$500,MATCH(InspectionSite!$S27,Gen_Vessels!$C$3:$C$500,0),1)),"")</f>
        <v/>
      </c>
      <c r="U27" s="25"/>
      <c r="V27" s="25"/>
      <c r="W27" s="25" t="str">
        <f>IFERROR(IF(ISBLANK(V27),"",INDEX(Gen_Vessels!$A$3:$C$500,MATCH(InspectionSite!$V27,Gen_Vessels!$C$3:$C$500,0),1)),"")</f>
        <v/>
      </c>
      <c r="X27" s="25"/>
      <c r="Y27" s="25"/>
      <c r="Z27" s="25"/>
      <c r="AA27" s="25"/>
      <c r="AB27" s="25"/>
      <c r="AC27" s="25"/>
      <c r="AE27" s="25"/>
      <c r="AF27" s="49"/>
      <c r="AG27" s="25"/>
      <c r="AH27" s="25"/>
      <c r="AI27" s="25"/>
      <c r="AJ27" s="25"/>
      <c r="AK27" s="25"/>
    </row>
    <row r="28" spans="1:37" x14ac:dyDescent="0.25">
      <c r="A28" s="18" t="str">
        <f t="shared" si="0"/>
        <v/>
      </c>
      <c r="B28" s="25"/>
      <c r="C28" s="25"/>
      <c r="D28" s="25"/>
      <c r="E28" s="25"/>
      <c r="F28" s="25"/>
      <c r="G28" s="25"/>
      <c r="H28" s="37"/>
      <c r="I28" s="25"/>
      <c r="J28" s="38"/>
      <c r="K28" s="40"/>
      <c r="R28" s="38"/>
      <c r="S28" s="25"/>
      <c r="T28" s="25" t="str">
        <f>IFERROR(IF(ISBLANK(S28),"",INDEX(Gen_Vessels!$A$3:$C$500,MATCH(InspectionSite!$S28,Gen_Vessels!$C$3:$C$500,0),1)),"")</f>
        <v/>
      </c>
      <c r="U28" s="25"/>
      <c r="V28" s="25"/>
      <c r="W28" s="25" t="str">
        <f>IFERROR(IF(ISBLANK(V28),"",INDEX(Gen_Vessels!$A$3:$C$500,MATCH(InspectionSite!$V28,Gen_Vessels!$C$3:$C$500,0),1)),"")</f>
        <v/>
      </c>
      <c r="X28" s="25"/>
      <c r="Y28" s="25"/>
      <c r="Z28" s="25"/>
      <c r="AA28" s="25"/>
      <c r="AB28" s="25"/>
      <c r="AC28" s="25"/>
      <c r="AE28" s="25"/>
      <c r="AF28" s="49"/>
      <c r="AG28" s="25"/>
      <c r="AH28" s="25"/>
      <c r="AI28" s="25"/>
      <c r="AJ28" s="25"/>
      <c r="AK28" s="25"/>
    </row>
    <row r="29" spans="1:37" x14ac:dyDescent="0.25">
      <c r="A29" s="18" t="str">
        <f t="shared" si="0"/>
        <v/>
      </c>
      <c r="B29" s="25"/>
      <c r="C29" s="25"/>
      <c r="D29" s="25"/>
      <c r="E29" s="25"/>
      <c r="F29" s="25"/>
      <c r="G29" s="25"/>
      <c r="H29" s="37"/>
      <c r="I29" s="25"/>
      <c r="J29" s="38"/>
      <c r="K29" s="40"/>
      <c r="R29" s="38"/>
      <c r="S29" s="25"/>
      <c r="T29" s="25" t="str">
        <f>IFERROR(IF(ISBLANK(S29),"",INDEX(Gen_Vessels!$A$3:$C$500,MATCH(InspectionSite!$S29,Gen_Vessels!$C$3:$C$500,0),1)),"")</f>
        <v/>
      </c>
      <c r="U29" s="25"/>
      <c r="V29" s="25"/>
      <c r="W29" s="25" t="str">
        <f>IFERROR(IF(ISBLANK(V29),"",INDEX(Gen_Vessels!$A$3:$C$500,MATCH(InspectionSite!$V29,Gen_Vessels!$C$3:$C$500,0),1)),"")</f>
        <v/>
      </c>
      <c r="X29" s="25"/>
      <c r="Y29" s="25"/>
      <c r="Z29" s="25"/>
      <c r="AA29" s="25"/>
      <c r="AB29" s="25"/>
      <c r="AC29" s="25"/>
      <c r="AE29" s="25"/>
      <c r="AF29" s="49"/>
      <c r="AG29" s="25"/>
      <c r="AH29" s="25"/>
      <c r="AI29" s="25"/>
      <c r="AJ29" s="25"/>
      <c r="AK29" s="25"/>
    </row>
    <row r="30" spans="1:37" x14ac:dyDescent="0.25">
      <c r="A30" s="18" t="str">
        <f t="shared" si="0"/>
        <v/>
      </c>
      <c r="B30" s="25"/>
      <c r="C30" s="25"/>
      <c r="D30" s="25"/>
      <c r="E30" s="25"/>
      <c r="F30" s="25"/>
      <c r="G30" s="25"/>
      <c r="H30" s="37"/>
      <c r="I30" s="25"/>
      <c r="J30" s="38"/>
      <c r="K30" s="40"/>
      <c r="R30" s="38"/>
      <c r="S30" s="25"/>
      <c r="T30" s="25" t="str">
        <f>IFERROR(IF(ISBLANK(S30),"",INDEX(Gen_Vessels!$A$3:$C$500,MATCH(InspectionSite!$S30,Gen_Vessels!$C$3:$C$500,0),1)),"")</f>
        <v/>
      </c>
      <c r="U30" s="25"/>
      <c r="V30" s="25"/>
      <c r="W30" s="25" t="str">
        <f>IFERROR(IF(ISBLANK(V30),"",INDEX(Gen_Vessels!$A$3:$C$500,MATCH(InspectionSite!$V30,Gen_Vessels!$C$3:$C$500,0),1)),"")</f>
        <v/>
      </c>
      <c r="X30" s="25"/>
      <c r="Y30" s="25"/>
      <c r="Z30" s="25"/>
      <c r="AA30" s="25"/>
      <c r="AB30" s="25"/>
      <c r="AC30" s="25"/>
      <c r="AE30" s="25"/>
      <c r="AF30" s="49"/>
      <c r="AG30" s="25"/>
      <c r="AH30" s="25"/>
      <c r="AI30" s="25"/>
      <c r="AJ30" s="25"/>
      <c r="AK30" s="25"/>
    </row>
    <row r="31" spans="1:37" x14ac:dyDescent="0.25">
      <c r="A31" s="18" t="str">
        <f t="shared" si="0"/>
        <v/>
      </c>
      <c r="B31" s="25"/>
      <c r="C31" s="25"/>
      <c r="D31" s="25"/>
      <c r="E31" s="25"/>
      <c r="F31" s="25"/>
      <c r="G31" s="25"/>
      <c r="H31" s="37"/>
      <c r="I31" s="25"/>
      <c r="J31" s="38"/>
      <c r="K31" s="40"/>
      <c r="R31" s="38"/>
      <c r="S31" s="25"/>
      <c r="T31" s="25" t="str">
        <f>IFERROR(IF(ISBLANK(S31),"",INDEX(Gen_Vessels!$A$3:$C$500,MATCH(InspectionSite!$S31,Gen_Vessels!$C$3:$C$500,0),1)),"")</f>
        <v/>
      </c>
      <c r="U31" s="25"/>
      <c r="V31" s="25"/>
      <c r="W31" s="25" t="str">
        <f>IFERROR(IF(ISBLANK(V31),"",INDEX(Gen_Vessels!$A$3:$C$500,MATCH(InspectionSite!$V31,Gen_Vessels!$C$3:$C$500,0),1)),"")</f>
        <v/>
      </c>
      <c r="X31" s="25"/>
      <c r="Y31" s="25"/>
      <c r="Z31" s="25"/>
      <c r="AA31" s="25"/>
      <c r="AB31" s="25"/>
      <c r="AC31" s="25"/>
      <c r="AE31" s="25"/>
      <c r="AF31" s="49"/>
      <c r="AG31" s="25"/>
      <c r="AH31" s="25"/>
      <c r="AI31" s="25"/>
      <c r="AJ31" s="25"/>
      <c r="AK31" s="25"/>
    </row>
    <row r="32" spans="1:37" x14ac:dyDescent="0.25">
      <c r="A32" s="18" t="str">
        <f t="shared" si="0"/>
        <v/>
      </c>
      <c r="B32" s="25"/>
      <c r="C32" s="25"/>
      <c r="D32" s="25"/>
      <c r="E32" s="25"/>
      <c r="F32" s="25"/>
      <c r="G32" s="25"/>
      <c r="H32" s="37"/>
      <c r="I32" s="25"/>
      <c r="J32" s="38"/>
      <c r="K32" s="40"/>
      <c r="R32" s="38"/>
      <c r="S32" s="25"/>
      <c r="T32" s="25" t="str">
        <f>IFERROR(IF(ISBLANK(S32),"",INDEX(Gen_Vessels!$A$3:$C$500,MATCH(InspectionSite!$S32,Gen_Vessels!$C$3:$C$500,0),1)),"")</f>
        <v/>
      </c>
      <c r="U32" s="25"/>
      <c r="V32" s="25"/>
      <c r="W32" s="25" t="str">
        <f>IFERROR(IF(ISBLANK(V32),"",INDEX(Gen_Vessels!$A$3:$C$500,MATCH(InspectionSite!$V32,Gen_Vessels!$C$3:$C$500,0),1)),"")</f>
        <v/>
      </c>
      <c r="X32" s="25"/>
      <c r="Y32" s="25"/>
      <c r="Z32" s="25"/>
      <c r="AA32" s="25"/>
      <c r="AB32" s="25"/>
      <c r="AC32" s="25"/>
      <c r="AE32" s="25"/>
      <c r="AF32" s="49"/>
      <c r="AG32" s="25"/>
      <c r="AH32" s="25"/>
      <c r="AI32" s="25"/>
      <c r="AJ32" s="25"/>
      <c r="AK32" s="25"/>
    </row>
    <row r="33" spans="1:37" x14ac:dyDescent="0.25">
      <c r="A33" s="18" t="str">
        <f t="shared" si="0"/>
        <v/>
      </c>
      <c r="B33" s="25"/>
      <c r="C33" s="25"/>
      <c r="D33" s="25"/>
      <c r="E33" s="25"/>
      <c r="F33" s="25"/>
      <c r="G33" s="25"/>
      <c r="H33" s="37"/>
      <c r="I33" s="25"/>
      <c r="J33" s="38"/>
      <c r="K33" s="40"/>
      <c r="R33" s="38"/>
      <c r="S33" s="25"/>
      <c r="T33" s="25" t="str">
        <f>IFERROR(IF(ISBLANK(S33),"",INDEX(Gen_Vessels!$A$3:$C$500,MATCH(InspectionSite!$S33,Gen_Vessels!$C$3:$C$500,0),1)),"")</f>
        <v/>
      </c>
      <c r="U33" s="25"/>
      <c r="V33" s="25"/>
      <c r="W33" s="25" t="str">
        <f>IFERROR(IF(ISBLANK(V33),"",INDEX(Gen_Vessels!$A$3:$C$500,MATCH(InspectionSite!$V33,Gen_Vessels!$C$3:$C$500,0),1)),"")</f>
        <v/>
      </c>
      <c r="X33" s="25"/>
      <c r="Y33" s="25"/>
      <c r="Z33" s="25"/>
      <c r="AA33" s="25"/>
      <c r="AB33" s="25"/>
      <c r="AC33" s="25"/>
      <c r="AE33" s="25"/>
      <c r="AF33" s="49"/>
      <c r="AG33" s="25"/>
      <c r="AH33" s="25"/>
      <c r="AI33" s="25"/>
      <c r="AJ33" s="25"/>
      <c r="AK33" s="25"/>
    </row>
    <row r="34" spans="1:37" x14ac:dyDescent="0.25">
      <c r="A34" s="18" t="str">
        <f t="shared" si="0"/>
        <v/>
      </c>
      <c r="B34" s="25"/>
      <c r="C34" s="25"/>
      <c r="D34" s="25"/>
      <c r="E34" s="25"/>
      <c r="F34" s="25"/>
      <c r="G34" s="25"/>
      <c r="H34" s="37"/>
      <c r="I34" s="25"/>
      <c r="J34" s="38"/>
      <c r="K34" s="40"/>
      <c r="R34" s="38"/>
      <c r="S34" s="25"/>
      <c r="T34" s="25" t="str">
        <f>IFERROR(IF(ISBLANK(S34),"",INDEX(Gen_Vessels!$A$3:$C$500,MATCH(InspectionSite!$S34,Gen_Vessels!$C$3:$C$500,0),1)),"")</f>
        <v/>
      </c>
      <c r="U34" s="25"/>
      <c r="V34" s="25"/>
      <c r="W34" s="25" t="str">
        <f>IFERROR(IF(ISBLANK(V34),"",INDEX(Gen_Vessels!$A$3:$C$500,MATCH(InspectionSite!$V34,Gen_Vessels!$C$3:$C$500,0),1)),"")</f>
        <v/>
      </c>
      <c r="X34" s="25"/>
      <c r="Y34" s="25"/>
      <c r="Z34" s="25"/>
      <c r="AA34" s="25"/>
      <c r="AB34" s="25"/>
      <c r="AC34" s="25"/>
      <c r="AE34" s="25"/>
      <c r="AF34" s="49"/>
      <c r="AG34" s="25"/>
      <c r="AH34" s="25"/>
      <c r="AI34" s="25"/>
      <c r="AJ34" s="25"/>
      <c r="AK34" s="25"/>
    </row>
    <row r="35" spans="1:37" x14ac:dyDescent="0.25">
      <c r="A35" s="18" t="str">
        <f t="shared" si="0"/>
        <v/>
      </c>
      <c r="B35" s="25"/>
      <c r="C35" s="25"/>
      <c r="D35" s="25"/>
      <c r="E35" s="25"/>
      <c r="F35" s="25"/>
      <c r="G35" s="25"/>
      <c r="H35" s="37"/>
      <c r="I35" s="25"/>
      <c r="J35" s="38"/>
      <c r="K35" s="40"/>
      <c r="R35" s="38"/>
      <c r="S35" s="25"/>
      <c r="T35" s="25" t="str">
        <f>IFERROR(IF(ISBLANK(S35),"",INDEX(Gen_Vessels!$A$3:$C$500,MATCH(InspectionSite!$S35,Gen_Vessels!$C$3:$C$500,0),1)),"")</f>
        <v/>
      </c>
      <c r="U35" s="25"/>
      <c r="V35" s="25"/>
      <c r="W35" s="25" t="str">
        <f>IFERROR(IF(ISBLANK(V35),"",INDEX(Gen_Vessels!$A$3:$C$500,MATCH(InspectionSite!$V35,Gen_Vessels!$C$3:$C$500,0),1)),"")</f>
        <v/>
      </c>
      <c r="X35" s="25"/>
      <c r="Y35" s="25"/>
      <c r="Z35" s="25"/>
      <c r="AA35" s="25"/>
      <c r="AB35" s="25"/>
      <c r="AC35" s="25"/>
      <c r="AE35" s="25"/>
      <c r="AF35" s="49"/>
      <c r="AG35" s="25"/>
      <c r="AH35" s="25"/>
      <c r="AI35" s="25"/>
      <c r="AJ35" s="25"/>
      <c r="AK35" s="25"/>
    </row>
    <row r="36" spans="1:37" x14ac:dyDescent="0.25">
      <c r="A36" s="18" t="str">
        <f t="shared" si="0"/>
        <v/>
      </c>
      <c r="B36" s="25"/>
      <c r="C36" s="25"/>
      <c r="D36" s="25"/>
      <c r="E36" s="25"/>
      <c r="F36" s="25"/>
      <c r="G36" s="25"/>
      <c r="H36" s="37"/>
      <c r="I36" s="25"/>
      <c r="J36" s="38"/>
      <c r="K36" s="40"/>
      <c r="R36" s="38"/>
      <c r="S36" s="25"/>
      <c r="T36" s="25" t="str">
        <f>IFERROR(IF(ISBLANK(S36),"",INDEX(Gen_Vessels!$A$3:$C$500,MATCH(InspectionSite!$S36,Gen_Vessels!$C$3:$C$500,0),1)),"")</f>
        <v/>
      </c>
      <c r="U36" s="25"/>
      <c r="V36" s="25"/>
      <c r="W36" s="25" t="str">
        <f>IFERROR(IF(ISBLANK(V36),"",INDEX(Gen_Vessels!$A$3:$C$500,MATCH(InspectionSite!$V36,Gen_Vessels!$C$3:$C$500,0),1)),"")</f>
        <v/>
      </c>
      <c r="X36" s="25"/>
      <c r="Y36" s="25"/>
      <c r="Z36" s="25"/>
      <c r="AA36" s="25"/>
      <c r="AB36" s="25"/>
      <c r="AC36" s="25"/>
      <c r="AE36" s="25"/>
      <c r="AF36" s="49"/>
      <c r="AG36" s="25"/>
      <c r="AH36" s="25"/>
      <c r="AI36" s="25"/>
      <c r="AJ36" s="25"/>
      <c r="AK36" s="25"/>
    </row>
    <row r="37" spans="1:37" x14ac:dyDescent="0.25">
      <c r="A37" s="18" t="str">
        <f t="shared" si="0"/>
        <v/>
      </c>
      <c r="B37" s="25"/>
      <c r="C37" s="25"/>
      <c r="D37" s="25"/>
      <c r="E37" s="25"/>
      <c r="F37" s="25"/>
      <c r="G37" s="25"/>
      <c r="H37" s="37"/>
      <c r="I37" s="25"/>
      <c r="J37" s="38"/>
      <c r="K37" s="40"/>
      <c r="R37" s="38"/>
      <c r="S37" s="25"/>
      <c r="T37" s="25" t="str">
        <f>IFERROR(IF(ISBLANK(S37),"",INDEX(Gen_Vessels!$A$3:$C$500,MATCH(InspectionSite!$S37,Gen_Vessels!$C$3:$C$500,0),1)),"")</f>
        <v/>
      </c>
      <c r="U37" s="25"/>
      <c r="V37" s="25"/>
      <c r="W37" s="25" t="str">
        <f>IFERROR(IF(ISBLANK(V37),"",INDEX(Gen_Vessels!$A$3:$C$500,MATCH(InspectionSite!$V37,Gen_Vessels!$C$3:$C$500,0),1)),"")</f>
        <v/>
      </c>
      <c r="X37" s="25"/>
      <c r="Y37" s="25"/>
      <c r="Z37" s="25"/>
      <c r="AA37" s="25"/>
      <c r="AB37" s="25"/>
      <c r="AC37" s="25"/>
      <c r="AE37" s="25"/>
      <c r="AF37" s="49"/>
      <c r="AG37" s="25"/>
      <c r="AH37" s="25"/>
      <c r="AI37" s="25"/>
      <c r="AJ37" s="25"/>
      <c r="AK37" s="25"/>
    </row>
    <row r="38" spans="1:37" x14ac:dyDescent="0.25">
      <c r="A38" s="18" t="str">
        <f t="shared" si="0"/>
        <v/>
      </c>
      <c r="B38" s="25"/>
      <c r="C38" s="25"/>
      <c r="D38" s="25"/>
      <c r="E38" s="25"/>
      <c r="F38" s="25"/>
      <c r="G38" s="25"/>
      <c r="H38" s="37"/>
      <c r="I38" s="25"/>
      <c r="J38" s="38"/>
      <c r="K38" s="40"/>
      <c r="R38" s="38"/>
      <c r="S38" s="25"/>
      <c r="T38" s="25" t="str">
        <f>IFERROR(IF(ISBLANK(S38),"",INDEX(Gen_Vessels!$A$3:$C$500,MATCH(InspectionSite!$S38,Gen_Vessels!$C$3:$C$500,0),1)),"")</f>
        <v/>
      </c>
      <c r="U38" s="25"/>
      <c r="V38" s="25"/>
      <c r="W38" s="25" t="str">
        <f>IFERROR(IF(ISBLANK(V38),"",INDEX(Gen_Vessels!$A$3:$C$500,MATCH(InspectionSite!$V38,Gen_Vessels!$C$3:$C$500,0),1)),"")</f>
        <v/>
      </c>
      <c r="X38" s="25"/>
      <c r="Y38" s="25"/>
      <c r="Z38" s="25"/>
      <c r="AA38" s="25"/>
      <c r="AB38" s="25"/>
      <c r="AC38" s="25"/>
      <c r="AE38" s="25"/>
      <c r="AF38" s="49"/>
      <c r="AG38" s="25"/>
      <c r="AH38" s="25"/>
      <c r="AI38" s="25"/>
      <c r="AJ38" s="25"/>
      <c r="AK38" s="25"/>
    </row>
    <row r="39" spans="1:37" x14ac:dyDescent="0.25">
      <c r="A39" s="18" t="str">
        <f t="shared" si="0"/>
        <v/>
      </c>
      <c r="B39" s="25"/>
      <c r="C39" s="25"/>
      <c r="D39" s="25"/>
      <c r="E39" s="25"/>
      <c r="F39" s="25"/>
      <c r="G39" s="25"/>
      <c r="H39" s="37"/>
      <c r="I39" s="25"/>
      <c r="J39" s="38"/>
      <c r="K39" s="40"/>
      <c r="R39" s="38"/>
      <c r="S39" s="25"/>
      <c r="T39" s="25" t="str">
        <f>IFERROR(IF(ISBLANK(S39),"",INDEX(Gen_Vessels!$A$3:$C$500,MATCH(InspectionSite!$S39,Gen_Vessels!$C$3:$C$500,0),1)),"")</f>
        <v/>
      </c>
      <c r="U39" s="25"/>
      <c r="V39" s="25"/>
      <c r="W39" s="25" t="str">
        <f>IFERROR(IF(ISBLANK(V39),"",INDEX(Gen_Vessels!$A$3:$C$500,MATCH(InspectionSite!$V39,Gen_Vessels!$C$3:$C$500,0),1)),"")</f>
        <v/>
      </c>
      <c r="X39" s="25"/>
      <c r="Y39" s="25"/>
      <c r="Z39" s="25"/>
      <c r="AA39" s="25"/>
      <c r="AB39" s="25"/>
      <c r="AC39" s="25"/>
      <c r="AE39" s="25"/>
      <c r="AF39" s="49"/>
      <c r="AG39" s="25"/>
      <c r="AH39" s="25"/>
      <c r="AI39" s="25"/>
      <c r="AJ39" s="25"/>
      <c r="AK39" s="25"/>
    </row>
    <row r="40" spans="1:37" x14ac:dyDescent="0.25">
      <c r="A40" s="18" t="str">
        <f t="shared" si="0"/>
        <v/>
      </c>
      <c r="B40" s="25"/>
      <c r="C40" s="25"/>
      <c r="D40" s="25"/>
      <c r="E40" s="25"/>
      <c r="F40" s="25"/>
      <c r="G40" s="25"/>
      <c r="H40" s="37"/>
      <c r="I40" s="25"/>
      <c r="J40" s="38"/>
      <c r="K40" s="40"/>
      <c r="R40" s="38"/>
      <c r="S40" s="25"/>
      <c r="T40" s="25" t="str">
        <f>IFERROR(IF(ISBLANK(S40),"",INDEX(Gen_Vessels!$A$3:$C$500,MATCH(InspectionSite!$S40,Gen_Vessels!$C$3:$C$500,0),1)),"")</f>
        <v/>
      </c>
      <c r="U40" s="25"/>
      <c r="V40" s="25"/>
      <c r="W40" s="25" t="str">
        <f>IFERROR(IF(ISBLANK(V40),"",INDEX(Gen_Vessels!$A$3:$C$500,MATCH(InspectionSite!$V40,Gen_Vessels!$C$3:$C$500,0),1)),"")</f>
        <v/>
      </c>
      <c r="X40" s="25"/>
      <c r="Y40" s="25"/>
      <c r="Z40" s="25"/>
      <c r="AA40" s="25"/>
      <c r="AB40" s="25"/>
      <c r="AC40" s="25"/>
      <c r="AE40" s="25"/>
      <c r="AF40" s="49"/>
      <c r="AG40" s="25"/>
      <c r="AH40" s="25"/>
      <c r="AI40" s="25"/>
      <c r="AJ40" s="25"/>
      <c r="AK40" s="25"/>
    </row>
    <row r="41" spans="1:37" x14ac:dyDescent="0.25">
      <c r="A41" s="18" t="str">
        <f t="shared" si="0"/>
        <v/>
      </c>
      <c r="B41" s="25"/>
      <c r="C41" s="25"/>
      <c r="D41" s="25"/>
      <c r="E41" s="25"/>
      <c r="F41" s="25"/>
      <c r="G41" s="25"/>
      <c r="H41" s="37"/>
      <c r="I41" s="25"/>
      <c r="J41" s="38"/>
      <c r="K41" s="40"/>
      <c r="R41" s="38"/>
      <c r="S41" s="25"/>
      <c r="T41" s="25" t="str">
        <f>IFERROR(IF(ISBLANK(S41),"",INDEX(Gen_Vessels!$A$3:$C$500,MATCH(InspectionSite!$S41,Gen_Vessels!$C$3:$C$500,0),1)),"")</f>
        <v/>
      </c>
      <c r="U41" s="25"/>
      <c r="V41" s="25"/>
      <c r="W41" s="25" t="str">
        <f>IFERROR(IF(ISBLANK(V41),"",INDEX(Gen_Vessels!$A$3:$C$500,MATCH(InspectionSite!$V41,Gen_Vessels!$C$3:$C$500,0),1)),"")</f>
        <v/>
      </c>
      <c r="X41" s="25"/>
      <c r="Y41" s="25"/>
      <c r="Z41" s="25"/>
      <c r="AA41" s="25"/>
      <c r="AB41" s="25"/>
      <c r="AC41" s="25"/>
      <c r="AE41" s="25"/>
      <c r="AF41" s="49"/>
      <c r="AG41" s="25"/>
      <c r="AH41" s="25"/>
      <c r="AI41" s="25"/>
      <c r="AJ41" s="25"/>
      <c r="AK41" s="25"/>
    </row>
    <row r="42" spans="1:37" x14ac:dyDescent="0.25">
      <c r="A42" s="18" t="str">
        <f t="shared" si="0"/>
        <v/>
      </c>
      <c r="B42" s="25"/>
      <c r="C42" s="25"/>
      <c r="D42" s="25"/>
      <c r="E42" s="25"/>
      <c r="F42" s="25"/>
      <c r="G42" s="25"/>
      <c r="H42" s="37"/>
      <c r="I42" s="25"/>
      <c r="J42" s="38"/>
      <c r="K42" s="40"/>
      <c r="R42" s="38"/>
      <c r="S42" s="25"/>
      <c r="T42" s="25" t="str">
        <f>IFERROR(IF(ISBLANK(S42),"",INDEX(Gen_Vessels!$A$3:$C$500,MATCH(InspectionSite!$S42,Gen_Vessels!$C$3:$C$500,0),1)),"")</f>
        <v/>
      </c>
      <c r="U42" s="25"/>
      <c r="V42" s="25"/>
      <c r="W42" s="25" t="str">
        <f>IFERROR(IF(ISBLANK(V42),"",INDEX(Gen_Vessels!$A$3:$C$500,MATCH(InspectionSite!$V42,Gen_Vessels!$C$3:$C$500,0),1)),"")</f>
        <v/>
      </c>
      <c r="X42" s="25"/>
      <c r="Y42" s="25"/>
      <c r="Z42" s="25"/>
      <c r="AA42" s="25"/>
      <c r="AB42" s="25"/>
      <c r="AC42" s="25"/>
      <c r="AE42" s="25"/>
      <c r="AF42" s="49"/>
      <c r="AG42" s="25"/>
      <c r="AH42" s="25"/>
      <c r="AI42" s="25"/>
      <c r="AJ42" s="25"/>
      <c r="AK42" s="25"/>
    </row>
    <row r="43" spans="1:37" x14ac:dyDescent="0.25">
      <c r="A43" s="18" t="str">
        <f t="shared" si="0"/>
        <v/>
      </c>
      <c r="B43" s="25"/>
      <c r="C43" s="25"/>
      <c r="D43" s="25"/>
      <c r="E43" s="25"/>
      <c r="F43" s="25"/>
      <c r="G43" s="25"/>
      <c r="H43" s="37"/>
      <c r="I43" s="25"/>
      <c r="J43" s="38"/>
      <c r="K43" s="40"/>
      <c r="R43" s="38"/>
      <c r="S43" s="25"/>
      <c r="T43" s="25" t="str">
        <f>IFERROR(IF(ISBLANK(S43),"",INDEX(Gen_Vessels!$A$3:$C$500,MATCH(InspectionSite!$S43,Gen_Vessels!$C$3:$C$500,0),1)),"")</f>
        <v/>
      </c>
      <c r="U43" s="25"/>
      <c r="V43" s="25"/>
      <c r="W43" s="25" t="str">
        <f>IFERROR(IF(ISBLANK(V43),"",INDEX(Gen_Vessels!$A$3:$C$500,MATCH(InspectionSite!$V43,Gen_Vessels!$C$3:$C$500,0),1)),"")</f>
        <v/>
      </c>
      <c r="X43" s="25"/>
      <c r="Y43" s="25"/>
      <c r="Z43" s="25"/>
      <c r="AA43" s="25"/>
      <c r="AB43" s="25"/>
      <c r="AC43" s="25"/>
      <c r="AE43" s="25"/>
      <c r="AF43" s="49"/>
      <c r="AG43" s="25"/>
      <c r="AH43" s="25"/>
      <c r="AI43" s="25"/>
      <c r="AJ43" s="25"/>
      <c r="AK43" s="25"/>
    </row>
    <row r="44" spans="1:37" x14ac:dyDescent="0.25">
      <c r="A44" s="18" t="str">
        <f t="shared" si="0"/>
        <v/>
      </c>
      <c r="B44" s="25"/>
      <c r="C44" s="25"/>
      <c r="D44" s="25"/>
      <c r="E44" s="25"/>
      <c r="F44" s="25"/>
      <c r="G44" s="25"/>
      <c r="H44" s="37"/>
      <c r="I44" s="25"/>
      <c r="J44" s="38"/>
      <c r="K44" s="40"/>
      <c r="R44" s="38"/>
      <c r="S44" s="25"/>
      <c r="T44" s="25" t="str">
        <f>IFERROR(IF(ISBLANK(S44),"",INDEX(Gen_Vessels!$A$3:$C$500,MATCH(InspectionSite!$S44,Gen_Vessels!$C$3:$C$500,0),1)),"")</f>
        <v/>
      </c>
      <c r="U44" s="25"/>
      <c r="V44" s="25"/>
      <c r="W44" s="25" t="str">
        <f>IFERROR(IF(ISBLANK(V44),"",INDEX(Gen_Vessels!$A$3:$C$500,MATCH(InspectionSite!$V44,Gen_Vessels!$C$3:$C$500,0),1)),"")</f>
        <v/>
      </c>
      <c r="X44" s="25"/>
      <c r="Y44" s="25"/>
      <c r="Z44" s="25"/>
      <c r="AA44" s="25"/>
      <c r="AB44" s="25"/>
      <c r="AC44" s="25"/>
      <c r="AE44" s="25"/>
      <c r="AF44" s="49"/>
      <c r="AG44" s="25"/>
      <c r="AH44" s="25"/>
      <c r="AI44" s="25"/>
      <c r="AJ44" s="25"/>
      <c r="AK44" s="25"/>
    </row>
    <row r="45" spans="1:37" x14ac:dyDescent="0.25">
      <c r="A45" s="18" t="str">
        <f t="shared" si="0"/>
        <v/>
      </c>
      <c r="B45" s="25"/>
      <c r="C45" s="25"/>
      <c r="D45" s="25"/>
      <c r="E45" s="25"/>
      <c r="F45" s="25"/>
      <c r="G45" s="25"/>
      <c r="H45" s="37"/>
      <c r="I45" s="25"/>
      <c r="J45" s="38"/>
      <c r="K45" s="40"/>
      <c r="R45" s="38"/>
      <c r="S45" s="25"/>
      <c r="T45" s="25" t="str">
        <f>IFERROR(IF(ISBLANK(S45),"",INDEX(Gen_Vessels!$A$3:$C$500,MATCH(InspectionSite!$S45,Gen_Vessels!$C$3:$C$500,0),1)),"")</f>
        <v/>
      </c>
      <c r="U45" s="25"/>
      <c r="V45" s="25"/>
      <c r="W45" s="25" t="str">
        <f>IFERROR(IF(ISBLANK(V45),"",INDEX(Gen_Vessels!$A$3:$C$500,MATCH(InspectionSite!$V45,Gen_Vessels!$C$3:$C$500,0),1)),"")</f>
        <v/>
      </c>
      <c r="X45" s="25"/>
      <c r="Y45" s="25"/>
      <c r="Z45" s="25"/>
      <c r="AA45" s="25"/>
      <c r="AB45" s="25"/>
      <c r="AC45" s="25"/>
      <c r="AE45" s="25"/>
      <c r="AF45" s="49"/>
      <c r="AG45" s="25"/>
      <c r="AH45" s="25"/>
      <c r="AI45" s="25"/>
      <c r="AJ45" s="25"/>
      <c r="AK45" s="25"/>
    </row>
    <row r="46" spans="1:37" x14ac:dyDescent="0.25">
      <c r="A46" s="18" t="str">
        <f t="shared" si="0"/>
        <v/>
      </c>
      <c r="B46" s="25"/>
      <c r="C46" s="25"/>
      <c r="D46" s="25"/>
      <c r="E46" s="25"/>
      <c r="F46" s="25"/>
      <c r="G46" s="25"/>
      <c r="H46" s="37"/>
      <c r="I46" s="25"/>
      <c r="J46" s="38"/>
      <c r="K46" s="40"/>
      <c r="R46" s="38"/>
      <c r="S46" s="25"/>
      <c r="T46" s="25" t="str">
        <f>IFERROR(IF(ISBLANK(S46),"",INDEX(Gen_Vessels!$A$3:$C$500,MATCH(InspectionSite!$S46,Gen_Vessels!$C$3:$C$500,0),1)),"")</f>
        <v/>
      </c>
      <c r="U46" s="25"/>
      <c r="V46" s="25"/>
      <c r="W46" s="25" t="str">
        <f>IFERROR(IF(ISBLANK(V46),"",INDEX(Gen_Vessels!$A$3:$C$500,MATCH(InspectionSite!$V46,Gen_Vessels!$C$3:$C$500,0),1)),"")</f>
        <v/>
      </c>
      <c r="X46" s="25"/>
      <c r="Y46" s="25"/>
      <c r="Z46" s="25"/>
      <c r="AA46" s="25"/>
      <c r="AB46" s="25"/>
      <c r="AC46" s="25"/>
      <c r="AE46" s="25"/>
      <c r="AF46" s="49"/>
      <c r="AG46" s="25"/>
      <c r="AH46" s="25"/>
      <c r="AI46" s="25"/>
      <c r="AJ46" s="25"/>
      <c r="AK46" s="25"/>
    </row>
    <row r="47" spans="1:37" x14ac:dyDescent="0.25">
      <c r="A47" s="18" t="str">
        <f t="shared" si="0"/>
        <v/>
      </c>
      <c r="B47" s="25"/>
      <c r="C47" s="25"/>
      <c r="D47" s="25"/>
      <c r="E47" s="25"/>
      <c r="F47" s="25"/>
      <c r="G47" s="25"/>
      <c r="H47" s="37"/>
      <c r="I47" s="25"/>
      <c r="J47" s="38"/>
      <c r="K47" s="40"/>
      <c r="R47" s="38"/>
      <c r="S47" s="25"/>
      <c r="T47" s="25" t="str">
        <f>IFERROR(IF(ISBLANK(S47),"",INDEX(Gen_Vessels!$A$3:$C$500,MATCH(InspectionSite!$S47,Gen_Vessels!$C$3:$C$500,0),1)),"")</f>
        <v/>
      </c>
      <c r="U47" s="25"/>
      <c r="V47" s="25"/>
      <c r="W47" s="25" t="str">
        <f>IFERROR(IF(ISBLANK(V47),"",INDEX(Gen_Vessels!$A$3:$C$500,MATCH(InspectionSite!$V47,Gen_Vessels!$C$3:$C$500,0),1)),"")</f>
        <v/>
      </c>
      <c r="X47" s="25"/>
      <c r="Y47" s="25"/>
      <c r="Z47" s="25"/>
      <c r="AA47" s="25"/>
      <c r="AB47" s="25"/>
      <c r="AC47" s="25"/>
      <c r="AE47" s="25"/>
      <c r="AF47" s="49"/>
      <c r="AG47" s="25"/>
      <c r="AH47" s="25"/>
      <c r="AI47" s="25"/>
      <c r="AJ47" s="25"/>
      <c r="AK47" s="25"/>
    </row>
    <row r="48" spans="1:37" x14ac:dyDescent="0.25">
      <c r="A48" s="18" t="str">
        <f t="shared" si="0"/>
        <v/>
      </c>
      <c r="B48" s="25"/>
      <c r="C48" s="25"/>
      <c r="D48" s="25"/>
      <c r="E48" s="25"/>
      <c r="F48" s="25"/>
      <c r="G48" s="25"/>
      <c r="H48" s="37"/>
      <c r="I48" s="25"/>
      <c r="J48" s="38"/>
      <c r="K48" s="40"/>
      <c r="R48" s="38"/>
      <c r="S48" s="25"/>
      <c r="T48" s="25" t="str">
        <f>IFERROR(IF(ISBLANK(S48),"",INDEX(Gen_Vessels!$A$3:$C$500,MATCH(InspectionSite!$S48,Gen_Vessels!$C$3:$C$500,0),1)),"")</f>
        <v/>
      </c>
      <c r="U48" s="25"/>
      <c r="V48" s="25"/>
      <c r="W48" s="25" t="str">
        <f>IFERROR(IF(ISBLANK(V48),"",INDEX(Gen_Vessels!$A$3:$C$500,MATCH(InspectionSite!$V48,Gen_Vessels!$C$3:$C$500,0),1)),"")</f>
        <v/>
      </c>
      <c r="X48" s="25"/>
      <c r="Y48" s="25"/>
      <c r="Z48" s="25"/>
      <c r="AA48" s="25"/>
      <c r="AB48" s="25"/>
      <c r="AC48" s="25"/>
      <c r="AE48" s="25"/>
      <c r="AF48" s="49"/>
      <c r="AG48" s="25"/>
      <c r="AH48" s="25"/>
      <c r="AI48" s="25"/>
      <c r="AJ48" s="25"/>
      <c r="AK48" s="25"/>
    </row>
    <row r="49" spans="1:37" x14ac:dyDescent="0.25">
      <c r="A49" s="18" t="str">
        <f t="shared" si="0"/>
        <v/>
      </c>
      <c r="B49" s="25"/>
      <c r="C49" s="25"/>
      <c r="D49" s="25"/>
      <c r="E49" s="25"/>
      <c r="F49" s="25"/>
      <c r="G49" s="25"/>
      <c r="H49" s="37"/>
      <c r="I49" s="25"/>
      <c r="J49" s="38"/>
      <c r="K49" s="40"/>
      <c r="S49" s="25"/>
      <c r="T49" s="25" t="str">
        <f>IFERROR(IF(ISBLANK(S49),"",INDEX(Gen_Vessels!$A$3:$C$500,MATCH(InspectionSite!$S49,Gen_Vessels!$C$3:$C$500,0),1)),"")</f>
        <v/>
      </c>
      <c r="U49" s="25"/>
      <c r="V49" s="25"/>
      <c r="W49" s="25" t="str">
        <f>IFERROR(IF(ISBLANK(V49),"",INDEX(Gen_Vessels!$A$3:$C$500,MATCH(InspectionSite!$V49,Gen_Vessels!$C$3:$C$500,0),1)),"")</f>
        <v/>
      </c>
      <c r="X49" s="25"/>
      <c r="Y49" s="25"/>
      <c r="Z49" s="25"/>
      <c r="AA49" s="25"/>
      <c r="AB49" s="25"/>
      <c r="AC49" s="25"/>
      <c r="AE49" s="25"/>
      <c r="AF49" s="49"/>
      <c r="AG49" s="25"/>
      <c r="AH49" s="25"/>
      <c r="AI49" s="25"/>
      <c r="AJ49" s="25"/>
      <c r="AK49" s="25"/>
    </row>
    <row r="50" spans="1:37" x14ac:dyDescent="0.25">
      <c r="A50" s="18" t="str">
        <f t="shared" si="0"/>
        <v/>
      </c>
      <c r="B50" s="25"/>
      <c r="C50" s="25"/>
      <c r="D50" s="25"/>
      <c r="E50" s="25"/>
      <c r="F50" s="25"/>
      <c r="G50" s="25"/>
      <c r="H50" s="37"/>
      <c r="I50" s="25"/>
      <c r="J50" s="38"/>
      <c r="K50" s="40"/>
      <c r="S50" s="25"/>
      <c r="T50" s="25" t="str">
        <f>IFERROR(IF(ISBLANK(S50),"",INDEX(Gen_Vessels!$A$3:$C$500,MATCH(InspectionSite!$S50,Gen_Vessels!$C$3:$C$500,0),1)),"")</f>
        <v/>
      </c>
      <c r="U50" s="25"/>
      <c r="V50" s="25"/>
      <c r="W50" s="25" t="str">
        <f>IFERROR(IF(ISBLANK(V50),"",INDEX(Gen_Vessels!$A$3:$C$500,MATCH(InspectionSite!$V50,Gen_Vessels!$C$3:$C$500,0),1)),"")</f>
        <v/>
      </c>
      <c r="X50" s="25"/>
      <c r="Y50" s="25"/>
      <c r="Z50" s="25"/>
      <c r="AA50" s="25"/>
      <c r="AB50" s="25"/>
      <c r="AC50" s="25"/>
      <c r="AE50" s="25"/>
      <c r="AF50" s="49"/>
      <c r="AG50" s="25"/>
      <c r="AH50" s="25"/>
      <c r="AI50" s="25"/>
      <c r="AJ50" s="25"/>
      <c r="AK50" s="25"/>
    </row>
    <row r="51" spans="1:37" x14ac:dyDescent="0.25">
      <c r="A51" s="18" t="str">
        <f t="shared" si="0"/>
        <v/>
      </c>
      <c r="B51" s="25"/>
      <c r="C51" s="25"/>
      <c r="D51" s="25"/>
      <c r="E51" s="25"/>
      <c r="F51" s="25"/>
      <c r="G51" s="25"/>
      <c r="H51" s="37"/>
      <c r="I51" s="25"/>
      <c r="J51" s="38"/>
      <c r="K51" s="40"/>
      <c r="S51" s="25"/>
      <c r="T51" s="25" t="str">
        <f>IFERROR(IF(ISBLANK(S51),"",INDEX(Gen_Vessels!$A$3:$C$500,MATCH(InspectionSite!$S51,Gen_Vessels!$C$3:$C$500,0),1)),"")</f>
        <v/>
      </c>
      <c r="U51" s="25"/>
      <c r="V51" s="25"/>
      <c r="W51" s="25" t="str">
        <f>IFERROR(IF(ISBLANK(V51),"",INDEX(Gen_Vessels!$A$3:$C$500,MATCH(InspectionSite!$V51,Gen_Vessels!$C$3:$C$500,0),1)),"")</f>
        <v/>
      </c>
      <c r="X51" s="25"/>
      <c r="Y51" s="25"/>
      <c r="Z51" s="25"/>
      <c r="AA51" s="25"/>
      <c r="AB51" s="25"/>
      <c r="AC51" s="25"/>
      <c r="AE51" s="25"/>
      <c r="AF51" s="49"/>
      <c r="AG51" s="25"/>
      <c r="AH51" s="25"/>
      <c r="AI51" s="25"/>
      <c r="AJ51" s="25"/>
      <c r="AK51" s="25"/>
    </row>
    <row r="52" spans="1:37" x14ac:dyDescent="0.25">
      <c r="A52" s="18" t="str">
        <f t="shared" si="0"/>
        <v/>
      </c>
      <c r="B52" s="25"/>
      <c r="C52" s="25"/>
      <c r="D52" s="25"/>
      <c r="E52" s="25"/>
      <c r="F52" s="25"/>
      <c r="G52" s="25"/>
      <c r="H52" s="37"/>
      <c r="I52" s="25"/>
      <c r="J52" s="38"/>
      <c r="K52" s="40"/>
      <c r="S52" s="25"/>
      <c r="T52" s="25" t="str">
        <f>IFERROR(IF(ISBLANK(S52),"",INDEX(Gen_Vessels!$A$3:$C$500,MATCH(InspectionSite!$S52,Gen_Vessels!$C$3:$C$500,0),1)),"")</f>
        <v/>
      </c>
      <c r="U52" s="25"/>
      <c r="V52" s="25"/>
      <c r="W52" s="25" t="str">
        <f>IFERROR(IF(ISBLANK(V52),"",INDEX(Gen_Vessels!$A$3:$C$500,MATCH(InspectionSite!$V52,Gen_Vessels!$C$3:$C$500,0),1)),"")</f>
        <v/>
      </c>
      <c r="X52" s="25"/>
      <c r="Y52" s="25"/>
      <c r="Z52" s="25"/>
      <c r="AA52" s="25"/>
      <c r="AB52" s="25"/>
      <c r="AC52" s="25"/>
      <c r="AE52" s="25"/>
      <c r="AF52" s="49"/>
      <c r="AG52" s="25"/>
      <c r="AH52" s="25"/>
      <c r="AI52" s="25"/>
      <c r="AJ52" s="25"/>
      <c r="AK52" s="25"/>
    </row>
    <row r="53" spans="1:37" x14ac:dyDescent="0.25">
      <c r="A53" s="18" t="str">
        <f t="shared" si="0"/>
        <v/>
      </c>
      <c r="B53" s="25"/>
      <c r="C53" s="25"/>
      <c r="D53" s="25"/>
      <c r="E53" s="25"/>
      <c r="F53" s="25"/>
      <c r="G53" s="25"/>
      <c r="H53" s="37"/>
      <c r="I53" s="25"/>
      <c r="J53" s="38"/>
      <c r="K53" s="40"/>
      <c r="S53" s="25"/>
      <c r="T53" s="25" t="str">
        <f>IFERROR(IF(ISBLANK(S53),"",INDEX(Gen_Vessels!$A$3:$C$500,MATCH(InspectionSite!$S53,Gen_Vessels!$C$3:$C$500,0),1)),"")</f>
        <v/>
      </c>
      <c r="U53" s="25"/>
      <c r="V53" s="25"/>
      <c r="W53" s="25" t="str">
        <f>IFERROR(IF(ISBLANK(V53),"",INDEX(Gen_Vessels!$A$3:$C$500,MATCH(InspectionSite!$V53,Gen_Vessels!$C$3:$C$500,0),1)),"")</f>
        <v/>
      </c>
      <c r="X53" s="25"/>
      <c r="Y53" s="25"/>
      <c r="Z53" s="25"/>
      <c r="AA53" s="25"/>
      <c r="AB53" s="25"/>
      <c r="AC53" s="25"/>
      <c r="AE53" s="25"/>
      <c r="AF53" s="49"/>
      <c r="AG53" s="25"/>
      <c r="AH53" s="25"/>
      <c r="AI53" s="25"/>
      <c r="AJ53" s="25"/>
      <c r="AK53" s="25"/>
    </row>
    <row r="54" spans="1:37" x14ac:dyDescent="0.25">
      <c r="A54" s="18" t="str">
        <f t="shared" si="0"/>
        <v/>
      </c>
      <c r="B54" s="25"/>
      <c r="C54" s="25"/>
      <c r="D54" s="25"/>
      <c r="E54" s="25"/>
      <c r="F54" s="25"/>
      <c r="G54" s="25"/>
      <c r="H54" s="37"/>
      <c r="I54" s="25"/>
      <c r="J54" s="38"/>
      <c r="K54" s="40"/>
      <c r="S54" s="25"/>
      <c r="T54" s="25" t="str">
        <f>IFERROR(IF(ISBLANK(S54),"",INDEX(Gen_Vessels!$A$3:$C$500,MATCH(InspectionSite!$S54,Gen_Vessels!$C$3:$C$500,0),1)),"")</f>
        <v/>
      </c>
      <c r="U54" s="25"/>
      <c r="V54" s="25"/>
      <c r="W54" s="25" t="str">
        <f>IFERROR(IF(ISBLANK(V54),"",INDEX(Gen_Vessels!$A$3:$C$500,MATCH(InspectionSite!$V54,Gen_Vessels!$C$3:$C$500,0),1)),"")</f>
        <v/>
      </c>
      <c r="X54" s="25"/>
      <c r="Y54" s="25"/>
      <c r="Z54" s="25"/>
      <c r="AA54" s="25"/>
      <c r="AB54" s="25"/>
      <c r="AC54" s="25"/>
      <c r="AE54" s="25"/>
      <c r="AF54" s="49"/>
      <c r="AG54" s="25"/>
      <c r="AH54" s="25"/>
      <c r="AI54" s="25"/>
      <c r="AJ54" s="25"/>
      <c r="AK54" s="25"/>
    </row>
    <row r="55" spans="1:37" x14ac:dyDescent="0.25">
      <c r="A55" s="18" t="str">
        <f t="shared" si="0"/>
        <v/>
      </c>
      <c r="B55" s="25"/>
      <c r="C55" s="25"/>
      <c r="D55" s="25"/>
      <c r="E55" s="25"/>
      <c r="F55" s="25"/>
      <c r="G55" s="25"/>
      <c r="H55" s="37"/>
      <c r="I55" s="25"/>
      <c r="J55" s="38"/>
      <c r="K55" s="40"/>
      <c r="S55" s="25"/>
      <c r="T55" s="25" t="str">
        <f>IFERROR(IF(ISBLANK(S55),"",INDEX(Gen_Vessels!$A$3:$C$500,MATCH(InspectionSite!$S55,Gen_Vessels!$C$3:$C$500,0),1)),"")</f>
        <v/>
      </c>
      <c r="U55" s="25"/>
      <c r="V55" s="25"/>
      <c r="W55" s="25" t="str">
        <f>IFERROR(IF(ISBLANK(V55),"",INDEX(Gen_Vessels!$A$3:$C$500,MATCH(InspectionSite!$V55,Gen_Vessels!$C$3:$C$500,0),1)),"")</f>
        <v/>
      </c>
      <c r="X55" s="25"/>
      <c r="Y55" s="25"/>
      <c r="Z55" s="25"/>
      <c r="AA55" s="25"/>
      <c r="AB55" s="25"/>
      <c r="AC55" s="25"/>
      <c r="AE55" s="25"/>
      <c r="AF55" s="49"/>
      <c r="AG55" s="25"/>
      <c r="AH55" s="25"/>
      <c r="AI55" s="25"/>
      <c r="AJ55" s="25"/>
      <c r="AK55" s="25"/>
    </row>
    <row r="56" spans="1:37" x14ac:dyDescent="0.25">
      <c r="A56" s="18" t="str">
        <f t="shared" si="0"/>
        <v/>
      </c>
      <c r="B56" s="25"/>
      <c r="C56" s="25"/>
      <c r="D56" s="25"/>
      <c r="E56" s="25"/>
      <c r="F56" s="25"/>
      <c r="G56" s="25"/>
      <c r="H56" s="37"/>
      <c r="I56" s="25"/>
      <c r="J56" s="38"/>
      <c r="K56" s="40"/>
      <c r="S56" s="25"/>
      <c r="T56" s="25" t="str">
        <f>IFERROR(IF(ISBLANK(S56),"",INDEX(Gen_Vessels!$A$3:$C$500,MATCH(InspectionSite!$S56,Gen_Vessels!$C$3:$C$500,0),1)),"")</f>
        <v/>
      </c>
      <c r="U56" s="25"/>
      <c r="V56" s="25"/>
      <c r="W56" s="25" t="str">
        <f>IFERROR(IF(ISBLANK(V56),"",INDEX(Gen_Vessels!$A$3:$C$500,MATCH(InspectionSite!$V56,Gen_Vessels!$C$3:$C$500,0),1)),"")</f>
        <v/>
      </c>
      <c r="X56" s="25"/>
      <c r="Y56" s="25"/>
      <c r="Z56" s="25"/>
      <c r="AA56" s="25"/>
      <c r="AB56" s="25"/>
      <c r="AC56" s="25"/>
      <c r="AE56" s="25"/>
      <c r="AF56" s="49"/>
      <c r="AG56" s="25"/>
      <c r="AH56" s="25"/>
      <c r="AI56" s="25"/>
      <c r="AJ56" s="25"/>
      <c r="AK56" s="25"/>
    </row>
    <row r="57" spans="1:37" x14ac:dyDescent="0.25">
      <c r="A57" s="18" t="str">
        <f t="shared" si="0"/>
        <v/>
      </c>
      <c r="B57" s="25"/>
      <c r="C57" s="25"/>
      <c r="D57" s="25"/>
      <c r="E57" s="25"/>
      <c r="F57" s="25"/>
      <c r="G57" s="25"/>
      <c r="H57" s="37"/>
      <c r="I57" s="25"/>
      <c r="J57" s="38"/>
      <c r="K57" s="40"/>
      <c r="S57" s="25"/>
      <c r="T57" s="25" t="str">
        <f>IFERROR(IF(ISBLANK(S57),"",INDEX(Gen_Vessels!$A$3:$C$500,MATCH(InspectionSite!$S57,Gen_Vessels!$C$3:$C$500,0),1)),"")</f>
        <v/>
      </c>
      <c r="U57" s="25"/>
      <c r="V57" s="25"/>
      <c r="W57" s="25" t="str">
        <f>IFERROR(IF(ISBLANK(V57),"",INDEX(Gen_Vessels!$A$3:$C$500,MATCH(InspectionSite!$V57,Gen_Vessels!$C$3:$C$500,0),1)),"")</f>
        <v/>
      </c>
      <c r="X57" s="25"/>
      <c r="Y57" s="25"/>
      <c r="Z57" s="25"/>
      <c r="AA57" s="25"/>
      <c r="AB57" s="25"/>
      <c r="AC57" s="25"/>
      <c r="AE57" s="25"/>
      <c r="AF57" s="49"/>
      <c r="AG57" s="25"/>
      <c r="AH57" s="25"/>
      <c r="AI57" s="25"/>
      <c r="AJ57" s="25"/>
      <c r="AK57" s="25"/>
    </row>
    <row r="58" spans="1:37" x14ac:dyDescent="0.25">
      <c r="A58" s="18" t="str">
        <f t="shared" si="0"/>
        <v/>
      </c>
      <c r="B58" s="25"/>
      <c r="C58" s="25"/>
      <c r="D58" s="25"/>
      <c r="E58" s="25"/>
      <c r="F58" s="25"/>
      <c r="G58" s="25"/>
      <c r="H58" s="37"/>
      <c r="I58" s="25"/>
      <c r="J58" s="38"/>
      <c r="K58" s="40"/>
      <c r="S58" s="25"/>
      <c r="T58" s="25" t="str">
        <f>IFERROR(IF(ISBLANK(S58),"",INDEX(Gen_Vessels!$A$3:$C$500,MATCH(InspectionSite!$S58,Gen_Vessels!$C$3:$C$500,0),1)),"")</f>
        <v/>
      </c>
      <c r="U58" s="25"/>
      <c r="V58" s="25"/>
      <c r="W58" s="25" t="str">
        <f>IFERROR(IF(ISBLANK(V58),"",INDEX(Gen_Vessels!$A$3:$C$500,MATCH(InspectionSite!$V58,Gen_Vessels!$C$3:$C$500,0),1)),"")</f>
        <v/>
      </c>
      <c r="X58" s="25"/>
      <c r="Y58" s="25"/>
      <c r="Z58" s="25"/>
      <c r="AA58" s="25"/>
      <c r="AB58" s="25"/>
      <c r="AC58" s="25"/>
      <c r="AE58" s="25"/>
      <c r="AF58" s="49"/>
      <c r="AG58" s="25"/>
      <c r="AH58" s="25"/>
      <c r="AI58" s="25"/>
      <c r="AJ58" s="25"/>
      <c r="AK58" s="25"/>
    </row>
    <row r="59" spans="1:37" x14ac:dyDescent="0.25">
      <c r="A59" s="18" t="str">
        <f t="shared" si="0"/>
        <v/>
      </c>
      <c r="B59" s="25"/>
      <c r="C59" s="25"/>
      <c r="D59" s="25"/>
      <c r="E59" s="25"/>
      <c r="F59" s="25"/>
      <c r="G59" s="25"/>
      <c r="H59" s="37"/>
      <c r="I59" s="25"/>
      <c r="J59" s="38"/>
      <c r="K59" s="40"/>
      <c r="S59" s="25"/>
      <c r="T59" s="25" t="str">
        <f>IFERROR(IF(ISBLANK(S59),"",INDEX(Gen_Vessels!$A$3:$C$500,MATCH(InspectionSite!$S59,Gen_Vessels!$C$3:$C$500,0),1)),"")</f>
        <v/>
      </c>
      <c r="U59" s="25"/>
      <c r="V59" s="25"/>
      <c r="W59" s="25" t="str">
        <f>IFERROR(IF(ISBLANK(V59),"",INDEX(Gen_Vessels!$A$3:$C$500,MATCH(InspectionSite!$V59,Gen_Vessels!$C$3:$C$500,0),1)),"")</f>
        <v/>
      </c>
      <c r="X59" s="25"/>
      <c r="Y59" s="25"/>
      <c r="Z59" s="25"/>
      <c r="AA59" s="25"/>
      <c r="AB59" s="25"/>
      <c r="AC59" s="25"/>
      <c r="AE59" s="25"/>
      <c r="AF59" s="49"/>
      <c r="AG59" s="25"/>
      <c r="AH59" s="25"/>
      <c r="AI59" s="25"/>
      <c r="AJ59" s="25"/>
      <c r="AK59" s="25"/>
    </row>
    <row r="60" spans="1:37" x14ac:dyDescent="0.25">
      <c r="A60" s="18" t="str">
        <f t="shared" si="0"/>
        <v/>
      </c>
      <c r="B60" s="25"/>
      <c r="C60" s="25"/>
      <c r="D60" s="25"/>
      <c r="E60" s="25"/>
      <c r="F60" s="25"/>
      <c r="G60" s="25"/>
      <c r="H60" s="37"/>
      <c r="I60" s="25"/>
      <c r="J60" s="38"/>
      <c r="K60" s="40"/>
      <c r="S60" s="25"/>
      <c r="T60" s="25" t="str">
        <f>IFERROR(IF(ISBLANK(S60),"",INDEX(Gen_Vessels!$A$3:$C$500,MATCH(InspectionSite!$S60,Gen_Vessels!$C$3:$C$500,0),1)),"")</f>
        <v/>
      </c>
      <c r="U60" s="25"/>
      <c r="V60" s="25"/>
      <c r="W60" s="25" t="str">
        <f>IFERROR(IF(ISBLANK(V60),"",INDEX(Gen_Vessels!$A$3:$C$500,MATCH(InspectionSite!$V60,Gen_Vessels!$C$3:$C$500,0),1)),"")</f>
        <v/>
      </c>
      <c r="X60" s="25"/>
      <c r="Y60" s="25"/>
      <c r="Z60" s="25"/>
      <c r="AA60" s="25"/>
      <c r="AB60" s="25"/>
      <c r="AC60" s="25"/>
      <c r="AE60" s="25"/>
      <c r="AF60" s="49"/>
      <c r="AG60" s="25"/>
      <c r="AH60" s="25"/>
      <c r="AI60" s="25"/>
      <c r="AJ60" s="25"/>
      <c r="AK60" s="25"/>
    </row>
    <row r="61" spans="1:37" x14ac:dyDescent="0.25">
      <c r="A61" s="18" t="str">
        <f t="shared" si="0"/>
        <v/>
      </c>
      <c r="B61" s="25"/>
      <c r="C61" s="25"/>
      <c r="D61" s="25"/>
      <c r="E61" s="25"/>
      <c r="F61" s="25"/>
      <c r="G61" s="25"/>
      <c r="H61" s="37"/>
      <c r="I61" s="25"/>
      <c r="J61" s="38"/>
      <c r="K61" s="40"/>
      <c r="S61" s="25"/>
      <c r="T61" s="25" t="str">
        <f>IFERROR(IF(ISBLANK(S61),"",INDEX(Gen_Vessels!$A$3:$C$500,MATCH(InspectionSite!$S61,Gen_Vessels!$C$3:$C$500,0),1)),"")</f>
        <v/>
      </c>
      <c r="U61" s="25"/>
      <c r="V61" s="25"/>
      <c r="W61" s="25" t="str">
        <f>IFERROR(IF(ISBLANK(V61),"",INDEX(Gen_Vessels!$A$3:$C$500,MATCH(InspectionSite!$V61,Gen_Vessels!$C$3:$C$500,0),1)),"")</f>
        <v/>
      </c>
      <c r="X61" s="25"/>
      <c r="Y61" s="25"/>
      <c r="Z61" s="25"/>
      <c r="AA61" s="25"/>
      <c r="AB61" s="25"/>
      <c r="AC61" s="25"/>
      <c r="AE61" s="25"/>
      <c r="AF61" s="49"/>
      <c r="AG61" s="25"/>
      <c r="AH61" s="25"/>
      <c r="AI61" s="25"/>
      <c r="AJ61" s="25"/>
      <c r="AK61" s="25"/>
    </row>
    <row r="62" spans="1:37" x14ac:dyDescent="0.25">
      <c r="A62" s="18" t="str">
        <f t="shared" si="0"/>
        <v/>
      </c>
      <c r="B62" s="25"/>
      <c r="C62" s="25"/>
      <c r="D62" s="25"/>
      <c r="E62" s="25"/>
      <c r="F62" s="25"/>
      <c r="G62" s="25"/>
      <c r="H62" s="37"/>
      <c r="I62" s="25"/>
      <c r="J62" s="38"/>
      <c r="K62" s="40"/>
      <c r="S62" s="25"/>
      <c r="T62" s="25" t="str">
        <f>IFERROR(IF(ISBLANK(S62),"",INDEX(Gen_Vessels!$A$3:$C$500,MATCH(InspectionSite!$S62,Gen_Vessels!$C$3:$C$500,0),1)),"")</f>
        <v/>
      </c>
      <c r="U62" s="25"/>
      <c r="V62" s="25"/>
      <c r="W62" s="25" t="str">
        <f>IFERROR(IF(ISBLANK(V62),"",INDEX(Gen_Vessels!$A$3:$C$500,MATCH(InspectionSite!$V62,Gen_Vessels!$C$3:$C$500,0),1)),"")</f>
        <v/>
      </c>
      <c r="X62" s="25"/>
      <c r="Y62" s="25"/>
      <c r="Z62" s="25"/>
      <c r="AA62" s="25"/>
      <c r="AB62" s="25"/>
      <c r="AC62" s="25"/>
      <c r="AE62" s="25"/>
      <c r="AF62" s="49"/>
      <c r="AG62" s="25"/>
      <c r="AH62" s="25"/>
      <c r="AI62" s="25"/>
      <c r="AJ62" s="25"/>
      <c r="AK62" s="25"/>
    </row>
    <row r="63" spans="1:37" x14ac:dyDescent="0.25">
      <c r="A63" s="18" t="str">
        <f t="shared" si="0"/>
        <v/>
      </c>
      <c r="B63" s="25"/>
      <c r="C63" s="25"/>
      <c r="D63" s="25"/>
      <c r="E63" s="25"/>
      <c r="F63" s="25"/>
      <c r="G63" s="25"/>
      <c r="H63" s="37"/>
      <c r="I63" s="25"/>
      <c r="J63" s="38"/>
      <c r="K63" s="40"/>
      <c r="S63" s="25"/>
      <c r="T63" s="25" t="str">
        <f>IFERROR(IF(ISBLANK(S63),"",INDEX(Gen_Vessels!$A$3:$C$500,MATCH(InspectionSite!$S63,Gen_Vessels!$C$3:$C$500,0),1)),"")</f>
        <v/>
      </c>
      <c r="U63" s="25"/>
      <c r="V63" s="25"/>
      <c r="W63" s="25" t="str">
        <f>IFERROR(IF(ISBLANK(V63),"",INDEX(Gen_Vessels!$A$3:$C$500,MATCH(InspectionSite!$V63,Gen_Vessels!$C$3:$C$500,0),1)),"")</f>
        <v/>
      </c>
      <c r="X63" s="25"/>
      <c r="Y63" s="25"/>
      <c r="Z63" s="25"/>
      <c r="AA63" s="25"/>
      <c r="AB63" s="25"/>
      <c r="AC63" s="25"/>
      <c r="AE63" s="25"/>
      <c r="AF63" s="49"/>
      <c r="AG63" s="25"/>
      <c r="AH63" s="25"/>
      <c r="AI63" s="25"/>
      <c r="AJ63" s="25"/>
      <c r="AK63" s="25"/>
    </row>
    <row r="64" spans="1:37" x14ac:dyDescent="0.25">
      <c r="A64" s="18" t="str">
        <f t="shared" si="0"/>
        <v/>
      </c>
      <c r="B64" s="25"/>
      <c r="C64" s="25"/>
      <c r="D64" s="25"/>
      <c r="E64" s="25"/>
      <c r="F64" s="25"/>
      <c r="G64" s="25"/>
      <c r="H64" s="37"/>
      <c r="I64" s="25"/>
      <c r="J64" s="38"/>
      <c r="K64" s="40"/>
      <c r="S64" s="25"/>
      <c r="T64" s="25" t="str">
        <f>IFERROR(IF(ISBLANK(S64),"",INDEX(Gen_Vessels!$A$3:$C$500,MATCH(InspectionSite!$S64,Gen_Vessels!$C$3:$C$500,0),1)),"")</f>
        <v/>
      </c>
      <c r="U64" s="25"/>
      <c r="V64" s="25"/>
      <c r="W64" s="25" t="str">
        <f>IFERROR(IF(ISBLANK(V64),"",INDEX(Gen_Vessels!$A$3:$C$500,MATCH(InspectionSite!$V64,Gen_Vessels!$C$3:$C$500,0),1)),"")</f>
        <v/>
      </c>
      <c r="X64" s="25"/>
      <c r="Y64" s="25"/>
      <c r="Z64" s="25"/>
      <c r="AA64" s="25"/>
      <c r="AB64" s="25"/>
      <c r="AC64" s="25"/>
      <c r="AE64" s="25"/>
      <c r="AF64" s="49"/>
      <c r="AG64" s="25"/>
      <c r="AH64" s="25"/>
      <c r="AI64" s="25"/>
      <c r="AJ64" s="25"/>
      <c r="AK64" s="25"/>
    </row>
    <row r="65" spans="1:37" x14ac:dyDescent="0.25">
      <c r="A65" s="18" t="str">
        <f t="shared" si="0"/>
        <v/>
      </c>
      <c r="B65" s="25"/>
      <c r="C65" s="25"/>
      <c r="D65" s="25"/>
      <c r="E65" s="25"/>
      <c r="F65" s="25"/>
      <c r="G65" s="25"/>
      <c r="H65" s="37"/>
      <c r="I65" s="25"/>
      <c r="J65" s="38"/>
      <c r="K65" s="40"/>
      <c r="S65" s="25"/>
      <c r="T65" s="25" t="str">
        <f>IFERROR(IF(ISBLANK(S65),"",INDEX(Gen_Vessels!$A$3:$C$500,MATCH(InspectionSite!$S65,Gen_Vessels!$C$3:$C$500,0),1)),"")</f>
        <v/>
      </c>
      <c r="U65" s="25"/>
      <c r="V65" s="25"/>
      <c r="W65" s="25" t="str">
        <f>IFERROR(IF(ISBLANK(V65),"",INDEX(Gen_Vessels!$A$3:$C$500,MATCH(InspectionSite!$V65,Gen_Vessels!$C$3:$C$500,0),1)),"")</f>
        <v/>
      </c>
      <c r="X65" s="25"/>
      <c r="Y65" s="25"/>
      <c r="Z65" s="25"/>
      <c r="AA65" s="25"/>
      <c r="AB65" s="25"/>
      <c r="AC65" s="25"/>
      <c r="AE65" s="25"/>
      <c r="AF65" s="49"/>
      <c r="AG65" s="25"/>
      <c r="AH65" s="25"/>
      <c r="AI65" s="25"/>
      <c r="AJ65" s="25"/>
      <c r="AK65" s="25"/>
    </row>
    <row r="66" spans="1:37" x14ac:dyDescent="0.25">
      <c r="A66" s="18" t="str">
        <f t="shared" si="0"/>
        <v/>
      </c>
      <c r="B66" s="25"/>
      <c r="C66" s="25"/>
      <c r="D66" s="25"/>
      <c r="E66" s="25"/>
      <c r="F66" s="25"/>
      <c r="G66" s="25"/>
      <c r="H66" s="37"/>
      <c r="I66" s="25"/>
      <c r="J66" s="38"/>
      <c r="K66" s="40"/>
      <c r="S66" s="25"/>
      <c r="T66" s="25" t="str">
        <f>IFERROR(IF(ISBLANK(S66),"",INDEX(Gen_Vessels!$A$3:$C$500,MATCH(InspectionSite!$S66,Gen_Vessels!$C$3:$C$500,0),1)),"")</f>
        <v/>
      </c>
      <c r="U66" s="25"/>
      <c r="V66" s="25"/>
      <c r="W66" s="25" t="str">
        <f>IFERROR(IF(ISBLANK(V66),"",INDEX(Gen_Vessels!$A$3:$C$500,MATCH(InspectionSite!$V66,Gen_Vessels!$C$3:$C$500,0),1)),"")</f>
        <v/>
      </c>
      <c r="X66" s="25"/>
      <c r="Y66" s="25"/>
      <c r="Z66" s="25"/>
      <c r="AA66" s="25"/>
      <c r="AB66" s="25"/>
      <c r="AC66" s="25"/>
      <c r="AE66" s="25"/>
      <c r="AF66" s="49"/>
      <c r="AG66" s="25"/>
      <c r="AH66" s="25"/>
      <c r="AI66" s="25"/>
      <c r="AJ66" s="25"/>
      <c r="AK66" s="25"/>
    </row>
    <row r="67" spans="1:37" x14ac:dyDescent="0.25">
      <c r="A67" s="18" t="str">
        <f t="shared" si="0"/>
        <v/>
      </c>
      <c r="B67" s="25"/>
      <c r="C67" s="25"/>
      <c r="D67" s="25"/>
      <c r="E67" s="25"/>
      <c r="F67" s="25"/>
      <c r="G67" s="25"/>
      <c r="H67" s="37"/>
      <c r="I67" s="25"/>
      <c r="J67" s="38"/>
      <c r="K67" s="40"/>
      <c r="S67" s="25"/>
      <c r="T67" s="25" t="str">
        <f>IFERROR(IF(ISBLANK(S67),"",INDEX(Gen_Vessels!$A$3:$C$500,MATCH(InspectionSite!$S67,Gen_Vessels!$C$3:$C$500,0),1)),"")</f>
        <v/>
      </c>
      <c r="U67" s="25"/>
      <c r="V67" s="25"/>
      <c r="W67" s="25" t="str">
        <f>IFERROR(IF(ISBLANK(V67),"",INDEX(Gen_Vessels!$A$3:$C$500,MATCH(InspectionSite!$V67,Gen_Vessels!$C$3:$C$500,0),1)),"")</f>
        <v/>
      </c>
      <c r="X67" s="25"/>
      <c r="Y67" s="25"/>
      <c r="Z67" s="25"/>
      <c r="AA67" s="25"/>
      <c r="AB67" s="25"/>
      <c r="AC67" s="25"/>
      <c r="AE67" s="25"/>
      <c r="AF67" s="49"/>
      <c r="AG67" s="25"/>
      <c r="AH67" s="25"/>
      <c r="AI67" s="25"/>
      <c r="AJ67" s="25"/>
      <c r="AK67" s="25"/>
    </row>
    <row r="68" spans="1:37" x14ac:dyDescent="0.25">
      <c r="A68" s="18" t="str">
        <f t="shared" si="0"/>
        <v/>
      </c>
      <c r="B68" s="25"/>
      <c r="C68" s="25"/>
      <c r="D68" s="25"/>
      <c r="E68" s="25"/>
      <c r="F68" s="25"/>
      <c r="G68" s="25"/>
      <c r="H68" s="37"/>
      <c r="I68" s="25"/>
      <c r="J68" s="38"/>
      <c r="K68" s="40"/>
      <c r="S68" s="25"/>
      <c r="T68" s="25" t="str">
        <f>IFERROR(IF(ISBLANK(S68),"",INDEX(Gen_Vessels!$A$3:$C$500,MATCH(InspectionSite!$S68,Gen_Vessels!$C$3:$C$500,0),1)),"")</f>
        <v/>
      </c>
      <c r="U68" s="25"/>
      <c r="V68" s="25"/>
      <c r="W68" s="25" t="str">
        <f>IFERROR(IF(ISBLANK(V68),"",INDEX(Gen_Vessels!$A$3:$C$500,MATCH(InspectionSite!$V68,Gen_Vessels!$C$3:$C$500,0),1)),"")</f>
        <v/>
      </c>
      <c r="X68" s="25"/>
      <c r="Y68" s="25"/>
      <c r="Z68" s="25"/>
      <c r="AA68" s="25"/>
      <c r="AB68" s="25"/>
      <c r="AC68" s="25"/>
      <c r="AE68" s="25"/>
      <c r="AF68" s="49"/>
      <c r="AG68" s="25"/>
      <c r="AH68" s="25"/>
      <c r="AI68" s="25"/>
      <c r="AJ68" s="25"/>
      <c r="AK68" s="25"/>
    </row>
    <row r="69" spans="1:37" x14ac:dyDescent="0.25">
      <c r="A69" s="18" t="str">
        <f t="shared" ref="A69:A132" si="1">IF(ISBLANK($B69)=FALSE,IF(AND($H69&gt;0,$I69&lt;=0,$J69&lt;=0),_xlfn.CONCAT("ofw_",$B69),IF(AND($H69&lt;=0,$I69&gt;0,$J69&lt;=0),_xlfn.CONCAT("owc_",$B69),IF(AND($H69&lt;=0,$I69&lt;=0,$J69&gt;0),_xlfn.CONCAT("opv_",$B69),_xlfn.CONCAT("oce_",$B69)))),"")</f>
        <v/>
      </c>
      <c r="B69" s="25"/>
      <c r="C69" s="25"/>
      <c r="D69" s="25"/>
      <c r="E69" s="25"/>
      <c r="F69" s="25"/>
      <c r="G69" s="25"/>
      <c r="H69" s="37"/>
      <c r="I69" s="25"/>
      <c r="J69" s="38"/>
      <c r="K69" s="40"/>
      <c r="S69" s="25"/>
      <c r="T69" s="25" t="str">
        <f>IFERROR(IF(ISBLANK(S69),"",INDEX(Gen_Vessels!$A$3:$C$500,MATCH(InspectionSite!$S69,Gen_Vessels!$C$3:$C$500,0),1)),"")</f>
        <v/>
      </c>
      <c r="U69" s="25"/>
      <c r="V69" s="25"/>
      <c r="W69" s="25" t="str">
        <f>IFERROR(IF(ISBLANK(V69),"",INDEX(Gen_Vessels!$A$3:$C$500,MATCH(InspectionSite!$V69,Gen_Vessels!$C$3:$C$500,0),1)),"")</f>
        <v/>
      </c>
      <c r="X69" s="25"/>
      <c r="Y69" s="25"/>
      <c r="Z69" s="25"/>
      <c r="AA69" s="25"/>
      <c r="AB69" s="25"/>
      <c r="AC69" s="25"/>
      <c r="AE69" s="25"/>
      <c r="AF69" s="49"/>
      <c r="AG69" s="25"/>
      <c r="AH69" s="25"/>
      <c r="AI69" s="25"/>
      <c r="AJ69" s="25"/>
      <c r="AK69" s="25"/>
    </row>
    <row r="70" spans="1:37" x14ac:dyDescent="0.25">
      <c r="A70" s="18" t="str">
        <f t="shared" si="1"/>
        <v/>
      </c>
      <c r="B70" s="25"/>
      <c r="C70" s="25"/>
      <c r="D70" s="25"/>
      <c r="E70" s="25"/>
      <c r="F70" s="25"/>
      <c r="G70" s="25"/>
      <c r="H70" s="37"/>
      <c r="I70" s="25"/>
      <c r="J70" s="38"/>
      <c r="K70" s="40"/>
      <c r="S70" s="25"/>
      <c r="T70" s="25" t="str">
        <f>IFERROR(IF(ISBLANK(S70),"",INDEX(Gen_Vessels!$A$3:$C$500,MATCH(InspectionSite!$S70,Gen_Vessels!$C$3:$C$500,0),1)),"")</f>
        <v/>
      </c>
      <c r="U70" s="25"/>
      <c r="V70" s="25"/>
      <c r="W70" s="25" t="str">
        <f>IFERROR(IF(ISBLANK(V70),"",INDEX(Gen_Vessels!$A$3:$C$500,MATCH(InspectionSite!$V70,Gen_Vessels!$C$3:$C$500,0),1)),"")</f>
        <v/>
      </c>
      <c r="X70" s="25"/>
      <c r="Y70" s="25"/>
      <c r="Z70" s="25"/>
      <c r="AA70" s="25"/>
      <c r="AB70" s="25"/>
      <c r="AC70" s="25"/>
      <c r="AE70" s="25"/>
      <c r="AF70" s="49"/>
      <c r="AG70" s="25"/>
      <c r="AH70" s="25"/>
      <c r="AI70" s="25"/>
      <c r="AJ70" s="25"/>
      <c r="AK70" s="25"/>
    </row>
    <row r="71" spans="1:37" x14ac:dyDescent="0.25">
      <c r="A71" s="18" t="str">
        <f t="shared" si="1"/>
        <v/>
      </c>
      <c r="B71" s="25"/>
      <c r="C71" s="25"/>
      <c r="D71" s="25"/>
      <c r="E71" s="25"/>
      <c r="F71" s="25"/>
      <c r="G71" s="25"/>
      <c r="H71" s="37"/>
      <c r="I71" s="25"/>
      <c r="J71" s="38"/>
      <c r="K71" s="40"/>
      <c r="S71" s="25"/>
      <c r="T71" s="25" t="str">
        <f>IFERROR(IF(ISBLANK(S71),"",INDEX(Gen_Vessels!$A$3:$C$500,MATCH(InspectionSite!$S71,Gen_Vessels!$C$3:$C$500,0),1)),"")</f>
        <v/>
      </c>
      <c r="U71" s="25"/>
      <c r="V71" s="25"/>
      <c r="W71" s="25" t="str">
        <f>IFERROR(IF(ISBLANK(V71),"",INDEX(Gen_Vessels!$A$3:$C$500,MATCH(InspectionSite!$V71,Gen_Vessels!$C$3:$C$500,0),1)),"")</f>
        <v/>
      </c>
      <c r="X71" s="25"/>
      <c r="Y71" s="25"/>
      <c r="Z71" s="25"/>
      <c r="AA71" s="25"/>
      <c r="AB71" s="25"/>
      <c r="AC71" s="25"/>
      <c r="AE71" s="25"/>
      <c r="AF71" s="49"/>
      <c r="AG71" s="25"/>
      <c r="AH71" s="25"/>
      <c r="AI71" s="25"/>
      <c r="AJ71" s="25"/>
      <c r="AK71" s="25"/>
    </row>
    <row r="72" spans="1:37" x14ac:dyDescent="0.25">
      <c r="A72" s="18" t="str">
        <f t="shared" si="1"/>
        <v/>
      </c>
      <c r="B72" s="25"/>
      <c r="C72" s="25"/>
      <c r="D72" s="25"/>
      <c r="E72" s="25"/>
      <c r="F72" s="25"/>
      <c r="G72" s="25"/>
      <c r="H72" s="37"/>
      <c r="I72" s="25"/>
      <c r="J72" s="38"/>
      <c r="K72" s="40"/>
      <c r="S72" s="25"/>
      <c r="T72" s="25" t="str">
        <f>IFERROR(IF(ISBLANK(S72),"",INDEX(Gen_Vessels!$A$3:$C$500,MATCH(InspectionSite!$S72,Gen_Vessels!$C$3:$C$500,0),1)),"")</f>
        <v/>
      </c>
      <c r="U72" s="25"/>
      <c r="V72" s="25"/>
      <c r="W72" s="25" t="str">
        <f>IFERROR(IF(ISBLANK(V72),"",INDEX(Gen_Vessels!$A$3:$C$500,MATCH(InspectionSite!$V72,Gen_Vessels!$C$3:$C$500,0),1)),"")</f>
        <v/>
      </c>
      <c r="X72" s="25"/>
      <c r="Y72" s="25"/>
      <c r="Z72" s="25"/>
      <c r="AA72" s="25"/>
      <c r="AB72" s="25"/>
      <c r="AC72" s="25"/>
      <c r="AE72" s="25"/>
      <c r="AF72" s="49"/>
      <c r="AG72" s="25"/>
      <c r="AH72" s="25"/>
      <c r="AI72" s="25"/>
      <c r="AJ72" s="25"/>
      <c r="AK72" s="25"/>
    </row>
    <row r="73" spans="1:37" x14ac:dyDescent="0.25">
      <c r="A73" s="18" t="str">
        <f t="shared" si="1"/>
        <v/>
      </c>
      <c r="B73" s="25"/>
      <c r="C73" s="25"/>
      <c r="D73" s="25"/>
      <c r="E73" s="25"/>
      <c r="F73" s="25"/>
      <c r="G73" s="25"/>
      <c r="H73" s="37"/>
      <c r="I73" s="25"/>
      <c r="J73" s="38"/>
      <c r="K73" s="40"/>
      <c r="S73" s="25"/>
      <c r="T73" s="25" t="str">
        <f>IFERROR(IF(ISBLANK(S73),"",INDEX(Gen_Vessels!$A$3:$C$500,MATCH(InspectionSite!$S73,Gen_Vessels!$C$3:$C$500,0),1)),"")</f>
        <v/>
      </c>
      <c r="U73" s="25"/>
      <c r="V73" s="25"/>
      <c r="W73" s="25" t="str">
        <f>IFERROR(IF(ISBLANK(V73),"",INDEX(Gen_Vessels!$A$3:$C$500,MATCH(InspectionSite!$V73,Gen_Vessels!$C$3:$C$500,0),1)),"")</f>
        <v/>
      </c>
      <c r="X73" s="25"/>
      <c r="Y73" s="25"/>
      <c r="Z73" s="25"/>
      <c r="AA73" s="25"/>
      <c r="AB73" s="25"/>
      <c r="AC73" s="25"/>
      <c r="AE73" s="25"/>
      <c r="AF73" s="49"/>
      <c r="AG73" s="25"/>
      <c r="AH73" s="25"/>
      <c r="AI73" s="25"/>
      <c r="AJ73" s="25"/>
      <c r="AK73" s="25"/>
    </row>
    <row r="74" spans="1:37" x14ac:dyDescent="0.25">
      <c r="A74" s="18" t="str">
        <f t="shared" si="1"/>
        <v/>
      </c>
      <c r="B74" s="25"/>
      <c r="C74" s="25"/>
      <c r="D74" s="25"/>
      <c r="E74" s="25"/>
      <c r="F74" s="25"/>
      <c r="G74" s="25"/>
      <c r="H74" s="37"/>
      <c r="I74" s="25"/>
      <c r="J74" s="38"/>
      <c r="K74" s="40"/>
      <c r="S74" s="25"/>
      <c r="T74" s="25" t="str">
        <f>IFERROR(IF(ISBLANK(S74),"",INDEX(Gen_Vessels!$A$3:$C$500,MATCH(InspectionSite!$S74,Gen_Vessels!$C$3:$C$500,0),1)),"")</f>
        <v/>
      </c>
      <c r="U74" s="25"/>
      <c r="V74" s="25"/>
      <c r="W74" s="25" t="str">
        <f>IFERROR(IF(ISBLANK(V74),"",INDEX(Gen_Vessels!$A$3:$C$500,MATCH(InspectionSite!$V74,Gen_Vessels!$C$3:$C$500,0),1)),"")</f>
        <v/>
      </c>
      <c r="X74" s="25"/>
      <c r="Y74" s="25"/>
      <c r="Z74" s="25"/>
      <c r="AA74" s="25"/>
      <c r="AB74" s="25"/>
      <c r="AC74" s="25"/>
      <c r="AE74" s="25"/>
      <c r="AF74" s="49"/>
      <c r="AG74" s="25"/>
      <c r="AH74" s="25"/>
      <c r="AI74" s="25"/>
      <c r="AJ74" s="25"/>
      <c r="AK74" s="25"/>
    </row>
    <row r="75" spans="1:37" x14ac:dyDescent="0.25">
      <c r="A75" s="18" t="str">
        <f t="shared" si="1"/>
        <v/>
      </c>
      <c r="B75" s="25"/>
      <c r="C75" s="25"/>
      <c r="D75" s="25"/>
      <c r="E75" s="25"/>
      <c r="F75" s="25"/>
      <c r="G75" s="25"/>
      <c r="H75" s="37"/>
      <c r="I75" s="25"/>
      <c r="J75" s="38"/>
      <c r="K75" s="40"/>
      <c r="S75" s="25"/>
      <c r="T75" s="25" t="str">
        <f>IFERROR(IF(ISBLANK(S75),"",INDEX(Gen_Vessels!$A$3:$C$500,MATCH(InspectionSite!$S75,Gen_Vessels!$C$3:$C$500,0),1)),"")</f>
        <v/>
      </c>
      <c r="U75" s="25"/>
      <c r="V75" s="25"/>
      <c r="W75" s="25" t="str">
        <f>IFERROR(IF(ISBLANK(V75),"",INDEX(Gen_Vessels!$A$3:$C$500,MATCH(InspectionSite!$V75,Gen_Vessels!$C$3:$C$500,0),1)),"")</f>
        <v/>
      </c>
      <c r="X75" s="25"/>
      <c r="Y75" s="25"/>
      <c r="Z75" s="25"/>
      <c r="AA75" s="25"/>
      <c r="AB75" s="25"/>
      <c r="AC75" s="25"/>
      <c r="AE75" s="25"/>
      <c r="AF75" s="49"/>
      <c r="AG75" s="25"/>
      <c r="AH75" s="25"/>
      <c r="AI75" s="25"/>
      <c r="AJ75" s="25"/>
      <c r="AK75" s="25"/>
    </row>
    <row r="76" spans="1:37" x14ac:dyDescent="0.25">
      <c r="A76" s="18" t="str">
        <f t="shared" si="1"/>
        <v/>
      </c>
      <c r="B76" s="25"/>
      <c r="C76" s="25"/>
      <c r="D76" s="25"/>
      <c r="E76" s="25"/>
      <c r="F76" s="25"/>
      <c r="G76" s="25"/>
      <c r="H76" s="37"/>
      <c r="I76" s="25"/>
      <c r="J76" s="38"/>
      <c r="K76" s="40"/>
      <c r="S76" s="25"/>
      <c r="T76" s="25" t="str">
        <f>IFERROR(IF(ISBLANK(S76),"",INDEX(Gen_Vessels!$A$3:$C$500,MATCH(InspectionSite!$S76,Gen_Vessels!$C$3:$C$500,0),1)),"")</f>
        <v/>
      </c>
      <c r="U76" s="25"/>
      <c r="V76" s="25"/>
      <c r="W76" s="25" t="str">
        <f>IFERROR(IF(ISBLANK(V76),"",INDEX(Gen_Vessels!$A$3:$C$500,MATCH(InspectionSite!$V76,Gen_Vessels!$C$3:$C$500,0),1)),"")</f>
        <v/>
      </c>
      <c r="X76" s="25"/>
      <c r="Y76" s="25"/>
      <c r="Z76" s="25"/>
      <c r="AA76" s="25"/>
      <c r="AB76" s="25"/>
      <c r="AC76" s="25"/>
      <c r="AE76" s="25"/>
      <c r="AF76" s="49"/>
      <c r="AG76" s="25"/>
      <c r="AH76" s="25"/>
      <c r="AI76" s="25"/>
      <c r="AJ76" s="25"/>
      <c r="AK76" s="25"/>
    </row>
    <row r="77" spans="1:37" x14ac:dyDescent="0.25">
      <c r="A77" s="18" t="str">
        <f t="shared" si="1"/>
        <v/>
      </c>
      <c r="B77" s="25"/>
      <c r="C77" s="25"/>
      <c r="D77" s="25"/>
      <c r="E77" s="25"/>
      <c r="F77" s="25"/>
      <c r="G77" s="25"/>
      <c r="H77" s="37"/>
      <c r="I77" s="25"/>
      <c r="J77" s="38"/>
      <c r="K77" s="40"/>
      <c r="S77" s="25"/>
      <c r="T77" s="25" t="str">
        <f>IFERROR(IF(ISBLANK(S77),"",INDEX(Gen_Vessels!$A$3:$C$500,MATCH(InspectionSite!$S77,Gen_Vessels!$C$3:$C$500,0),1)),"")</f>
        <v/>
      </c>
      <c r="U77" s="25"/>
      <c r="V77" s="25"/>
      <c r="W77" s="25" t="str">
        <f>IFERROR(IF(ISBLANK(V77),"",INDEX(Gen_Vessels!$A$3:$C$500,MATCH(InspectionSite!$V77,Gen_Vessels!$C$3:$C$500,0),1)),"")</f>
        <v/>
      </c>
      <c r="X77" s="25"/>
      <c r="Y77" s="25"/>
      <c r="Z77" s="25"/>
      <c r="AA77" s="25"/>
      <c r="AB77" s="25"/>
      <c r="AC77" s="25"/>
      <c r="AE77" s="25"/>
      <c r="AF77" s="49"/>
      <c r="AG77" s="25"/>
      <c r="AH77" s="25"/>
      <c r="AI77" s="25"/>
      <c r="AJ77" s="25"/>
      <c r="AK77" s="25"/>
    </row>
    <row r="78" spans="1:37" x14ac:dyDescent="0.25">
      <c r="A78" s="18" t="str">
        <f t="shared" si="1"/>
        <v/>
      </c>
      <c r="B78" s="25"/>
      <c r="C78" s="25"/>
      <c r="D78" s="25"/>
      <c r="E78" s="25"/>
      <c r="F78" s="25"/>
      <c r="G78" s="25"/>
      <c r="H78" s="37"/>
      <c r="I78" s="25"/>
      <c r="J78" s="38"/>
      <c r="K78" s="40"/>
      <c r="S78" s="25"/>
      <c r="T78" s="25" t="str">
        <f>IFERROR(IF(ISBLANK(S78),"",INDEX(Gen_Vessels!$A$3:$C$500,MATCH(InspectionSite!$S78,Gen_Vessels!$C$3:$C$500,0),1)),"")</f>
        <v/>
      </c>
      <c r="U78" s="25"/>
      <c r="V78" s="25"/>
      <c r="W78" s="25" t="str">
        <f>IFERROR(IF(ISBLANK(V78),"",INDEX(Gen_Vessels!$A$3:$C$500,MATCH(InspectionSite!$V78,Gen_Vessels!$C$3:$C$500,0),1)),"")</f>
        <v/>
      </c>
      <c r="X78" s="25"/>
      <c r="Y78" s="25"/>
      <c r="Z78" s="25"/>
      <c r="AA78" s="25"/>
      <c r="AB78" s="25"/>
      <c r="AC78" s="25"/>
      <c r="AE78" s="25"/>
      <c r="AF78" s="49"/>
      <c r="AG78" s="25"/>
      <c r="AH78" s="25"/>
      <c r="AI78" s="25"/>
      <c r="AJ78" s="25"/>
      <c r="AK78" s="25"/>
    </row>
    <row r="79" spans="1:37" x14ac:dyDescent="0.25">
      <c r="A79" s="18" t="str">
        <f t="shared" si="1"/>
        <v/>
      </c>
      <c r="B79" s="25"/>
      <c r="C79" s="25"/>
      <c r="D79" s="25"/>
      <c r="E79" s="25"/>
      <c r="F79" s="25"/>
      <c r="G79" s="25"/>
      <c r="H79" s="37"/>
      <c r="I79" s="25"/>
      <c r="J79" s="38"/>
      <c r="K79" s="40"/>
      <c r="S79" s="25"/>
      <c r="T79" s="25" t="str">
        <f>IFERROR(IF(ISBLANK(S79),"",INDEX(Gen_Vessels!$A$3:$C$500,MATCH(InspectionSite!$S79,Gen_Vessels!$C$3:$C$500,0),1)),"")</f>
        <v/>
      </c>
      <c r="U79" s="25"/>
      <c r="V79" s="25"/>
      <c r="W79" s="25" t="str">
        <f>IFERROR(IF(ISBLANK(V79),"",INDEX(Gen_Vessels!$A$3:$C$500,MATCH(InspectionSite!$V79,Gen_Vessels!$C$3:$C$500,0),1)),"")</f>
        <v/>
      </c>
      <c r="X79" s="25"/>
      <c r="Y79" s="25"/>
      <c r="Z79" s="25"/>
      <c r="AA79" s="25"/>
      <c r="AB79" s="25"/>
      <c r="AC79" s="25"/>
      <c r="AE79" s="25"/>
      <c r="AF79" s="49"/>
      <c r="AG79" s="25"/>
      <c r="AH79" s="25"/>
      <c r="AI79" s="25"/>
      <c r="AJ79" s="25"/>
      <c r="AK79" s="25"/>
    </row>
    <row r="80" spans="1:37" x14ac:dyDescent="0.25">
      <c r="A80" s="18" t="str">
        <f t="shared" si="1"/>
        <v/>
      </c>
      <c r="B80" s="25"/>
      <c r="C80" s="25"/>
      <c r="D80" s="25"/>
      <c r="E80" s="25"/>
      <c r="F80" s="25"/>
      <c r="G80" s="25"/>
      <c r="H80" s="37"/>
      <c r="I80" s="25"/>
      <c r="J80" s="38"/>
      <c r="K80" s="40"/>
      <c r="S80" s="25"/>
      <c r="T80" s="25" t="str">
        <f>IFERROR(IF(ISBLANK(S80),"",INDEX(Gen_Vessels!$A$3:$C$500,MATCH(InspectionSite!$S80,Gen_Vessels!$C$3:$C$500,0),1)),"")</f>
        <v/>
      </c>
      <c r="U80" s="25"/>
      <c r="V80" s="25"/>
      <c r="W80" s="25" t="str">
        <f>IFERROR(IF(ISBLANK(V80),"",INDEX(Gen_Vessels!$A$3:$C$500,MATCH(InspectionSite!$V80,Gen_Vessels!$C$3:$C$500,0),1)),"")</f>
        <v/>
      </c>
      <c r="X80" s="25"/>
      <c r="Y80" s="25"/>
      <c r="Z80" s="25"/>
      <c r="AA80" s="25"/>
      <c r="AB80" s="25"/>
      <c r="AC80" s="25"/>
      <c r="AE80" s="25"/>
      <c r="AF80" s="49"/>
      <c r="AG80" s="25"/>
      <c r="AH80" s="25"/>
      <c r="AI80" s="25"/>
      <c r="AJ80" s="25"/>
      <c r="AK80" s="25"/>
    </row>
    <row r="81" spans="1:37" x14ac:dyDescent="0.25">
      <c r="A81" s="18" t="str">
        <f t="shared" si="1"/>
        <v/>
      </c>
      <c r="B81" s="25"/>
      <c r="C81" s="25"/>
      <c r="D81" s="25"/>
      <c r="E81" s="25"/>
      <c r="F81" s="25"/>
      <c r="G81" s="25"/>
      <c r="H81" s="37"/>
      <c r="I81" s="25"/>
      <c r="J81" s="38"/>
      <c r="K81" s="40"/>
      <c r="S81" s="25"/>
      <c r="T81" s="25" t="str">
        <f>IFERROR(IF(ISBLANK(S81),"",INDEX(Gen_Vessels!$A$3:$C$500,MATCH(InspectionSite!$S81,Gen_Vessels!$C$3:$C$500,0),1)),"")</f>
        <v/>
      </c>
      <c r="U81" s="25"/>
      <c r="V81" s="25"/>
      <c r="W81" s="25" t="str">
        <f>IFERROR(IF(ISBLANK(V81),"",INDEX(Gen_Vessels!$A$3:$C$500,MATCH(InspectionSite!$V81,Gen_Vessels!$C$3:$C$500,0),1)),"")</f>
        <v/>
      </c>
      <c r="X81" s="25"/>
      <c r="Y81" s="25"/>
      <c r="Z81" s="25"/>
      <c r="AA81" s="25"/>
      <c r="AB81" s="25"/>
      <c r="AC81" s="25"/>
      <c r="AE81" s="25"/>
      <c r="AF81" s="49"/>
      <c r="AG81" s="25"/>
      <c r="AH81" s="25"/>
      <c r="AI81" s="25"/>
      <c r="AJ81" s="25"/>
      <c r="AK81" s="25"/>
    </row>
    <row r="82" spans="1:37" x14ac:dyDescent="0.25">
      <c r="A82" s="18" t="str">
        <f t="shared" si="1"/>
        <v/>
      </c>
      <c r="B82" s="25"/>
      <c r="C82" s="25"/>
      <c r="D82" s="25"/>
      <c r="E82" s="25"/>
      <c r="F82" s="25"/>
      <c r="G82" s="25"/>
      <c r="H82" s="37"/>
      <c r="I82" s="25"/>
      <c r="J82" s="38"/>
      <c r="K82" s="40"/>
      <c r="S82" s="25"/>
      <c r="T82" s="25" t="str">
        <f>IFERROR(IF(ISBLANK(S82),"",INDEX(Gen_Vessels!$A$3:$C$500,MATCH(InspectionSite!$S82,Gen_Vessels!$C$3:$C$500,0),1)),"")</f>
        <v/>
      </c>
      <c r="U82" s="25"/>
      <c r="V82" s="25"/>
      <c r="W82" s="25" t="str">
        <f>IFERROR(IF(ISBLANK(V82),"",INDEX(Gen_Vessels!$A$3:$C$500,MATCH(InspectionSite!$V82,Gen_Vessels!$C$3:$C$500,0),1)),"")</f>
        <v/>
      </c>
      <c r="X82" s="25"/>
      <c r="Y82" s="25"/>
      <c r="Z82" s="25"/>
      <c r="AA82" s="25"/>
      <c r="AB82" s="25"/>
      <c r="AC82" s="25"/>
      <c r="AE82" s="25"/>
      <c r="AF82" s="49"/>
      <c r="AG82" s="25"/>
      <c r="AH82" s="25"/>
      <c r="AI82" s="25"/>
      <c r="AJ82" s="25"/>
      <c r="AK82" s="25"/>
    </row>
    <row r="83" spans="1:37" x14ac:dyDescent="0.25">
      <c r="A83" s="18" t="str">
        <f t="shared" si="1"/>
        <v/>
      </c>
      <c r="B83" s="25"/>
      <c r="C83" s="25"/>
      <c r="D83" s="25"/>
      <c r="E83" s="25"/>
      <c r="F83" s="25"/>
      <c r="G83" s="25"/>
      <c r="H83" s="37"/>
      <c r="I83" s="25"/>
      <c r="J83" s="38"/>
      <c r="K83" s="40"/>
      <c r="S83" s="25"/>
      <c r="T83" s="25" t="str">
        <f>IFERROR(IF(ISBLANK(S83),"",INDEX(Gen_Vessels!$A$3:$C$500,MATCH(InspectionSite!$S83,Gen_Vessels!$C$3:$C$500,0),1)),"")</f>
        <v/>
      </c>
      <c r="U83" s="25"/>
      <c r="V83" s="25"/>
      <c r="W83" s="25" t="str">
        <f>IFERROR(IF(ISBLANK(V83),"",INDEX(Gen_Vessels!$A$3:$C$500,MATCH(InspectionSite!$V83,Gen_Vessels!$C$3:$C$500,0),1)),"")</f>
        <v/>
      </c>
      <c r="X83" s="25"/>
      <c r="Y83" s="25"/>
      <c r="Z83" s="25"/>
      <c r="AA83" s="25"/>
      <c r="AB83" s="25"/>
      <c r="AC83" s="25"/>
      <c r="AE83" s="25"/>
      <c r="AF83" s="49"/>
      <c r="AG83" s="25"/>
      <c r="AH83" s="25"/>
      <c r="AI83" s="25"/>
      <c r="AJ83" s="25"/>
      <c r="AK83" s="25"/>
    </row>
    <row r="84" spans="1:37" x14ac:dyDescent="0.25">
      <c r="A84" s="18" t="str">
        <f t="shared" si="1"/>
        <v/>
      </c>
      <c r="B84" s="25"/>
      <c r="C84" s="25"/>
      <c r="D84" s="25"/>
      <c r="E84" s="25"/>
      <c r="F84" s="25"/>
      <c r="G84" s="25"/>
      <c r="H84" s="37"/>
      <c r="I84" s="25"/>
      <c r="J84" s="38"/>
      <c r="K84" s="40"/>
      <c r="S84" s="25"/>
      <c r="T84" s="25" t="str">
        <f>IFERROR(IF(ISBLANK(S84),"",INDEX(Gen_Vessels!$A$3:$C$500,MATCH(InspectionSite!$S84,Gen_Vessels!$C$3:$C$500,0),1)),"")</f>
        <v/>
      </c>
      <c r="U84" s="25"/>
      <c r="V84" s="25"/>
      <c r="W84" s="25" t="str">
        <f>IFERROR(IF(ISBLANK(V84),"",INDEX(Gen_Vessels!$A$3:$C$500,MATCH(InspectionSite!$V84,Gen_Vessels!$C$3:$C$500,0),1)),"")</f>
        <v/>
      </c>
      <c r="X84" s="25"/>
      <c r="Y84" s="25"/>
      <c r="Z84" s="25"/>
      <c r="AA84" s="25"/>
      <c r="AB84" s="25"/>
      <c r="AC84" s="25"/>
      <c r="AE84" s="25"/>
      <c r="AF84" s="49"/>
      <c r="AG84" s="25"/>
      <c r="AH84" s="25"/>
      <c r="AI84" s="25"/>
      <c r="AJ84" s="25"/>
      <c r="AK84" s="25"/>
    </row>
    <row r="85" spans="1:37" x14ac:dyDescent="0.25">
      <c r="A85" s="18" t="str">
        <f t="shared" si="1"/>
        <v/>
      </c>
      <c r="B85" s="25"/>
      <c r="C85" s="25"/>
      <c r="D85" s="25"/>
      <c r="E85" s="25"/>
      <c r="F85" s="25"/>
      <c r="G85" s="25"/>
      <c r="H85" s="37"/>
      <c r="I85" s="25"/>
      <c r="J85" s="38"/>
      <c r="K85" s="40"/>
      <c r="S85" s="25"/>
      <c r="T85" s="25" t="str">
        <f>IFERROR(IF(ISBLANK(S85),"",INDEX(Gen_Vessels!$A$3:$C$500,MATCH(InspectionSite!$S85,Gen_Vessels!$C$3:$C$500,0),1)),"")</f>
        <v/>
      </c>
      <c r="U85" s="25"/>
      <c r="V85" s="25"/>
      <c r="W85" s="25" t="str">
        <f>IFERROR(IF(ISBLANK(V85),"",INDEX(Gen_Vessels!$A$3:$C$500,MATCH(InspectionSite!$V85,Gen_Vessels!$C$3:$C$500,0),1)),"")</f>
        <v/>
      </c>
      <c r="X85" s="25"/>
      <c r="Y85" s="25"/>
      <c r="Z85" s="25"/>
      <c r="AA85" s="25"/>
      <c r="AB85" s="25"/>
      <c r="AC85" s="25"/>
      <c r="AE85" s="25"/>
      <c r="AF85" s="49"/>
      <c r="AG85" s="25"/>
      <c r="AH85" s="25"/>
      <c r="AI85" s="25"/>
      <c r="AJ85" s="25"/>
      <c r="AK85" s="25"/>
    </row>
    <row r="86" spans="1:37" x14ac:dyDescent="0.25">
      <c r="A86" s="18" t="str">
        <f t="shared" si="1"/>
        <v/>
      </c>
      <c r="B86" s="25"/>
      <c r="C86" s="25"/>
      <c r="D86" s="25"/>
      <c r="E86" s="25"/>
      <c r="F86" s="25"/>
      <c r="G86" s="25"/>
      <c r="H86" s="37"/>
      <c r="I86" s="25"/>
      <c r="J86" s="38"/>
      <c r="K86" s="40"/>
      <c r="S86" s="25"/>
      <c r="T86" s="25" t="str">
        <f>IFERROR(IF(ISBLANK(S86),"",INDEX(Gen_Vessels!$A$3:$C$500,MATCH(InspectionSite!$S86,Gen_Vessels!$C$3:$C$500,0),1)),"")</f>
        <v/>
      </c>
      <c r="U86" s="25"/>
      <c r="V86" s="25"/>
      <c r="W86" s="25" t="str">
        <f>IFERROR(IF(ISBLANK(V86),"",INDEX(Gen_Vessels!$A$3:$C$500,MATCH(InspectionSite!$V86,Gen_Vessels!$C$3:$C$500,0),1)),"")</f>
        <v/>
      </c>
      <c r="X86" s="25"/>
      <c r="Y86" s="25"/>
      <c r="Z86" s="25"/>
      <c r="AA86" s="25"/>
      <c r="AB86" s="25"/>
      <c r="AC86" s="25"/>
      <c r="AE86" s="25"/>
      <c r="AF86" s="49"/>
      <c r="AG86" s="25"/>
      <c r="AH86" s="25"/>
      <c r="AI86" s="25"/>
      <c r="AJ86" s="25"/>
      <c r="AK86" s="25"/>
    </row>
    <row r="87" spans="1:37" x14ac:dyDescent="0.25">
      <c r="A87" s="18" t="str">
        <f t="shared" si="1"/>
        <v/>
      </c>
      <c r="B87" s="25"/>
      <c r="C87" s="25"/>
      <c r="D87" s="25"/>
      <c r="E87" s="25"/>
      <c r="F87" s="25"/>
      <c r="G87" s="25"/>
      <c r="H87" s="37"/>
      <c r="I87" s="25"/>
      <c r="J87" s="38"/>
      <c r="K87" s="40"/>
      <c r="S87" s="25"/>
      <c r="T87" s="25" t="str">
        <f>IFERROR(IF(ISBLANK(S87),"",INDEX(Gen_Vessels!$A$3:$C$500,MATCH(InspectionSite!$S87,Gen_Vessels!$C$3:$C$500,0),1)),"")</f>
        <v/>
      </c>
      <c r="U87" s="25"/>
      <c r="V87" s="25"/>
      <c r="W87" s="25" t="str">
        <f>IFERROR(IF(ISBLANK(V87),"",INDEX(Gen_Vessels!$A$3:$C$500,MATCH(InspectionSite!$V87,Gen_Vessels!$C$3:$C$500,0),1)),"")</f>
        <v/>
      </c>
      <c r="X87" s="25"/>
      <c r="Y87" s="25"/>
      <c r="Z87" s="25"/>
      <c r="AA87" s="25"/>
      <c r="AB87" s="25"/>
      <c r="AC87" s="25"/>
      <c r="AE87" s="25"/>
      <c r="AF87" s="49"/>
      <c r="AG87" s="25"/>
      <c r="AH87" s="25"/>
      <c r="AI87" s="25"/>
      <c r="AJ87" s="25"/>
      <c r="AK87" s="25"/>
    </row>
    <row r="88" spans="1:37" x14ac:dyDescent="0.25">
      <c r="A88" s="18" t="str">
        <f t="shared" si="1"/>
        <v/>
      </c>
      <c r="B88" s="25"/>
      <c r="C88" s="25"/>
      <c r="D88" s="25"/>
      <c r="E88" s="25"/>
      <c r="F88" s="25"/>
      <c r="G88" s="25"/>
      <c r="H88" s="37"/>
      <c r="I88" s="25"/>
      <c r="J88" s="38"/>
      <c r="K88" s="40"/>
      <c r="S88" s="25"/>
      <c r="T88" s="25" t="str">
        <f>IFERROR(IF(ISBLANK(S88),"",INDEX(Gen_Vessels!$A$3:$C$500,MATCH(InspectionSite!$S88,Gen_Vessels!$C$3:$C$500,0),1)),"")</f>
        <v/>
      </c>
      <c r="U88" s="25"/>
      <c r="V88" s="25"/>
      <c r="W88" s="25" t="str">
        <f>IFERROR(IF(ISBLANK(V88),"",INDEX(Gen_Vessels!$A$3:$C$500,MATCH(InspectionSite!$V88,Gen_Vessels!$C$3:$C$500,0),1)),"")</f>
        <v/>
      </c>
      <c r="X88" s="25"/>
      <c r="Y88" s="25"/>
      <c r="Z88" s="25"/>
      <c r="AA88" s="25"/>
      <c r="AB88" s="25"/>
      <c r="AC88" s="25"/>
      <c r="AE88" s="25"/>
      <c r="AF88" s="49"/>
      <c r="AG88" s="25"/>
      <c r="AH88" s="25"/>
      <c r="AI88" s="25"/>
      <c r="AJ88" s="25"/>
      <c r="AK88" s="25"/>
    </row>
    <row r="89" spans="1:37" x14ac:dyDescent="0.25">
      <c r="A89" s="18" t="str">
        <f t="shared" si="1"/>
        <v/>
      </c>
      <c r="B89" s="25"/>
      <c r="C89" s="25"/>
      <c r="D89" s="25"/>
      <c r="E89" s="25"/>
      <c r="F89" s="25"/>
      <c r="G89" s="25"/>
      <c r="H89" s="37"/>
      <c r="I89" s="25"/>
      <c r="J89" s="38"/>
      <c r="K89" s="40"/>
      <c r="S89" s="25"/>
      <c r="T89" s="25" t="str">
        <f>IFERROR(IF(ISBLANK(S89),"",INDEX(Gen_Vessels!$A$3:$C$500,MATCH(InspectionSite!$S89,Gen_Vessels!$C$3:$C$500,0),1)),"")</f>
        <v/>
      </c>
      <c r="U89" s="25"/>
      <c r="V89" s="25"/>
      <c r="W89" s="25" t="str">
        <f>IFERROR(IF(ISBLANK(V89),"",INDEX(Gen_Vessels!$A$3:$C$500,MATCH(InspectionSite!$V89,Gen_Vessels!$C$3:$C$500,0),1)),"")</f>
        <v/>
      </c>
      <c r="X89" s="25"/>
      <c r="Y89" s="25"/>
      <c r="Z89" s="25"/>
      <c r="AA89" s="25"/>
      <c r="AB89" s="25"/>
      <c r="AC89" s="25"/>
      <c r="AE89" s="25"/>
      <c r="AF89" s="49"/>
      <c r="AG89" s="25"/>
      <c r="AH89" s="25"/>
      <c r="AI89" s="25"/>
      <c r="AJ89" s="25"/>
      <c r="AK89" s="25"/>
    </row>
    <row r="90" spans="1:37" x14ac:dyDescent="0.25">
      <c r="A90" s="18" t="str">
        <f t="shared" si="1"/>
        <v/>
      </c>
      <c r="B90" s="25"/>
      <c r="C90" s="25"/>
      <c r="D90" s="25"/>
      <c r="E90" s="25"/>
      <c r="F90" s="25"/>
      <c r="G90" s="25"/>
      <c r="H90" s="37"/>
      <c r="I90" s="25"/>
      <c r="J90" s="38"/>
      <c r="K90" s="40"/>
      <c r="S90" s="25"/>
      <c r="T90" s="25" t="str">
        <f>IFERROR(IF(ISBLANK(S90),"",INDEX(Gen_Vessels!$A$3:$C$500,MATCH(InspectionSite!$S90,Gen_Vessels!$C$3:$C$500,0),1)),"")</f>
        <v/>
      </c>
      <c r="U90" s="25"/>
      <c r="V90" s="25"/>
      <c r="W90" s="25" t="str">
        <f>IFERROR(IF(ISBLANK(V90),"",INDEX(Gen_Vessels!$A$3:$C$500,MATCH(InspectionSite!$V90,Gen_Vessels!$C$3:$C$500,0),1)),"")</f>
        <v/>
      </c>
      <c r="X90" s="25"/>
      <c r="Y90" s="25"/>
      <c r="Z90" s="25"/>
      <c r="AA90" s="25"/>
      <c r="AB90" s="25"/>
      <c r="AC90" s="25"/>
      <c r="AE90" s="25"/>
      <c r="AF90" s="49"/>
      <c r="AG90" s="25"/>
      <c r="AH90" s="25"/>
      <c r="AI90" s="25"/>
      <c r="AJ90" s="25"/>
      <c r="AK90" s="25"/>
    </row>
    <row r="91" spans="1:37" x14ac:dyDescent="0.25">
      <c r="A91" s="18" t="str">
        <f t="shared" si="1"/>
        <v/>
      </c>
      <c r="B91" s="25"/>
      <c r="C91" s="25"/>
      <c r="D91" s="25"/>
      <c r="E91" s="25"/>
      <c r="F91" s="25"/>
      <c r="G91" s="25"/>
      <c r="H91" s="37"/>
      <c r="I91" s="25"/>
      <c r="J91" s="38"/>
      <c r="K91" s="40"/>
      <c r="S91" s="25"/>
      <c r="T91" s="25" t="str">
        <f>IFERROR(IF(ISBLANK(S91),"",INDEX(Gen_Vessels!$A$3:$C$500,MATCH(InspectionSite!$S91,Gen_Vessels!$C$3:$C$500,0),1)),"")</f>
        <v/>
      </c>
      <c r="U91" s="25"/>
      <c r="V91" s="25"/>
      <c r="W91" s="25" t="str">
        <f>IFERROR(IF(ISBLANK(V91),"",INDEX(Gen_Vessels!$A$3:$C$500,MATCH(InspectionSite!$V91,Gen_Vessels!$C$3:$C$500,0),1)),"")</f>
        <v/>
      </c>
      <c r="X91" s="25"/>
      <c r="Y91" s="25"/>
      <c r="Z91" s="25"/>
      <c r="AA91" s="25"/>
      <c r="AB91" s="25"/>
      <c r="AC91" s="25"/>
      <c r="AE91" s="25"/>
      <c r="AF91" s="49"/>
      <c r="AG91" s="25"/>
      <c r="AH91" s="25"/>
      <c r="AI91" s="25"/>
      <c r="AJ91" s="25"/>
      <c r="AK91" s="25"/>
    </row>
    <row r="92" spans="1:37" x14ac:dyDescent="0.25">
      <c r="A92" s="18" t="str">
        <f t="shared" si="1"/>
        <v/>
      </c>
      <c r="B92" s="25"/>
      <c r="C92" s="25"/>
      <c r="D92" s="25"/>
      <c r="E92" s="25"/>
      <c r="F92" s="25"/>
      <c r="G92" s="25"/>
      <c r="H92" s="37"/>
      <c r="I92" s="25"/>
      <c r="J92" s="38"/>
      <c r="K92" s="40"/>
      <c r="S92" s="25"/>
      <c r="T92" s="25" t="str">
        <f>IFERROR(IF(ISBLANK(S92),"",INDEX(Gen_Vessels!$A$3:$C$500,MATCH(InspectionSite!$S92,Gen_Vessels!$C$3:$C$500,0),1)),"")</f>
        <v/>
      </c>
      <c r="U92" s="25"/>
      <c r="V92" s="25"/>
      <c r="W92" s="25" t="str">
        <f>IFERROR(IF(ISBLANK(V92),"",INDEX(Gen_Vessels!$A$3:$C$500,MATCH(InspectionSite!$V92,Gen_Vessels!$C$3:$C$500,0),1)),"")</f>
        <v/>
      </c>
      <c r="X92" s="25"/>
      <c r="Y92" s="25"/>
      <c r="Z92" s="25"/>
      <c r="AA92" s="25"/>
      <c r="AB92" s="25"/>
      <c r="AC92" s="25"/>
      <c r="AE92" s="25"/>
      <c r="AF92" s="49"/>
      <c r="AG92" s="25"/>
      <c r="AH92" s="25"/>
      <c r="AI92" s="25"/>
      <c r="AJ92" s="25"/>
      <c r="AK92" s="25"/>
    </row>
    <row r="93" spans="1:37" x14ac:dyDescent="0.25">
      <c r="A93" s="18" t="str">
        <f t="shared" si="1"/>
        <v/>
      </c>
      <c r="B93" s="25"/>
      <c r="C93" s="25"/>
      <c r="D93" s="25"/>
      <c r="E93" s="25"/>
      <c r="F93" s="25"/>
      <c r="G93" s="25"/>
      <c r="H93" s="37"/>
      <c r="I93" s="25"/>
      <c r="J93" s="38"/>
      <c r="K93" s="40"/>
      <c r="S93" s="25"/>
      <c r="T93" s="25" t="str">
        <f>IFERROR(IF(ISBLANK(S93),"",INDEX(Gen_Vessels!$A$3:$C$500,MATCH(InspectionSite!$S93,Gen_Vessels!$C$3:$C$500,0),1)),"")</f>
        <v/>
      </c>
      <c r="U93" s="25"/>
      <c r="V93" s="25"/>
      <c r="W93" s="25" t="str">
        <f>IFERROR(IF(ISBLANK(V93),"",INDEX(Gen_Vessels!$A$3:$C$500,MATCH(InspectionSite!$V93,Gen_Vessels!$C$3:$C$500,0),1)),"")</f>
        <v/>
      </c>
      <c r="X93" s="25"/>
      <c r="Y93" s="25"/>
      <c r="Z93" s="25"/>
      <c r="AA93" s="25"/>
      <c r="AB93" s="25"/>
      <c r="AC93" s="25"/>
      <c r="AE93" s="25"/>
      <c r="AF93" s="49"/>
      <c r="AG93" s="25"/>
      <c r="AH93" s="25"/>
      <c r="AI93" s="25"/>
      <c r="AJ93" s="25"/>
      <c r="AK93" s="25"/>
    </row>
    <row r="94" spans="1:37" x14ac:dyDescent="0.25">
      <c r="A94" s="18" t="str">
        <f t="shared" si="1"/>
        <v/>
      </c>
      <c r="B94" s="25"/>
      <c r="C94" s="25"/>
      <c r="D94" s="25"/>
      <c r="E94" s="25"/>
      <c r="F94" s="25"/>
      <c r="G94" s="25"/>
      <c r="H94" s="37"/>
      <c r="I94" s="25"/>
      <c r="J94" s="38"/>
      <c r="K94" s="40"/>
      <c r="S94" s="25"/>
      <c r="T94" s="25" t="str">
        <f>IFERROR(IF(ISBLANK(S94),"",INDEX(Gen_Vessels!$A$3:$C$500,MATCH(InspectionSite!$S94,Gen_Vessels!$C$3:$C$500,0),1)),"")</f>
        <v/>
      </c>
      <c r="U94" s="25"/>
      <c r="V94" s="25"/>
      <c r="W94" s="25" t="str">
        <f>IFERROR(IF(ISBLANK(V94),"",INDEX(Gen_Vessels!$A$3:$C$500,MATCH(InspectionSite!$V94,Gen_Vessels!$C$3:$C$500,0),1)),"")</f>
        <v/>
      </c>
      <c r="X94" s="25"/>
      <c r="Y94" s="25"/>
      <c r="Z94" s="25"/>
      <c r="AA94" s="25"/>
      <c r="AB94" s="25"/>
      <c r="AC94" s="25"/>
      <c r="AE94" s="25"/>
      <c r="AF94" s="49"/>
      <c r="AG94" s="25"/>
      <c r="AH94" s="25"/>
      <c r="AI94" s="25"/>
      <c r="AJ94" s="25"/>
      <c r="AK94" s="25"/>
    </row>
    <row r="95" spans="1:37" x14ac:dyDescent="0.25">
      <c r="A95" s="18" t="str">
        <f t="shared" si="1"/>
        <v/>
      </c>
      <c r="B95" s="25"/>
      <c r="C95" s="25"/>
      <c r="D95" s="25"/>
      <c r="E95" s="25"/>
      <c r="F95" s="25"/>
      <c r="G95" s="25"/>
      <c r="H95" s="37"/>
      <c r="I95" s="25"/>
      <c r="J95" s="38"/>
      <c r="K95" s="40"/>
      <c r="S95" s="25"/>
      <c r="T95" s="25" t="str">
        <f>IFERROR(IF(ISBLANK(S95),"",INDEX(Gen_Vessels!$A$3:$C$500,MATCH(InspectionSite!$S95,Gen_Vessels!$C$3:$C$500,0),1)),"")</f>
        <v/>
      </c>
      <c r="U95" s="25"/>
      <c r="V95" s="25"/>
      <c r="W95" s="25" t="str">
        <f>IFERROR(IF(ISBLANK(V95),"",INDEX(Gen_Vessels!$A$3:$C$500,MATCH(InspectionSite!$V95,Gen_Vessels!$C$3:$C$500,0),1)),"")</f>
        <v/>
      </c>
      <c r="X95" s="25"/>
      <c r="Y95" s="25"/>
      <c r="Z95" s="25"/>
      <c r="AA95" s="25"/>
      <c r="AB95" s="25"/>
      <c r="AC95" s="25"/>
      <c r="AE95" s="25"/>
      <c r="AF95" s="49"/>
      <c r="AG95" s="25"/>
      <c r="AH95" s="25"/>
      <c r="AI95" s="25"/>
      <c r="AJ95" s="25"/>
      <c r="AK95" s="25"/>
    </row>
    <row r="96" spans="1:37" x14ac:dyDescent="0.25">
      <c r="A96" s="18" t="str">
        <f t="shared" si="1"/>
        <v/>
      </c>
      <c r="B96" s="25"/>
      <c r="C96" s="25"/>
      <c r="D96" s="25"/>
      <c r="E96" s="25"/>
      <c r="F96" s="25"/>
      <c r="G96" s="25"/>
      <c r="H96" s="37"/>
      <c r="I96" s="25"/>
      <c r="J96" s="38"/>
      <c r="K96" s="40"/>
      <c r="S96" s="25"/>
      <c r="T96" s="25" t="str">
        <f>IFERROR(IF(ISBLANK(S96),"",INDEX(Gen_Vessels!$A$3:$C$500,MATCH(InspectionSite!$S96,Gen_Vessels!$C$3:$C$500,0),1)),"")</f>
        <v/>
      </c>
      <c r="U96" s="25"/>
      <c r="V96" s="25"/>
      <c r="W96" s="25" t="str">
        <f>IFERROR(IF(ISBLANK(V96),"",INDEX(Gen_Vessels!$A$3:$C$500,MATCH(InspectionSite!$V96,Gen_Vessels!$C$3:$C$500,0),1)),"")</f>
        <v/>
      </c>
      <c r="X96" s="25"/>
      <c r="Y96" s="25"/>
      <c r="Z96" s="25"/>
      <c r="AA96" s="25"/>
      <c r="AB96" s="25"/>
      <c r="AC96" s="25"/>
      <c r="AE96" s="25"/>
      <c r="AF96" s="49"/>
      <c r="AG96" s="25"/>
      <c r="AH96" s="25"/>
      <c r="AI96" s="25"/>
      <c r="AJ96" s="25"/>
      <c r="AK96" s="25"/>
    </row>
    <row r="97" spans="1:37" x14ac:dyDescent="0.25">
      <c r="A97" s="18" t="str">
        <f t="shared" si="1"/>
        <v/>
      </c>
      <c r="B97" s="25"/>
      <c r="C97" s="25"/>
      <c r="D97" s="25"/>
      <c r="E97" s="25"/>
      <c r="F97" s="25"/>
      <c r="G97" s="25"/>
      <c r="H97" s="37"/>
      <c r="I97" s="25"/>
      <c r="J97" s="38"/>
      <c r="K97" s="40"/>
      <c r="S97" s="25"/>
      <c r="T97" s="25" t="str">
        <f>IFERROR(IF(ISBLANK(S97),"",INDEX(Gen_Vessels!$A$3:$C$500,MATCH(InspectionSite!$S97,Gen_Vessels!$C$3:$C$500,0),1)),"")</f>
        <v/>
      </c>
      <c r="U97" s="25"/>
      <c r="V97" s="25"/>
      <c r="W97" s="25" t="str">
        <f>IFERROR(IF(ISBLANK(V97),"",INDEX(Gen_Vessels!$A$3:$C$500,MATCH(InspectionSite!$V97,Gen_Vessels!$C$3:$C$500,0),1)),"")</f>
        <v/>
      </c>
      <c r="X97" s="25"/>
      <c r="Y97" s="25"/>
      <c r="Z97" s="25"/>
      <c r="AA97" s="25"/>
      <c r="AB97" s="25"/>
      <c r="AC97" s="25"/>
      <c r="AE97" s="25"/>
      <c r="AF97" s="49"/>
      <c r="AG97" s="25"/>
      <c r="AH97" s="25"/>
      <c r="AI97" s="25"/>
      <c r="AJ97" s="25"/>
      <c r="AK97" s="25"/>
    </row>
    <row r="98" spans="1:37" x14ac:dyDescent="0.25">
      <c r="A98" s="18" t="str">
        <f t="shared" si="1"/>
        <v/>
      </c>
      <c r="B98" s="25"/>
      <c r="C98" s="25"/>
      <c r="D98" s="25"/>
      <c r="E98" s="25"/>
      <c r="F98" s="25"/>
      <c r="G98" s="25"/>
      <c r="H98" s="37"/>
      <c r="I98" s="25"/>
      <c r="J98" s="38"/>
      <c r="K98" s="40"/>
      <c r="S98" s="25"/>
      <c r="T98" s="25" t="str">
        <f>IFERROR(IF(ISBLANK(S98),"",INDEX(Gen_Vessels!$A$3:$C$500,MATCH(InspectionSite!$S98,Gen_Vessels!$C$3:$C$500,0),1)),"")</f>
        <v/>
      </c>
      <c r="U98" s="25"/>
      <c r="V98" s="25"/>
      <c r="W98" s="25" t="str">
        <f>IFERROR(IF(ISBLANK(V98),"",INDEX(Gen_Vessels!$A$3:$C$500,MATCH(InspectionSite!$V98,Gen_Vessels!$C$3:$C$500,0),1)),"")</f>
        <v/>
      </c>
      <c r="X98" s="25"/>
      <c r="Y98" s="25"/>
      <c r="Z98" s="25"/>
      <c r="AA98" s="25"/>
      <c r="AB98" s="25"/>
      <c r="AC98" s="25"/>
      <c r="AE98" s="25"/>
      <c r="AF98" s="49"/>
      <c r="AG98" s="25"/>
      <c r="AH98" s="25"/>
      <c r="AI98" s="25"/>
      <c r="AJ98" s="25"/>
      <c r="AK98" s="25"/>
    </row>
    <row r="99" spans="1:37" x14ac:dyDescent="0.25">
      <c r="A99" s="18" t="str">
        <f t="shared" si="1"/>
        <v/>
      </c>
      <c r="B99" s="25"/>
      <c r="C99" s="25"/>
      <c r="D99" s="25"/>
      <c r="E99" s="25"/>
      <c r="F99" s="25"/>
      <c r="G99" s="25"/>
      <c r="H99" s="37"/>
      <c r="I99" s="25"/>
      <c r="J99" s="38"/>
      <c r="K99" s="40"/>
      <c r="S99" s="25"/>
      <c r="T99" s="25" t="str">
        <f>IFERROR(IF(ISBLANK(S99),"",INDEX(Gen_Vessels!$A$3:$C$500,MATCH(InspectionSite!$S99,Gen_Vessels!$C$3:$C$500,0),1)),"")</f>
        <v/>
      </c>
      <c r="U99" s="25"/>
      <c r="V99" s="25"/>
      <c r="W99" s="25" t="str">
        <f>IFERROR(IF(ISBLANK(V99),"",INDEX(Gen_Vessels!$A$3:$C$500,MATCH(InspectionSite!$V99,Gen_Vessels!$C$3:$C$500,0),1)),"")</f>
        <v/>
      </c>
      <c r="X99" s="25"/>
      <c r="Y99" s="25"/>
      <c r="Z99" s="25"/>
      <c r="AA99" s="25"/>
      <c r="AB99" s="25"/>
      <c r="AC99" s="25"/>
      <c r="AE99" s="25"/>
      <c r="AF99" s="49"/>
      <c r="AG99" s="25"/>
      <c r="AH99" s="25"/>
      <c r="AI99" s="25"/>
      <c r="AJ99" s="25"/>
      <c r="AK99" s="25"/>
    </row>
    <row r="100" spans="1:37" x14ac:dyDescent="0.25">
      <c r="A100" s="18" t="str">
        <f t="shared" si="1"/>
        <v/>
      </c>
      <c r="B100" s="25"/>
      <c r="C100" s="25"/>
      <c r="D100" s="25"/>
      <c r="E100" s="25"/>
      <c r="F100" s="25"/>
      <c r="G100" s="25"/>
      <c r="H100" s="37"/>
      <c r="I100" s="25"/>
      <c r="J100" s="38"/>
      <c r="K100" s="40"/>
      <c r="S100" s="25"/>
      <c r="T100" s="25" t="str">
        <f>IFERROR(IF(ISBLANK(S100),"",INDEX(Gen_Vessels!$A$3:$C$500,MATCH(InspectionSite!$S100,Gen_Vessels!$C$3:$C$500,0),1)),"")</f>
        <v/>
      </c>
      <c r="U100" s="25"/>
      <c r="V100" s="25"/>
      <c r="W100" s="25" t="str">
        <f>IFERROR(IF(ISBLANK(V100),"",INDEX(Gen_Vessels!$A$3:$C$500,MATCH(InspectionSite!$V100,Gen_Vessels!$C$3:$C$500,0),1)),"")</f>
        <v/>
      </c>
      <c r="X100" s="25"/>
      <c r="Y100" s="25"/>
      <c r="Z100" s="25"/>
      <c r="AA100" s="25"/>
      <c r="AB100" s="25"/>
      <c r="AC100" s="25"/>
      <c r="AE100" s="25"/>
      <c r="AF100" s="49"/>
      <c r="AG100" s="25"/>
      <c r="AH100" s="25"/>
      <c r="AI100" s="25"/>
      <c r="AJ100" s="25"/>
      <c r="AK100" s="25"/>
    </row>
    <row r="101" spans="1:37" x14ac:dyDescent="0.25">
      <c r="A101" s="18" t="str">
        <f t="shared" si="1"/>
        <v/>
      </c>
      <c r="B101" s="25"/>
      <c r="C101" s="25"/>
      <c r="D101" s="25"/>
      <c r="E101" s="25"/>
      <c r="F101" s="25"/>
      <c r="G101" s="25"/>
      <c r="H101" s="37"/>
      <c r="I101" s="25"/>
      <c r="J101" s="38"/>
      <c r="K101" s="40"/>
      <c r="S101" s="25"/>
      <c r="T101" s="25" t="str">
        <f>IFERROR(IF(ISBLANK(S101),"",INDEX(Gen_Vessels!$A$3:$C$500,MATCH(InspectionSite!$S101,Gen_Vessels!$C$3:$C$500,0),1)),"")</f>
        <v/>
      </c>
      <c r="U101" s="25"/>
      <c r="V101" s="25"/>
      <c r="W101" s="25" t="str">
        <f>IFERROR(IF(ISBLANK(V101),"",INDEX(Gen_Vessels!$A$3:$C$500,MATCH(InspectionSite!$V101,Gen_Vessels!$C$3:$C$500,0),1)),"")</f>
        <v/>
      </c>
      <c r="X101" s="25"/>
      <c r="Y101" s="25"/>
      <c r="Z101" s="25"/>
      <c r="AA101" s="25"/>
      <c r="AB101" s="25"/>
      <c r="AC101" s="25"/>
      <c r="AE101" s="25"/>
      <c r="AF101" s="49"/>
      <c r="AG101" s="25"/>
      <c r="AH101" s="25"/>
      <c r="AI101" s="25"/>
      <c r="AJ101" s="25"/>
      <c r="AK101" s="25"/>
    </row>
    <row r="102" spans="1:37" x14ac:dyDescent="0.25">
      <c r="A102" s="18" t="str">
        <f t="shared" si="1"/>
        <v/>
      </c>
      <c r="B102" s="25"/>
      <c r="C102" s="25"/>
      <c r="D102" s="25"/>
      <c r="E102" s="25"/>
      <c r="F102" s="25"/>
      <c r="G102" s="25"/>
      <c r="H102" s="37"/>
      <c r="I102" s="25"/>
      <c r="J102" s="38"/>
      <c r="K102" s="40"/>
      <c r="S102" s="25"/>
      <c r="T102" s="25" t="str">
        <f>IFERROR(IF(ISBLANK(S102),"",INDEX(Gen_Vessels!$A$3:$C$500,MATCH(InspectionSite!$S102,Gen_Vessels!$C$3:$C$500,0),1)),"")</f>
        <v/>
      </c>
      <c r="U102" s="25"/>
      <c r="V102" s="25"/>
      <c r="W102" s="25" t="str">
        <f>IFERROR(IF(ISBLANK(V102),"",INDEX(Gen_Vessels!$A$3:$C$500,MATCH(InspectionSite!$V102,Gen_Vessels!$C$3:$C$500,0),1)),"")</f>
        <v/>
      </c>
      <c r="X102" s="25"/>
      <c r="Y102" s="25"/>
      <c r="Z102" s="25"/>
      <c r="AA102" s="25"/>
      <c r="AB102" s="25"/>
      <c r="AC102" s="25"/>
      <c r="AE102" s="25"/>
      <c r="AF102" s="49"/>
      <c r="AG102" s="25"/>
      <c r="AH102" s="25"/>
      <c r="AI102" s="25"/>
      <c r="AJ102" s="25"/>
      <c r="AK102" s="25"/>
    </row>
    <row r="103" spans="1:37" x14ac:dyDescent="0.25">
      <c r="A103" s="18" t="str">
        <f t="shared" si="1"/>
        <v/>
      </c>
      <c r="B103" s="25"/>
      <c r="C103" s="25"/>
      <c r="D103" s="25"/>
      <c r="E103" s="25"/>
      <c r="F103" s="25"/>
      <c r="G103" s="25"/>
      <c r="H103" s="37"/>
      <c r="I103" s="25"/>
      <c r="J103" s="38"/>
      <c r="K103" s="40"/>
      <c r="S103" s="25"/>
      <c r="T103" s="25" t="str">
        <f>IFERROR(IF(ISBLANK(S103),"",INDEX(Gen_Vessels!$A$3:$C$500,MATCH(InspectionSite!$S103,Gen_Vessels!$C$3:$C$500,0),1)),"")</f>
        <v/>
      </c>
      <c r="U103" s="25"/>
      <c r="V103" s="25"/>
      <c r="W103" s="25" t="str">
        <f>IFERROR(IF(ISBLANK(V103),"",INDEX(Gen_Vessels!$A$3:$C$500,MATCH(InspectionSite!$V103,Gen_Vessels!$C$3:$C$500,0),1)),"")</f>
        <v/>
      </c>
      <c r="X103" s="25"/>
      <c r="Y103" s="25"/>
      <c r="Z103" s="25"/>
      <c r="AA103" s="25"/>
      <c r="AB103" s="25"/>
      <c r="AC103" s="25"/>
      <c r="AE103" s="25"/>
      <c r="AF103" s="49"/>
      <c r="AG103" s="25"/>
      <c r="AH103" s="25"/>
      <c r="AI103" s="25"/>
      <c r="AJ103" s="25"/>
      <c r="AK103" s="25"/>
    </row>
    <row r="104" spans="1:37" x14ac:dyDescent="0.25">
      <c r="A104" s="18" t="str">
        <f t="shared" si="1"/>
        <v/>
      </c>
      <c r="B104" s="25"/>
      <c r="C104" s="25"/>
      <c r="D104" s="25"/>
      <c r="E104" s="25"/>
      <c r="F104" s="25"/>
      <c r="G104" s="25"/>
      <c r="H104" s="37"/>
      <c r="I104" s="25"/>
      <c r="J104" s="38"/>
      <c r="K104" s="40"/>
      <c r="S104" s="25"/>
      <c r="T104" s="25" t="str">
        <f>IFERROR(IF(ISBLANK(S104),"",INDEX(Gen_Vessels!$A$3:$C$500,MATCH(InspectionSite!$S104,Gen_Vessels!$C$3:$C$500,0),1)),"")</f>
        <v/>
      </c>
      <c r="U104" s="25"/>
      <c r="V104" s="25"/>
      <c r="W104" s="25" t="str">
        <f>IFERROR(IF(ISBLANK(V104),"",INDEX(Gen_Vessels!$A$3:$C$500,MATCH(InspectionSite!$V104,Gen_Vessels!$C$3:$C$500,0),1)),"")</f>
        <v/>
      </c>
      <c r="X104" s="25"/>
      <c r="Y104" s="25"/>
      <c r="Z104" s="25"/>
      <c r="AA104" s="25"/>
      <c r="AB104" s="25"/>
      <c r="AC104" s="25"/>
      <c r="AE104" s="25"/>
      <c r="AF104" s="49"/>
      <c r="AG104" s="25"/>
      <c r="AH104" s="25"/>
      <c r="AI104" s="25"/>
      <c r="AJ104" s="25"/>
      <c r="AK104" s="25"/>
    </row>
    <row r="105" spans="1:37" x14ac:dyDescent="0.25">
      <c r="A105" s="18" t="str">
        <f t="shared" si="1"/>
        <v/>
      </c>
      <c r="B105" s="25"/>
      <c r="C105" s="25"/>
      <c r="D105" s="25"/>
      <c r="E105" s="25"/>
      <c r="F105" s="25"/>
      <c r="G105" s="25"/>
      <c r="H105" s="37"/>
      <c r="I105" s="25"/>
      <c r="J105" s="38"/>
      <c r="K105" s="40"/>
      <c r="S105" s="25"/>
      <c r="T105" s="25" t="str">
        <f>IFERROR(IF(ISBLANK(S105),"",INDEX(Gen_Vessels!$A$3:$C$500,MATCH(InspectionSite!$S105,Gen_Vessels!$C$3:$C$500,0),1)),"")</f>
        <v/>
      </c>
      <c r="U105" s="25"/>
      <c r="V105" s="25"/>
      <c r="W105" s="25" t="str">
        <f>IFERROR(IF(ISBLANK(V105),"",INDEX(Gen_Vessels!$A$3:$C$500,MATCH(InspectionSite!$V105,Gen_Vessels!$C$3:$C$500,0),1)),"")</f>
        <v/>
      </c>
      <c r="X105" s="25"/>
      <c r="Y105" s="25"/>
      <c r="Z105" s="25"/>
      <c r="AA105" s="25"/>
      <c r="AB105" s="25"/>
      <c r="AC105" s="25"/>
      <c r="AE105" s="25"/>
      <c r="AF105" s="49"/>
      <c r="AG105" s="25"/>
      <c r="AH105" s="25"/>
      <c r="AI105" s="25"/>
      <c r="AJ105" s="25"/>
      <c r="AK105" s="25"/>
    </row>
    <row r="106" spans="1:37" x14ac:dyDescent="0.25">
      <c r="A106" s="18" t="str">
        <f t="shared" si="1"/>
        <v/>
      </c>
      <c r="B106" s="25"/>
      <c r="C106" s="25"/>
      <c r="D106" s="25"/>
      <c r="E106" s="25"/>
      <c r="F106" s="25"/>
      <c r="G106" s="25"/>
      <c r="H106" s="37"/>
      <c r="I106" s="25"/>
      <c r="J106" s="38"/>
      <c r="K106" s="40"/>
      <c r="S106" s="25"/>
      <c r="T106" s="25" t="str">
        <f>IFERROR(IF(ISBLANK(S106),"",INDEX(Gen_Vessels!$A$3:$C$500,MATCH(InspectionSite!$S106,Gen_Vessels!$C$3:$C$500,0),1)),"")</f>
        <v/>
      </c>
      <c r="U106" s="25"/>
      <c r="V106" s="25"/>
      <c r="W106" s="25" t="str">
        <f>IFERROR(IF(ISBLANK(V106),"",INDEX(Gen_Vessels!$A$3:$C$500,MATCH(InspectionSite!$V106,Gen_Vessels!$C$3:$C$500,0),1)),"")</f>
        <v/>
      </c>
      <c r="X106" s="25"/>
      <c r="Y106" s="25"/>
      <c r="Z106" s="25"/>
      <c r="AA106" s="25"/>
      <c r="AB106" s="25"/>
      <c r="AC106" s="25"/>
      <c r="AE106" s="25"/>
      <c r="AF106" s="49"/>
      <c r="AG106" s="25"/>
      <c r="AH106" s="25"/>
      <c r="AI106" s="25"/>
      <c r="AJ106" s="25"/>
      <c r="AK106" s="25"/>
    </row>
    <row r="107" spans="1:37" x14ac:dyDescent="0.25">
      <c r="A107" s="18" t="str">
        <f t="shared" si="1"/>
        <v/>
      </c>
      <c r="B107" s="25"/>
      <c r="C107" s="25"/>
      <c r="D107" s="25"/>
      <c r="E107" s="25"/>
      <c r="F107" s="25"/>
      <c r="G107" s="25"/>
      <c r="H107" s="37"/>
      <c r="I107" s="25"/>
      <c r="J107" s="38"/>
      <c r="K107" s="40"/>
      <c r="S107" s="25"/>
      <c r="T107" s="25" t="str">
        <f>IFERROR(IF(ISBLANK(S107),"",INDEX(Gen_Vessels!$A$3:$C$500,MATCH(InspectionSite!$S107,Gen_Vessels!$C$3:$C$500,0),1)),"")</f>
        <v/>
      </c>
      <c r="U107" s="25"/>
      <c r="V107" s="25"/>
      <c r="W107" s="25" t="str">
        <f>IFERROR(IF(ISBLANK(V107),"",INDEX(Gen_Vessels!$A$3:$C$500,MATCH(InspectionSite!$V107,Gen_Vessels!$C$3:$C$500,0),1)),"")</f>
        <v/>
      </c>
      <c r="X107" s="25"/>
      <c r="Y107" s="25"/>
      <c r="Z107" s="25"/>
      <c r="AA107" s="25"/>
      <c r="AB107" s="25"/>
      <c r="AC107" s="25"/>
      <c r="AE107" s="25"/>
      <c r="AF107" s="49"/>
      <c r="AG107" s="25"/>
      <c r="AH107" s="25"/>
      <c r="AI107" s="25"/>
      <c r="AJ107" s="25"/>
      <c r="AK107" s="25"/>
    </row>
    <row r="108" spans="1:37" x14ac:dyDescent="0.25">
      <c r="A108" s="18" t="str">
        <f t="shared" si="1"/>
        <v/>
      </c>
      <c r="B108" s="25"/>
      <c r="C108" s="25"/>
      <c r="D108" s="25"/>
      <c r="E108" s="25"/>
      <c r="F108" s="25"/>
      <c r="G108" s="25"/>
      <c r="H108" s="37"/>
      <c r="I108" s="25"/>
      <c r="J108" s="38"/>
      <c r="K108" s="40"/>
      <c r="S108" s="25"/>
      <c r="T108" s="25" t="str">
        <f>IFERROR(IF(ISBLANK(S108),"",INDEX(Gen_Vessels!$A$3:$C$500,MATCH(InspectionSite!$S108,Gen_Vessels!$C$3:$C$500,0),1)),"")</f>
        <v/>
      </c>
      <c r="U108" s="25"/>
      <c r="V108" s="25"/>
      <c r="W108" s="25" t="str">
        <f>IFERROR(IF(ISBLANK(V108),"",INDEX(Gen_Vessels!$A$3:$C$500,MATCH(InspectionSite!$V108,Gen_Vessels!$C$3:$C$500,0),1)),"")</f>
        <v/>
      </c>
      <c r="X108" s="25"/>
      <c r="Y108" s="25"/>
      <c r="Z108" s="25"/>
      <c r="AA108" s="25"/>
      <c r="AB108" s="25"/>
      <c r="AC108" s="25"/>
      <c r="AE108" s="25"/>
      <c r="AF108" s="49"/>
      <c r="AG108" s="25"/>
      <c r="AH108" s="25"/>
      <c r="AI108" s="25"/>
      <c r="AJ108" s="25"/>
      <c r="AK108" s="25"/>
    </row>
    <row r="109" spans="1:37" x14ac:dyDescent="0.25">
      <c r="A109" s="18" t="str">
        <f t="shared" si="1"/>
        <v/>
      </c>
      <c r="B109" s="25"/>
      <c r="C109" s="25"/>
      <c r="D109" s="25"/>
      <c r="E109" s="25"/>
      <c r="F109" s="25"/>
      <c r="G109" s="25"/>
      <c r="H109" s="37"/>
      <c r="I109" s="25"/>
      <c r="J109" s="38"/>
      <c r="K109" s="40"/>
      <c r="S109" s="25"/>
      <c r="T109" s="25" t="str">
        <f>IFERROR(IF(ISBLANK(S109),"",INDEX(Gen_Vessels!$A$3:$C$500,MATCH(InspectionSite!$S109,Gen_Vessels!$C$3:$C$500,0),1)),"")</f>
        <v/>
      </c>
      <c r="U109" s="25"/>
      <c r="V109" s="25"/>
      <c r="W109" s="25" t="str">
        <f>IFERROR(IF(ISBLANK(V109),"",INDEX(Gen_Vessels!$A$3:$C$500,MATCH(InspectionSite!$V109,Gen_Vessels!$C$3:$C$500,0),1)),"")</f>
        <v/>
      </c>
      <c r="X109" s="25"/>
      <c r="Y109" s="25"/>
      <c r="Z109" s="25"/>
      <c r="AA109" s="25"/>
      <c r="AB109" s="25"/>
      <c r="AC109" s="25"/>
      <c r="AE109" s="25"/>
      <c r="AF109" s="49"/>
      <c r="AG109" s="25"/>
      <c r="AH109" s="25"/>
      <c r="AI109" s="25"/>
      <c r="AJ109" s="25"/>
      <c r="AK109" s="25"/>
    </row>
    <row r="110" spans="1:37" x14ac:dyDescent="0.25">
      <c r="A110" s="18" t="str">
        <f t="shared" si="1"/>
        <v/>
      </c>
      <c r="B110" s="25"/>
      <c r="C110" s="25"/>
      <c r="D110" s="25"/>
      <c r="E110" s="25"/>
      <c r="F110" s="25"/>
      <c r="G110" s="25"/>
      <c r="H110" s="37"/>
      <c r="I110" s="25"/>
      <c r="J110" s="38"/>
      <c r="K110" s="40"/>
      <c r="S110" s="25"/>
      <c r="T110" s="25" t="str">
        <f>IFERROR(IF(ISBLANK(S110),"",INDEX(Gen_Vessels!$A$3:$C$500,MATCH(InspectionSite!$S110,Gen_Vessels!$C$3:$C$500,0),1)),"")</f>
        <v/>
      </c>
      <c r="U110" s="25"/>
      <c r="V110" s="25"/>
      <c r="W110" s="25" t="str">
        <f>IFERROR(IF(ISBLANK(V110),"",INDEX(Gen_Vessels!$A$3:$C$500,MATCH(InspectionSite!$V110,Gen_Vessels!$C$3:$C$500,0),1)),"")</f>
        <v/>
      </c>
      <c r="X110" s="25"/>
      <c r="Y110" s="25"/>
      <c r="Z110" s="25"/>
      <c r="AA110" s="25"/>
      <c r="AB110" s="25"/>
      <c r="AC110" s="25"/>
      <c r="AE110" s="25"/>
      <c r="AF110" s="49"/>
      <c r="AG110" s="25"/>
      <c r="AH110" s="25"/>
      <c r="AI110" s="25"/>
      <c r="AJ110" s="25"/>
      <c r="AK110" s="25"/>
    </row>
    <row r="111" spans="1:37" x14ac:dyDescent="0.25">
      <c r="A111" s="18" t="str">
        <f t="shared" si="1"/>
        <v/>
      </c>
      <c r="B111" s="25"/>
      <c r="C111" s="25"/>
      <c r="D111" s="25"/>
      <c r="E111" s="25"/>
      <c r="F111" s="25"/>
      <c r="G111" s="25"/>
      <c r="H111" s="37"/>
      <c r="I111" s="25"/>
      <c r="J111" s="38"/>
      <c r="K111" s="40"/>
      <c r="S111" s="25"/>
      <c r="T111" s="25" t="str">
        <f>IFERROR(IF(ISBLANK(S111),"",INDEX(Gen_Vessels!$A$3:$C$500,MATCH(InspectionSite!$S111,Gen_Vessels!$C$3:$C$500,0),1)),"")</f>
        <v/>
      </c>
      <c r="U111" s="25"/>
      <c r="V111" s="25"/>
      <c r="W111" s="25" t="str">
        <f>IFERROR(IF(ISBLANK(V111),"",INDEX(Gen_Vessels!$A$3:$C$500,MATCH(InspectionSite!$V111,Gen_Vessels!$C$3:$C$500,0),1)),"")</f>
        <v/>
      </c>
      <c r="X111" s="25"/>
      <c r="Y111" s="25"/>
      <c r="Z111" s="25"/>
      <c r="AA111" s="25"/>
      <c r="AB111" s="25"/>
      <c r="AC111" s="25"/>
      <c r="AE111" s="25"/>
      <c r="AF111" s="49"/>
      <c r="AG111" s="25"/>
      <c r="AH111" s="25"/>
      <c r="AI111" s="25"/>
      <c r="AJ111" s="25"/>
      <c r="AK111" s="25"/>
    </row>
    <row r="112" spans="1:37" x14ac:dyDescent="0.25">
      <c r="A112" s="18" t="str">
        <f t="shared" si="1"/>
        <v/>
      </c>
      <c r="B112" s="25"/>
      <c r="C112" s="25"/>
      <c r="D112" s="25"/>
      <c r="E112" s="25"/>
      <c r="F112" s="25"/>
      <c r="G112" s="25"/>
      <c r="H112" s="37"/>
      <c r="I112" s="25"/>
      <c r="J112" s="38"/>
      <c r="K112" s="40"/>
      <c r="S112" s="25"/>
      <c r="T112" s="25" t="str">
        <f>IFERROR(IF(ISBLANK(S112),"",INDEX(Gen_Vessels!$A$3:$C$500,MATCH(InspectionSite!$S112,Gen_Vessels!$C$3:$C$500,0),1)),"")</f>
        <v/>
      </c>
      <c r="U112" s="25"/>
      <c r="V112" s="25"/>
      <c r="W112" s="25" t="str">
        <f>IFERROR(IF(ISBLANK(V112),"",INDEX(Gen_Vessels!$A$3:$C$500,MATCH(InspectionSite!$V112,Gen_Vessels!$C$3:$C$500,0),1)),"")</f>
        <v/>
      </c>
      <c r="X112" s="25"/>
      <c r="Y112" s="25"/>
      <c r="Z112" s="25"/>
      <c r="AA112" s="25"/>
      <c r="AB112" s="25"/>
      <c r="AC112" s="25"/>
      <c r="AE112" s="25"/>
      <c r="AF112" s="49"/>
      <c r="AG112" s="25"/>
      <c r="AH112" s="25"/>
      <c r="AI112" s="25"/>
      <c r="AJ112" s="25"/>
      <c r="AK112" s="25"/>
    </row>
    <row r="113" spans="1:37" x14ac:dyDescent="0.25">
      <c r="A113" s="18" t="str">
        <f t="shared" si="1"/>
        <v/>
      </c>
      <c r="B113" s="25"/>
      <c r="C113" s="25"/>
      <c r="D113" s="25"/>
      <c r="E113" s="25"/>
      <c r="F113" s="25"/>
      <c r="G113" s="25"/>
      <c r="H113" s="37"/>
      <c r="I113" s="25"/>
      <c r="J113" s="38"/>
      <c r="K113" s="40"/>
      <c r="S113" s="25"/>
      <c r="T113" s="25" t="str">
        <f>IFERROR(IF(ISBLANK(S113),"",INDEX(Gen_Vessels!$A$3:$C$500,MATCH(InspectionSite!$S113,Gen_Vessels!$C$3:$C$500,0),1)),"")</f>
        <v/>
      </c>
      <c r="U113" s="25"/>
      <c r="V113" s="25"/>
      <c r="W113" s="25" t="str">
        <f>IFERROR(IF(ISBLANK(V113),"",INDEX(Gen_Vessels!$A$3:$C$500,MATCH(InspectionSite!$V113,Gen_Vessels!$C$3:$C$500,0),1)),"")</f>
        <v/>
      </c>
      <c r="X113" s="25"/>
      <c r="Y113" s="25"/>
      <c r="Z113" s="25"/>
      <c r="AA113" s="25"/>
      <c r="AB113" s="25"/>
      <c r="AC113" s="25"/>
      <c r="AE113" s="25"/>
      <c r="AF113" s="49"/>
      <c r="AG113" s="25"/>
      <c r="AH113" s="25"/>
      <c r="AI113" s="25"/>
      <c r="AJ113" s="25"/>
      <c r="AK113" s="25"/>
    </row>
    <row r="114" spans="1:37" x14ac:dyDescent="0.25">
      <c r="A114" s="18" t="str">
        <f t="shared" si="1"/>
        <v/>
      </c>
      <c r="B114" s="25"/>
      <c r="C114" s="25"/>
      <c r="D114" s="25"/>
      <c r="E114" s="25"/>
      <c r="F114" s="25"/>
      <c r="G114" s="25"/>
      <c r="H114" s="37"/>
      <c r="I114" s="25"/>
      <c r="J114" s="38"/>
      <c r="K114" s="40"/>
      <c r="S114" s="25"/>
      <c r="T114" s="25" t="str">
        <f>IFERROR(IF(ISBLANK(S114),"",INDEX(Gen_Vessels!$A$3:$C$500,MATCH(InspectionSite!$S114,Gen_Vessels!$C$3:$C$500,0),1)),"")</f>
        <v/>
      </c>
      <c r="U114" s="25"/>
      <c r="V114" s="25"/>
      <c r="W114" s="25" t="str">
        <f>IFERROR(IF(ISBLANK(V114),"",INDEX(Gen_Vessels!$A$3:$C$500,MATCH(InspectionSite!$V114,Gen_Vessels!$C$3:$C$500,0),1)),"")</f>
        <v/>
      </c>
      <c r="X114" s="25"/>
      <c r="Y114" s="25"/>
      <c r="Z114" s="25"/>
      <c r="AA114" s="25"/>
      <c r="AB114" s="25"/>
      <c r="AC114" s="25"/>
      <c r="AE114" s="25"/>
      <c r="AF114" s="49"/>
      <c r="AG114" s="25"/>
      <c r="AH114" s="25"/>
      <c r="AI114" s="25"/>
      <c r="AJ114" s="25"/>
      <c r="AK114" s="25"/>
    </row>
    <row r="115" spans="1:37" x14ac:dyDescent="0.25">
      <c r="A115" s="18" t="str">
        <f t="shared" si="1"/>
        <v/>
      </c>
      <c r="B115" s="25"/>
      <c r="C115" s="25"/>
      <c r="D115" s="25"/>
      <c r="E115" s="25"/>
      <c r="F115" s="25"/>
      <c r="G115" s="25"/>
      <c r="H115" s="37"/>
      <c r="I115" s="25"/>
      <c r="J115" s="38"/>
      <c r="K115" s="40"/>
      <c r="S115" s="25"/>
      <c r="T115" s="25" t="str">
        <f>IFERROR(IF(ISBLANK(S115),"",INDEX(Gen_Vessels!$A$3:$C$500,MATCH(InspectionSite!$S115,Gen_Vessels!$C$3:$C$500,0),1)),"")</f>
        <v/>
      </c>
      <c r="U115" s="25"/>
      <c r="V115" s="25"/>
      <c r="W115" s="25" t="str">
        <f>IFERROR(IF(ISBLANK(V115),"",INDEX(Gen_Vessels!$A$3:$C$500,MATCH(InspectionSite!$V115,Gen_Vessels!$C$3:$C$500,0),1)),"")</f>
        <v/>
      </c>
      <c r="X115" s="25"/>
      <c r="Y115" s="25"/>
      <c r="Z115" s="25"/>
      <c r="AA115" s="25"/>
      <c r="AB115" s="25"/>
      <c r="AC115" s="25"/>
      <c r="AE115" s="25"/>
      <c r="AF115" s="49"/>
      <c r="AG115" s="25"/>
      <c r="AH115" s="25"/>
      <c r="AI115" s="25"/>
      <c r="AJ115" s="25"/>
      <c r="AK115" s="25"/>
    </row>
    <row r="116" spans="1:37" x14ac:dyDescent="0.25">
      <c r="A116" s="18" t="str">
        <f t="shared" si="1"/>
        <v/>
      </c>
      <c r="B116" s="25"/>
      <c r="C116" s="25"/>
      <c r="D116" s="25"/>
      <c r="E116" s="25"/>
      <c r="F116" s="25"/>
      <c r="G116" s="25"/>
      <c r="H116" s="37"/>
      <c r="I116" s="25"/>
      <c r="J116" s="38"/>
      <c r="K116" s="40"/>
      <c r="S116" s="25"/>
      <c r="T116" s="25" t="str">
        <f>IFERROR(IF(ISBLANK(S116),"",INDEX(Gen_Vessels!$A$3:$C$500,MATCH(InspectionSite!$S116,Gen_Vessels!$C$3:$C$500,0),1)),"")</f>
        <v/>
      </c>
      <c r="U116" s="25"/>
      <c r="V116" s="25"/>
      <c r="W116" s="25" t="str">
        <f>IFERROR(IF(ISBLANK(V116),"",INDEX(Gen_Vessels!$A$3:$C$500,MATCH(InspectionSite!$V116,Gen_Vessels!$C$3:$C$500,0),1)),"")</f>
        <v/>
      </c>
      <c r="X116" s="25"/>
      <c r="Y116" s="25"/>
      <c r="Z116" s="25"/>
      <c r="AA116" s="25"/>
      <c r="AB116" s="25"/>
      <c r="AC116" s="25"/>
      <c r="AE116" s="25"/>
      <c r="AF116" s="49"/>
      <c r="AG116" s="25"/>
      <c r="AH116" s="25"/>
      <c r="AI116" s="25"/>
      <c r="AJ116" s="25"/>
      <c r="AK116" s="25"/>
    </row>
    <row r="117" spans="1:37" x14ac:dyDescent="0.25">
      <c r="A117" s="18" t="str">
        <f t="shared" si="1"/>
        <v/>
      </c>
      <c r="B117" s="25"/>
      <c r="C117" s="25"/>
      <c r="D117" s="25"/>
      <c r="E117" s="25"/>
      <c r="F117" s="25"/>
      <c r="G117" s="25"/>
      <c r="H117" s="37"/>
      <c r="I117" s="25"/>
      <c r="J117" s="38"/>
      <c r="K117" s="40"/>
      <c r="S117" s="25"/>
      <c r="T117" s="25" t="str">
        <f>IFERROR(IF(ISBLANK(S117),"",INDEX(Gen_Vessels!$A$3:$C$500,MATCH(InspectionSite!$S117,Gen_Vessels!$C$3:$C$500,0),1)),"")</f>
        <v/>
      </c>
      <c r="U117" s="25"/>
      <c r="V117" s="25"/>
      <c r="W117" s="25" t="str">
        <f>IFERROR(IF(ISBLANK(V117),"",INDEX(Gen_Vessels!$A$3:$C$500,MATCH(InspectionSite!$V117,Gen_Vessels!$C$3:$C$500,0),1)),"")</f>
        <v/>
      </c>
      <c r="X117" s="25"/>
      <c r="Y117" s="25"/>
      <c r="Z117" s="25"/>
      <c r="AA117" s="25"/>
      <c r="AB117" s="25"/>
      <c r="AC117" s="25"/>
      <c r="AE117" s="25"/>
      <c r="AF117" s="49"/>
      <c r="AG117" s="25"/>
      <c r="AH117" s="25"/>
      <c r="AI117" s="25"/>
      <c r="AJ117" s="25"/>
      <c r="AK117" s="25"/>
    </row>
    <row r="118" spans="1:37" x14ac:dyDescent="0.25">
      <c r="A118" s="18" t="str">
        <f t="shared" si="1"/>
        <v/>
      </c>
      <c r="B118" s="25"/>
      <c r="C118" s="25"/>
      <c r="D118" s="25"/>
      <c r="E118" s="25"/>
      <c r="F118" s="25"/>
      <c r="G118" s="25"/>
      <c r="H118" s="37"/>
      <c r="I118" s="25"/>
      <c r="J118" s="38"/>
      <c r="K118" s="40"/>
      <c r="S118" s="25"/>
      <c r="T118" s="25" t="str">
        <f>IFERROR(IF(ISBLANK(S118),"",INDEX(Gen_Vessels!$A$3:$C$500,MATCH(InspectionSite!$S118,Gen_Vessels!$C$3:$C$500,0),1)),"")</f>
        <v/>
      </c>
      <c r="U118" s="25"/>
      <c r="V118" s="25"/>
      <c r="W118" s="25" t="str">
        <f>IFERROR(IF(ISBLANK(V118),"",INDEX(Gen_Vessels!$A$3:$C$500,MATCH(InspectionSite!$V118,Gen_Vessels!$C$3:$C$500,0),1)),"")</f>
        <v/>
      </c>
      <c r="X118" s="25"/>
      <c r="Y118" s="25"/>
      <c r="Z118" s="25"/>
      <c r="AA118" s="25"/>
      <c r="AB118" s="25"/>
      <c r="AC118" s="25"/>
      <c r="AE118" s="25"/>
      <c r="AF118" s="49"/>
      <c r="AG118" s="25"/>
      <c r="AH118" s="25"/>
      <c r="AI118" s="25"/>
      <c r="AJ118" s="25"/>
      <c r="AK118" s="25"/>
    </row>
    <row r="119" spans="1:37" x14ac:dyDescent="0.25">
      <c r="A119" s="18" t="str">
        <f t="shared" si="1"/>
        <v/>
      </c>
      <c r="B119" s="25"/>
      <c r="C119" s="25"/>
      <c r="D119" s="25"/>
      <c r="E119" s="25"/>
      <c r="F119" s="25"/>
      <c r="G119" s="25"/>
      <c r="H119" s="37"/>
      <c r="I119" s="25"/>
      <c r="J119" s="38"/>
      <c r="K119" s="40"/>
      <c r="S119" s="25"/>
      <c r="T119" s="25" t="str">
        <f>IFERROR(IF(ISBLANK(S119),"",INDEX(Gen_Vessels!$A$3:$C$500,MATCH(InspectionSite!$S119,Gen_Vessels!$C$3:$C$500,0),1)),"")</f>
        <v/>
      </c>
      <c r="U119" s="25"/>
      <c r="V119" s="25"/>
      <c r="W119" s="25" t="str">
        <f>IFERROR(IF(ISBLANK(V119),"",INDEX(Gen_Vessels!$A$3:$C$500,MATCH(InspectionSite!$V119,Gen_Vessels!$C$3:$C$500,0),1)),"")</f>
        <v/>
      </c>
      <c r="X119" s="25"/>
      <c r="Y119" s="25"/>
      <c r="Z119" s="25"/>
      <c r="AA119" s="25"/>
      <c r="AB119" s="25"/>
      <c r="AC119" s="25"/>
      <c r="AE119" s="25"/>
      <c r="AF119" s="49"/>
      <c r="AG119" s="25"/>
      <c r="AH119" s="25"/>
      <c r="AI119" s="25"/>
      <c r="AJ119" s="25"/>
      <c r="AK119" s="25"/>
    </row>
    <row r="120" spans="1:37" x14ac:dyDescent="0.25">
      <c r="A120" s="18" t="str">
        <f t="shared" si="1"/>
        <v/>
      </c>
      <c r="B120" s="25"/>
      <c r="C120" s="25"/>
      <c r="D120" s="25"/>
      <c r="E120" s="25"/>
      <c r="F120" s="25"/>
      <c r="G120" s="25"/>
      <c r="H120" s="37"/>
      <c r="I120" s="25"/>
      <c r="J120" s="38"/>
      <c r="K120" s="40"/>
      <c r="S120" s="25"/>
      <c r="T120" s="25" t="str">
        <f>IFERROR(IF(ISBLANK(S120),"",INDEX(Gen_Vessels!$A$3:$C$500,MATCH(InspectionSite!$S120,Gen_Vessels!$C$3:$C$500,0),1)),"")</f>
        <v/>
      </c>
      <c r="U120" s="25"/>
      <c r="V120" s="25"/>
      <c r="W120" s="25" t="str">
        <f>IFERROR(IF(ISBLANK(V120),"",INDEX(Gen_Vessels!$A$3:$C$500,MATCH(InspectionSite!$V120,Gen_Vessels!$C$3:$C$500,0),1)),"")</f>
        <v/>
      </c>
      <c r="X120" s="25"/>
      <c r="Y120" s="25"/>
      <c r="Z120" s="25"/>
      <c r="AA120" s="25"/>
      <c r="AB120" s="25"/>
      <c r="AC120" s="25"/>
      <c r="AE120" s="25"/>
      <c r="AF120" s="49"/>
      <c r="AG120" s="25"/>
      <c r="AH120" s="25"/>
      <c r="AI120" s="25"/>
      <c r="AJ120" s="25"/>
      <c r="AK120" s="25"/>
    </row>
    <row r="121" spans="1:37" x14ac:dyDescent="0.25">
      <c r="A121" s="18" t="str">
        <f t="shared" si="1"/>
        <v/>
      </c>
      <c r="B121" s="25"/>
      <c r="C121" s="25"/>
      <c r="D121" s="25"/>
      <c r="E121" s="25"/>
      <c r="F121" s="25"/>
      <c r="G121" s="25"/>
      <c r="H121" s="37"/>
      <c r="I121" s="25"/>
      <c r="J121" s="38"/>
      <c r="K121" s="40"/>
      <c r="S121" s="25"/>
      <c r="T121" s="25" t="str">
        <f>IFERROR(IF(ISBLANK(S121),"",INDEX(Gen_Vessels!$A$3:$C$500,MATCH(InspectionSite!$S121,Gen_Vessels!$C$3:$C$500,0),1)),"")</f>
        <v/>
      </c>
      <c r="U121" s="25"/>
      <c r="V121" s="25"/>
      <c r="W121" s="25" t="str">
        <f>IFERROR(IF(ISBLANK(V121),"",INDEX(Gen_Vessels!$A$3:$C$500,MATCH(InspectionSite!$V121,Gen_Vessels!$C$3:$C$500,0),1)),"")</f>
        <v/>
      </c>
      <c r="X121" s="25"/>
      <c r="Y121" s="25"/>
      <c r="Z121" s="25"/>
      <c r="AA121" s="25"/>
      <c r="AB121" s="25"/>
      <c r="AC121" s="25"/>
      <c r="AE121" s="25"/>
      <c r="AF121" s="49"/>
      <c r="AG121" s="25"/>
      <c r="AH121" s="25"/>
      <c r="AI121" s="25"/>
      <c r="AJ121" s="25"/>
      <c r="AK121" s="25"/>
    </row>
    <row r="122" spans="1:37" x14ac:dyDescent="0.25">
      <c r="A122" s="18" t="str">
        <f t="shared" si="1"/>
        <v/>
      </c>
      <c r="B122" s="25"/>
      <c r="C122" s="25"/>
      <c r="D122" s="25"/>
      <c r="E122" s="25"/>
      <c r="F122" s="25"/>
      <c r="G122" s="25"/>
      <c r="H122" s="37"/>
      <c r="I122" s="25"/>
      <c r="J122" s="38"/>
      <c r="K122" s="40"/>
      <c r="S122" s="25"/>
      <c r="T122" s="25" t="str">
        <f>IFERROR(IF(ISBLANK(S122),"",INDEX(Gen_Vessels!$A$3:$C$500,MATCH(InspectionSite!$S122,Gen_Vessels!$C$3:$C$500,0),1)),"")</f>
        <v/>
      </c>
      <c r="U122" s="25"/>
      <c r="V122" s="25"/>
      <c r="W122" s="25" t="str">
        <f>IFERROR(IF(ISBLANK(V122),"",INDEX(Gen_Vessels!$A$3:$C$500,MATCH(InspectionSite!$V122,Gen_Vessels!$C$3:$C$500,0),1)),"")</f>
        <v/>
      </c>
      <c r="X122" s="25"/>
      <c r="Y122" s="25"/>
      <c r="Z122" s="25"/>
      <c r="AA122" s="25"/>
      <c r="AB122" s="25"/>
      <c r="AC122" s="25"/>
      <c r="AE122" s="25"/>
      <c r="AF122" s="49"/>
      <c r="AG122" s="25"/>
      <c r="AH122" s="25"/>
      <c r="AI122" s="25"/>
      <c r="AJ122" s="25"/>
      <c r="AK122" s="25"/>
    </row>
    <row r="123" spans="1:37" x14ac:dyDescent="0.25">
      <c r="A123" s="18" t="str">
        <f t="shared" si="1"/>
        <v/>
      </c>
      <c r="B123" s="25"/>
      <c r="C123" s="25"/>
      <c r="D123" s="25"/>
      <c r="E123" s="25"/>
      <c r="F123" s="25"/>
      <c r="G123" s="25"/>
      <c r="H123" s="37"/>
      <c r="I123" s="25"/>
      <c r="J123" s="38"/>
      <c r="K123" s="40"/>
      <c r="S123" s="25"/>
      <c r="T123" s="25" t="str">
        <f>IFERROR(IF(ISBLANK(S123),"",INDEX(Gen_Vessels!$A$3:$C$500,MATCH(InspectionSite!$S123,Gen_Vessels!$C$3:$C$500,0),1)),"")</f>
        <v/>
      </c>
      <c r="U123" s="25"/>
      <c r="V123" s="25"/>
      <c r="W123" s="25" t="str">
        <f>IFERROR(IF(ISBLANK(V123),"",INDEX(Gen_Vessels!$A$3:$C$500,MATCH(InspectionSite!$V123,Gen_Vessels!$C$3:$C$500,0),1)),"")</f>
        <v/>
      </c>
      <c r="X123" s="25"/>
      <c r="Y123" s="25"/>
      <c r="Z123" s="25"/>
      <c r="AA123" s="25"/>
      <c r="AB123" s="25"/>
      <c r="AC123" s="25"/>
      <c r="AE123" s="25"/>
      <c r="AF123" s="49"/>
      <c r="AG123" s="25"/>
      <c r="AH123" s="25"/>
      <c r="AI123" s="25"/>
      <c r="AJ123" s="25"/>
      <c r="AK123" s="25"/>
    </row>
    <row r="124" spans="1:37" x14ac:dyDescent="0.25">
      <c r="A124" s="18" t="str">
        <f t="shared" si="1"/>
        <v/>
      </c>
      <c r="B124" s="25"/>
      <c r="C124" s="25"/>
      <c r="D124" s="25"/>
      <c r="E124" s="25"/>
      <c r="F124" s="25"/>
      <c r="G124" s="25"/>
      <c r="H124" s="37"/>
      <c r="I124" s="25"/>
      <c r="J124" s="38"/>
      <c r="K124" s="40"/>
      <c r="S124" s="25"/>
      <c r="T124" s="25" t="str">
        <f>IFERROR(IF(ISBLANK(S124),"",INDEX(Gen_Vessels!$A$3:$C$500,MATCH(InspectionSite!$S124,Gen_Vessels!$C$3:$C$500,0),1)),"")</f>
        <v/>
      </c>
      <c r="U124" s="25"/>
      <c r="V124" s="25"/>
      <c r="W124" s="25" t="str">
        <f>IFERROR(IF(ISBLANK(V124),"",INDEX(Gen_Vessels!$A$3:$C$500,MATCH(InspectionSite!$V124,Gen_Vessels!$C$3:$C$500,0),1)),"")</f>
        <v/>
      </c>
      <c r="X124" s="25"/>
      <c r="Y124" s="25"/>
      <c r="Z124" s="25"/>
      <c r="AA124" s="25"/>
      <c r="AB124" s="25"/>
      <c r="AC124" s="25"/>
      <c r="AE124" s="25"/>
      <c r="AF124" s="49"/>
      <c r="AG124" s="25"/>
      <c r="AH124" s="25"/>
      <c r="AI124" s="25"/>
      <c r="AJ124" s="25"/>
      <c r="AK124" s="25"/>
    </row>
    <row r="125" spans="1:37" x14ac:dyDescent="0.25">
      <c r="A125" s="18" t="str">
        <f t="shared" si="1"/>
        <v/>
      </c>
      <c r="B125" s="25"/>
      <c r="C125" s="25"/>
      <c r="D125" s="25"/>
      <c r="E125" s="25"/>
      <c r="F125" s="25"/>
      <c r="G125" s="25"/>
      <c r="H125" s="37"/>
      <c r="I125" s="25"/>
      <c r="J125" s="38"/>
      <c r="K125" s="40"/>
      <c r="S125" s="25"/>
      <c r="T125" s="25" t="str">
        <f>IFERROR(IF(ISBLANK(S125),"",INDEX(Gen_Vessels!$A$3:$C$500,MATCH(InspectionSite!$S125,Gen_Vessels!$C$3:$C$500,0),1)),"")</f>
        <v/>
      </c>
      <c r="U125" s="25"/>
      <c r="V125" s="25"/>
      <c r="W125" s="25" t="str">
        <f>IFERROR(IF(ISBLANK(V125),"",INDEX(Gen_Vessels!$A$3:$C$500,MATCH(InspectionSite!$V125,Gen_Vessels!$C$3:$C$500,0),1)),"")</f>
        <v/>
      </c>
      <c r="X125" s="25"/>
      <c r="Y125" s="25"/>
      <c r="Z125" s="25"/>
      <c r="AA125" s="25"/>
      <c r="AB125" s="25"/>
      <c r="AC125" s="25"/>
      <c r="AE125" s="25"/>
      <c r="AF125" s="49"/>
      <c r="AG125" s="25"/>
      <c r="AH125" s="25"/>
      <c r="AI125" s="25"/>
      <c r="AJ125" s="25"/>
      <c r="AK125" s="25"/>
    </row>
    <row r="126" spans="1:37" x14ac:dyDescent="0.25">
      <c r="A126" s="18" t="str">
        <f t="shared" si="1"/>
        <v/>
      </c>
      <c r="B126" s="25"/>
      <c r="C126" s="25"/>
      <c r="D126" s="25"/>
      <c r="E126" s="25"/>
      <c r="F126" s="25"/>
      <c r="G126" s="25"/>
      <c r="H126" s="37"/>
      <c r="I126" s="25"/>
      <c r="J126" s="38"/>
      <c r="K126" s="40"/>
      <c r="S126" s="25"/>
      <c r="T126" s="25" t="str">
        <f>IFERROR(IF(ISBLANK(S126),"",INDEX(Gen_Vessels!$A$3:$C$500,MATCH(InspectionSite!$S126,Gen_Vessels!$C$3:$C$500,0),1)),"")</f>
        <v/>
      </c>
      <c r="U126" s="25"/>
      <c r="V126" s="25"/>
      <c r="W126" s="25" t="str">
        <f>IFERROR(IF(ISBLANK(V126),"",INDEX(Gen_Vessels!$A$3:$C$500,MATCH(InspectionSite!$V126,Gen_Vessels!$C$3:$C$500,0),1)),"")</f>
        <v/>
      </c>
      <c r="X126" s="25"/>
      <c r="Y126" s="25"/>
      <c r="Z126" s="25"/>
      <c r="AA126" s="25"/>
      <c r="AB126" s="25"/>
      <c r="AC126" s="25"/>
      <c r="AE126" s="25"/>
      <c r="AF126" s="49"/>
      <c r="AG126" s="25"/>
      <c r="AH126" s="25"/>
      <c r="AI126" s="25"/>
      <c r="AJ126" s="25"/>
      <c r="AK126" s="25"/>
    </row>
    <row r="127" spans="1:37" x14ac:dyDescent="0.25">
      <c r="A127" s="18" t="str">
        <f t="shared" si="1"/>
        <v/>
      </c>
      <c r="B127" s="25"/>
      <c r="C127" s="25"/>
      <c r="D127" s="25"/>
      <c r="E127" s="25"/>
      <c r="F127" s="25"/>
      <c r="G127" s="25"/>
      <c r="H127" s="37"/>
      <c r="I127" s="25"/>
      <c r="J127" s="38"/>
      <c r="K127" s="40"/>
      <c r="S127" s="25"/>
      <c r="T127" s="25" t="str">
        <f>IFERROR(IF(ISBLANK(S127),"",INDEX(Gen_Vessels!$A$3:$C$500,MATCH(InspectionSite!$S127,Gen_Vessels!$C$3:$C$500,0),1)),"")</f>
        <v/>
      </c>
      <c r="U127" s="25"/>
      <c r="V127" s="25"/>
      <c r="W127" s="25" t="str">
        <f>IFERROR(IF(ISBLANK(V127),"",INDEX(Gen_Vessels!$A$3:$C$500,MATCH(InspectionSite!$V127,Gen_Vessels!$C$3:$C$500,0),1)),"")</f>
        <v/>
      </c>
      <c r="X127" s="25"/>
      <c r="Y127" s="25"/>
      <c r="Z127" s="25"/>
      <c r="AA127" s="25"/>
      <c r="AB127" s="25"/>
      <c r="AC127" s="25"/>
      <c r="AE127" s="25"/>
      <c r="AF127" s="49"/>
      <c r="AG127" s="25"/>
      <c r="AH127" s="25"/>
      <c r="AI127" s="25"/>
      <c r="AJ127" s="25"/>
      <c r="AK127" s="25"/>
    </row>
    <row r="128" spans="1:37" x14ac:dyDescent="0.25">
      <c r="A128" s="18" t="str">
        <f t="shared" si="1"/>
        <v/>
      </c>
      <c r="B128" s="25"/>
      <c r="C128" s="25"/>
      <c r="D128" s="25"/>
      <c r="E128" s="25"/>
      <c r="F128" s="25"/>
      <c r="G128" s="25"/>
      <c r="H128" s="37"/>
      <c r="I128" s="25"/>
      <c r="J128" s="38"/>
      <c r="K128" s="40"/>
      <c r="S128" s="25"/>
      <c r="T128" s="25" t="str">
        <f>IFERROR(IF(ISBLANK(S128),"",INDEX(Gen_Vessels!$A$3:$C$500,MATCH(InspectionSite!$S128,Gen_Vessels!$C$3:$C$500,0),1)),"")</f>
        <v/>
      </c>
      <c r="U128" s="25"/>
      <c r="V128" s="25"/>
      <c r="W128" s="25" t="str">
        <f>IFERROR(IF(ISBLANK(V128),"",INDEX(Gen_Vessels!$A$3:$C$500,MATCH(InspectionSite!$V128,Gen_Vessels!$C$3:$C$500,0),1)),"")</f>
        <v/>
      </c>
      <c r="X128" s="25"/>
      <c r="Y128" s="25"/>
      <c r="Z128" s="25"/>
      <c r="AA128" s="25"/>
      <c r="AB128" s="25"/>
      <c r="AC128" s="25"/>
      <c r="AE128" s="25"/>
      <c r="AF128" s="49"/>
      <c r="AG128" s="25"/>
      <c r="AH128" s="25"/>
      <c r="AI128" s="25"/>
      <c r="AJ128" s="25"/>
      <c r="AK128" s="25"/>
    </row>
    <row r="129" spans="1:37" x14ac:dyDescent="0.25">
      <c r="A129" s="18" t="str">
        <f t="shared" si="1"/>
        <v/>
      </c>
      <c r="B129" s="25"/>
      <c r="C129" s="25"/>
      <c r="D129" s="25"/>
      <c r="E129" s="25"/>
      <c r="F129" s="25"/>
      <c r="G129" s="25"/>
      <c r="H129" s="37"/>
      <c r="I129" s="25"/>
      <c r="J129" s="38"/>
      <c r="K129" s="40"/>
      <c r="S129" s="25"/>
      <c r="T129" s="25" t="str">
        <f>IFERROR(IF(ISBLANK(S129),"",INDEX(Gen_Vessels!$A$3:$C$500,MATCH(InspectionSite!$S129,Gen_Vessels!$C$3:$C$500,0),1)),"")</f>
        <v/>
      </c>
      <c r="U129" s="25"/>
      <c r="V129" s="25"/>
      <c r="W129" s="25" t="str">
        <f>IFERROR(IF(ISBLANK(V129),"",INDEX(Gen_Vessels!$A$3:$C$500,MATCH(InspectionSite!$V129,Gen_Vessels!$C$3:$C$500,0),1)),"")</f>
        <v/>
      </c>
      <c r="X129" s="25"/>
      <c r="Y129" s="25"/>
      <c r="Z129" s="25"/>
      <c r="AA129" s="25"/>
      <c r="AB129" s="25"/>
      <c r="AC129" s="25"/>
      <c r="AE129" s="25"/>
      <c r="AF129" s="49"/>
      <c r="AG129" s="25"/>
      <c r="AH129" s="25"/>
      <c r="AI129" s="25"/>
      <c r="AJ129" s="25"/>
      <c r="AK129" s="25"/>
    </row>
    <row r="130" spans="1:37" x14ac:dyDescent="0.25">
      <c r="A130" s="18" t="str">
        <f t="shared" si="1"/>
        <v/>
      </c>
      <c r="B130" s="25"/>
      <c r="C130" s="25"/>
      <c r="D130" s="25"/>
      <c r="E130" s="25"/>
      <c r="F130" s="25"/>
      <c r="G130" s="25"/>
      <c r="H130" s="37"/>
      <c r="I130" s="25"/>
      <c r="J130" s="38"/>
      <c r="K130" s="40"/>
      <c r="S130" s="25"/>
      <c r="T130" s="25" t="str">
        <f>IFERROR(IF(ISBLANK(S130),"",INDEX(Gen_Vessels!$A$3:$C$500,MATCH(InspectionSite!$S130,Gen_Vessels!$C$3:$C$500,0),1)),"")</f>
        <v/>
      </c>
      <c r="U130" s="25"/>
      <c r="V130" s="25"/>
      <c r="W130" s="25" t="str">
        <f>IFERROR(IF(ISBLANK(V130),"",INDEX(Gen_Vessels!$A$3:$C$500,MATCH(InspectionSite!$V130,Gen_Vessels!$C$3:$C$500,0),1)),"")</f>
        <v/>
      </c>
      <c r="X130" s="25"/>
      <c r="Y130" s="25"/>
      <c r="Z130" s="25"/>
      <c r="AA130" s="25"/>
      <c r="AB130" s="25"/>
      <c r="AC130" s="25"/>
      <c r="AE130" s="25"/>
      <c r="AF130" s="49"/>
      <c r="AG130" s="25"/>
      <c r="AH130" s="25"/>
      <c r="AI130" s="25"/>
      <c r="AJ130" s="25"/>
      <c r="AK130" s="25"/>
    </row>
    <row r="131" spans="1:37" x14ac:dyDescent="0.25">
      <c r="A131" s="18" t="str">
        <f t="shared" si="1"/>
        <v/>
      </c>
      <c r="B131" s="25"/>
      <c r="C131" s="25"/>
      <c r="D131" s="25"/>
      <c r="E131" s="25"/>
      <c r="F131" s="25"/>
      <c r="G131" s="25"/>
      <c r="H131" s="37"/>
      <c r="I131" s="25"/>
      <c r="J131" s="38"/>
      <c r="K131" s="40"/>
      <c r="S131" s="25"/>
      <c r="T131" s="25" t="str">
        <f>IFERROR(IF(ISBLANK(S131),"",INDEX(Gen_Vessels!$A$3:$C$500,MATCH(InspectionSite!$S131,Gen_Vessels!$C$3:$C$500,0),1)),"")</f>
        <v/>
      </c>
      <c r="U131" s="25"/>
      <c r="V131" s="25"/>
      <c r="W131" s="25" t="str">
        <f>IFERROR(IF(ISBLANK(V131),"",INDEX(Gen_Vessels!$A$3:$C$500,MATCH(InspectionSite!$V131,Gen_Vessels!$C$3:$C$500,0),1)),"")</f>
        <v/>
      </c>
      <c r="X131" s="25"/>
      <c r="Y131" s="25"/>
      <c r="Z131" s="25"/>
      <c r="AA131" s="25"/>
      <c r="AB131" s="25"/>
      <c r="AC131" s="25"/>
      <c r="AE131" s="25"/>
      <c r="AF131" s="49"/>
      <c r="AG131" s="25"/>
      <c r="AH131" s="25"/>
      <c r="AI131" s="25"/>
      <c r="AJ131" s="25"/>
      <c r="AK131" s="25"/>
    </row>
    <row r="132" spans="1:37" x14ac:dyDescent="0.25">
      <c r="A132" s="18" t="str">
        <f t="shared" si="1"/>
        <v/>
      </c>
      <c r="B132" s="25"/>
      <c r="C132" s="25"/>
      <c r="D132" s="25"/>
      <c r="E132" s="25"/>
      <c r="F132" s="25"/>
      <c r="G132" s="25"/>
      <c r="H132" s="37"/>
      <c r="I132" s="25"/>
      <c r="J132" s="38"/>
      <c r="K132" s="40"/>
      <c r="S132" s="25"/>
      <c r="T132" s="25" t="str">
        <f>IFERROR(IF(ISBLANK(S132),"",INDEX(Gen_Vessels!$A$3:$C$500,MATCH(InspectionSite!$S132,Gen_Vessels!$C$3:$C$500,0),1)),"")</f>
        <v/>
      </c>
      <c r="U132" s="25"/>
      <c r="V132" s="25"/>
      <c r="W132" s="25" t="str">
        <f>IFERROR(IF(ISBLANK(V132),"",INDEX(Gen_Vessels!$A$3:$C$500,MATCH(InspectionSite!$V132,Gen_Vessels!$C$3:$C$500,0),1)),"")</f>
        <v/>
      </c>
      <c r="X132" s="25"/>
      <c r="Y132" s="25"/>
      <c r="Z132" s="25"/>
      <c r="AA132" s="25"/>
      <c r="AB132" s="25"/>
      <c r="AC132" s="25"/>
      <c r="AE132" s="25"/>
      <c r="AF132" s="49"/>
      <c r="AG132" s="25"/>
      <c r="AH132" s="25"/>
      <c r="AI132" s="25"/>
      <c r="AJ132" s="25"/>
      <c r="AK132" s="25"/>
    </row>
    <row r="133" spans="1:37" x14ac:dyDescent="0.25">
      <c r="A133" s="18" t="str">
        <f t="shared" ref="A133:A196" si="2">IF(ISBLANK($B133)=FALSE,IF(AND($H133&gt;0,$I133&lt;=0,$J133&lt;=0),_xlfn.CONCAT("ofw_",$B133),IF(AND($H133&lt;=0,$I133&gt;0,$J133&lt;=0),_xlfn.CONCAT("owc_",$B133),IF(AND($H133&lt;=0,$I133&lt;=0,$J133&gt;0),_xlfn.CONCAT("opv_",$B133),_xlfn.CONCAT("oce_",$B133)))),"")</f>
        <v/>
      </c>
      <c r="B133" s="25"/>
      <c r="C133" s="25"/>
      <c r="D133" s="25"/>
      <c r="E133" s="25"/>
      <c r="F133" s="25"/>
      <c r="G133" s="25"/>
      <c r="H133" s="37"/>
      <c r="I133" s="25"/>
      <c r="J133" s="38"/>
      <c r="K133" s="40"/>
      <c r="S133" s="25"/>
      <c r="T133" s="25" t="str">
        <f>IFERROR(IF(ISBLANK(S133),"",INDEX(Gen_Vessels!$A$3:$C$500,MATCH(InspectionSite!$S133,Gen_Vessels!$C$3:$C$500,0),1)),"")</f>
        <v/>
      </c>
      <c r="U133" s="25"/>
      <c r="V133" s="25"/>
      <c r="W133" s="25" t="str">
        <f>IFERROR(IF(ISBLANK(V133),"",INDEX(Gen_Vessels!$A$3:$C$500,MATCH(InspectionSite!$V133,Gen_Vessels!$C$3:$C$500,0),1)),"")</f>
        <v/>
      </c>
      <c r="X133" s="25"/>
      <c r="Y133" s="25"/>
      <c r="Z133" s="25"/>
      <c r="AA133" s="25"/>
      <c r="AB133" s="25"/>
      <c r="AC133" s="25"/>
      <c r="AE133" s="25"/>
      <c r="AF133" s="49"/>
      <c r="AG133" s="25"/>
      <c r="AH133" s="25"/>
      <c r="AI133" s="25"/>
      <c r="AJ133" s="25"/>
      <c r="AK133" s="25"/>
    </row>
    <row r="134" spans="1:37" x14ac:dyDescent="0.25">
      <c r="A134" s="18" t="str">
        <f t="shared" si="2"/>
        <v/>
      </c>
      <c r="B134" s="25"/>
      <c r="C134" s="25"/>
      <c r="D134" s="25"/>
      <c r="E134" s="25"/>
      <c r="F134" s="25"/>
      <c r="G134" s="25"/>
      <c r="H134" s="37"/>
      <c r="I134" s="25"/>
      <c r="J134" s="38"/>
      <c r="K134" s="40"/>
      <c r="S134" s="25"/>
      <c r="T134" s="25" t="str">
        <f>IFERROR(IF(ISBLANK(S134),"",INDEX(Gen_Vessels!$A$3:$C$500,MATCH(InspectionSite!$S134,Gen_Vessels!$C$3:$C$500,0),1)),"")</f>
        <v/>
      </c>
      <c r="U134" s="25"/>
      <c r="V134" s="25"/>
      <c r="W134" s="25" t="str">
        <f>IFERROR(IF(ISBLANK(V134),"",INDEX(Gen_Vessels!$A$3:$C$500,MATCH(InspectionSite!$V134,Gen_Vessels!$C$3:$C$500,0),1)),"")</f>
        <v/>
      </c>
      <c r="X134" s="25"/>
      <c r="Y134" s="25"/>
      <c r="Z134" s="25"/>
      <c r="AA134" s="25"/>
      <c r="AB134" s="25"/>
      <c r="AC134" s="25"/>
      <c r="AE134" s="25"/>
      <c r="AF134" s="49"/>
      <c r="AG134" s="25"/>
      <c r="AH134" s="25"/>
      <c r="AI134" s="25"/>
      <c r="AJ134" s="25"/>
      <c r="AK134" s="25"/>
    </row>
    <row r="135" spans="1:37" x14ac:dyDescent="0.25">
      <c r="A135" s="18" t="str">
        <f t="shared" si="2"/>
        <v/>
      </c>
      <c r="B135" s="25"/>
      <c r="C135" s="25"/>
      <c r="D135" s="25"/>
      <c r="E135" s="25"/>
      <c r="F135" s="25"/>
      <c r="G135" s="25"/>
      <c r="H135" s="37"/>
      <c r="I135" s="25"/>
      <c r="J135" s="38"/>
      <c r="K135" s="40"/>
      <c r="S135" s="25"/>
      <c r="T135" s="25" t="str">
        <f>IFERROR(IF(ISBLANK(S135),"",INDEX(Gen_Vessels!$A$3:$C$500,MATCH(InspectionSite!$S135,Gen_Vessels!$C$3:$C$500,0),1)),"")</f>
        <v/>
      </c>
      <c r="U135" s="25"/>
      <c r="V135" s="25"/>
      <c r="W135" s="25" t="str">
        <f>IFERROR(IF(ISBLANK(V135),"",INDEX(Gen_Vessels!$A$3:$C$500,MATCH(InspectionSite!$V135,Gen_Vessels!$C$3:$C$500,0),1)),"")</f>
        <v/>
      </c>
      <c r="X135" s="25"/>
      <c r="Y135" s="25"/>
      <c r="Z135" s="25"/>
      <c r="AA135" s="25"/>
      <c r="AB135" s="25"/>
      <c r="AC135" s="25"/>
      <c r="AE135" s="25"/>
      <c r="AF135" s="49"/>
      <c r="AG135" s="25"/>
      <c r="AH135" s="25"/>
      <c r="AI135" s="25"/>
      <c r="AJ135" s="25"/>
      <c r="AK135" s="25"/>
    </row>
    <row r="136" spans="1:37" x14ac:dyDescent="0.25">
      <c r="A136" s="18" t="str">
        <f t="shared" si="2"/>
        <v/>
      </c>
      <c r="B136" s="25"/>
      <c r="C136" s="25"/>
      <c r="D136" s="25"/>
      <c r="E136" s="25"/>
      <c r="F136" s="25"/>
      <c r="G136" s="25"/>
      <c r="H136" s="37"/>
      <c r="I136" s="25"/>
      <c r="J136" s="38"/>
      <c r="K136" s="40"/>
      <c r="S136" s="25"/>
      <c r="T136" s="25" t="str">
        <f>IFERROR(IF(ISBLANK(S136),"",INDEX(Gen_Vessels!$A$3:$C$500,MATCH(InspectionSite!$S136,Gen_Vessels!$C$3:$C$500,0),1)),"")</f>
        <v/>
      </c>
      <c r="U136" s="25"/>
      <c r="V136" s="25"/>
      <c r="W136" s="25" t="str">
        <f>IFERROR(IF(ISBLANK(V136),"",INDEX(Gen_Vessels!$A$3:$C$500,MATCH(InspectionSite!$V136,Gen_Vessels!$C$3:$C$500,0),1)),"")</f>
        <v/>
      </c>
      <c r="X136" s="25"/>
      <c r="Y136" s="25"/>
      <c r="Z136" s="25"/>
      <c r="AA136" s="25"/>
      <c r="AB136" s="25"/>
      <c r="AC136" s="25"/>
      <c r="AE136" s="25"/>
      <c r="AF136" s="49"/>
      <c r="AG136" s="25"/>
      <c r="AH136" s="25"/>
      <c r="AI136" s="25"/>
      <c r="AJ136" s="25"/>
      <c r="AK136" s="25"/>
    </row>
    <row r="137" spans="1:37" x14ac:dyDescent="0.25">
      <c r="A137" s="18" t="str">
        <f t="shared" si="2"/>
        <v/>
      </c>
      <c r="B137" s="25"/>
      <c r="C137" s="25"/>
      <c r="D137" s="25"/>
      <c r="E137" s="25"/>
      <c r="F137" s="25"/>
      <c r="G137" s="25"/>
      <c r="H137" s="37"/>
      <c r="I137" s="25"/>
      <c r="J137" s="38"/>
      <c r="K137" s="40"/>
      <c r="S137" s="25"/>
      <c r="T137" s="25" t="str">
        <f>IFERROR(IF(ISBLANK(S137),"",INDEX(Gen_Vessels!$A$3:$C$500,MATCH(InspectionSite!$S137,Gen_Vessels!$C$3:$C$500,0),1)),"")</f>
        <v/>
      </c>
      <c r="U137" s="25"/>
      <c r="V137" s="25"/>
      <c r="W137" s="25" t="str">
        <f>IFERROR(IF(ISBLANK(V137),"",INDEX(Gen_Vessels!$A$3:$C$500,MATCH(InspectionSite!$V137,Gen_Vessels!$C$3:$C$500,0),1)),"")</f>
        <v/>
      </c>
      <c r="X137" s="25"/>
      <c r="Y137" s="25"/>
      <c r="Z137" s="25"/>
      <c r="AA137" s="25"/>
      <c r="AB137" s="25"/>
      <c r="AC137" s="25"/>
      <c r="AE137" s="25"/>
      <c r="AF137" s="49"/>
      <c r="AG137" s="25"/>
      <c r="AH137" s="25"/>
      <c r="AI137" s="25"/>
      <c r="AJ137" s="25"/>
      <c r="AK137" s="25"/>
    </row>
    <row r="138" spans="1:37" x14ac:dyDescent="0.25">
      <c r="A138" s="18" t="str">
        <f t="shared" si="2"/>
        <v/>
      </c>
      <c r="B138" s="25"/>
      <c r="C138" s="25"/>
      <c r="D138" s="25"/>
      <c r="E138" s="25"/>
      <c r="F138" s="25"/>
      <c r="G138" s="25"/>
      <c r="H138" s="37"/>
      <c r="I138" s="25"/>
      <c r="J138" s="38"/>
      <c r="K138" s="40"/>
      <c r="S138" s="25"/>
      <c r="T138" s="25" t="str">
        <f>IFERROR(IF(ISBLANK(S138),"",INDEX(Gen_Vessels!$A$3:$C$500,MATCH(InspectionSite!$S138,Gen_Vessels!$C$3:$C$500,0),1)),"")</f>
        <v/>
      </c>
      <c r="U138" s="25"/>
      <c r="V138" s="25"/>
      <c r="W138" s="25" t="str">
        <f>IFERROR(IF(ISBLANK(V138),"",INDEX(Gen_Vessels!$A$3:$C$500,MATCH(InspectionSite!$V138,Gen_Vessels!$C$3:$C$500,0),1)),"")</f>
        <v/>
      </c>
      <c r="X138" s="25"/>
      <c r="Y138" s="25"/>
      <c r="Z138" s="25"/>
      <c r="AA138" s="25"/>
      <c r="AB138" s="25"/>
      <c r="AC138" s="25"/>
      <c r="AE138" s="25"/>
      <c r="AF138" s="49"/>
      <c r="AG138" s="25"/>
      <c r="AH138" s="25"/>
      <c r="AI138" s="25"/>
      <c r="AJ138" s="25"/>
      <c r="AK138" s="25"/>
    </row>
    <row r="139" spans="1:37" x14ac:dyDescent="0.25">
      <c r="A139" s="18" t="str">
        <f t="shared" si="2"/>
        <v/>
      </c>
      <c r="B139" s="25"/>
      <c r="C139" s="25"/>
      <c r="D139" s="25"/>
      <c r="E139" s="25"/>
      <c r="F139" s="25"/>
      <c r="G139" s="25"/>
      <c r="H139" s="37"/>
      <c r="I139" s="25"/>
      <c r="J139" s="38"/>
      <c r="K139" s="40"/>
      <c r="S139" s="25"/>
      <c r="T139" s="25" t="str">
        <f>IFERROR(IF(ISBLANK(S139),"",INDEX(Gen_Vessels!$A$3:$C$500,MATCH(InspectionSite!$S139,Gen_Vessels!$C$3:$C$500,0),1)),"")</f>
        <v/>
      </c>
      <c r="U139" s="25"/>
      <c r="V139" s="25"/>
      <c r="W139" s="25" t="str">
        <f>IFERROR(IF(ISBLANK(V139),"",INDEX(Gen_Vessels!$A$3:$C$500,MATCH(InspectionSite!$V139,Gen_Vessels!$C$3:$C$500,0),1)),"")</f>
        <v/>
      </c>
      <c r="X139" s="25"/>
      <c r="Y139" s="25"/>
      <c r="Z139" s="25"/>
      <c r="AA139" s="25"/>
      <c r="AB139" s="25"/>
      <c r="AC139" s="25"/>
      <c r="AE139" s="25"/>
      <c r="AF139" s="49"/>
      <c r="AG139" s="25"/>
      <c r="AH139" s="25"/>
      <c r="AI139" s="25"/>
      <c r="AJ139" s="25"/>
      <c r="AK139" s="25"/>
    </row>
    <row r="140" spans="1:37" x14ac:dyDescent="0.25">
      <c r="A140" s="18" t="str">
        <f t="shared" si="2"/>
        <v/>
      </c>
      <c r="B140" s="25"/>
      <c r="C140" s="25"/>
      <c r="D140" s="25"/>
      <c r="E140" s="25"/>
      <c r="F140" s="25"/>
      <c r="G140" s="25"/>
      <c r="H140" s="37"/>
      <c r="I140" s="25"/>
      <c r="J140" s="38"/>
      <c r="K140" s="40"/>
      <c r="S140" s="25"/>
      <c r="T140" s="25" t="str">
        <f>IFERROR(IF(ISBLANK(S140),"",INDEX(Gen_Vessels!$A$3:$C$500,MATCH(InspectionSite!$S140,Gen_Vessels!$C$3:$C$500,0),1)),"")</f>
        <v/>
      </c>
      <c r="U140" s="25"/>
      <c r="V140" s="25"/>
      <c r="W140" s="25" t="str">
        <f>IFERROR(IF(ISBLANK(V140),"",INDEX(Gen_Vessels!$A$3:$C$500,MATCH(InspectionSite!$V140,Gen_Vessels!$C$3:$C$500,0),1)),"")</f>
        <v/>
      </c>
      <c r="X140" s="25"/>
      <c r="Y140" s="25"/>
      <c r="Z140" s="25"/>
      <c r="AA140" s="25"/>
      <c r="AB140" s="25"/>
      <c r="AC140" s="25"/>
      <c r="AE140" s="25"/>
      <c r="AF140" s="49"/>
      <c r="AG140" s="25"/>
      <c r="AH140" s="25"/>
      <c r="AI140" s="25"/>
      <c r="AJ140" s="25"/>
      <c r="AK140" s="25"/>
    </row>
    <row r="141" spans="1:37" x14ac:dyDescent="0.25">
      <c r="A141" s="18" t="str">
        <f t="shared" si="2"/>
        <v/>
      </c>
      <c r="B141" s="25"/>
      <c r="C141" s="25"/>
      <c r="D141" s="25"/>
      <c r="E141" s="25"/>
      <c r="F141" s="25"/>
      <c r="G141" s="25"/>
      <c r="H141" s="37"/>
      <c r="I141" s="25"/>
      <c r="J141" s="38"/>
      <c r="K141" s="40"/>
      <c r="S141" s="25"/>
      <c r="T141" s="25" t="str">
        <f>IFERROR(IF(ISBLANK(S141),"",INDEX(Gen_Vessels!$A$3:$C$500,MATCH(InspectionSite!$S141,Gen_Vessels!$C$3:$C$500,0),1)),"")</f>
        <v/>
      </c>
      <c r="U141" s="25"/>
      <c r="V141" s="25"/>
      <c r="W141" s="25" t="str">
        <f>IFERROR(IF(ISBLANK(V141),"",INDEX(Gen_Vessels!$A$3:$C$500,MATCH(InspectionSite!$V141,Gen_Vessels!$C$3:$C$500,0),1)),"")</f>
        <v/>
      </c>
      <c r="X141" s="25"/>
      <c r="Y141" s="25"/>
      <c r="Z141" s="25"/>
      <c r="AA141" s="25"/>
      <c r="AB141" s="25"/>
      <c r="AC141" s="25"/>
      <c r="AE141" s="25"/>
      <c r="AF141" s="49"/>
      <c r="AG141" s="25"/>
      <c r="AH141" s="25"/>
      <c r="AI141" s="25"/>
      <c r="AJ141" s="25"/>
      <c r="AK141" s="25"/>
    </row>
    <row r="142" spans="1:37" x14ac:dyDescent="0.25">
      <c r="A142" s="18" t="str">
        <f t="shared" si="2"/>
        <v/>
      </c>
      <c r="B142" s="25"/>
      <c r="C142" s="25"/>
      <c r="D142" s="25"/>
      <c r="E142" s="25"/>
      <c r="F142" s="25"/>
      <c r="G142" s="25"/>
      <c r="H142" s="37"/>
      <c r="I142" s="25"/>
      <c r="J142" s="38"/>
      <c r="K142" s="40"/>
      <c r="S142" s="25"/>
      <c r="T142" s="25" t="str">
        <f>IFERROR(IF(ISBLANK(S142),"",INDEX(Gen_Vessels!$A$3:$C$500,MATCH(InspectionSite!$S142,Gen_Vessels!$C$3:$C$500,0),1)),"")</f>
        <v/>
      </c>
      <c r="U142" s="25"/>
      <c r="V142" s="25"/>
      <c r="W142" s="25" t="str">
        <f>IFERROR(IF(ISBLANK(V142),"",INDEX(Gen_Vessels!$A$3:$C$500,MATCH(InspectionSite!$V142,Gen_Vessels!$C$3:$C$500,0),1)),"")</f>
        <v/>
      </c>
      <c r="X142" s="25"/>
      <c r="Y142" s="25"/>
      <c r="Z142" s="25"/>
      <c r="AA142" s="25"/>
      <c r="AB142" s="25"/>
      <c r="AC142" s="25"/>
      <c r="AE142" s="25"/>
      <c r="AF142" s="49"/>
      <c r="AG142" s="25"/>
      <c r="AH142" s="25"/>
      <c r="AI142" s="25"/>
      <c r="AJ142" s="25"/>
      <c r="AK142" s="25"/>
    </row>
    <row r="143" spans="1:37" x14ac:dyDescent="0.25">
      <c r="A143" s="18" t="str">
        <f t="shared" si="2"/>
        <v/>
      </c>
      <c r="B143" s="25"/>
      <c r="C143" s="25"/>
      <c r="D143" s="25"/>
      <c r="E143" s="25"/>
      <c r="F143" s="25"/>
      <c r="G143" s="25"/>
      <c r="H143" s="37"/>
      <c r="I143" s="25"/>
      <c r="J143" s="38"/>
      <c r="K143" s="40"/>
      <c r="S143" s="25"/>
      <c r="T143" s="25" t="str">
        <f>IFERROR(IF(ISBLANK(S143),"",INDEX(Gen_Vessels!$A$3:$C$500,MATCH(InspectionSite!$S143,Gen_Vessels!$C$3:$C$500,0),1)),"")</f>
        <v/>
      </c>
      <c r="U143" s="25"/>
      <c r="V143" s="25"/>
      <c r="W143" s="25" t="str">
        <f>IFERROR(IF(ISBLANK(V143),"",INDEX(Gen_Vessels!$A$3:$C$500,MATCH(InspectionSite!$V143,Gen_Vessels!$C$3:$C$500,0),1)),"")</f>
        <v/>
      </c>
      <c r="X143" s="25"/>
      <c r="Y143" s="25"/>
      <c r="Z143" s="25"/>
      <c r="AA143" s="25"/>
      <c r="AB143" s="25"/>
      <c r="AC143" s="25"/>
      <c r="AE143" s="25"/>
      <c r="AF143" s="49"/>
      <c r="AG143" s="25"/>
      <c r="AH143" s="25"/>
      <c r="AI143" s="25"/>
      <c r="AJ143" s="25"/>
      <c r="AK143" s="25"/>
    </row>
    <row r="144" spans="1:37" x14ac:dyDescent="0.25">
      <c r="A144" s="18" t="str">
        <f t="shared" si="2"/>
        <v/>
      </c>
      <c r="B144" s="25"/>
      <c r="C144" s="25"/>
      <c r="D144" s="25"/>
      <c r="E144" s="25"/>
      <c r="F144" s="25"/>
      <c r="G144" s="25"/>
      <c r="H144" s="37"/>
      <c r="I144" s="25"/>
      <c r="J144" s="38"/>
      <c r="K144" s="40"/>
      <c r="S144" s="25"/>
      <c r="T144" s="25" t="str">
        <f>IFERROR(IF(ISBLANK(S144),"",INDEX(Gen_Vessels!$A$3:$C$500,MATCH(InspectionSite!$S144,Gen_Vessels!$C$3:$C$500,0),1)),"")</f>
        <v/>
      </c>
      <c r="U144" s="25"/>
      <c r="V144" s="25"/>
      <c r="W144" s="25" t="str">
        <f>IFERROR(IF(ISBLANK(V144),"",INDEX(Gen_Vessels!$A$3:$C$500,MATCH(InspectionSite!$V144,Gen_Vessels!$C$3:$C$500,0),1)),"")</f>
        <v/>
      </c>
      <c r="X144" s="25"/>
      <c r="Y144" s="25"/>
      <c r="Z144" s="25"/>
      <c r="AA144" s="25"/>
      <c r="AB144" s="25"/>
      <c r="AC144" s="25"/>
      <c r="AE144" s="25"/>
      <c r="AF144" s="49"/>
      <c r="AG144" s="25"/>
      <c r="AH144" s="25"/>
      <c r="AI144" s="25"/>
      <c r="AJ144" s="25"/>
      <c r="AK144" s="25"/>
    </row>
    <row r="145" spans="1:37" x14ac:dyDescent="0.25">
      <c r="A145" s="18" t="str">
        <f t="shared" si="2"/>
        <v/>
      </c>
      <c r="B145" s="25"/>
      <c r="C145" s="25"/>
      <c r="D145" s="25"/>
      <c r="E145" s="25"/>
      <c r="F145" s="25"/>
      <c r="G145" s="25"/>
      <c r="H145" s="37"/>
      <c r="I145" s="25"/>
      <c r="J145" s="38"/>
      <c r="K145" s="40"/>
      <c r="S145" s="25"/>
      <c r="T145" s="25" t="str">
        <f>IFERROR(IF(ISBLANK(S145),"",INDEX(Gen_Vessels!$A$3:$C$500,MATCH(InspectionSite!$S145,Gen_Vessels!$C$3:$C$500,0),1)),"")</f>
        <v/>
      </c>
      <c r="U145" s="25"/>
      <c r="V145" s="25"/>
      <c r="W145" s="25" t="str">
        <f>IFERROR(IF(ISBLANK(V145),"",INDEX(Gen_Vessels!$A$3:$C$500,MATCH(InspectionSite!$V145,Gen_Vessels!$C$3:$C$500,0),1)),"")</f>
        <v/>
      </c>
      <c r="X145" s="25"/>
      <c r="Y145" s="25"/>
      <c r="Z145" s="25"/>
      <c r="AA145" s="25"/>
      <c r="AB145" s="25"/>
      <c r="AC145" s="25"/>
      <c r="AE145" s="25"/>
      <c r="AF145" s="49"/>
      <c r="AG145" s="25"/>
      <c r="AH145" s="25"/>
      <c r="AI145" s="25"/>
      <c r="AJ145" s="25"/>
      <c r="AK145" s="25"/>
    </row>
    <row r="146" spans="1:37" x14ac:dyDescent="0.25">
      <c r="A146" s="18" t="str">
        <f t="shared" si="2"/>
        <v/>
      </c>
      <c r="B146" s="25"/>
      <c r="C146" s="25"/>
      <c r="D146" s="25"/>
      <c r="E146" s="25"/>
      <c r="F146" s="25"/>
      <c r="G146" s="25"/>
      <c r="H146" s="37"/>
      <c r="I146" s="25"/>
      <c r="J146" s="38"/>
      <c r="K146" s="40"/>
      <c r="S146" s="25"/>
      <c r="T146" s="25" t="str">
        <f>IFERROR(IF(ISBLANK(S146),"",INDEX(Gen_Vessels!$A$3:$C$500,MATCH(InspectionSite!$S146,Gen_Vessels!$C$3:$C$500,0),1)),"")</f>
        <v/>
      </c>
      <c r="U146" s="25"/>
      <c r="V146" s="25"/>
      <c r="W146" s="25" t="str">
        <f>IFERROR(IF(ISBLANK(V146),"",INDEX(Gen_Vessels!$A$3:$C$500,MATCH(InspectionSite!$V146,Gen_Vessels!$C$3:$C$500,0),1)),"")</f>
        <v/>
      </c>
      <c r="X146" s="25"/>
      <c r="Y146" s="25"/>
      <c r="Z146" s="25"/>
      <c r="AA146" s="25"/>
      <c r="AB146" s="25"/>
      <c r="AC146" s="25"/>
      <c r="AE146" s="25"/>
      <c r="AF146" s="49"/>
      <c r="AG146" s="25"/>
      <c r="AH146" s="25"/>
      <c r="AI146" s="25"/>
      <c r="AJ146" s="25"/>
      <c r="AK146" s="25"/>
    </row>
    <row r="147" spans="1:37" x14ac:dyDescent="0.25">
      <c r="A147" s="18" t="str">
        <f t="shared" si="2"/>
        <v/>
      </c>
      <c r="B147" s="25"/>
      <c r="C147" s="25"/>
      <c r="D147" s="25"/>
      <c r="E147" s="25"/>
      <c r="F147" s="25"/>
      <c r="G147" s="25"/>
      <c r="H147" s="37"/>
      <c r="I147" s="25"/>
      <c r="J147" s="38"/>
      <c r="K147" s="40"/>
      <c r="S147" s="25"/>
      <c r="T147" s="25" t="str">
        <f>IFERROR(IF(ISBLANK(S147),"",INDEX(Gen_Vessels!$A$3:$C$500,MATCH(InspectionSite!$S147,Gen_Vessels!$C$3:$C$500,0),1)),"")</f>
        <v/>
      </c>
      <c r="U147" s="25"/>
      <c r="V147" s="25"/>
      <c r="W147" s="25" t="str">
        <f>IFERROR(IF(ISBLANK(V147),"",INDEX(Gen_Vessels!$A$3:$C$500,MATCH(InspectionSite!$V147,Gen_Vessels!$C$3:$C$500,0),1)),"")</f>
        <v/>
      </c>
      <c r="X147" s="25"/>
      <c r="Y147" s="25"/>
      <c r="Z147" s="25"/>
      <c r="AA147" s="25"/>
      <c r="AB147" s="25"/>
      <c r="AC147" s="25"/>
      <c r="AE147" s="25"/>
      <c r="AF147" s="49"/>
      <c r="AG147" s="25"/>
      <c r="AH147" s="25"/>
      <c r="AI147" s="25"/>
      <c r="AJ147" s="25"/>
      <c r="AK147" s="25"/>
    </row>
    <row r="148" spans="1:37" x14ac:dyDescent="0.25">
      <c r="A148" s="18" t="str">
        <f t="shared" si="2"/>
        <v/>
      </c>
      <c r="B148" s="25"/>
      <c r="C148" s="25"/>
      <c r="D148" s="25"/>
      <c r="E148" s="25"/>
      <c r="F148" s="25"/>
      <c r="G148" s="25"/>
      <c r="H148" s="37"/>
      <c r="I148" s="25"/>
      <c r="J148" s="38"/>
      <c r="K148" s="40"/>
      <c r="S148" s="25"/>
      <c r="T148" s="25" t="str">
        <f>IFERROR(IF(ISBLANK(S148),"",INDEX(Gen_Vessels!$A$3:$C$500,MATCH(InspectionSite!$S148,Gen_Vessels!$C$3:$C$500,0),1)),"")</f>
        <v/>
      </c>
      <c r="U148" s="25"/>
      <c r="V148" s="25"/>
      <c r="W148" s="25" t="str">
        <f>IFERROR(IF(ISBLANK(V148),"",INDEX(Gen_Vessels!$A$3:$C$500,MATCH(InspectionSite!$V148,Gen_Vessels!$C$3:$C$500,0),1)),"")</f>
        <v/>
      </c>
      <c r="X148" s="25"/>
      <c r="Y148" s="25"/>
      <c r="Z148" s="25"/>
      <c r="AA148" s="25"/>
      <c r="AB148" s="25"/>
      <c r="AC148" s="25"/>
      <c r="AE148" s="25"/>
      <c r="AF148" s="49"/>
      <c r="AG148" s="25"/>
      <c r="AH148" s="25"/>
      <c r="AI148" s="25"/>
      <c r="AJ148" s="25"/>
      <c r="AK148" s="25"/>
    </row>
    <row r="149" spans="1:37" x14ac:dyDescent="0.25">
      <c r="A149" s="18" t="str">
        <f t="shared" si="2"/>
        <v/>
      </c>
      <c r="B149" s="25"/>
      <c r="C149" s="25"/>
      <c r="D149" s="25"/>
      <c r="E149" s="25"/>
      <c r="F149" s="25"/>
      <c r="G149" s="25"/>
      <c r="H149" s="37"/>
      <c r="I149" s="25"/>
      <c r="J149" s="38"/>
      <c r="K149" s="40"/>
      <c r="S149" s="25"/>
      <c r="T149" s="25" t="str">
        <f>IFERROR(IF(ISBLANK(S149),"",INDEX(Gen_Vessels!$A$3:$C$500,MATCH(InspectionSite!$S149,Gen_Vessels!$C$3:$C$500,0),1)),"")</f>
        <v/>
      </c>
      <c r="U149" s="25"/>
      <c r="V149" s="25"/>
      <c r="W149" s="25" t="str">
        <f>IFERROR(IF(ISBLANK(V149),"",INDEX(Gen_Vessels!$A$3:$C$500,MATCH(InspectionSite!$V149,Gen_Vessels!$C$3:$C$500,0),1)),"")</f>
        <v/>
      </c>
      <c r="X149" s="25"/>
      <c r="Y149" s="25"/>
      <c r="Z149" s="25"/>
      <c r="AA149" s="25"/>
      <c r="AB149" s="25"/>
      <c r="AC149" s="25"/>
      <c r="AE149" s="25"/>
      <c r="AF149" s="49"/>
      <c r="AG149" s="25"/>
      <c r="AH149" s="25"/>
      <c r="AI149" s="25"/>
      <c r="AJ149" s="25"/>
      <c r="AK149" s="25"/>
    </row>
    <row r="150" spans="1:37" x14ac:dyDescent="0.25">
      <c r="A150" s="18" t="str">
        <f t="shared" si="2"/>
        <v/>
      </c>
      <c r="B150" s="25"/>
      <c r="C150" s="25"/>
      <c r="D150" s="25"/>
      <c r="E150" s="25"/>
      <c r="F150" s="25"/>
      <c r="G150" s="25"/>
      <c r="H150" s="37"/>
      <c r="I150" s="25"/>
      <c r="J150" s="38"/>
      <c r="K150" s="40"/>
      <c r="S150" s="25"/>
      <c r="T150" s="25" t="str">
        <f>IFERROR(IF(ISBLANK(S150),"",INDEX(Gen_Vessels!$A$3:$C$500,MATCH(InspectionSite!$S150,Gen_Vessels!$C$3:$C$500,0),1)),"")</f>
        <v/>
      </c>
      <c r="U150" s="25"/>
      <c r="V150" s="25"/>
      <c r="W150" s="25" t="str">
        <f>IFERROR(IF(ISBLANK(V150),"",INDEX(Gen_Vessels!$A$3:$C$500,MATCH(InspectionSite!$V150,Gen_Vessels!$C$3:$C$500,0),1)),"")</f>
        <v/>
      </c>
      <c r="X150" s="25"/>
      <c r="Y150" s="25"/>
      <c r="Z150" s="25"/>
      <c r="AA150" s="25"/>
      <c r="AB150" s="25"/>
      <c r="AC150" s="25"/>
      <c r="AE150" s="25"/>
      <c r="AF150" s="49"/>
      <c r="AG150" s="25"/>
      <c r="AH150" s="25"/>
      <c r="AI150" s="25"/>
      <c r="AJ150" s="25"/>
      <c r="AK150" s="25"/>
    </row>
    <row r="151" spans="1:37" x14ac:dyDescent="0.25">
      <c r="A151" s="18" t="str">
        <f t="shared" si="2"/>
        <v/>
      </c>
      <c r="B151" s="25"/>
      <c r="C151" s="25"/>
      <c r="D151" s="25"/>
      <c r="E151" s="25"/>
      <c r="F151" s="25"/>
      <c r="G151" s="25"/>
      <c r="H151" s="37"/>
      <c r="I151" s="25"/>
      <c r="J151" s="38"/>
      <c r="K151" s="40"/>
      <c r="S151" s="25"/>
      <c r="T151" s="25" t="str">
        <f>IFERROR(IF(ISBLANK(S151),"",INDEX(Gen_Vessels!$A$3:$C$500,MATCH(InspectionSite!$S151,Gen_Vessels!$C$3:$C$500,0),1)),"")</f>
        <v/>
      </c>
      <c r="U151" s="25"/>
      <c r="V151" s="25"/>
      <c r="W151" s="25" t="str">
        <f>IFERROR(IF(ISBLANK(V151),"",INDEX(Gen_Vessels!$A$3:$C$500,MATCH(InspectionSite!$V151,Gen_Vessels!$C$3:$C$500,0),1)),"")</f>
        <v/>
      </c>
      <c r="X151" s="25"/>
      <c r="Y151" s="25"/>
      <c r="Z151" s="25"/>
      <c r="AA151" s="25"/>
      <c r="AB151" s="25"/>
      <c r="AC151" s="25"/>
      <c r="AE151" s="25"/>
      <c r="AF151" s="49"/>
      <c r="AG151" s="25"/>
      <c r="AH151" s="25"/>
      <c r="AI151" s="25"/>
      <c r="AJ151" s="25"/>
      <c r="AK151" s="25"/>
    </row>
    <row r="152" spans="1:37" x14ac:dyDescent="0.25">
      <c r="A152" s="18" t="str">
        <f t="shared" si="2"/>
        <v/>
      </c>
      <c r="B152" s="25"/>
      <c r="C152" s="25"/>
      <c r="D152" s="25"/>
      <c r="E152" s="25"/>
      <c r="F152" s="25"/>
      <c r="G152" s="25"/>
      <c r="H152" s="37"/>
      <c r="I152" s="25"/>
      <c r="J152" s="38"/>
      <c r="K152" s="40"/>
      <c r="S152" s="25"/>
      <c r="T152" s="25" t="str">
        <f>IFERROR(IF(ISBLANK(S152),"",INDEX(Gen_Vessels!$A$3:$C$500,MATCH(InspectionSite!$S152,Gen_Vessels!$C$3:$C$500,0),1)),"")</f>
        <v/>
      </c>
      <c r="U152" s="25"/>
      <c r="V152" s="25"/>
      <c r="W152" s="25" t="str">
        <f>IFERROR(IF(ISBLANK(V152),"",INDEX(Gen_Vessels!$A$3:$C$500,MATCH(InspectionSite!$V152,Gen_Vessels!$C$3:$C$500,0),1)),"")</f>
        <v/>
      </c>
      <c r="X152" s="25"/>
      <c r="Y152" s="25"/>
      <c r="Z152" s="25"/>
      <c r="AA152" s="25"/>
      <c r="AB152" s="25"/>
      <c r="AC152" s="25"/>
      <c r="AE152" s="25"/>
      <c r="AF152" s="49"/>
      <c r="AG152" s="25"/>
      <c r="AH152" s="25"/>
      <c r="AI152" s="25"/>
      <c r="AJ152" s="25"/>
      <c r="AK152" s="25"/>
    </row>
    <row r="153" spans="1:37" x14ac:dyDescent="0.25">
      <c r="A153" s="18" t="str">
        <f t="shared" si="2"/>
        <v/>
      </c>
      <c r="B153" s="25"/>
      <c r="C153" s="25"/>
      <c r="D153" s="25"/>
      <c r="E153" s="25"/>
      <c r="F153" s="25"/>
      <c r="G153" s="25"/>
      <c r="H153" s="37"/>
      <c r="I153" s="25"/>
      <c r="J153" s="38"/>
      <c r="K153" s="40"/>
      <c r="S153" s="25"/>
      <c r="T153" s="25" t="str">
        <f>IFERROR(IF(ISBLANK(S153),"",INDEX(Gen_Vessels!$A$3:$C$500,MATCH(InspectionSite!$S153,Gen_Vessels!$C$3:$C$500,0),1)),"")</f>
        <v/>
      </c>
      <c r="U153" s="25"/>
      <c r="V153" s="25"/>
      <c r="W153" s="25" t="str">
        <f>IFERROR(IF(ISBLANK(V153),"",INDEX(Gen_Vessels!$A$3:$C$500,MATCH(InspectionSite!$V153,Gen_Vessels!$C$3:$C$500,0),1)),"")</f>
        <v/>
      </c>
      <c r="X153" s="25"/>
      <c r="Y153" s="25"/>
      <c r="Z153" s="25"/>
      <c r="AA153" s="25"/>
      <c r="AB153" s="25"/>
      <c r="AC153" s="25"/>
      <c r="AE153" s="25"/>
      <c r="AF153" s="49"/>
      <c r="AG153" s="25"/>
      <c r="AH153" s="25"/>
      <c r="AI153" s="25"/>
      <c r="AJ153" s="25"/>
      <c r="AK153" s="25"/>
    </row>
    <row r="154" spans="1:37" x14ac:dyDescent="0.25">
      <c r="A154" s="18" t="str">
        <f t="shared" si="2"/>
        <v/>
      </c>
      <c r="B154" s="25"/>
      <c r="C154" s="25"/>
      <c r="D154" s="25"/>
      <c r="E154" s="25"/>
      <c r="F154" s="25"/>
      <c r="G154" s="25"/>
      <c r="H154" s="37"/>
      <c r="I154" s="25"/>
      <c r="J154" s="38"/>
      <c r="K154" s="40"/>
      <c r="S154" s="25"/>
      <c r="T154" s="25" t="str">
        <f>IFERROR(IF(ISBLANK(S154),"",INDEX(Gen_Vessels!$A$3:$C$500,MATCH(InspectionSite!$S154,Gen_Vessels!$C$3:$C$500,0),1)),"")</f>
        <v/>
      </c>
      <c r="U154" s="25"/>
      <c r="V154" s="25"/>
      <c r="W154" s="25" t="str">
        <f>IFERROR(IF(ISBLANK(V154),"",INDEX(Gen_Vessels!$A$3:$C$500,MATCH(InspectionSite!$V154,Gen_Vessels!$C$3:$C$500,0),1)),"")</f>
        <v/>
      </c>
      <c r="X154" s="25"/>
      <c r="Y154" s="25"/>
      <c r="Z154" s="25"/>
      <c r="AA154" s="25"/>
      <c r="AB154" s="25"/>
      <c r="AC154" s="25"/>
      <c r="AE154" s="25"/>
      <c r="AF154" s="49"/>
      <c r="AG154" s="25"/>
      <c r="AH154" s="25"/>
      <c r="AI154" s="25"/>
      <c r="AJ154" s="25"/>
      <c r="AK154" s="25"/>
    </row>
    <row r="155" spans="1:37" x14ac:dyDescent="0.25">
      <c r="A155" s="18" t="str">
        <f t="shared" si="2"/>
        <v/>
      </c>
      <c r="B155" s="25"/>
      <c r="C155" s="25"/>
      <c r="D155" s="25"/>
      <c r="E155" s="25"/>
      <c r="F155" s="25"/>
      <c r="G155" s="25"/>
      <c r="H155" s="37"/>
      <c r="I155" s="25"/>
      <c r="J155" s="38"/>
      <c r="K155" s="40"/>
      <c r="S155" s="25"/>
      <c r="T155" s="25" t="str">
        <f>IFERROR(IF(ISBLANK(S155),"",INDEX(Gen_Vessels!$A$3:$C$500,MATCH(InspectionSite!$S155,Gen_Vessels!$C$3:$C$500,0),1)),"")</f>
        <v/>
      </c>
      <c r="U155" s="25"/>
      <c r="V155" s="25"/>
      <c r="W155" s="25" t="str">
        <f>IFERROR(IF(ISBLANK(V155),"",INDEX(Gen_Vessels!$A$3:$C$500,MATCH(InspectionSite!$V155,Gen_Vessels!$C$3:$C$500,0),1)),"")</f>
        <v/>
      </c>
      <c r="X155" s="25"/>
      <c r="Y155" s="25"/>
      <c r="Z155" s="25"/>
      <c r="AA155" s="25"/>
      <c r="AB155" s="25"/>
      <c r="AC155" s="25"/>
      <c r="AE155" s="25"/>
      <c r="AF155" s="49"/>
      <c r="AG155" s="25"/>
      <c r="AH155" s="25"/>
      <c r="AI155" s="25"/>
      <c r="AJ155" s="25"/>
      <c r="AK155" s="25"/>
    </row>
    <row r="156" spans="1:37" x14ac:dyDescent="0.25">
      <c r="A156" s="18" t="str">
        <f t="shared" si="2"/>
        <v/>
      </c>
      <c r="B156" s="25"/>
      <c r="C156" s="25"/>
      <c r="D156" s="25"/>
      <c r="E156" s="25"/>
      <c r="F156" s="25"/>
      <c r="G156" s="25"/>
      <c r="H156" s="37"/>
      <c r="I156" s="25"/>
      <c r="J156" s="38"/>
      <c r="K156" s="40"/>
      <c r="S156" s="25"/>
      <c r="T156" s="25" t="str">
        <f>IFERROR(IF(ISBLANK(S156),"",INDEX(Gen_Vessels!$A$3:$C$500,MATCH(InspectionSite!$S156,Gen_Vessels!$C$3:$C$500,0),1)),"")</f>
        <v/>
      </c>
      <c r="U156" s="25"/>
      <c r="V156" s="25"/>
      <c r="W156" s="25" t="str">
        <f>IFERROR(IF(ISBLANK(V156),"",INDEX(Gen_Vessels!$A$3:$C$500,MATCH(InspectionSite!$V156,Gen_Vessels!$C$3:$C$500,0),1)),"")</f>
        <v/>
      </c>
      <c r="X156" s="25"/>
      <c r="Y156" s="25"/>
      <c r="Z156" s="25"/>
      <c r="AA156" s="25"/>
      <c r="AB156" s="25"/>
      <c r="AC156" s="25"/>
      <c r="AE156" s="25"/>
      <c r="AF156" s="49"/>
      <c r="AG156" s="25"/>
      <c r="AH156" s="25"/>
      <c r="AI156" s="25"/>
      <c r="AJ156" s="25"/>
      <c r="AK156" s="25"/>
    </row>
    <row r="157" spans="1:37" x14ac:dyDescent="0.25">
      <c r="A157" s="18" t="str">
        <f t="shared" si="2"/>
        <v/>
      </c>
      <c r="B157" s="25"/>
      <c r="C157" s="25"/>
      <c r="D157" s="25"/>
      <c r="E157" s="25"/>
      <c r="F157" s="25"/>
      <c r="G157" s="25"/>
      <c r="H157" s="37"/>
      <c r="I157" s="25"/>
      <c r="J157" s="38"/>
      <c r="K157" s="40"/>
      <c r="S157" s="25"/>
      <c r="T157" s="25" t="str">
        <f>IFERROR(IF(ISBLANK(S157),"",INDEX(Gen_Vessels!$A$3:$C$500,MATCH(InspectionSite!$S157,Gen_Vessels!$C$3:$C$500,0),1)),"")</f>
        <v/>
      </c>
      <c r="U157" s="25"/>
      <c r="V157" s="25"/>
      <c r="W157" s="25" t="str">
        <f>IFERROR(IF(ISBLANK(V157),"",INDEX(Gen_Vessels!$A$3:$C$500,MATCH(InspectionSite!$V157,Gen_Vessels!$C$3:$C$500,0),1)),"")</f>
        <v/>
      </c>
      <c r="X157" s="25"/>
      <c r="Y157" s="25"/>
      <c r="Z157" s="25"/>
      <c r="AA157" s="25"/>
      <c r="AB157" s="25"/>
      <c r="AC157" s="25"/>
      <c r="AE157" s="25"/>
      <c r="AF157" s="49"/>
      <c r="AG157" s="25"/>
      <c r="AH157" s="25"/>
      <c r="AI157" s="25"/>
      <c r="AJ157" s="25"/>
      <c r="AK157" s="25"/>
    </row>
    <row r="158" spans="1:37" x14ac:dyDescent="0.25">
      <c r="A158" s="18" t="str">
        <f t="shared" si="2"/>
        <v/>
      </c>
      <c r="B158" s="25"/>
      <c r="C158" s="25"/>
      <c r="D158" s="25"/>
      <c r="E158" s="25"/>
      <c r="F158" s="25"/>
      <c r="G158" s="25"/>
      <c r="H158" s="37"/>
      <c r="I158" s="25"/>
      <c r="J158" s="38"/>
      <c r="K158" s="40"/>
      <c r="S158" s="25"/>
      <c r="T158" s="25" t="str">
        <f>IFERROR(IF(ISBLANK(S158),"",INDEX(Gen_Vessels!$A$3:$C$500,MATCH(InspectionSite!$S158,Gen_Vessels!$C$3:$C$500,0),1)),"")</f>
        <v/>
      </c>
      <c r="U158" s="25"/>
      <c r="V158" s="25"/>
      <c r="W158" s="25" t="str">
        <f>IFERROR(IF(ISBLANK(V158),"",INDEX(Gen_Vessels!$A$3:$C$500,MATCH(InspectionSite!$V158,Gen_Vessels!$C$3:$C$500,0),1)),"")</f>
        <v/>
      </c>
      <c r="X158" s="25"/>
      <c r="Y158" s="25"/>
      <c r="Z158" s="25"/>
      <c r="AA158" s="25"/>
      <c r="AB158" s="25"/>
      <c r="AC158" s="25"/>
      <c r="AE158" s="25"/>
      <c r="AF158" s="49"/>
      <c r="AG158" s="25"/>
      <c r="AH158" s="25"/>
      <c r="AI158" s="25"/>
      <c r="AJ158" s="25"/>
      <c r="AK158" s="25"/>
    </row>
    <row r="159" spans="1:37" x14ac:dyDescent="0.25">
      <c r="A159" s="18" t="str">
        <f t="shared" si="2"/>
        <v/>
      </c>
      <c r="B159" s="25"/>
      <c r="C159" s="25"/>
      <c r="D159" s="25"/>
      <c r="E159" s="25"/>
      <c r="F159" s="25"/>
      <c r="G159" s="25"/>
      <c r="H159" s="37"/>
      <c r="I159" s="25"/>
      <c r="J159" s="38"/>
      <c r="K159" s="40"/>
      <c r="S159" s="25"/>
      <c r="T159" s="25" t="str">
        <f>IFERROR(IF(ISBLANK(S159),"",INDEX(Gen_Vessels!$A$3:$C$500,MATCH(InspectionSite!$S159,Gen_Vessels!$C$3:$C$500,0),1)),"")</f>
        <v/>
      </c>
      <c r="U159" s="25"/>
      <c r="V159" s="25"/>
      <c r="W159" s="25" t="str">
        <f>IFERROR(IF(ISBLANK(V159),"",INDEX(Gen_Vessels!$A$3:$C$500,MATCH(InspectionSite!$V159,Gen_Vessels!$C$3:$C$500,0),1)),"")</f>
        <v/>
      </c>
      <c r="X159" s="25"/>
      <c r="Y159" s="25"/>
      <c r="Z159" s="25"/>
      <c r="AA159" s="25"/>
      <c r="AB159" s="25"/>
      <c r="AC159" s="25"/>
      <c r="AE159" s="25"/>
      <c r="AF159" s="49"/>
      <c r="AG159" s="25"/>
      <c r="AH159" s="25"/>
      <c r="AI159" s="25"/>
      <c r="AJ159" s="25"/>
      <c r="AK159" s="25"/>
    </row>
    <row r="160" spans="1:37" x14ac:dyDescent="0.25">
      <c r="A160" s="18" t="str">
        <f t="shared" si="2"/>
        <v/>
      </c>
      <c r="B160" s="25"/>
      <c r="C160" s="25"/>
      <c r="D160" s="25"/>
      <c r="E160" s="25"/>
      <c r="F160" s="25"/>
      <c r="G160" s="25"/>
      <c r="H160" s="37"/>
      <c r="I160" s="25"/>
      <c r="J160" s="38"/>
      <c r="K160" s="40"/>
      <c r="S160" s="25"/>
      <c r="T160" s="25" t="str">
        <f>IFERROR(IF(ISBLANK(S160),"",INDEX(Gen_Vessels!$A$3:$C$500,MATCH(InspectionSite!$S160,Gen_Vessels!$C$3:$C$500,0),1)),"")</f>
        <v/>
      </c>
      <c r="U160" s="25"/>
      <c r="V160" s="25"/>
      <c r="W160" s="25" t="str">
        <f>IFERROR(IF(ISBLANK(V160),"",INDEX(Gen_Vessels!$A$3:$C$500,MATCH(InspectionSite!$V160,Gen_Vessels!$C$3:$C$500,0),1)),"")</f>
        <v/>
      </c>
      <c r="X160" s="25"/>
      <c r="Y160" s="25"/>
      <c r="Z160" s="25"/>
      <c r="AA160" s="25"/>
      <c r="AB160" s="25"/>
      <c r="AC160" s="25"/>
      <c r="AE160" s="25"/>
      <c r="AF160" s="49"/>
      <c r="AG160" s="25"/>
      <c r="AH160" s="25"/>
      <c r="AI160" s="25"/>
      <c r="AJ160" s="25"/>
      <c r="AK160" s="25"/>
    </row>
    <row r="161" spans="1:37" x14ac:dyDescent="0.25">
      <c r="A161" s="18" t="str">
        <f t="shared" si="2"/>
        <v/>
      </c>
      <c r="B161" s="25"/>
      <c r="C161" s="25"/>
      <c r="D161" s="25"/>
      <c r="E161" s="25"/>
      <c r="F161" s="25"/>
      <c r="G161" s="25"/>
      <c r="H161" s="37"/>
      <c r="I161" s="25"/>
      <c r="J161" s="38"/>
      <c r="K161" s="40"/>
      <c r="S161" s="25"/>
      <c r="T161" s="25" t="str">
        <f>IFERROR(IF(ISBLANK(S161),"",INDEX(Gen_Vessels!$A$3:$C$500,MATCH(InspectionSite!$S161,Gen_Vessels!$C$3:$C$500,0),1)),"")</f>
        <v/>
      </c>
      <c r="U161" s="25"/>
      <c r="V161" s="25"/>
      <c r="W161" s="25" t="str">
        <f>IFERROR(IF(ISBLANK(V161),"",INDEX(Gen_Vessels!$A$3:$C$500,MATCH(InspectionSite!$V161,Gen_Vessels!$C$3:$C$500,0),1)),"")</f>
        <v/>
      </c>
      <c r="X161" s="25"/>
      <c r="Y161" s="25"/>
      <c r="Z161" s="25"/>
      <c r="AA161" s="25"/>
      <c r="AB161" s="25"/>
      <c r="AC161" s="25"/>
      <c r="AE161" s="25"/>
      <c r="AF161" s="49"/>
      <c r="AG161" s="25"/>
      <c r="AH161" s="25"/>
      <c r="AI161" s="25"/>
      <c r="AJ161" s="25"/>
      <c r="AK161" s="25"/>
    </row>
    <row r="162" spans="1:37" x14ac:dyDescent="0.25">
      <c r="A162" s="18" t="str">
        <f t="shared" si="2"/>
        <v/>
      </c>
      <c r="B162" s="25"/>
      <c r="C162" s="25"/>
      <c r="D162" s="25"/>
      <c r="E162" s="25"/>
      <c r="F162" s="25"/>
      <c r="G162" s="25"/>
      <c r="H162" s="37"/>
      <c r="I162" s="25"/>
      <c r="J162" s="38"/>
      <c r="K162" s="40"/>
      <c r="S162" s="25"/>
      <c r="T162" s="25" t="str">
        <f>IFERROR(IF(ISBLANK(S162),"",INDEX(Gen_Vessels!$A$3:$C$500,MATCH(InspectionSite!$S162,Gen_Vessels!$C$3:$C$500,0),1)),"")</f>
        <v/>
      </c>
      <c r="U162" s="25"/>
      <c r="V162" s="25"/>
      <c r="W162" s="25" t="str">
        <f>IFERROR(IF(ISBLANK(V162),"",INDEX(Gen_Vessels!$A$3:$C$500,MATCH(InspectionSite!$V162,Gen_Vessels!$C$3:$C$500,0),1)),"")</f>
        <v/>
      </c>
      <c r="X162" s="25"/>
      <c r="Y162" s="25"/>
      <c r="Z162" s="25"/>
      <c r="AA162" s="25"/>
      <c r="AB162" s="25"/>
      <c r="AC162" s="25"/>
      <c r="AE162" s="25"/>
      <c r="AF162" s="49"/>
      <c r="AG162" s="25"/>
      <c r="AH162" s="25"/>
      <c r="AI162" s="25"/>
      <c r="AJ162" s="25"/>
      <c r="AK162" s="25"/>
    </row>
    <row r="163" spans="1:37" x14ac:dyDescent="0.25">
      <c r="A163" s="18" t="str">
        <f t="shared" si="2"/>
        <v/>
      </c>
      <c r="B163" s="25"/>
      <c r="C163" s="25"/>
      <c r="D163" s="25"/>
      <c r="E163" s="25"/>
      <c r="F163" s="25"/>
      <c r="G163" s="25"/>
      <c r="H163" s="37"/>
      <c r="I163" s="25"/>
      <c r="J163" s="38"/>
      <c r="K163" s="40"/>
      <c r="S163" s="25"/>
      <c r="T163" s="25" t="str">
        <f>IFERROR(IF(ISBLANK(S163),"",INDEX(Gen_Vessels!$A$3:$C$500,MATCH(InspectionSite!$S163,Gen_Vessels!$C$3:$C$500,0),1)),"")</f>
        <v/>
      </c>
      <c r="U163" s="25"/>
      <c r="V163" s="25"/>
      <c r="W163" s="25" t="str">
        <f>IFERROR(IF(ISBLANK(V163),"",INDEX(Gen_Vessels!$A$3:$C$500,MATCH(InspectionSite!$V163,Gen_Vessels!$C$3:$C$500,0),1)),"")</f>
        <v/>
      </c>
      <c r="X163" s="25"/>
      <c r="Y163" s="25"/>
      <c r="Z163" s="25"/>
      <c r="AA163" s="25"/>
      <c r="AB163" s="25"/>
      <c r="AC163" s="25"/>
      <c r="AE163" s="25"/>
      <c r="AF163" s="49"/>
      <c r="AG163" s="25"/>
      <c r="AH163" s="25"/>
      <c r="AI163" s="25"/>
      <c r="AJ163" s="25"/>
      <c r="AK163" s="25"/>
    </row>
    <row r="164" spans="1:37" x14ac:dyDescent="0.25">
      <c r="A164" s="18" t="str">
        <f t="shared" si="2"/>
        <v/>
      </c>
      <c r="B164" s="25"/>
      <c r="C164" s="25"/>
      <c r="D164" s="25"/>
      <c r="E164" s="25"/>
      <c r="F164" s="25"/>
      <c r="G164" s="25"/>
      <c r="H164" s="37"/>
      <c r="I164" s="25"/>
      <c r="J164" s="38"/>
      <c r="K164" s="40"/>
      <c r="S164" s="25"/>
      <c r="T164" s="25" t="str">
        <f>IFERROR(IF(ISBLANK(S164),"",INDEX(Gen_Vessels!$A$3:$C$500,MATCH(InspectionSite!$S164,Gen_Vessels!$C$3:$C$500,0),1)),"")</f>
        <v/>
      </c>
      <c r="U164" s="25"/>
      <c r="V164" s="25"/>
      <c r="W164" s="25" t="str">
        <f>IFERROR(IF(ISBLANK(V164),"",INDEX(Gen_Vessels!$A$3:$C$500,MATCH(InspectionSite!$V164,Gen_Vessels!$C$3:$C$500,0),1)),"")</f>
        <v/>
      </c>
      <c r="X164" s="25"/>
      <c r="Y164" s="25"/>
      <c r="Z164" s="25"/>
      <c r="AA164" s="25"/>
      <c r="AB164" s="25"/>
      <c r="AC164" s="25"/>
      <c r="AE164" s="25"/>
      <c r="AF164" s="49"/>
      <c r="AG164" s="25"/>
      <c r="AH164" s="25"/>
      <c r="AI164" s="25"/>
      <c r="AJ164" s="25"/>
      <c r="AK164" s="25"/>
    </row>
    <row r="165" spans="1:37" x14ac:dyDescent="0.25">
      <c r="A165" s="18" t="str">
        <f t="shared" si="2"/>
        <v/>
      </c>
      <c r="B165" s="25"/>
      <c r="C165" s="25"/>
      <c r="D165" s="25"/>
      <c r="E165" s="25"/>
      <c r="F165" s="25"/>
      <c r="G165" s="25"/>
      <c r="H165" s="37"/>
      <c r="I165" s="25"/>
      <c r="J165" s="38"/>
      <c r="K165" s="40"/>
      <c r="S165" s="25"/>
      <c r="T165" s="25" t="str">
        <f>IFERROR(IF(ISBLANK(S165),"",INDEX(Gen_Vessels!$A$3:$C$500,MATCH(InspectionSite!$S165,Gen_Vessels!$C$3:$C$500,0),1)),"")</f>
        <v/>
      </c>
      <c r="U165" s="25"/>
      <c r="V165" s="25"/>
      <c r="W165" s="25" t="str">
        <f>IFERROR(IF(ISBLANK(V165),"",INDEX(Gen_Vessels!$A$3:$C$500,MATCH(InspectionSite!$V165,Gen_Vessels!$C$3:$C$500,0),1)),"")</f>
        <v/>
      </c>
      <c r="X165" s="25"/>
      <c r="Y165" s="25"/>
      <c r="Z165" s="25"/>
      <c r="AA165" s="25"/>
      <c r="AB165" s="25"/>
      <c r="AC165" s="25"/>
      <c r="AE165" s="25"/>
      <c r="AF165" s="49"/>
      <c r="AG165" s="25"/>
      <c r="AH165" s="25"/>
      <c r="AI165" s="25"/>
      <c r="AJ165" s="25"/>
      <c r="AK165" s="25"/>
    </row>
    <row r="166" spans="1:37" x14ac:dyDescent="0.25">
      <c r="A166" s="18" t="str">
        <f t="shared" si="2"/>
        <v/>
      </c>
      <c r="B166" s="25"/>
      <c r="C166" s="25"/>
      <c r="D166" s="25"/>
      <c r="E166" s="25"/>
      <c r="F166" s="25"/>
      <c r="G166" s="25"/>
      <c r="H166" s="37"/>
      <c r="I166" s="25"/>
      <c r="J166" s="38"/>
      <c r="K166" s="40"/>
      <c r="S166" s="25"/>
      <c r="T166" s="25" t="str">
        <f>IFERROR(IF(ISBLANK(S166),"",INDEX(Gen_Vessels!$A$3:$C$500,MATCH(InspectionSite!$S166,Gen_Vessels!$C$3:$C$500,0),1)),"")</f>
        <v/>
      </c>
      <c r="U166" s="25"/>
      <c r="V166" s="25"/>
      <c r="W166" s="25" t="str">
        <f>IFERROR(IF(ISBLANK(V166),"",INDEX(Gen_Vessels!$A$3:$C$500,MATCH(InspectionSite!$V166,Gen_Vessels!$C$3:$C$500,0),1)),"")</f>
        <v/>
      </c>
      <c r="X166" s="25"/>
      <c r="Y166" s="25"/>
      <c r="Z166" s="25"/>
      <c r="AA166" s="25"/>
      <c r="AB166" s="25"/>
      <c r="AC166" s="25"/>
      <c r="AE166" s="25"/>
      <c r="AF166" s="49"/>
      <c r="AG166" s="25"/>
      <c r="AH166" s="25"/>
      <c r="AI166" s="25"/>
      <c r="AJ166" s="25"/>
      <c r="AK166" s="25"/>
    </row>
    <row r="167" spans="1:37" x14ac:dyDescent="0.25">
      <c r="A167" s="18" t="str">
        <f t="shared" si="2"/>
        <v/>
      </c>
      <c r="B167" s="25"/>
      <c r="C167" s="25"/>
      <c r="D167" s="25"/>
      <c r="E167" s="25"/>
      <c r="F167" s="25"/>
      <c r="G167" s="25"/>
      <c r="H167" s="37"/>
      <c r="I167" s="25"/>
      <c r="J167" s="38"/>
      <c r="K167" s="40"/>
      <c r="S167" s="25"/>
      <c r="T167" s="25" t="str">
        <f>IFERROR(IF(ISBLANK(S167),"",INDEX(Gen_Vessels!$A$3:$C$500,MATCH(InspectionSite!$S167,Gen_Vessels!$C$3:$C$500,0),1)),"")</f>
        <v/>
      </c>
      <c r="U167" s="25"/>
      <c r="V167" s="25"/>
      <c r="W167" s="25" t="str">
        <f>IFERROR(IF(ISBLANK(V167),"",INDEX(Gen_Vessels!$A$3:$C$500,MATCH(InspectionSite!$V167,Gen_Vessels!$C$3:$C$500,0),1)),"")</f>
        <v/>
      </c>
      <c r="X167" s="25"/>
      <c r="Y167" s="25"/>
      <c r="Z167" s="25"/>
      <c r="AA167" s="25"/>
      <c r="AB167" s="25"/>
      <c r="AC167" s="25"/>
      <c r="AE167" s="25"/>
      <c r="AF167" s="49"/>
      <c r="AG167" s="25"/>
      <c r="AH167" s="25"/>
      <c r="AI167" s="25"/>
      <c r="AJ167" s="25"/>
      <c r="AK167" s="25"/>
    </row>
    <row r="168" spans="1:37" x14ac:dyDescent="0.25">
      <c r="A168" s="18" t="str">
        <f t="shared" si="2"/>
        <v/>
      </c>
      <c r="B168" s="25"/>
      <c r="C168" s="25"/>
      <c r="D168" s="25"/>
      <c r="E168" s="25"/>
      <c r="F168" s="25"/>
      <c r="G168" s="25"/>
      <c r="H168" s="37"/>
      <c r="I168" s="25"/>
      <c r="J168" s="38"/>
      <c r="K168" s="40"/>
      <c r="S168" s="25"/>
      <c r="T168" s="25" t="str">
        <f>IFERROR(IF(ISBLANK(S168),"",INDEX(Gen_Vessels!$A$3:$C$500,MATCH(InspectionSite!$S168,Gen_Vessels!$C$3:$C$500,0),1)),"")</f>
        <v/>
      </c>
      <c r="U168" s="25"/>
      <c r="V168" s="25"/>
      <c r="W168" s="25" t="str">
        <f>IFERROR(IF(ISBLANK(V168),"",INDEX(Gen_Vessels!$A$3:$C$500,MATCH(InspectionSite!$V168,Gen_Vessels!$C$3:$C$500,0),1)),"")</f>
        <v/>
      </c>
      <c r="X168" s="25"/>
      <c r="Y168" s="25"/>
      <c r="Z168" s="25"/>
      <c r="AA168" s="25"/>
      <c r="AB168" s="25"/>
      <c r="AC168" s="25"/>
      <c r="AE168" s="25"/>
      <c r="AF168" s="49"/>
      <c r="AG168" s="25"/>
      <c r="AH168" s="25"/>
      <c r="AI168" s="25"/>
      <c r="AJ168" s="25"/>
      <c r="AK168" s="25"/>
    </row>
    <row r="169" spans="1:37" x14ac:dyDescent="0.25">
      <c r="A169" s="18" t="str">
        <f t="shared" si="2"/>
        <v/>
      </c>
      <c r="B169" s="25"/>
      <c r="C169" s="25"/>
      <c r="D169" s="25"/>
      <c r="E169" s="25"/>
      <c r="F169" s="25"/>
      <c r="G169" s="25"/>
      <c r="H169" s="37"/>
      <c r="I169" s="25"/>
      <c r="J169" s="38"/>
      <c r="K169" s="40"/>
      <c r="S169" s="25"/>
      <c r="T169" s="25" t="str">
        <f>IFERROR(IF(ISBLANK(S169),"",INDEX(Gen_Vessels!$A$3:$C$500,MATCH(InspectionSite!$S169,Gen_Vessels!$C$3:$C$500,0),1)),"")</f>
        <v/>
      </c>
      <c r="U169" s="25"/>
      <c r="V169" s="25"/>
      <c r="W169" s="25" t="str">
        <f>IFERROR(IF(ISBLANK(V169),"",INDEX(Gen_Vessels!$A$3:$C$500,MATCH(InspectionSite!$V169,Gen_Vessels!$C$3:$C$500,0),1)),"")</f>
        <v/>
      </c>
      <c r="X169" s="25"/>
      <c r="Y169" s="25"/>
      <c r="Z169" s="25"/>
      <c r="AA169" s="25"/>
      <c r="AB169" s="25"/>
      <c r="AC169" s="25"/>
      <c r="AE169" s="25"/>
      <c r="AF169" s="49"/>
      <c r="AG169" s="25"/>
      <c r="AH169" s="25"/>
      <c r="AI169" s="25"/>
      <c r="AJ169" s="25"/>
      <c r="AK169" s="25"/>
    </row>
    <row r="170" spans="1:37" x14ac:dyDescent="0.25">
      <c r="A170" s="18" t="str">
        <f t="shared" si="2"/>
        <v/>
      </c>
      <c r="B170" s="25"/>
      <c r="C170" s="25"/>
      <c r="D170" s="25"/>
      <c r="E170" s="25"/>
      <c r="F170" s="25"/>
      <c r="G170" s="25"/>
      <c r="H170" s="37"/>
      <c r="I170" s="25"/>
      <c r="J170" s="38"/>
      <c r="K170" s="40"/>
      <c r="S170" s="25"/>
      <c r="T170" s="25" t="str">
        <f>IFERROR(IF(ISBLANK(S170),"",INDEX(Gen_Vessels!$A$3:$C$500,MATCH(InspectionSite!$S170,Gen_Vessels!$C$3:$C$500,0),1)),"")</f>
        <v/>
      </c>
      <c r="U170" s="25"/>
      <c r="V170" s="25"/>
      <c r="W170" s="25" t="str">
        <f>IFERROR(IF(ISBLANK(V170),"",INDEX(Gen_Vessels!$A$3:$C$500,MATCH(InspectionSite!$V170,Gen_Vessels!$C$3:$C$500,0),1)),"")</f>
        <v/>
      </c>
      <c r="X170" s="25"/>
      <c r="Y170" s="25"/>
      <c r="Z170" s="25"/>
      <c r="AA170" s="25"/>
      <c r="AB170" s="25"/>
      <c r="AC170" s="25"/>
      <c r="AE170" s="25"/>
      <c r="AF170" s="49"/>
      <c r="AG170" s="25"/>
      <c r="AH170" s="25"/>
      <c r="AI170" s="25"/>
      <c r="AJ170" s="25"/>
      <c r="AK170" s="25"/>
    </row>
    <row r="171" spans="1:37" x14ac:dyDescent="0.25">
      <c r="A171" s="18" t="str">
        <f t="shared" si="2"/>
        <v/>
      </c>
      <c r="B171" s="25"/>
      <c r="C171" s="25"/>
      <c r="D171" s="25"/>
      <c r="E171" s="25"/>
      <c r="F171" s="25"/>
      <c r="G171" s="25"/>
      <c r="H171" s="37"/>
      <c r="I171" s="25"/>
      <c r="J171" s="38"/>
      <c r="K171" s="40"/>
      <c r="S171" s="25"/>
      <c r="T171" s="25" t="str">
        <f>IFERROR(IF(ISBLANK(S171),"",INDEX(Gen_Vessels!$A$3:$C$500,MATCH(InspectionSite!$S171,Gen_Vessels!$C$3:$C$500,0),1)),"")</f>
        <v/>
      </c>
      <c r="U171" s="25"/>
      <c r="V171" s="25"/>
      <c r="W171" s="25" t="str">
        <f>IFERROR(IF(ISBLANK(V171),"",INDEX(Gen_Vessels!$A$3:$C$500,MATCH(InspectionSite!$V171,Gen_Vessels!$C$3:$C$500,0),1)),"")</f>
        <v/>
      </c>
      <c r="X171" s="25"/>
      <c r="Y171" s="25"/>
      <c r="Z171" s="25"/>
      <c r="AA171" s="25"/>
      <c r="AB171" s="25"/>
      <c r="AC171" s="25"/>
      <c r="AE171" s="25"/>
      <c r="AF171" s="49"/>
      <c r="AG171" s="25"/>
      <c r="AH171" s="25"/>
      <c r="AI171" s="25"/>
      <c r="AJ171" s="25"/>
      <c r="AK171" s="25"/>
    </row>
    <row r="172" spans="1:37" x14ac:dyDescent="0.25">
      <c r="A172" s="18" t="str">
        <f t="shared" si="2"/>
        <v/>
      </c>
      <c r="B172" s="25"/>
      <c r="C172" s="25"/>
      <c r="D172" s="25"/>
      <c r="E172" s="25"/>
      <c r="F172" s="25"/>
      <c r="G172" s="25"/>
      <c r="H172" s="37"/>
      <c r="I172" s="25"/>
      <c r="J172" s="38"/>
      <c r="K172" s="40"/>
      <c r="S172" s="25"/>
      <c r="T172" s="25" t="str">
        <f>IFERROR(IF(ISBLANK(S172),"",INDEX(Gen_Vessels!$A$3:$C$500,MATCH(InspectionSite!$S172,Gen_Vessels!$C$3:$C$500,0),1)),"")</f>
        <v/>
      </c>
      <c r="U172" s="25"/>
      <c r="V172" s="25"/>
      <c r="W172" s="25" t="str">
        <f>IFERROR(IF(ISBLANK(V172),"",INDEX(Gen_Vessels!$A$3:$C$500,MATCH(InspectionSite!$V172,Gen_Vessels!$C$3:$C$500,0),1)),"")</f>
        <v/>
      </c>
      <c r="X172" s="25"/>
      <c r="Y172" s="25"/>
      <c r="Z172" s="25"/>
      <c r="AA172" s="25"/>
      <c r="AB172" s="25"/>
      <c r="AC172" s="25"/>
      <c r="AE172" s="25"/>
      <c r="AF172" s="49"/>
      <c r="AG172" s="25"/>
      <c r="AH172" s="25"/>
      <c r="AI172" s="25"/>
      <c r="AJ172" s="25"/>
      <c r="AK172" s="25"/>
    </row>
    <row r="173" spans="1:37" x14ac:dyDescent="0.25">
      <c r="A173" s="18" t="str">
        <f t="shared" si="2"/>
        <v/>
      </c>
      <c r="B173" s="25"/>
      <c r="C173" s="25"/>
      <c r="D173" s="25"/>
      <c r="E173" s="25"/>
      <c r="F173" s="25"/>
      <c r="G173" s="25"/>
      <c r="H173" s="37"/>
      <c r="I173" s="25"/>
      <c r="J173" s="38"/>
      <c r="K173" s="40"/>
      <c r="S173" s="25"/>
      <c r="T173" s="25" t="str">
        <f>IFERROR(IF(ISBLANK(S173),"",INDEX(Gen_Vessels!$A$3:$C$500,MATCH(InspectionSite!$S173,Gen_Vessels!$C$3:$C$500,0),1)),"")</f>
        <v/>
      </c>
      <c r="U173" s="25"/>
      <c r="V173" s="25"/>
      <c r="W173" s="25" t="str">
        <f>IFERROR(IF(ISBLANK(V173),"",INDEX(Gen_Vessels!$A$3:$C$500,MATCH(InspectionSite!$V173,Gen_Vessels!$C$3:$C$500,0),1)),"")</f>
        <v/>
      </c>
      <c r="X173" s="25"/>
      <c r="Y173" s="25"/>
      <c r="Z173" s="25"/>
      <c r="AA173" s="25"/>
      <c r="AB173" s="25"/>
      <c r="AC173" s="25"/>
      <c r="AE173" s="25"/>
      <c r="AF173" s="49"/>
      <c r="AG173" s="25"/>
      <c r="AH173" s="25"/>
      <c r="AI173" s="25"/>
      <c r="AJ173" s="25"/>
      <c r="AK173" s="25"/>
    </row>
    <row r="174" spans="1:37" x14ac:dyDescent="0.25">
      <c r="A174" s="18" t="str">
        <f t="shared" si="2"/>
        <v/>
      </c>
      <c r="B174" s="25"/>
      <c r="C174" s="25"/>
      <c r="D174" s="25"/>
      <c r="E174" s="25"/>
      <c r="F174" s="25"/>
      <c r="G174" s="25"/>
      <c r="H174" s="37"/>
      <c r="I174" s="25"/>
      <c r="J174" s="38"/>
      <c r="K174" s="40"/>
      <c r="S174" s="25"/>
      <c r="T174" s="25" t="str">
        <f>IFERROR(IF(ISBLANK(S174),"",INDEX(Gen_Vessels!$A$3:$C$500,MATCH(InspectionSite!$S174,Gen_Vessels!$C$3:$C$500,0),1)),"")</f>
        <v/>
      </c>
      <c r="U174" s="25"/>
      <c r="V174" s="25"/>
      <c r="W174" s="25" t="str">
        <f>IFERROR(IF(ISBLANK(V174),"",INDEX(Gen_Vessels!$A$3:$C$500,MATCH(InspectionSite!$V174,Gen_Vessels!$C$3:$C$500,0),1)),"")</f>
        <v/>
      </c>
      <c r="X174" s="25"/>
      <c r="Y174" s="25"/>
      <c r="Z174" s="25"/>
      <c r="AA174" s="25"/>
      <c r="AB174" s="25"/>
      <c r="AC174" s="25"/>
      <c r="AE174" s="25"/>
      <c r="AF174" s="49"/>
      <c r="AG174" s="25"/>
      <c r="AH174" s="25"/>
      <c r="AI174" s="25"/>
      <c r="AJ174" s="25"/>
      <c r="AK174" s="25"/>
    </row>
    <row r="175" spans="1:37" x14ac:dyDescent="0.25">
      <c r="A175" s="18" t="str">
        <f t="shared" si="2"/>
        <v/>
      </c>
      <c r="B175" s="25"/>
      <c r="C175" s="25"/>
      <c r="D175" s="25"/>
      <c r="E175" s="25"/>
      <c r="F175" s="25"/>
      <c r="G175" s="25"/>
      <c r="H175" s="37"/>
      <c r="I175" s="25"/>
      <c r="J175" s="38"/>
      <c r="K175" s="40"/>
      <c r="S175" s="25"/>
      <c r="T175" s="25" t="str">
        <f>IFERROR(IF(ISBLANK(S175),"",INDEX(Gen_Vessels!$A$3:$C$500,MATCH(InspectionSite!$S175,Gen_Vessels!$C$3:$C$500,0),1)),"")</f>
        <v/>
      </c>
      <c r="U175" s="25"/>
      <c r="V175" s="25"/>
      <c r="W175" s="25" t="str">
        <f>IFERROR(IF(ISBLANK(V175),"",INDEX(Gen_Vessels!$A$3:$C$500,MATCH(InspectionSite!$V175,Gen_Vessels!$C$3:$C$500,0),1)),"")</f>
        <v/>
      </c>
      <c r="X175" s="25"/>
      <c r="Y175" s="25"/>
      <c r="Z175" s="25"/>
      <c r="AA175" s="25"/>
      <c r="AB175" s="25"/>
      <c r="AC175" s="25"/>
      <c r="AE175" s="25"/>
      <c r="AF175" s="49"/>
      <c r="AG175" s="25"/>
      <c r="AH175" s="25"/>
      <c r="AI175" s="25"/>
      <c r="AJ175" s="25"/>
      <c r="AK175" s="25"/>
    </row>
    <row r="176" spans="1:37" x14ac:dyDescent="0.25">
      <c r="A176" s="18" t="str">
        <f t="shared" si="2"/>
        <v/>
      </c>
      <c r="B176" s="25"/>
      <c r="C176" s="25"/>
      <c r="D176" s="25"/>
      <c r="E176" s="25"/>
      <c r="F176" s="25"/>
      <c r="G176" s="25"/>
      <c r="H176" s="37"/>
      <c r="I176" s="25"/>
      <c r="J176" s="38"/>
      <c r="K176" s="40"/>
      <c r="S176" s="25"/>
      <c r="T176" s="25" t="str">
        <f>IFERROR(IF(ISBLANK(S176),"",INDEX(Gen_Vessels!$A$3:$C$500,MATCH(InspectionSite!$S176,Gen_Vessels!$C$3:$C$500,0),1)),"")</f>
        <v/>
      </c>
      <c r="U176" s="25"/>
      <c r="V176" s="25"/>
      <c r="W176" s="25" t="str">
        <f>IFERROR(IF(ISBLANK(V176),"",INDEX(Gen_Vessels!$A$3:$C$500,MATCH(InspectionSite!$V176,Gen_Vessels!$C$3:$C$500,0),1)),"")</f>
        <v/>
      </c>
      <c r="X176" s="25"/>
      <c r="Y176" s="25"/>
      <c r="Z176" s="25"/>
      <c r="AA176" s="25"/>
      <c r="AB176" s="25"/>
      <c r="AC176" s="25"/>
      <c r="AE176" s="25"/>
      <c r="AF176" s="49"/>
      <c r="AG176" s="25"/>
      <c r="AH176" s="25"/>
      <c r="AI176" s="25"/>
      <c r="AJ176" s="25"/>
      <c r="AK176" s="25"/>
    </row>
    <row r="177" spans="1:37" x14ac:dyDescent="0.25">
      <c r="A177" s="18" t="str">
        <f t="shared" si="2"/>
        <v/>
      </c>
      <c r="B177" s="25"/>
      <c r="C177" s="25"/>
      <c r="D177" s="25"/>
      <c r="E177" s="25"/>
      <c r="F177" s="25"/>
      <c r="G177" s="25"/>
      <c r="H177" s="37"/>
      <c r="I177" s="25"/>
      <c r="J177" s="38"/>
      <c r="K177" s="40"/>
      <c r="S177" s="25"/>
      <c r="T177" s="25" t="str">
        <f>IFERROR(IF(ISBLANK(S177),"",INDEX(Gen_Vessels!$A$3:$C$500,MATCH(InspectionSite!$S177,Gen_Vessels!$C$3:$C$500,0),1)),"")</f>
        <v/>
      </c>
      <c r="U177" s="25"/>
      <c r="V177" s="25"/>
      <c r="W177" s="25" t="str">
        <f>IFERROR(IF(ISBLANK(V177),"",INDEX(Gen_Vessels!$A$3:$C$500,MATCH(InspectionSite!$V177,Gen_Vessels!$C$3:$C$500,0),1)),"")</f>
        <v/>
      </c>
      <c r="X177" s="25"/>
      <c r="Y177" s="25"/>
      <c r="Z177" s="25"/>
      <c r="AA177" s="25"/>
      <c r="AB177" s="25"/>
      <c r="AC177" s="25"/>
      <c r="AE177" s="25"/>
      <c r="AF177" s="49"/>
      <c r="AG177" s="25"/>
      <c r="AH177" s="25"/>
      <c r="AI177" s="25"/>
      <c r="AJ177" s="25"/>
      <c r="AK177" s="25"/>
    </row>
    <row r="178" spans="1:37" x14ac:dyDescent="0.25">
      <c r="A178" s="18" t="str">
        <f t="shared" si="2"/>
        <v/>
      </c>
      <c r="B178" s="25"/>
      <c r="C178" s="25"/>
      <c r="D178" s="25"/>
      <c r="E178" s="25"/>
      <c r="F178" s="25"/>
      <c r="G178" s="25"/>
      <c r="H178" s="37"/>
      <c r="I178" s="25"/>
      <c r="J178" s="38"/>
      <c r="K178" s="40"/>
      <c r="S178" s="25"/>
      <c r="T178" s="25" t="str">
        <f>IFERROR(IF(ISBLANK(S178),"",INDEX(Gen_Vessels!$A$3:$C$500,MATCH(InspectionSite!$S178,Gen_Vessels!$C$3:$C$500,0),1)),"")</f>
        <v/>
      </c>
      <c r="U178" s="25"/>
      <c r="V178" s="25"/>
      <c r="W178" s="25" t="str">
        <f>IFERROR(IF(ISBLANK(V178),"",INDEX(Gen_Vessels!$A$3:$C$500,MATCH(InspectionSite!$V178,Gen_Vessels!$C$3:$C$500,0),1)),"")</f>
        <v/>
      </c>
      <c r="X178" s="25"/>
      <c r="Y178" s="25"/>
      <c r="Z178" s="25"/>
      <c r="AA178" s="25"/>
      <c r="AB178" s="25"/>
      <c r="AC178" s="25"/>
      <c r="AE178" s="25"/>
      <c r="AF178" s="49"/>
      <c r="AG178" s="25"/>
      <c r="AH178" s="25"/>
      <c r="AI178" s="25"/>
      <c r="AJ178" s="25"/>
      <c r="AK178" s="25"/>
    </row>
    <row r="179" spans="1:37" x14ac:dyDescent="0.25">
      <c r="A179" s="18" t="str">
        <f t="shared" si="2"/>
        <v/>
      </c>
      <c r="B179" s="25"/>
      <c r="C179" s="25"/>
      <c r="D179" s="25"/>
      <c r="E179" s="25"/>
      <c r="F179" s="25"/>
      <c r="G179" s="25"/>
      <c r="H179" s="37"/>
      <c r="I179" s="25"/>
      <c r="J179" s="38"/>
      <c r="K179" s="40"/>
      <c r="S179" s="25"/>
      <c r="T179" s="25" t="str">
        <f>IFERROR(IF(ISBLANK(S179),"",INDEX(Gen_Vessels!$A$3:$C$500,MATCH(InspectionSite!$S179,Gen_Vessels!$C$3:$C$500,0),1)),"")</f>
        <v/>
      </c>
      <c r="U179" s="25"/>
      <c r="V179" s="25"/>
      <c r="W179" s="25" t="str">
        <f>IFERROR(IF(ISBLANK(V179),"",INDEX(Gen_Vessels!$A$3:$C$500,MATCH(InspectionSite!$V179,Gen_Vessels!$C$3:$C$500,0),1)),"")</f>
        <v/>
      </c>
      <c r="X179" s="25"/>
      <c r="Y179" s="25"/>
      <c r="Z179" s="25"/>
      <c r="AA179" s="25"/>
      <c r="AB179" s="25"/>
      <c r="AC179" s="25"/>
      <c r="AE179" s="25"/>
      <c r="AF179" s="49"/>
      <c r="AG179" s="25"/>
      <c r="AH179" s="25"/>
      <c r="AI179" s="25"/>
      <c r="AJ179" s="25"/>
      <c r="AK179" s="25"/>
    </row>
    <row r="180" spans="1:37" x14ac:dyDescent="0.25">
      <c r="A180" s="18" t="str">
        <f t="shared" si="2"/>
        <v/>
      </c>
      <c r="B180" s="25"/>
      <c r="C180" s="25"/>
      <c r="D180" s="25"/>
      <c r="E180" s="25"/>
      <c r="F180" s="25"/>
      <c r="G180" s="25"/>
      <c r="H180" s="37"/>
      <c r="I180" s="25"/>
      <c r="J180" s="38"/>
      <c r="K180" s="40"/>
      <c r="S180" s="25"/>
      <c r="T180" s="25" t="str">
        <f>IFERROR(IF(ISBLANK(S180),"",INDEX(Gen_Vessels!$A$3:$C$500,MATCH(InspectionSite!$S180,Gen_Vessels!$C$3:$C$500,0),1)),"")</f>
        <v/>
      </c>
      <c r="U180" s="25"/>
      <c r="V180" s="25"/>
      <c r="W180" s="25" t="str">
        <f>IFERROR(IF(ISBLANK(V180),"",INDEX(Gen_Vessels!$A$3:$C$500,MATCH(InspectionSite!$V180,Gen_Vessels!$C$3:$C$500,0),1)),"")</f>
        <v/>
      </c>
      <c r="X180" s="25"/>
      <c r="Y180" s="25"/>
      <c r="Z180" s="25"/>
      <c r="AA180" s="25"/>
      <c r="AB180" s="25"/>
      <c r="AC180" s="25"/>
      <c r="AE180" s="25"/>
      <c r="AF180" s="49"/>
      <c r="AG180" s="25"/>
      <c r="AH180" s="25"/>
      <c r="AI180" s="25"/>
      <c r="AJ180" s="25"/>
      <c r="AK180" s="25"/>
    </row>
    <row r="181" spans="1:37" x14ac:dyDescent="0.25">
      <c r="A181" s="18" t="str">
        <f t="shared" si="2"/>
        <v/>
      </c>
      <c r="B181" s="25"/>
      <c r="C181" s="25"/>
      <c r="D181" s="25"/>
      <c r="E181" s="25"/>
      <c r="F181" s="25"/>
      <c r="G181" s="25"/>
      <c r="H181" s="37"/>
      <c r="I181" s="25"/>
      <c r="J181" s="38"/>
      <c r="K181" s="40"/>
      <c r="S181" s="25"/>
      <c r="T181" s="25" t="str">
        <f>IFERROR(IF(ISBLANK(S181),"",INDEX(Gen_Vessels!$A$3:$C$500,MATCH(InspectionSite!$S181,Gen_Vessels!$C$3:$C$500,0),1)),"")</f>
        <v/>
      </c>
      <c r="U181" s="25"/>
      <c r="V181" s="25"/>
      <c r="W181" s="25" t="str">
        <f>IFERROR(IF(ISBLANK(V181),"",INDEX(Gen_Vessels!$A$3:$C$500,MATCH(InspectionSite!$V181,Gen_Vessels!$C$3:$C$500,0),1)),"")</f>
        <v/>
      </c>
      <c r="X181" s="25"/>
      <c r="Y181" s="25"/>
      <c r="Z181" s="25"/>
      <c r="AA181" s="25"/>
      <c r="AB181" s="25"/>
      <c r="AC181" s="25"/>
      <c r="AE181" s="25"/>
      <c r="AF181" s="49"/>
      <c r="AG181" s="25"/>
      <c r="AH181" s="25"/>
      <c r="AI181" s="25"/>
      <c r="AJ181" s="25"/>
      <c r="AK181" s="25"/>
    </row>
    <row r="182" spans="1:37" x14ac:dyDescent="0.25">
      <c r="A182" s="18" t="str">
        <f t="shared" si="2"/>
        <v/>
      </c>
      <c r="B182" s="25"/>
      <c r="C182" s="25"/>
      <c r="D182" s="25"/>
      <c r="E182" s="25"/>
      <c r="F182" s="25"/>
      <c r="G182" s="25"/>
      <c r="H182" s="37"/>
      <c r="I182" s="25"/>
      <c r="J182" s="38"/>
      <c r="K182" s="40"/>
      <c r="S182" s="25"/>
      <c r="T182" s="25" t="str">
        <f>IFERROR(IF(ISBLANK(S182),"",INDEX(Gen_Vessels!$A$3:$C$500,MATCH(InspectionSite!$S182,Gen_Vessels!$C$3:$C$500,0),1)),"")</f>
        <v/>
      </c>
      <c r="U182" s="25"/>
      <c r="V182" s="25"/>
      <c r="W182" s="25" t="str">
        <f>IFERROR(IF(ISBLANK(V182),"",INDEX(Gen_Vessels!$A$3:$C$500,MATCH(InspectionSite!$V182,Gen_Vessels!$C$3:$C$500,0),1)),"")</f>
        <v/>
      </c>
      <c r="X182" s="25"/>
      <c r="Y182" s="25"/>
      <c r="Z182" s="25"/>
      <c r="AA182" s="25"/>
      <c r="AB182" s="25"/>
      <c r="AC182" s="25"/>
      <c r="AE182" s="25"/>
      <c r="AF182" s="49"/>
      <c r="AG182" s="25"/>
      <c r="AH182" s="25"/>
      <c r="AI182" s="25"/>
      <c r="AJ182" s="25"/>
      <c r="AK182" s="25"/>
    </row>
    <row r="183" spans="1:37" x14ac:dyDescent="0.25">
      <c r="A183" s="18" t="str">
        <f t="shared" si="2"/>
        <v/>
      </c>
      <c r="B183" s="25"/>
      <c r="C183" s="25"/>
      <c r="D183" s="25"/>
      <c r="E183" s="25"/>
      <c r="F183" s="25"/>
      <c r="G183" s="25"/>
      <c r="H183" s="37"/>
      <c r="I183" s="25"/>
      <c r="J183" s="38"/>
      <c r="K183" s="40"/>
      <c r="S183" s="25"/>
      <c r="T183" s="25" t="str">
        <f>IFERROR(IF(ISBLANK(S183),"",INDEX(Gen_Vessels!$A$3:$C$500,MATCH(InspectionSite!$S183,Gen_Vessels!$C$3:$C$500,0),1)),"")</f>
        <v/>
      </c>
      <c r="U183" s="25"/>
      <c r="V183" s="25"/>
      <c r="W183" s="25" t="str">
        <f>IFERROR(IF(ISBLANK(V183),"",INDEX(Gen_Vessels!$A$3:$C$500,MATCH(InspectionSite!$V183,Gen_Vessels!$C$3:$C$500,0),1)),"")</f>
        <v/>
      </c>
      <c r="X183" s="25"/>
      <c r="Y183" s="25"/>
      <c r="Z183" s="25"/>
      <c r="AA183" s="25"/>
      <c r="AB183" s="25"/>
      <c r="AC183" s="25"/>
      <c r="AE183" s="25"/>
      <c r="AF183" s="49"/>
      <c r="AG183" s="25"/>
      <c r="AH183" s="25"/>
      <c r="AI183" s="25"/>
      <c r="AJ183" s="25"/>
      <c r="AK183" s="25"/>
    </row>
    <row r="184" spans="1:37" x14ac:dyDescent="0.25">
      <c r="A184" s="18" t="str">
        <f t="shared" si="2"/>
        <v/>
      </c>
      <c r="B184" s="25"/>
      <c r="C184" s="25"/>
      <c r="D184" s="25"/>
      <c r="E184" s="25"/>
      <c r="F184" s="25"/>
      <c r="G184" s="25"/>
      <c r="H184" s="37"/>
      <c r="I184" s="25"/>
      <c r="J184" s="38"/>
      <c r="K184" s="40"/>
      <c r="S184" s="25"/>
      <c r="T184" s="25" t="str">
        <f>IFERROR(IF(ISBLANK(S184),"",INDEX(Gen_Vessels!$A$3:$C$500,MATCH(InspectionSite!$S184,Gen_Vessels!$C$3:$C$500,0),1)),"")</f>
        <v/>
      </c>
      <c r="U184" s="25"/>
      <c r="V184" s="25"/>
      <c r="W184" s="25" t="str">
        <f>IFERROR(IF(ISBLANK(V184),"",INDEX(Gen_Vessels!$A$3:$C$500,MATCH(InspectionSite!$V184,Gen_Vessels!$C$3:$C$500,0),1)),"")</f>
        <v/>
      </c>
      <c r="X184" s="25"/>
      <c r="Y184" s="25"/>
      <c r="Z184" s="25"/>
      <c r="AA184" s="25"/>
      <c r="AB184" s="25"/>
      <c r="AC184" s="25"/>
      <c r="AE184" s="25"/>
      <c r="AF184" s="49"/>
      <c r="AG184" s="25"/>
      <c r="AH184" s="25"/>
      <c r="AI184" s="25"/>
      <c r="AJ184" s="25"/>
      <c r="AK184" s="25"/>
    </row>
    <row r="185" spans="1:37" x14ac:dyDescent="0.25">
      <c r="A185" s="18" t="str">
        <f t="shared" si="2"/>
        <v/>
      </c>
      <c r="B185" s="25"/>
      <c r="C185" s="25"/>
      <c r="D185" s="25"/>
      <c r="E185" s="25"/>
      <c r="F185" s="25"/>
      <c r="G185" s="25"/>
      <c r="H185" s="37"/>
      <c r="I185" s="25"/>
      <c r="J185" s="38"/>
      <c r="K185" s="40"/>
      <c r="S185" s="25"/>
      <c r="T185" s="25" t="str">
        <f>IFERROR(IF(ISBLANK(S185),"",INDEX(Gen_Vessels!$A$3:$C$500,MATCH(InspectionSite!$S185,Gen_Vessels!$C$3:$C$500,0),1)),"")</f>
        <v/>
      </c>
      <c r="U185" s="25"/>
      <c r="V185" s="25"/>
      <c r="W185" s="25" t="str">
        <f>IFERROR(IF(ISBLANK(V185),"",INDEX(Gen_Vessels!$A$3:$C$500,MATCH(InspectionSite!$V185,Gen_Vessels!$C$3:$C$500,0),1)),"")</f>
        <v/>
      </c>
      <c r="X185" s="25"/>
      <c r="Y185" s="25"/>
      <c r="Z185" s="25"/>
      <c r="AA185" s="25"/>
      <c r="AB185" s="25"/>
      <c r="AC185" s="25"/>
      <c r="AE185" s="25"/>
      <c r="AF185" s="49"/>
      <c r="AG185" s="25"/>
      <c r="AH185" s="25"/>
      <c r="AI185" s="25"/>
      <c r="AJ185" s="25"/>
      <c r="AK185" s="25"/>
    </row>
    <row r="186" spans="1:37" x14ac:dyDescent="0.25">
      <c r="A186" s="18" t="str">
        <f t="shared" si="2"/>
        <v/>
      </c>
      <c r="B186" s="25"/>
      <c r="C186" s="25"/>
      <c r="D186" s="25"/>
      <c r="E186" s="25"/>
      <c r="F186" s="25"/>
      <c r="G186" s="25"/>
      <c r="H186" s="37"/>
      <c r="I186" s="25"/>
      <c r="J186" s="38"/>
      <c r="K186" s="40"/>
      <c r="S186" s="25"/>
      <c r="T186" s="25" t="str">
        <f>IFERROR(IF(ISBLANK(S186),"",INDEX(Gen_Vessels!$A$3:$C$500,MATCH(InspectionSite!$S186,Gen_Vessels!$C$3:$C$500,0),1)),"")</f>
        <v/>
      </c>
      <c r="U186" s="25"/>
      <c r="V186" s="25"/>
      <c r="W186" s="25" t="str">
        <f>IFERROR(IF(ISBLANK(V186),"",INDEX(Gen_Vessels!$A$3:$C$500,MATCH(InspectionSite!$V186,Gen_Vessels!$C$3:$C$500,0),1)),"")</f>
        <v/>
      </c>
      <c r="X186" s="25"/>
      <c r="Y186" s="25"/>
      <c r="Z186" s="25"/>
      <c r="AA186" s="25"/>
      <c r="AB186" s="25"/>
      <c r="AC186" s="25"/>
      <c r="AE186" s="25"/>
      <c r="AF186" s="49"/>
      <c r="AG186" s="25"/>
      <c r="AH186" s="25"/>
      <c r="AI186" s="25"/>
      <c r="AJ186" s="25"/>
      <c r="AK186" s="25"/>
    </row>
    <row r="187" spans="1:37" x14ac:dyDescent="0.25">
      <c r="A187" s="18" t="str">
        <f t="shared" si="2"/>
        <v/>
      </c>
      <c r="B187" s="25"/>
      <c r="C187" s="25"/>
      <c r="D187" s="25"/>
      <c r="E187" s="25"/>
      <c r="F187" s="25"/>
      <c r="G187" s="25"/>
      <c r="H187" s="37"/>
      <c r="I187" s="25"/>
      <c r="J187" s="38"/>
      <c r="K187" s="40"/>
      <c r="S187" s="25"/>
      <c r="T187" s="25" t="str">
        <f>IFERROR(IF(ISBLANK(S187),"",INDEX(Gen_Vessels!$A$3:$C$500,MATCH(InspectionSite!$S187,Gen_Vessels!$C$3:$C$500,0),1)),"")</f>
        <v/>
      </c>
      <c r="U187" s="25"/>
      <c r="V187" s="25"/>
      <c r="W187" s="25" t="str">
        <f>IFERROR(IF(ISBLANK(V187),"",INDEX(Gen_Vessels!$A$3:$C$500,MATCH(InspectionSite!$V187,Gen_Vessels!$C$3:$C$500,0),1)),"")</f>
        <v/>
      </c>
      <c r="X187" s="25"/>
      <c r="Y187" s="25"/>
      <c r="Z187" s="25"/>
      <c r="AA187" s="25"/>
      <c r="AB187" s="25"/>
      <c r="AC187" s="25"/>
      <c r="AE187" s="25"/>
      <c r="AF187" s="49"/>
      <c r="AG187" s="25"/>
      <c r="AH187" s="25"/>
      <c r="AI187" s="25"/>
      <c r="AJ187" s="25"/>
      <c r="AK187" s="25"/>
    </row>
    <row r="188" spans="1:37" x14ac:dyDescent="0.25">
      <c r="A188" s="18" t="str">
        <f t="shared" si="2"/>
        <v/>
      </c>
      <c r="B188" s="25"/>
      <c r="C188" s="25"/>
      <c r="D188" s="25"/>
      <c r="E188" s="25"/>
      <c r="F188" s="25"/>
      <c r="G188" s="25"/>
      <c r="H188" s="37"/>
      <c r="I188" s="25"/>
      <c r="J188" s="38"/>
      <c r="K188" s="40"/>
      <c r="S188" s="25"/>
      <c r="T188" s="25" t="str">
        <f>IFERROR(IF(ISBLANK(S188),"",INDEX(Gen_Vessels!$A$3:$C$500,MATCH(InspectionSite!$S188,Gen_Vessels!$C$3:$C$500,0),1)),"")</f>
        <v/>
      </c>
      <c r="U188" s="25"/>
      <c r="V188" s="25"/>
      <c r="W188" s="25" t="str">
        <f>IFERROR(IF(ISBLANK(V188),"",INDEX(Gen_Vessels!$A$3:$C$500,MATCH(InspectionSite!$V188,Gen_Vessels!$C$3:$C$500,0),1)),"")</f>
        <v/>
      </c>
      <c r="X188" s="25"/>
      <c r="Y188" s="25"/>
      <c r="Z188" s="25"/>
      <c r="AA188" s="25"/>
      <c r="AB188" s="25"/>
      <c r="AC188" s="25"/>
      <c r="AE188" s="25"/>
      <c r="AF188" s="49"/>
      <c r="AG188" s="25"/>
      <c r="AH188" s="25"/>
      <c r="AI188" s="25"/>
      <c r="AJ188" s="25"/>
      <c r="AK188" s="25"/>
    </row>
    <row r="189" spans="1:37" x14ac:dyDescent="0.25">
      <c r="A189" s="18" t="str">
        <f t="shared" si="2"/>
        <v/>
      </c>
      <c r="B189" s="25"/>
      <c r="C189" s="25"/>
      <c r="D189" s="25"/>
      <c r="E189" s="25"/>
      <c r="F189" s="25"/>
      <c r="G189" s="25"/>
      <c r="H189" s="37"/>
      <c r="I189" s="25"/>
      <c r="J189" s="38"/>
      <c r="K189" s="40"/>
      <c r="S189" s="25"/>
      <c r="T189" s="25" t="str">
        <f>IFERROR(IF(ISBLANK(S189),"",INDEX(Gen_Vessels!$A$3:$C$500,MATCH(InspectionSite!$S189,Gen_Vessels!$C$3:$C$500,0),1)),"")</f>
        <v/>
      </c>
      <c r="U189" s="25"/>
      <c r="V189" s="25"/>
      <c r="W189" s="25" t="str">
        <f>IFERROR(IF(ISBLANK(V189),"",INDEX(Gen_Vessels!$A$3:$C$500,MATCH(InspectionSite!$V189,Gen_Vessels!$C$3:$C$500,0),1)),"")</f>
        <v/>
      </c>
      <c r="X189" s="25"/>
      <c r="Y189" s="25"/>
      <c r="Z189" s="25"/>
      <c r="AA189" s="25"/>
      <c r="AB189" s="25"/>
      <c r="AC189" s="25"/>
      <c r="AE189" s="25"/>
      <c r="AF189" s="49"/>
      <c r="AG189" s="25"/>
      <c r="AH189" s="25"/>
      <c r="AI189" s="25"/>
      <c r="AJ189" s="25"/>
      <c r="AK189" s="25"/>
    </row>
    <row r="190" spans="1:37" x14ac:dyDescent="0.25">
      <c r="A190" s="18" t="str">
        <f t="shared" si="2"/>
        <v/>
      </c>
      <c r="B190" s="25"/>
      <c r="C190" s="25"/>
      <c r="D190" s="25"/>
      <c r="E190" s="25"/>
      <c r="F190" s="25"/>
      <c r="G190" s="25"/>
      <c r="H190" s="37"/>
      <c r="I190" s="25"/>
      <c r="J190" s="38"/>
      <c r="K190" s="40"/>
      <c r="S190" s="25"/>
      <c r="T190" s="25" t="str">
        <f>IFERROR(IF(ISBLANK(S190),"",INDEX(Gen_Vessels!$A$3:$C$500,MATCH(InspectionSite!$S190,Gen_Vessels!$C$3:$C$500,0),1)),"")</f>
        <v/>
      </c>
      <c r="U190" s="25"/>
      <c r="V190" s="25"/>
      <c r="W190" s="25" t="str">
        <f>IFERROR(IF(ISBLANK(V190),"",INDEX(Gen_Vessels!$A$3:$C$500,MATCH(InspectionSite!$V190,Gen_Vessels!$C$3:$C$500,0),1)),"")</f>
        <v/>
      </c>
      <c r="X190" s="25"/>
      <c r="Y190" s="25"/>
      <c r="Z190" s="25"/>
      <c r="AA190" s="25"/>
      <c r="AB190" s="25"/>
      <c r="AC190" s="25"/>
      <c r="AE190" s="25"/>
      <c r="AF190" s="49"/>
      <c r="AG190" s="25"/>
      <c r="AH190" s="25"/>
      <c r="AI190" s="25"/>
      <c r="AJ190" s="25"/>
      <c r="AK190" s="25"/>
    </row>
    <row r="191" spans="1:37" x14ac:dyDescent="0.25">
      <c r="A191" s="18" t="str">
        <f t="shared" si="2"/>
        <v/>
      </c>
      <c r="B191" s="25"/>
      <c r="C191" s="25"/>
      <c r="D191" s="25"/>
      <c r="E191" s="25"/>
      <c r="F191" s="25"/>
      <c r="G191" s="25"/>
      <c r="H191" s="37"/>
      <c r="I191" s="25"/>
      <c r="J191" s="38"/>
      <c r="K191" s="40"/>
      <c r="S191" s="25"/>
      <c r="T191" s="25" t="str">
        <f>IFERROR(IF(ISBLANK(S191),"",INDEX(Gen_Vessels!$A$3:$C$500,MATCH(InspectionSite!$S191,Gen_Vessels!$C$3:$C$500,0),1)),"")</f>
        <v/>
      </c>
      <c r="U191" s="25"/>
      <c r="V191" s="25"/>
      <c r="W191" s="25" t="str">
        <f>IFERROR(IF(ISBLANK(V191),"",INDEX(Gen_Vessels!$A$3:$C$500,MATCH(InspectionSite!$V191,Gen_Vessels!$C$3:$C$500,0),1)),"")</f>
        <v/>
      </c>
      <c r="X191" s="25"/>
      <c r="Y191" s="25"/>
      <c r="Z191" s="25"/>
      <c r="AA191" s="25"/>
      <c r="AB191" s="25"/>
      <c r="AC191" s="25"/>
      <c r="AE191" s="25"/>
      <c r="AF191" s="49"/>
      <c r="AG191" s="25"/>
      <c r="AH191" s="25"/>
      <c r="AI191" s="25"/>
      <c r="AJ191" s="25"/>
      <c r="AK191" s="25"/>
    </row>
    <row r="192" spans="1:37" x14ac:dyDescent="0.25">
      <c r="A192" s="18" t="str">
        <f t="shared" si="2"/>
        <v/>
      </c>
      <c r="B192" s="25"/>
      <c r="C192" s="25"/>
      <c r="D192" s="25"/>
      <c r="E192" s="25"/>
      <c r="F192" s="25"/>
      <c r="G192" s="25"/>
      <c r="H192" s="37"/>
      <c r="I192" s="25"/>
      <c r="J192" s="38"/>
      <c r="K192" s="40"/>
      <c r="S192" s="25"/>
      <c r="T192" s="25" t="str">
        <f>IFERROR(IF(ISBLANK(S192),"",INDEX(Gen_Vessels!$A$3:$C$500,MATCH(InspectionSite!$S192,Gen_Vessels!$C$3:$C$500,0),1)),"")</f>
        <v/>
      </c>
      <c r="U192" s="25"/>
      <c r="V192" s="25"/>
      <c r="W192" s="25" t="str">
        <f>IFERROR(IF(ISBLANK(V192),"",INDEX(Gen_Vessels!$A$3:$C$500,MATCH(InspectionSite!$V192,Gen_Vessels!$C$3:$C$500,0),1)),"")</f>
        <v/>
      </c>
      <c r="X192" s="25"/>
      <c r="Y192" s="25"/>
      <c r="Z192" s="25"/>
      <c r="AA192" s="25"/>
      <c r="AB192" s="25"/>
      <c r="AC192" s="25"/>
      <c r="AE192" s="25"/>
      <c r="AF192" s="49"/>
      <c r="AG192" s="25"/>
      <c r="AH192" s="25"/>
      <c r="AI192" s="25"/>
      <c r="AJ192" s="25"/>
      <c r="AK192" s="25"/>
    </row>
    <row r="193" spans="1:37" x14ac:dyDescent="0.25">
      <c r="A193" s="18" t="str">
        <f t="shared" si="2"/>
        <v/>
      </c>
      <c r="B193" s="25"/>
      <c r="C193" s="25"/>
      <c r="D193" s="25"/>
      <c r="E193" s="25"/>
      <c r="F193" s="25"/>
      <c r="G193" s="25"/>
      <c r="H193" s="37"/>
      <c r="I193" s="25"/>
      <c r="J193" s="38"/>
      <c r="K193" s="40"/>
      <c r="S193" s="25"/>
      <c r="T193" s="25" t="str">
        <f>IFERROR(IF(ISBLANK(S193),"",INDEX(Gen_Vessels!$A$3:$C$500,MATCH(InspectionSite!$S193,Gen_Vessels!$C$3:$C$500,0),1)),"")</f>
        <v/>
      </c>
      <c r="U193" s="25"/>
      <c r="V193" s="25"/>
      <c r="W193" s="25" t="str">
        <f>IFERROR(IF(ISBLANK(V193),"",INDEX(Gen_Vessels!$A$3:$C$500,MATCH(InspectionSite!$V193,Gen_Vessels!$C$3:$C$500,0),1)),"")</f>
        <v/>
      </c>
      <c r="X193" s="25"/>
      <c r="Y193" s="25"/>
      <c r="Z193" s="25"/>
      <c r="AA193" s="25"/>
      <c r="AB193" s="25"/>
      <c r="AC193" s="25"/>
      <c r="AE193" s="25"/>
      <c r="AF193" s="49"/>
      <c r="AG193" s="25"/>
      <c r="AH193" s="25"/>
      <c r="AI193" s="25"/>
      <c r="AJ193" s="25"/>
      <c r="AK193" s="25"/>
    </row>
    <row r="194" spans="1:37" x14ac:dyDescent="0.25">
      <c r="A194" s="18" t="str">
        <f t="shared" si="2"/>
        <v/>
      </c>
      <c r="B194" s="25"/>
      <c r="C194" s="25"/>
      <c r="D194" s="25"/>
      <c r="E194" s="25"/>
      <c r="F194" s="25"/>
      <c r="G194" s="25"/>
      <c r="H194" s="37"/>
      <c r="I194" s="25"/>
      <c r="J194" s="38"/>
      <c r="K194" s="40"/>
      <c r="S194" s="25"/>
      <c r="T194" s="25" t="str">
        <f>IFERROR(IF(ISBLANK(S194),"",INDEX(Gen_Vessels!$A$3:$C$500,MATCH(InspectionSite!$S194,Gen_Vessels!$C$3:$C$500,0),1)),"")</f>
        <v/>
      </c>
      <c r="U194" s="25"/>
      <c r="V194" s="25"/>
      <c r="W194" s="25" t="str">
        <f>IFERROR(IF(ISBLANK(V194),"",INDEX(Gen_Vessels!$A$3:$C$500,MATCH(InspectionSite!$V194,Gen_Vessels!$C$3:$C$500,0),1)),"")</f>
        <v/>
      </c>
      <c r="X194" s="25"/>
      <c r="Y194" s="25"/>
      <c r="Z194" s="25"/>
      <c r="AA194" s="25"/>
      <c r="AB194" s="25"/>
      <c r="AC194" s="25"/>
      <c r="AE194" s="25"/>
      <c r="AF194" s="49"/>
      <c r="AG194" s="25"/>
      <c r="AH194" s="25"/>
      <c r="AI194" s="25"/>
      <c r="AJ194" s="25"/>
      <c r="AK194" s="25"/>
    </row>
    <row r="195" spans="1:37" x14ac:dyDescent="0.25">
      <c r="A195" s="18" t="str">
        <f t="shared" si="2"/>
        <v/>
      </c>
      <c r="B195" s="25"/>
      <c r="C195" s="25"/>
      <c r="D195" s="25"/>
      <c r="E195" s="25"/>
      <c r="F195" s="25"/>
      <c r="G195" s="25"/>
      <c r="H195" s="37"/>
      <c r="I195" s="25"/>
      <c r="J195" s="38"/>
      <c r="K195" s="40"/>
      <c r="S195" s="25"/>
      <c r="T195" s="25" t="str">
        <f>IFERROR(IF(ISBLANK(S195),"",INDEX(Gen_Vessels!$A$3:$C$500,MATCH(InspectionSite!$S195,Gen_Vessels!$C$3:$C$500,0),1)),"")</f>
        <v/>
      </c>
      <c r="U195" s="25"/>
      <c r="V195" s="25"/>
      <c r="W195" s="25" t="str">
        <f>IFERROR(IF(ISBLANK(V195),"",INDEX(Gen_Vessels!$A$3:$C$500,MATCH(InspectionSite!$V195,Gen_Vessels!$C$3:$C$500,0),1)),"")</f>
        <v/>
      </c>
      <c r="X195" s="25"/>
      <c r="Y195" s="25"/>
      <c r="Z195" s="25"/>
      <c r="AA195" s="25"/>
      <c r="AB195" s="25"/>
      <c r="AC195" s="25"/>
      <c r="AE195" s="25"/>
      <c r="AF195" s="49"/>
      <c r="AG195" s="25"/>
      <c r="AH195" s="25"/>
      <c r="AI195" s="25"/>
      <c r="AJ195" s="25"/>
      <c r="AK195" s="25"/>
    </row>
    <row r="196" spans="1:37" x14ac:dyDescent="0.25">
      <c r="A196" s="18" t="str">
        <f t="shared" si="2"/>
        <v/>
      </c>
      <c r="B196" s="25"/>
      <c r="C196" s="25"/>
      <c r="D196" s="25"/>
      <c r="E196" s="25"/>
      <c r="F196" s="25"/>
      <c r="G196" s="25"/>
      <c r="H196" s="37"/>
      <c r="I196" s="25"/>
      <c r="J196" s="38"/>
      <c r="K196" s="40"/>
      <c r="S196" s="25"/>
      <c r="T196" s="25" t="str">
        <f>IFERROR(IF(ISBLANK(S196),"",INDEX(Gen_Vessels!$A$3:$C$500,MATCH(InspectionSite!$S196,Gen_Vessels!$C$3:$C$500,0),1)),"")</f>
        <v/>
      </c>
      <c r="U196" s="25"/>
      <c r="V196" s="25"/>
      <c r="W196" s="25" t="str">
        <f>IFERROR(IF(ISBLANK(V196),"",INDEX(Gen_Vessels!$A$3:$C$500,MATCH(InspectionSite!$V196,Gen_Vessels!$C$3:$C$500,0),1)),"")</f>
        <v/>
      </c>
      <c r="X196" s="25"/>
      <c r="Y196" s="25"/>
      <c r="Z196" s="25"/>
      <c r="AA196" s="25"/>
      <c r="AB196" s="25"/>
      <c r="AC196" s="25"/>
      <c r="AE196" s="25"/>
      <c r="AF196" s="49"/>
      <c r="AG196" s="25"/>
      <c r="AH196" s="25"/>
      <c r="AI196" s="25"/>
      <c r="AJ196" s="25"/>
      <c r="AK196" s="25"/>
    </row>
    <row r="197" spans="1:37" x14ac:dyDescent="0.25">
      <c r="A197" s="18" t="str">
        <f t="shared" ref="A197:A260" si="3">IF(ISBLANK($B197)=FALSE,IF(AND($H197&gt;0,$I197&lt;=0,$J197&lt;=0),_xlfn.CONCAT("ofw_",$B197),IF(AND($H197&lt;=0,$I197&gt;0,$J197&lt;=0),_xlfn.CONCAT("owc_",$B197),IF(AND($H197&lt;=0,$I197&lt;=0,$J197&gt;0),_xlfn.CONCAT("opv_",$B197),_xlfn.CONCAT("oce_",$B197)))),"")</f>
        <v/>
      </c>
      <c r="B197" s="25"/>
      <c r="C197" s="25"/>
      <c r="D197" s="25"/>
      <c r="E197" s="25"/>
      <c r="F197" s="25"/>
      <c r="G197" s="25"/>
      <c r="H197" s="37"/>
      <c r="I197" s="25"/>
      <c r="J197" s="38"/>
      <c r="K197" s="40"/>
      <c r="S197" s="25"/>
      <c r="T197" s="25" t="str">
        <f>IFERROR(IF(ISBLANK(S197),"",INDEX(Gen_Vessels!$A$3:$C$500,MATCH(InspectionSite!$S197,Gen_Vessels!$C$3:$C$500,0),1)),"")</f>
        <v/>
      </c>
      <c r="U197" s="25"/>
      <c r="V197" s="25"/>
      <c r="W197" s="25" t="str">
        <f>IFERROR(IF(ISBLANK(V197),"",INDEX(Gen_Vessels!$A$3:$C$500,MATCH(InspectionSite!$V197,Gen_Vessels!$C$3:$C$500,0),1)),"")</f>
        <v/>
      </c>
      <c r="X197" s="25"/>
      <c r="Y197" s="25"/>
      <c r="Z197" s="25"/>
      <c r="AA197" s="25"/>
      <c r="AB197" s="25"/>
      <c r="AC197" s="25"/>
      <c r="AE197" s="25"/>
      <c r="AF197" s="49"/>
      <c r="AG197" s="25"/>
      <c r="AH197" s="25"/>
      <c r="AI197" s="25"/>
      <c r="AJ197" s="25"/>
      <c r="AK197" s="25"/>
    </row>
    <row r="198" spans="1:37" x14ac:dyDescent="0.25">
      <c r="A198" s="18" t="str">
        <f t="shared" si="3"/>
        <v/>
      </c>
      <c r="B198" s="25"/>
      <c r="C198" s="25"/>
      <c r="D198" s="25"/>
      <c r="E198" s="25"/>
      <c r="F198" s="25"/>
      <c r="G198" s="25"/>
      <c r="H198" s="37"/>
      <c r="I198" s="25"/>
      <c r="J198" s="38"/>
      <c r="K198" s="40"/>
      <c r="S198" s="25"/>
      <c r="T198" s="25" t="str">
        <f>IFERROR(IF(ISBLANK(S198),"",INDEX(Gen_Vessels!$A$3:$C$500,MATCH(InspectionSite!$S198,Gen_Vessels!$C$3:$C$500,0),1)),"")</f>
        <v/>
      </c>
      <c r="U198" s="25"/>
      <c r="V198" s="25"/>
      <c r="W198" s="25" t="str">
        <f>IFERROR(IF(ISBLANK(V198),"",INDEX(Gen_Vessels!$A$3:$C$500,MATCH(InspectionSite!$V198,Gen_Vessels!$C$3:$C$500,0),1)),"")</f>
        <v/>
      </c>
      <c r="X198" s="25"/>
      <c r="Y198" s="25"/>
      <c r="Z198" s="25"/>
      <c r="AA198" s="25"/>
      <c r="AB198" s="25"/>
      <c r="AC198" s="25"/>
      <c r="AE198" s="25"/>
      <c r="AF198" s="49"/>
      <c r="AG198" s="25"/>
      <c r="AH198" s="25"/>
      <c r="AI198" s="25"/>
      <c r="AJ198" s="25"/>
      <c r="AK198" s="25"/>
    </row>
    <row r="199" spans="1:37" x14ac:dyDescent="0.25">
      <c r="A199" s="18" t="str">
        <f t="shared" si="3"/>
        <v/>
      </c>
      <c r="B199" s="25"/>
      <c r="C199" s="25"/>
      <c r="D199" s="25"/>
      <c r="E199" s="25"/>
      <c r="F199" s="25"/>
      <c r="G199" s="25"/>
      <c r="H199" s="37"/>
      <c r="I199" s="25"/>
      <c r="J199" s="38"/>
      <c r="K199" s="40"/>
      <c r="S199" s="25"/>
      <c r="T199" s="25" t="str">
        <f>IFERROR(IF(ISBLANK(S199),"",INDEX(Gen_Vessels!$A$3:$C$500,MATCH(InspectionSite!$S199,Gen_Vessels!$C$3:$C$500,0),1)),"")</f>
        <v/>
      </c>
      <c r="U199" s="25"/>
      <c r="V199" s="25"/>
      <c r="W199" s="25" t="str">
        <f>IFERROR(IF(ISBLANK(V199),"",INDEX(Gen_Vessels!$A$3:$C$500,MATCH(InspectionSite!$V199,Gen_Vessels!$C$3:$C$500,0),1)),"")</f>
        <v/>
      </c>
      <c r="X199" s="25"/>
      <c r="Y199" s="25"/>
      <c r="Z199" s="25"/>
      <c r="AA199" s="25"/>
      <c r="AB199" s="25"/>
      <c r="AC199" s="25"/>
      <c r="AE199" s="25"/>
      <c r="AF199" s="49"/>
      <c r="AG199" s="25"/>
      <c r="AH199" s="25"/>
      <c r="AI199" s="25"/>
      <c r="AJ199" s="25"/>
      <c r="AK199" s="25"/>
    </row>
    <row r="200" spans="1:37" x14ac:dyDescent="0.25">
      <c r="A200" s="18" t="str">
        <f t="shared" si="3"/>
        <v/>
      </c>
      <c r="B200" s="25"/>
      <c r="C200" s="25"/>
      <c r="D200" s="25"/>
      <c r="E200" s="25"/>
      <c r="F200" s="25"/>
      <c r="G200" s="25"/>
      <c r="H200" s="37"/>
      <c r="I200" s="25"/>
      <c r="J200" s="38"/>
      <c r="K200" s="40"/>
      <c r="S200" s="25"/>
      <c r="T200" s="25" t="str">
        <f>IFERROR(IF(ISBLANK(S200),"",INDEX(Gen_Vessels!$A$3:$C$500,MATCH(InspectionSite!$S200,Gen_Vessels!$C$3:$C$500,0),1)),"")</f>
        <v/>
      </c>
      <c r="U200" s="25"/>
      <c r="V200" s="25"/>
      <c r="W200" s="25" t="str">
        <f>IFERROR(IF(ISBLANK(V200),"",INDEX(Gen_Vessels!$A$3:$C$500,MATCH(InspectionSite!$V200,Gen_Vessels!$C$3:$C$500,0),1)),"")</f>
        <v/>
      </c>
      <c r="X200" s="25"/>
      <c r="Y200" s="25"/>
      <c r="Z200" s="25"/>
      <c r="AA200" s="25"/>
      <c r="AB200" s="25"/>
      <c r="AC200" s="25"/>
      <c r="AE200" s="25"/>
      <c r="AF200" s="49"/>
      <c r="AG200" s="25"/>
      <c r="AH200" s="25"/>
      <c r="AI200" s="25"/>
      <c r="AJ200" s="25"/>
      <c r="AK200" s="25"/>
    </row>
    <row r="201" spans="1:37" x14ac:dyDescent="0.25">
      <c r="A201" s="18" t="str">
        <f t="shared" si="3"/>
        <v/>
      </c>
      <c r="B201" s="25"/>
      <c r="C201" s="25"/>
      <c r="D201" s="25"/>
      <c r="E201" s="25"/>
      <c r="F201" s="25"/>
      <c r="G201" s="25"/>
      <c r="H201" s="37"/>
      <c r="I201" s="25"/>
      <c r="J201" s="38"/>
      <c r="K201" s="40"/>
      <c r="S201" s="25"/>
      <c r="T201" s="25" t="str">
        <f>IFERROR(IF(ISBLANK(S201),"",INDEX(Gen_Vessels!$A$3:$C$500,MATCH(InspectionSite!$S201,Gen_Vessels!$C$3:$C$500,0),1)),"")</f>
        <v/>
      </c>
      <c r="U201" s="25"/>
      <c r="V201" s="25"/>
      <c r="W201" s="25" t="str">
        <f>IFERROR(IF(ISBLANK(V201),"",INDEX(Gen_Vessels!$A$3:$C$500,MATCH(InspectionSite!$V201,Gen_Vessels!$C$3:$C$500,0),1)),"")</f>
        <v/>
      </c>
      <c r="X201" s="25"/>
      <c r="Y201" s="25"/>
      <c r="Z201" s="25"/>
      <c r="AA201" s="25"/>
      <c r="AB201" s="25"/>
      <c r="AC201" s="25"/>
      <c r="AE201" s="25"/>
      <c r="AF201" s="49"/>
      <c r="AG201" s="25"/>
      <c r="AH201" s="25"/>
      <c r="AI201" s="25"/>
      <c r="AJ201" s="25"/>
      <c r="AK201" s="25"/>
    </row>
    <row r="202" spans="1:37" x14ac:dyDescent="0.25">
      <c r="A202" s="18" t="str">
        <f t="shared" si="3"/>
        <v/>
      </c>
      <c r="B202" s="25"/>
      <c r="C202" s="25"/>
      <c r="D202" s="25"/>
      <c r="E202" s="25"/>
      <c r="F202" s="25"/>
      <c r="G202" s="25"/>
      <c r="H202" s="37"/>
      <c r="I202" s="25"/>
      <c r="J202" s="38"/>
      <c r="K202" s="40"/>
      <c r="S202" s="25"/>
      <c r="T202" s="25" t="str">
        <f>IFERROR(IF(ISBLANK(S202),"",INDEX(Gen_Vessels!$A$3:$C$500,MATCH(InspectionSite!$S202,Gen_Vessels!$C$3:$C$500,0),1)),"")</f>
        <v/>
      </c>
      <c r="U202" s="25"/>
      <c r="V202" s="25"/>
      <c r="W202" s="25" t="str">
        <f>IFERROR(IF(ISBLANK(V202),"",INDEX(Gen_Vessels!$A$3:$C$500,MATCH(InspectionSite!$V202,Gen_Vessels!$C$3:$C$500,0),1)),"")</f>
        <v/>
      </c>
      <c r="X202" s="25"/>
      <c r="Y202" s="25"/>
      <c r="Z202" s="25"/>
      <c r="AA202" s="25"/>
      <c r="AB202" s="25"/>
      <c r="AC202" s="25"/>
      <c r="AE202" s="25"/>
      <c r="AF202" s="49"/>
      <c r="AG202" s="25"/>
      <c r="AH202" s="25"/>
      <c r="AI202" s="25"/>
      <c r="AJ202" s="25"/>
      <c r="AK202" s="25"/>
    </row>
    <row r="203" spans="1:37" x14ac:dyDescent="0.25">
      <c r="A203" s="18" t="str">
        <f t="shared" si="3"/>
        <v/>
      </c>
      <c r="B203" s="25"/>
      <c r="C203" s="25"/>
      <c r="D203" s="25"/>
      <c r="E203" s="25"/>
      <c r="F203" s="25"/>
      <c r="G203" s="25"/>
      <c r="H203" s="37"/>
      <c r="I203" s="25"/>
      <c r="J203" s="38"/>
      <c r="K203" s="40"/>
      <c r="S203" s="25"/>
      <c r="T203" s="25" t="str">
        <f>IFERROR(IF(ISBLANK(S203),"",INDEX(Gen_Vessels!$A$3:$C$500,MATCH(InspectionSite!$S203,Gen_Vessels!$C$3:$C$500,0),1)),"")</f>
        <v/>
      </c>
      <c r="U203" s="25"/>
      <c r="V203" s="25"/>
      <c r="W203" s="25" t="str">
        <f>IFERROR(IF(ISBLANK(V203),"",INDEX(Gen_Vessels!$A$3:$C$500,MATCH(InspectionSite!$V203,Gen_Vessels!$C$3:$C$500,0),1)),"")</f>
        <v/>
      </c>
      <c r="X203" s="25"/>
      <c r="Y203" s="25"/>
      <c r="Z203" s="25"/>
      <c r="AA203" s="25"/>
      <c r="AB203" s="25"/>
      <c r="AC203" s="25"/>
      <c r="AE203" s="25"/>
      <c r="AF203" s="49"/>
      <c r="AG203" s="25"/>
      <c r="AH203" s="25"/>
      <c r="AI203" s="25"/>
      <c r="AJ203" s="25"/>
      <c r="AK203" s="25"/>
    </row>
    <row r="204" spans="1:37" x14ac:dyDescent="0.25">
      <c r="A204" s="18" t="str">
        <f t="shared" si="3"/>
        <v/>
      </c>
      <c r="B204" s="25"/>
      <c r="C204" s="25"/>
      <c r="D204" s="25"/>
      <c r="E204" s="25"/>
      <c r="F204" s="25"/>
      <c r="G204" s="25"/>
      <c r="H204" s="37"/>
      <c r="I204" s="25"/>
      <c r="J204" s="38"/>
      <c r="K204" s="40"/>
      <c r="S204" s="25"/>
      <c r="T204" s="25" t="str">
        <f>IFERROR(IF(ISBLANK(S204),"",INDEX(Gen_Vessels!$A$3:$C$500,MATCH(InspectionSite!$S204,Gen_Vessels!$C$3:$C$500,0),1)),"")</f>
        <v/>
      </c>
      <c r="U204" s="25"/>
      <c r="V204" s="25"/>
      <c r="W204" s="25" t="str">
        <f>IFERROR(IF(ISBLANK(V204),"",INDEX(Gen_Vessels!$A$3:$C$500,MATCH(InspectionSite!$V204,Gen_Vessels!$C$3:$C$500,0),1)),"")</f>
        <v/>
      </c>
      <c r="X204" s="25"/>
      <c r="Y204" s="25"/>
      <c r="Z204" s="25"/>
      <c r="AA204" s="25"/>
      <c r="AB204" s="25"/>
      <c r="AC204" s="25"/>
      <c r="AE204" s="25"/>
      <c r="AF204" s="49"/>
      <c r="AG204" s="25"/>
      <c r="AH204" s="25"/>
      <c r="AI204" s="25"/>
      <c r="AJ204" s="25"/>
      <c r="AK204" s="25"/>
    </row>
    <row r="205" spans="1:37" x14ac:dyDescent="0.25">
      <c r="A205" s="18" t="str">
        <f t="shared" si="3"/>
        <v/>
      </c>
      <c r="B205" s="25"/>
      <c r="C205" s="25"/>
      <c r="D205" s="25"/>
      <c r="E205" s="25"/>
      <c r="F205" s="25"/>
      <c r="G205" s="25"/>
      <c r="H205" s="37"/>
      <c r="I205" s="25"/>
      <c r="J205" s="38"/>
      <c r="K205" s="40"/>
      <c r="S205" s="25"/>
      <c r="T205" s="25" t="str">
        <f>IFERROR(IF(ISBLANK(S205),"",INDEX(Gen_Vessels!$A$3:$C$500,MATCH(InspectionSite!$S205,Gen_Vessels!$C$3:$C$500,0),1)),"")</f>
        <v/>
      </c>
      <c r="U205" s="25"/>
      <c r="V205" s="25"/>
      <c r="W205" s="25" t="str">
        <f>IFERROR(IF(ISBLANK(V205),"",INDEX(Gen_Vessels!$A$3:$C$500,MATCH(InspectionSite!$V205,Gen_Vessels!$C$3:$C$500,0),1)),"")</f>
        <v/>
      </c>
      <c r="X205" s="25"/>
      <c r="Y205" s="25"/>
      <c r="Z205" s="25"/>
      <c r="AA205" s="25"/>
      <c r="AB205" s="25"/>
      <c r="AC205" s="25"/>
      <c r="AE205" s="25"/>
      <c r="AF205" s="49"/>
      <c r="AG205" s="25"/>
      <c r="AH205" s="25"/>
      <c r="AI205" s="25"/>
      <c r="AJ205" s="25"/>
      <c r="AK205" s="25"/>
    </row>
    <row r="206" spans="1:37" x14ac:dyDescent="0.25">
      <c r="A206" s="18" t="str">
        <f t="shared" si="3"/>
        <v/>
      </c>
      <c r="B206" s="25"/>
      <c r="C206" s="25"/>
      <c r="D206" s="25"/>
      <c r="E206" s="25"/>
      <c r="F206" s="25"/>
      <c r="G206" s="25"/>
      <c r="H206" s="37"/>
      <c r="I206" s="25"/>
      <c r="J206" s="38"/>
      <c r="K206" s="40"/>
      <c r="S206" s="25"/>
      <c r="T206" s="25" t="str">
        <f>IFERROR(IF(ISBLANK(S206),"",INDEX(Gen_Vessels!$A$3:$C$500,MATCH(InspectionSite!$S206,Gen_Vessels!$C$3:$C$500,0),1)),"")</f>
        <v/>
      </c>
      <c r="U206" s="25"/>
      <c r="V206" s="25"/>
      <c r="W206" s="25" t="str">
        <f>IFERROR(IF(ISBLANK(V206),"",INDEX(Gen_Vessels!$A$3:$C$500,MATCH(InspectionSite!$V206,Gen_Vessels!$C$3:$C$500,0),1)),"")</f>
        <v/>
      </c>
      <c r="X206" s="25"/>
      <c r="Y206" s="25"/>
      <c r="Z206" s="25"/>
      <c r="AA206" s="25"/>
      <c r="AB206" s="25"/>
      <c r="AC206" s="25"/>
      <c r="AE206" s="25"/>
      <c r="AF206" s="49"/>
      <c r="AG206" s="25"/>
      <c r="AH206" s="25"/>
      <c r="AI206" s="25"/>
      <c r="AJ206" s="25"/>
      <c r="AK206" s="25"/>
    </row>
    <row r="207" spans="1:37" x14ac:dyDescent="0.25">
      <c r="A207" s="18" t="str">
        <f t="shared" si="3"/>
        <v/>
      </c>
      <c r="B207" s="25"/>
      <c r="C207" s="25"/>
      <c r="D207" s="25"/>
      <c r="E207" s="25"/>
      <c r="F207" s="25"/>
      <c r="G207" s="25"/>
      <c r="H207" s="37"/>
      <c r="I207" s="25"/>
      <c r="J207" s="38"/>
      <c r="K207" s="40"/>
      <c r="S207" s="25"/>
      <c r="T207" s="25" t="str">
        <f>IFERROR(IF(ISBLANK(S207),"",INDEX(Gen_Vessels!$A$3:$C$500,MATCH(InspectionSite!$S207,Gen_Vessels!$C$3:$C$500,0),1)),"")</f>
        <v/>
      </c>
      <c r="U207" s="25"/>
      <c r="V207" s="25"/>
      <c r="W207" s="25" t="str">
        <f>IFERROR(IF(ISBLANK(V207),"",INDEX(Gen_Vessels!$A$3:$C$500,MATCH(InspectionSite!$V207,Gen_Vessels!$C$3:$C$500,0),1)),"")</f>
        <v/>
      </c>
      <c r="X207" s="25"/>
      <c r="Y207" s="25"/>
      <c r="Z207" s="25"/>
      <c r="AA207" s="25"/>
      <c r="AB207" s="25"/>
      <c r="AC207" s="25"/>
      <c r="AE207" s="25"/>
      <c r="AF207" s="49"/>
      <c r="AG207" s="25"/>
      <c r="AH207" s="25"/>
      <c r="AI207" s="25"/>
      <c r="AJ207" s="25"/>
      <c r="AK207" s="25"/>
    </row>
    <row r="208" spans="1:37" x14ac:dyDescent="0.25">
      <c r="A208" s="18" t="str">
        <f t="shared" si="3"/>
        <v/>
      </c>
      <c r="B208" s="25"/>
      <c r="C208" s="25"/>
      <c r="D208" s="25"/>
      <c r="E208" s="25"/>
      <c r="F208" s="25"/>
      <c r="G208" s="25"/>
      <c r="H208" s="37"/>
      <c r="I208" s="25"/>
      <c r="J208" s="38"/>
      <c r="K208" s="40"/>
      <c r="S208" s="25"/>
      <c r="T208" s="25" t="str">
        <f>IFERROR(IF(ISBLANK(S208),"",INDEX(Gen_Vessels!$A$3:$C$500,MATCH(InspectionSite!$S208,Gen_Vessels!$C$3:$C$500,0),1)),"")</f>
        <v/>
      </c>
      <c r="U208" s="25"/>
      <c r="V208" s="25"/>
      <c r="W208" s="25" t="str">
        <f>IFERROR(IF(ISBLANK(V208),"",INDEX(Gen_Vessels!$A$3:$C$500,MATCH(InspectionSite!$V208,Gen_Vessels!$C$3:$C$500,0),1)),"")</f>
        <v/>
      </c>
      <c r="X208" s="25"/>
      <c r="Y208" s="25"/>
      <c r="Z208" s="25"/>
      <c r="AA208" s="25"/>
      <c r="AB208" s="25"/>
      <c r="AC208" s="25"/>
      <c r="AE208" s="25"/>
      <c r="AF208" s="49"/>
      <c r="AG208" s="25"/>
      <c r="AH208" s="25"/>
      <c r="AI208" s="25"/>
      <c r="AJ208" s="25"/>
      <c r="AK208" s="25"/>
    </row>
    <row r="209" spans="1:37" x14ac:dyDescent="0.25">
      <c r="A209" s="18" t="str">
        <f t="shared" si="3"/>
        <v/>
      </c>
      <c r="B209" s="25"/>
      <c r="C209" s="25"/>
      <c r="D209" s="25"/>
      <c r="E209" s="25"/>
      <c r="F209" s="25"/>
      <c r="G209" s="25"/>
      <c r="H209" s="37"/>
      <c r="I209" s="25"/>
      <c r="J209" s="38"/>
      <c r="K209" s="40"/>
      <c r="S209" s="25"/>
      <c r="T209" s="25" t="str">
        <f>IFERROR(IF(ISBLANK(S209),"",INDEX(Gen_Vessels!$A$3:$C$500,MATCH(InspectionSite!$S209,Gen_Vessels!$C$3:$C$500,0),1)),"")</f>
        <v/>
      </c>
      <c r="U209" s="25"/>
      <c r="V209" s="25"/>
      <c r="W209" s="25" t="str">
        <f>IFERROR(IF(ISBLANK(V209),"",INDEX(Gen_Vessels!$A$3:$C$500,MATCH(InspectionSite!$V209,Gen_Vessels!$C$3:$C$500,0),1)),"")</f>
        <v/>
      </c>
      <c r="X209" s="25"/>
      <c r="Y209" s="25"/>
      <c r="Z209" s="25"/>
      <c r="AA209" s="25"/>
      <c r="AB209" s="25"/>
      <c r="AC209" s="25"/>
      <c r="AE209" s="25"/>
      <c r="AF209" s="49"/>
      <c r="AG209" s="25"/>
      <c r="AH209" s="25"/>
      <c r="AI209" s="25"/>
      <c r="AJ209" s="25"/>
      <c r="AK209" s="25"/>
    </row>
    <row r="210" spans="1:37" x14ac:dyDescent="0.25">
      <c r="A210" s="18" t="str">
        <f t="shared" si="3"/>
        <v/>
      </c>
      <c r="B210" s="25"/>
      <c r="C210" s="25"/>
      <c r="D210" s="25"/>
      <c r="E210" s="25"/>
      <c r="F210" s="25"/>
      <c r="G210" s="25"/>
      <c r="H210" s="37"/>
      <c r="I210" s="25"/>
      <c r="J210" s="38"/>
      <c r="K210" s="40"/>
      <c r="S210" s="25"/>
      <c r="T210" s="25" t="str">
        <f>IFERROR(IF(ISBLANK(S210),"",INDEX(Gen_Vessels!$A$3:$C$500,MATCH(InspectionSite!$S210,Gen_Vessels!$C$3:$C$500,0),1)),"")</f>
        <v/>
      </c>
      <c r="U210" s="25"/>
      <c r="V210" s="25"/>
      <c r="W210" s="25" t="str">
        <f>IFERROR(IF(ISBLANK(V210),"",INDEX(Gen_Vessels!$A$3:$C$500,MATCH(InspectionSite!$V210,Gen_Vessels!$C$3:$C$500,0),1)),"")</f>
        <v/>
      </c>
      <c r="X210" s="25"/>
      <c r="Y210" s="25"/>
      <c r="Z210" s="25"/>
      <c r="AA210" s="25"/>
      <c r="AB210" s="25"/>
      <c r="AC210" s="25"/>
      <c r="AE210" s="25"/>
      <c r="AF210" s="49"/>
      <c r="AG210" s="25"/>
      <c r="AH210" s="25"/>
      <c r="AI210" s="25"/>
      <c r="AJ210" s="25"/>
      <c r="AK210" s="25"/>
    </row>
    <row r="211" spans="1:37" x14ac:dyDescent="0.25">
      <c r="A211" s="18" t="str">
        <f t="shared" si="3"/>
        <v/>
      </c>
      <c r="B211" s="25"/>
      <c r="C211" s="25"/>
      <c r="D211" s="25"/>
      <c r="E211" s="25"/>
      <c r="F211" s="25"/>
      <c r="G211" s="25"/>
      <c r="H211" s="37"/>
      <c r="I211" s="25"/>
      <c r="J211" s="38"/>
      <c r="K211" s="40"/>
      <c r="S211" s="25"/>
      <c r="T211" s="25" t="str">
        <f>IFERROR(IF(ISBLANK(S211),"",INDEX(Gen_Vessels!$A$3:$C$500,MATCH(InspectionSite!$S211,Gen_Vessels!$C$3:$C$500,0),1)),"")</f>
        <v/>
      </c>
      <c r="U211" s="25"/>
      <c r="V211" s="25"/>
      <c r="W211" s="25" t="str">
        <f>IFERROR(IF(ISBLANK(V211),"",INDEX(Gen_Vessels!$A$3:$C$500,MATCH(InspectionSite!$V211,Gen_Vessels!$C$3:$C$500,0),1)),"")</f>
        <v/>
      </c>
      <c r="X211" s="25"/>
      <c r="Y211" s="25"/>
      <c r="Z211" s="25"/>
      <c r="AA211" s="25"/>
      <c r="AB211" s="25"/>
      <c r="AC211" s="25"/>
      <c r="AE211" s="25"/>
      <c r="AF211" s="49"/>
      <c r="AG211" s="25"/>
      <c r="AH211" s="25"/>
      <c r="AI211" s="25"/>
      <c r="AJ211" s="25"/>
      <c r="AK211" s="25"/>
    </row>
    <row r="212" spans="1:37" x14ac:dyDescent="0.25">
      <c r="A212" s="18" t="str">
        <f t="shared" si="3"/>
        <v/>
      </c>
      <c r="B212" s="25"/>
      <c r="C212" s="25"/>
      <c r="D212" s="25"/>
      <c r="E212" s="25"/>
      <c r="F212" s="25"/>
      <c r="G212" s="25"/>
      <c r="H212" s="37"/>
      <c r="I212" s="25"/>
      <c r="J212" s="38"/>
      <c r="K212" s="40"/>
      <c r="S212" s="25"/>
      <c r="T212" s="25" t="str">
        <f>IFERROR(IF(ISBLANK(S212),"",INDEX(Gen_Vessels!$A$3:$C$500,MATCH(InspectionSite!$S212,Gen_Vessels!$C$3:$C$500,0),1)),"")</f>
        <v/>
      </c>
      <c r="U212" s="25"/>
      <c r="V212" s="25"/>
      <c r="W212" s="25" t="str">
        <f>IFERROR(IF(ISBLANK(V212),"",INDEX(Gen_Vessels!$A$3:$C$500,MATCH(InspectionSite!$V212,Gen_Vessels!$C$3:$C$500,0),1)),"")</f>
        <v/>
      </c>
      <c r="X212" s="25"/>
      <c r="Y212" s="25"/>
      <c r="Z212" s="25"/>
      <c r="AA212" s="25"/>
      <c r="AB212" s="25"/>
      <c r="AC212" s="25"/>
      <c r="AE212" s="25"/>
      <c r="AF212" s="49"/>
      <c r="AG212" s="25"/>
      <c r="AH212" s="25"/>
      <c r="AI212" s="25"/>
      <c r="AJ212" s="25"/>
      <c r="AK212" s="25"/>
    </row>
    <row r="213" spans="1:37" x14ac:dyDescent="0.25">
      <c r="A213" s="18" t="str">
        <f t="shared" si="3"/>
        <v/>
      </c>
      <c r="B213" s="25"/>
      <c r="C213" s="25"/>
      <c r="D213" s="25"/>
      <c r="E213" s="25"/>
      <c r="F213" s="25"/>
      <c r="G213" s="25"/>
      <c r="H213" s="37"/>
      <c r="I213" s="25"/>
      <c r="J213" s="38"/>
      <c r="K213" s="40"/>
      <c r="S213" s="25"/>
      <c r="T213" s="25" t="str">
        <f>IFERROR(IF(ISBLANK(S213),"",INDEX(Gen_Vessels!$A$3:$C$500,MATCH(InspectionSite!$S213,Gen_Vessels!$C$3:$C$500,0),1)),"")</f>
        <v/>
      </c>
      <c r="U213" s="25"/>
      <c r="V213" s="25"/>
      <c r="W213" s="25" t="str">
        <f>IFERROR(IF(ISBLANK(V213),"",INDEX(Gen_Vessels!$A$3:$C$500,MATCH(InspectionSite!$V213,Gen_Vessels!$C$3:$C$500,0),1)),"")</f>
        <v/>
      </c>
      <c r="X213" s="25"/>
      <c r="Y213" s="25"/>
      <c r="Z213" s="25"/>
      <c r="AA213" s="25"/>
      <c r="AB213" s="25"/>
      <c r="AC213" s="25"/>
      <c r="AE213" s="25"/>
      <c r="AF213" s="49"/>
      <c r="AG213" s="25"/>
      <c r="AH213" s="25"/>
      <c r="AI213" s="25"/>
      <c r="AJ213" s="25"/>
      <c r="AK213" s="25"/>
    </row>
    <row r="214" spans="1:37" x14ac:dyDescent="0.25">
      <c r="A214" s="18" t="str">
        <f t="shared" si="3"/>
        <v/>
      </c>
      <c r="B214" s="25"/>
      <c r="C214" s="25"/>
      <c r="D214" s="25"/>
      <c r="E214" s="25"/>
      <c r="F214" s="25"/>
      <c r="G214" s="25"/>
      <c r="H214" s="37"/>
      <c r="I214" s="25"/>
      <c r="J214" s="38"/>
      <c r="K214" s="40"/>
      <c r="S214" s="25"/>
      <c r="T214" s="25" t="str">
        <f>IFERROR(IF(ISBLANK(S214),"",INDEX(Gen_Vessels!$A$3:$C$500,MATCH(InspectionSite!$S214,Gen_Vessels!$C$3:$C$500,0),1)),"")</f>
        <v/>
      </c>
      <c r="U214" s="25"/>
      <c r="V214" s="25"/>
      <c r="W214" s="25" t="str">
        <f>IFERROR(IF(ISBLANK(V214),"",INDEX(Gen_Vessels!$A$3:$C$500,MATCH(InspectionSite!$V214,Gen_Vessels!$C$3:$C$500,0),1)),"")</f>
        <v/>
      </c>
      <c r="X214" s="25"/>
      <c r="Y214" s="25"/>
      <c r="Z214" s="25"/>
      <c r="AA214" s="25"/>
      <c r="AB214" s="25"/>
      <c r="AC214" s="25"/>
      <c r="AE214" s="25"/>
      <c r="AF214" s="49"/>
      <c r="AG214" s="25"/>
      <c r="AH214" s="25"/>
      <c r="AI214" s="25"/>
      <c r="AJ214" s="25"/>
      <c r="AK214" s="25"/>
    </row>
    <row r="215" spans="1:37" x14ac:dyDescent="0.25">
      <c r="A215" s="18" t="str">
        <f t="shared" si="3"/>
        <v/>
      </c>
      <c r="B215" s="25"/>
      <c r="C215" s="25"/>
      <c r="D215" s="25"/>
      <c r="E215" s="25"/>
      <c r="F215" s="25"/>
      <c r="G215" s="25"/>
      <c r="H215" s="37"/>
      <c r="I215" s="25"/>
      <c r="J215" s="38"/>
      <c r="K215" s="40"/>
      <c r="S215" s="25"/>
      <c r="T215" s="25" t="str">
        <f>IFERROR(IF(ISBLANK(S215),"",INDEX(Gen_Vessels!$A$3:$C$500,MATCH(InspectionSite!$S215,Gen_Vessels!$C$3:$C$500,0),1)),"")</f>
        <v/>
      </c>
      <c r="U215" s="25"/>
      <c r="V215" s="25"/>
      <c r="W215" s="25" t="str">
        <f>IFERROR(IF(ISBLANK(V215),"",INDEX(Gen_Vessels!$A$3:$C$500,MATCH(InspectionSite!$V215,Gen_Vessels!$C$3:$C$500,0),1)),"")</f>
        <v/>
      </c>
      <c r="X215" s="25"/>
      <c r="Y215" s="25"/>
      <c r="Z215" s="25"/>
      <c r="AA215" s="25"/>
      <c r="AB215" s="25"/>
      <c r="AC215" s="25"/>
      <c r="AE215" s="25"/>
      <c r="AF215" s="49"/>
      <c r="AG215" s="25"/>
      <c r="AH215" s="25"/>
      <c r="AI215" s="25"/>
      <c r="AJ215" s="25"/>
      <c r="AK215" s="25"/>
    </row>
    <row r="216" spans="1:37" x14ac:dyDescent="0.25">
      <c r="A216" s="18" t="str">
        <f t="shared" si="3"/>
        <v/>
      </c>
      <c r="B216" s="25"/>
      <c r="C216" s="25"/>
      <c r="D216" s="25"/>
      <c r="E216" s="25"/>
      <c r="F216" s="25"/>
      <c r="G216" s="25"/>
      <c r="H216" s="37"/>
      <c r="I216" s="25"/>
      <c r="J216" s="38"/>
      <c r="K216" s="40"/>
      <c r="S216" s="25"/>
      <c r="T216" s="25" t="str">
        <f>IFERROR(IF(ISBLANK(S216),"",INDEX(Gen_Vessels!$A$3:$C$500,MATCH(InspectionSite!$S216,Gen_Vessels!$C$3:$C$500,0),1)),"")</f>
        <v/>
      </c>
      <c r="U216" s="25"/>
      <c r="V216" s="25"/>
      <c r="W216" s="25" t="str">
        <f>IFERROR(IF(ISBLANK(V216),"",INDEX(Gen_Vessels!$A$3:$C$500,MATCH(InspectionSite!$V216,Gen_Vessels!$C$3:$C$500,0),1)),"")</f>
        <v/>
      </c>
      <c r="X216" s="25"/>
      <c r="Y216" s="25"/>
      <c r="Z216" s="25"/>
      <c r="AA216" s="25"/>
      <c r="AB216" s="25"/>
      <c r="AC216" s="25"/>
      <c r="AE216" s="25"/>
      <c r="AF216" s="49"/>
      <c r="AG216" s="25"/>
      <c r="AH216" s="25"/>
      <c r="AI216" s="25"/>
      <c r="AJ216" s="25"/>
      <c r="AK216" s="25"/>
    </row>
    <row r="217" spans="1:37" x14ac:dyDescent="0.25">
      <c r="A217" s="18" t="str">
        <f t="shared" si="3"/>
        <v/>
      </c>
      <c r="B217" s="25"/>
      <c r="C217" s="25"/>
      <c r="D217" s="25"/>
      <c r="E217" s="25"/>
      <c r="F217" s="25"/>
      <c r="G217" s="25"/>
      <c r="H217" s="37"/>
      <c r="I217" s="25"/>
      <c r="J217" s="38"/>
      <c r="K217" s="40"/>
      <c r="S217" s="25"/>
      <c r="T217" s="25" t="str">
        <f>IFERROR(IF(ISBLANK(S217),"",INDEX(Gen_Vessels!$A$3:$C$500,MATCH(InspectionSite!$S217,Gen_Vessels!$C$3:$C$500,0),1)),"")</f>
        <v/>
      </c>
      <c r="U217" s="25"/>
      <c r="V217" s="25"/>
      <c r="W217" s="25" t="str">
        <f>IFERROR(IF(ISBLANK(V217),"",INDEX(Gen_Vessels!$A$3:$C$500,MATCH(InspectionSite!$V217,Gen_Vessels!$C$3:$C$500,0),1)),"")</f>
        <v/>
      </c>
      <c r="X217" s="25"/>
      <c r="Y217" s="25"/>
      <c r="Z217" s="25"/>
      <c r="AA217" s="25"/>
      <c r="AB217" s="25"/>
      <c r="AC217" s="25"/>
      <c r="AE217" s="25"/>
      <c r="AF217" s="49"/>
      <c r="AG217" s="25"/>
      <c r="AH217" s="25"/>
      <c r="AI217" s="25"/>
      <c r="AJ217" s="25"/>
      <c r="AK217" s="25"/>
    </row>
    <row r="218" spans="1:37" x14ac:dyDescent="0.25">
      <c r="A218" s="18" t="str">
        <f t="shared" si="3"/>
        <v/>
      </c>
      <c r="B218" s="25"/>
      <c r="C218" s="25"/>
      <c r="D218" s="25"/>
      <c r="E218" s="25"/>
      <c r="F218" s="25"/>
      <c r="G218" s="25"/>
      <c r="H218" s="37"/>
      <c r="I218" s="25"/>
      <c r="J218" s="38"/>
      <c r="K218" s="40"/>
      <c r="S218" s="25"/>
      <c r="T218" s="25" t="str">
        <f>IFERROR(IF(ISBLANK(S218),"",INDEX(Gen_Vessels!$A$3:$C$500,MATCH(InspectionSite!$S218,Gen_Vessels!$C$3:$C$500,0),1)),"")</f>
        <v/>
      </c>
      <c r="U218" s="25"/>
      <c r="V218" s="25"/>
      <c r="W218" s="25" t="str">
        <f>IFERROR(IF(ISBLANK(V218),"",INDEX(Gen_Vessels!$A$3:$C$500,MATCH(InspectionSite!$V218,Gen_Vessels!$C$3:$C$500,0),1)),"")</f>
        <v/>
      </c>
      <c r="X218" s="25"/>
      <c r="Y218" s="25"/>
      <c r="Z218" s="25"/>
      <c r="AA218" s="25"/>
      <c r="AB218" s="25"/>
      <c r="AC218" s="25"/>
      <c r="AE218" s="25"/>
      <c r="AF218" s="49"/>
      <c r="AG218" s="25"/>
      <c r="AH218" s="25"/>
      <c r="AI218" s="25"/>
      <c r="AJ218" s="25"/>
      <c r="AK218" s="25"/>
    </row>
    <row r="219" spans="1:37" x14ac:dyDescent="0.25">
      <c r="A219" s="18" t="str">
        <f t="shared" si="3"/>
        <v/>
      </c>
      <c r="B219" s="25"/>
      <c r="C219" s="25"/>
      <c r="D219" s="25"/>
      <c r="E219" s="25"/>
      <c r="F219" s="25"/>
      <c r="G219" s="25"/>
      <c r="H219" s="37"/>
      <c r="I219" s="25"/>
      <c r="J219" s="38"/>
      <c r="K219" s="40"/>
      <c r="S219" s="25"/>
      <c r="T219" s="25" t="str">
        <f>IFERROR(IF(ISBLANK(S219),"",INDEX(Gen_Vessels!$A$3:$C$500,MATCH(InspectionSite!$S219,Gen_Vessels!$C$3:$C$500,0),1)),"")</f>
        <v/>
      </c>
      <c r="U219" s="25"/>
      <c r="V219" s="25"/>
      <c r="W219" s="25" t="str">
        <f>IFERROR(IF(ISBLANK(V219),"",INDEX(Gen_Vessels!$A$3:$C$500,MATCH(InspectionSite!$V219,Gen_Vessels!$C$3:$C$500,0),1)),"")</f>
        <v/>
      </c>
      <c r="X219" s="25"/>
      <c r="Y219" s="25"/>
      <c r="Z219" s="25"/>
      <c r="AA219" s="25"/>
      <c r="AB219" s="25"/>
      <c r="AC219" s="25"/>
      <c r="AE219" s="25"/>
      <c r="AF219" s="49"/>
      <c r="AG219" s="25"/>
      <c r="AH219" s="25"/>
      <c r="AI219" s="25"/>
      <c r="AJ219" s="25"/>
      <c r="AK219" s="25"/>
    </row>
    <row r="220" spans="1:37" x14ac:dyDescent="0.25">
      <c r="A220" s="18" t="str">
        <f t="shared" si="3"/>
        <v/>
      </c>
      <c r="B220" s="25"/>
      <c r="C220" s="25"/>
      <c r="D220" s="25"/>
      <c r="E220" s="25"/>
      <c r="F220" s="25"/>
      <c r="G220" s="25"/>
      <c r="H220" s="37"/>
      <c r="I220" s="25"/>
      <c r="J220" s="38"/>
      <c r="K220" s="40"/>
      <c r="S220" s="25"/>
      <c r="T220" s="25" t="str">
        <f>IFERROR(IF(ISBLANK(S220),"",INDEX(Gen_Vessels!$A$3:$C$500,MATCH(InspectionSite!$S220,Gen_Vessels!$C$3:$C$500,0),1)),"")</f>
        <v/>
      </c>
      <c r="U220" s="25"/>
      <c r="V220" s="25"/>
      <c r="W220" s="25" t="str">
        <f>IFERROR(IF(ISBLANK(V220),"",INDEX(Gen_Vessels!$A$3:$C$500,MATCH(InspectionSite!$V220,Gen_Vessels!$C$3:$C$500,0),1)),"")</f>
        <v/>
      </c>
      <c r="X220" s="25"/>
      <c r="Y220" s="25"/>
      <c r="Z220" s="25"/>
      <c r="AA220" s="25"/>
      <c r="AB220" s="25"/>
      <c r="AC220" s="25"/>
      <c r="AE220" s="25"/>
      <c r="AF220" s="49"/>
      <c r="AG220" s="25"/>
      <c r="AH220" s="25"/>
      <c r="AI220" s="25"/>
      <c r="AJ220" s="25"/>
      <c r="AK220" s="25"/>
    </row>
    <row r="221" spans="1:37" x14ac:dyDescent="0.25">
      <c r="A221" s="18" t="str">
        <f t="shared" si="3"/>
        <v/>
      </c>
      <c r="B221" s="25"/>
      <c r="C221" s="25"/>
      <c r="D221" s="25"/>
      <c r="E221" s="25"/>
      <c r="F221" s="25"/>
      <c r="G221" s="25"/>
      <c r="H221" s="37"/>
      <c r="I221" s="25"/>
      <c r="J221" s="38"/>
      <c r="K221" s="40"/>
      <c r="S221" s="25"/>
      <c r="T221" s="25" t="str">
        <f>IFERROR(IF(ISBLANK(S221),"",INDEX(Gen_Vessels!$A$3:$C$500,MATCH(InspectionSite!$S221,Gen_Vessels!$C$3:$C$500,0),1)),"")</f>
        <v/>
      </c>
      <c r="U221" s="25"/>
      <c r="V221" s="25"/>
      <c r="W221" s="25" t="str">
        <f>IFERROR(IF(ISBLANK(V221),"",INDEX(Gen_Vessels!$A$3:$C$500,MATCH(InspectionSite!$V221,Gen_Vessels!$C$3:$C$500,0),1)),"")</f>
        <v/>
      </c>
      <c r="X221" s="25"/>
      <c r="Y221" s="25"/>
      <c r="Z221" s="25"/>
      <c r="AA221" s="25"/>
      <c r="AB221" s="25"/>
      <c r="AC221" s="25"/>
      <c r="AE221" s="25"/>
      <c r="AF221" s="49"/>
      <c r="AG221" s="25"/>
      <c r="AH221" s="25"/>
      <c r="AI221" s="25"/>
      <c r="AJ221" s="25"/>
      <c r="AK221" s="25"/>
    </row>
    <row r="222" spans="1:37" x14ac:dyDescent="0.25">
      <c r="A222" s="18" t="str">
        <f t="shared" si="3"/>
        <v/>
      </c>
      <c r="B222" s="25"/>
      <c r="C222" s="25"/>
      <c r="D222" s="25"/>
      <c r="E222" s="25"/>
      <c r="F222" s="25"/>
      <c r="G222" s="25"/>
      <c r="H222" s="37"/>
      <c r="I222" s="25"/>
      <c r="J222" s="38"/>
      <c r="K222" s="40"/>
      <c r="S222" s="25"/>
      <c r="T222" s="25" t="str">
        <f>IFERROR(IF(ISBLANK(S222),"",INDEX(Gen_Vessels!$A$3:$C$500,MATCH(InspectionSite!$S222,Gen_Vessels!$C$3:$C$500,0),1)),"")</f>
        <v/>
      </c>
      <c r="U222" s="25"/>
      <c r="V222" s="25"/>
      <c r="W222" s="25" t="str">
        <f>IFERROR(IF(ISBLANK(V222),"",INDEX(Gen_Vessels!$A$3:$C$500,MATCH(InspectionSite!$V222,Gen_Vessels!$C$3:$C$500,0),1)),"")</f>
        <v/>
      </c>
      <c r="X222" s="25"/>
      <c r="Y222" s="25"/>
      <c r="Z222" s="25"/>
      <c r="AA222" s="25"/>
      <c r="AB222" s="25"/>
      <c r="AC222" s="25"/>
      <c r="AE222" s="25"/>
      <c r="AF222" s="49"/>
      <c r="AG222" s="25"/>
      <c r="AH222" s="25"/>
      <c r="AI222" s="25"/>
      <c r="AJ222" s="25"/>
      <c r="AK222" s="25"/>
    </row>
    <row r="223" spans="1:37" x14ac:dyDescent="0.25">
      <c r="A223" s="18" t="str">
        <f t="shared" si="3"/>
        <v/>
      </c>
      <c r="B223" s="25"/>
      <c r="C223" s="25"/>
      <c r="D223" s="25"/>
      <c r="E223" s="25"/>
      <c r="F223" s="25"/>
      <c r="G223" s="25"/>
      <c r="H223" s="37"/>
      <c r="I223" s="25"/>
      <c r="J223" s="38"/>
      <c r="K223" s="40"/>
      <c r="S223" s="25"/>
      <c r="T223" s="25" t="str">
        <f>IFERROR(IF(ISBLANK(S223),"",INDEX(Gen_Vessels!$A$3:$C$500,MATCH(InspectionSite!$S223,Gen_Vessels!$C$3:$C$500,0),1)),"")</f>
        <v/>
      </c>
      <c r="U223" s="25"/>
      <c r="V223" s="25"/>
      <c r="W223" s="25" t="str">
        <f>IFERROR(IF(ISBLANK(V223),"",INDEX(Gen_Vessels!$A$3:$C$500,MATCH(InspectionSite!$V223,Gen_Vessels!$C$3:$C$500,0),1)),"")</f>
        <v/>
      </c>
      <c r="X223" s="25"/>
      <c r="Y223" s="25"/>
      <c r="Z223" s="25"/>
      <c r="AA223" s="25"/>
      <c r="AB223" s="25"/>
      <c r="AC223" s="25"/>
      <c r="AE223" s="25"/>
      <c r="AF223" s="49"/>
      <c r="AG223" s="25"/>
      <c r="AH223" s="25"/>
      <c r="AI223" s="25"/>
      <c r="AJ223" s="25"/>
      <c r="AK223" s="25"/>
    </row>
    <row r="224" spans="1:37" x14ac:dyDescent="0.25">
      <c r="A224" s="18" t="str">
        <f t="shared" si="3"/>
        <v/>
      </c>
      <c r="B224" s="25"/>
      <c r="C224" s="25"/>
      <c r="D224" s="25"/>
      <c r="E224" s="25"/>
      <c r="F224" s="25"/>
      <c r="G224" s="25"/>
      <c r="H224" s="37"/>
      <c r="I224" s="25"/>
      <c r="J224" s="38"/>
      <c r="K224" s="40"/>
      <c r="S224" s="25"/>
      <c r="T224" s="25" t="str">
        <f>IFERROR(IF(ISBLANK(S224),"",INDEX(Gen_Vessels!$A$3:$C$500,MATCH(InspectionSite!$S224,Gen_Vessels!$C$3:$C$500,0),1)),"")</f>
        <v/>
      </c>
      <c r="U224" s="25"/>
      <c r="V224" s="25"/>
      <c r="W224" s="25" t="str">
        <f>IFERROR(IF(ISBLANK(V224),"",INDEX(Gen_Vessels!$A$3:$C$500,MATCH(InspectionSite!$V224,Gen_Vessels!$C$3:$C$500,0),1)),"")</f>
        <v/>
      </c>
      <c r="X224" s="25"/>
      <c r="Y224" s="25"/>
      <c r="Z224" s="25"/>
      <c r="AA224" s="25"/>
      <c r="AB224" s="25"/>
      <c r="AC224" s="25"/>
      <c r="AE224" s="25"/>
      <c r="AF224" s="49"/>
      <c r="AG224" s="25"/>
      <c r="AH224" s="25"/>
      <c r="AI224" s="25"/>
      <c r="AJ224" s="25"/>
      <c r="AK224" s="25"/>
    </row>
    <row r="225" spans="1:37" x14ac:dyDescent="0.25">
      <c r="A225" s="18" t="str">
        <f t="shared" si="3"/>
        <v/>
      </c>
      <c r="B225" s="25"/>
      <c r="C225" s="25"/>
      <c r="D225" s="25"/>
      <c r="E225" s="25"/>
      <c r="F225" s="25"/>
      <c r="G225" s="25"/>
      <c r="H225" s="37"/>
      <c r="I225" s="25"/>
      <c r="J225" s="38"/>
      <c r="K225" s="40"/>
      <c r="S225" s="25"/>
      <c r="T225" s="25" t="str">
        <f>IFERROR(IF(ISBLANK(S225),"",INDEX(Gen_Vessels!$A$3:$C$500,MATCH(InspectionSite!$S225,Gen_Vessels!$C$3:$C$500,0),1)),"")</f>
        <v/>
      </c>
      <c r="U225" s="25"/>
      <c r="V225" s="25"/>
      <c r="W225" s="25" t="str">
        <f>IFERROR(IF(ISBLANK(V225),"",INDEX(Gen_Vessels!$A$3:$C$500,MATCH(InspectionSite!$V225,Gen_Vessels!$C$3:$C$500,0),1)),"")</f>
        <v/>
      </c>
      <c r="X225" s="25"/>
      <c r="Y225" s="25"/>
      <c r="Z225" s="25"/>
      <c r="AA225" s="25"/>
      <c r="AB225" s="25"/>
      <c r="AC225" s="25"/>
      <c r="AE225" s="25"/>
      <c r="AF225" s="49"/>
      <c r="AG225" s="25"/>
      <c r="AH225" s="25"/>
      <c r="AI225" s="25"/>
      <c r="AJ225" s="25"/>
      <c r="AK225" s="25"/>
    </row>
    <row r="226" spans="1:37" x14ac:dyDescent="0.25">
      <c r="A226" s="18" t="str">
        <f t="shared" si="3"/>
        <v/>
      </c>
      <c r="B226" s="25"/>
      <c r="C226" s="25"/>
      <c r="D226" s="25"/>
      <c r="E226" s="25"/>
      <c r="F226" s="25"/>
      <c r="G226" s="25"/>
      <c r="H226" s="37"/>
      <c r="I226" s="25"/>
      <c r="J226" s="38"/>
      <c r="K226" s="40"/>
      <c r="S226" s="25"/>
      <c r="T226" s="25" t="str">
        <f>IFERROR(IF(ISBLANK(S226),"",INDEX(Gen_Vessels!$A$3:$C$500,MATCH(InspectionSite!$S226,Gen_Vessels!$C$3:$C$500,0),1)),"")</f>
        <v/>
      </c>
      <c r="U226" s="25"/>
      <c r="V226" s="25"/>
      <c r="W226" s="25" t="str">
        <f>IFERROR(IF(ISBLANK(V226),"",INDEX(Gen_Vessels!$A$3:$C$500,MATCH(InspectionSite!$V226,Gen_Vessels!$C$3:$C$500,0),1)),"")</f>
        <v/>
      </c>
      <c r="X226" s="25"/>
      <c r="Y226" s="25"/>
      <c r="Z226" s="25"/>
      <c r="AA226" s="25"/>
      <c r="AB226" s="25"/>
      <c r="AC226" s="25"/>
      <c r="AE226" s="25"/>
      <c r="AF226" s="49"/>
      <c r="AG226" s="25"/>
      <c r="AH226" s="25"/>
      <c r="AI226" s="25"/>
      <c r="AJ226" s="25"/>
      <c r="AK226" s="25"/>
    </row>
    <row r="227" spans="1:37" x14ac:dyDescent="0.25">
      <c r="A227" s="18" t="str">
        <f t="shared" si="3"/>
        <v/>
      </c>
      <c r="B227" s="25"/>
      <c r="C227" s="25"/>
      <c r="D227" s="25"/>
      <c r="E227" s="25"/>
      <c r="F227" s="25"/>
      <c r="G227" s="25"/>
      <c r="H227" s="37"/>
      <c r="I227" s="25"/>
      <c r="J227" s="38"/>
      <c r="K227" s="40"/>
      <c r="S227" s="25"/>
      <c r="T227" s="25" t="str">
        <f>IFERROR(IF(ISBLANK(S227),"",INDEX(Gen_Vessels!$A$3:$C$500,MATCH(InspectionSite!$S227,Gen_Vessels!$C$3:$C$500,0),1)),"")</f>
        <v/>
      </c>
      <c r="U227" s="25"/>
      <c r="V227" s="25"/>
      <c r="W227" s="25" t="str">
        <f>IFERROR(IF(ISBLANK(V227),"",INDEX(Gen_Vessels!$A$3:$C$500,MATCH(InspectionSite!$V227,Gen_Vessels!$C$3:$C$500,0),1)),"")</f>
        <v/>
      </c>
      <c r="X227" s="25"/>
      <c r="Y227" s="25"/>
      <c r="Z227" s="25"/>
      <c r="AA227" s="25"/>
      <c r="AB227" s="25"/>
      <c r="AC227" s="25"/>
      <c r="AE227" s="25"/>
      <c r="AF227" s="49"/>
      <c r="AG227" s="25"/>
      <c r="AH227" s="25"/>
      <c r="AI227" s="25"/>
      <c r="AJ227" s="25"/>
      <c r="AK227" s="25"/>
    </row>
    <row r="228" spans="1:37" x14ac:dyDescent="0.25">
      <c r="A228" s="18" t="str">
        <f t="shared" si="3"/>
        <v/>
      </c>
      <c r="B228" s="25"/>
      <c r="C228" s="25"/>
      <c r="D228" s="25"/>
      <c r="E228" s="25"/>
      <c r="F228" s="25"/>
      <c r="G228" s="25"/>
      <c r="H228" s="37"/>
      <c r="I228" s="25"/>
      <c r="J228" s="38"/>
      <c r="K228" s="40"/>
      <c r="S228" s="25"/>
      <c r="T228" s="25" t="str">
        <f>IFERROR(IF(ISBLANK(S228),"",INDEX(Gen_Vessels!$A$3:$C$500,MATCH(InspectionSite!$S228,Gen_Vessels!$C$3:$C$500,0),1)),"")</f>
        <v/>
      </c>
      <c r="U228" s="25"/>
      <c r="V228" s="25"/>
      <c r="W228" s="25" t="str">
        <f>IFERROR(IF(ISBLANK(V228),"",INDEX(Gen_Vessels!$A$3:$C$500,MATCH(InspectionSite!$V228,Gen_Vessels!$C$3:$C$500,0),1)),"")</f>
        <v/>
      </c>
      <c r="X228" s="25"/>
      <c r="Y228" s="25"/>
      <c r="Z228" s="25"/>
      <c r="AA228" s="25"/>
      <c r="AB228" s="25"/>
      <c r="AC228" s="25"/>
      <c r="AE228" s="25"/>
      <c r="AF228" s="49"/>
      <c r="AG228" s="25"/>
      <c r="AH228" s="25"/>
      <c r="AI228" s="25"/>
      <c r="AJ228" s="25"/>
      <c r="AK228" s="25"/>
    </row>
    <row r="229" spans="1:37" x14ac:dyDescent="0.25">
      <c r="A229" s="18" t="str">
        <f t="shared" si="3"/>
        <v/>
      </c>
      <c r="B229" s="25"/>
      <c r="C229" s="25"/>
      <c r="D229" s="25"/>
      <c r="E229" s="25"/>
      <c r="F229" s="25"/>
      <c r="G229" s="25"/>
      <c r="H229" s="37"/>
      <c r="I229" s="25"/>
      <c r="J229" s="38"/>
      <c r="K229" s="40"/>
      <c r="S229" s="25"/>
      <c r="T229" s="25" t="str">
        <f>IFERROR(IF(ISBLANK(S229),"",INDEX(Gen_Vessels!$A$3:$C$500,MATCH(InspectionSite!$S229,Gen_Vessels!$C$3:$C$500,0),1)),"")</f>
        <v/>
      </c>
      <c r="U229" s="25"/>
      <c r="V229" s="25"/>
      <c r="W229" s="25" t="str">
        <f>IFERROR(IF(ISBLANK(V229),"",INDEX(Gen_Vessels!$A$3:$C$500,MATCH(InspectionSite!$V229,Gen_Vessels!$C$3:$C$500,0),1)),"")</f>
        <v/>
      </c>
      <c r="X229" s="25"/>
      <c r="Y229" s="25"/>
      <c r="Z229" s="25"/>
      <c r="AA229" s="25"/>
      <c r="AB229" s="25"/>
      <c r="AC229" s="25"/>
      <c r="AE229" s="25"/>
      <c r="AF229" s="49"/>
      <c r="AG229" s="25"/>
      <c r="AH229" s="25"/>
      <c r="AI229" s="25"/>
      <c r="AJ229" s="25"/>
      <c r="AK229" s="25"/>
    </row>
    <row r="230" spans="1:37" x14ac:dyDescent="0.25">
      <c r="A230" s="18" t="str">
        <f t="shared" si="3"/>
        <v/>
      </c>
      <c r="B230" s="25"/>
      <c r="C230" s="25"/>
      <c r="D230" s="25"/>
      <c r="E230" s="25"/>
      <c r="F230" s="25"/>
      <c r="G230" s="25"/>
      <c r="H230" s="37"/>
      <c r="I230" s="25"/>
      <c r="J230" s="38"/>
      <c r="K230" s="40"/>
      <c r="S230" s="25"/>
      <c r="T230" s="25" t="str">
        <f>IFERROR(IF(ISBLANK(S230),"",INDEX(Gen_Vessels!$A$3:$C$500,MATCH(InspectionSite!$S230,Gen_Vessels!$C$3:$C$500,0),1)),"")</f>
        <v/>
      </c>
      <c r="U230" s="25"/>
      <c r="V230" s="25"/>
      <c r="W230" s="25" t="str">
        <f>IFERROR(IF(ISBLANK(V230),"",INDEX(Gen_Vessels!$A$3:$C$500,MATCH(InspectionSite!$V230,Gen_Vessels!$C$3:$C$500,0),1)),"")</f>
        <v/>
      </c>
      <c r="X230" s="25"/>
      <c r="Y230" s="25"/>
      <c r="Z230" s="25"/>
      <c r="AA230" s="25"/>
      <c r="AB230" s="25"/>
      <c r="AC230" s="25"/>
      <c r="AE230" s="25"/>
      <c r="AF230" s="49"/>
      <c r="AG230" s="25"/>
      <c r="AH230" s="25"/>
      <c r="AI230" s="25"/>
      <c r="AJ230" s="25"/>
      <c r="AK230" s="25"/>
    </row>
    <row r="231" spans="1:37" x14ac:dyDescent="0.25">
      <c r="A231" s="18" t="str">
        <f t="shared" si="3"/>
        <v/>
      </c>
      <c r="B231" s="25"/>
      <c r="C231" s="25"/>
      <c r="D231" s="25"/>
      <c r="E231" s="25"/>
      <c r="F231" s="25"/>
      <c r="G231" s="25"/>
      <c r="H231" s="37"/>
      <c r="I231" s="25"/>
      <c r="J231" s="38"/>
      <c r="K231" s="40"/>
      <c r="S231" s="25"/>
      <c r="T231" s="25" t="str">
        <f>IFERROR(IF(ISBLANK(S231),"",INDEX(Gen_Vessels!$A$3:$C$500,MATCH(InspectionSite!$S231,Gen_Vessels!$C$3:$C$500,0),1)),"")</f>
        <v/>
      </c>
      <c r="U231" s="25"/>
      <c r="V231" s="25"/>
      <c r="W231" s="25" t="str">
        <f>IFERROR(IF(ISBLANK(V231),"",INDEX(Gen_Vessels!$A$3:$C$500,MATCH(InspectionSite!$V231,Gen_Vessels!$C$3:$C$500,0),1)),"")</f>
        <v/>
      </c>
      <c r="X231" s="25"/>
      <c r="Y231" s="25"/>
      <c r="Z231" s="25"/>
      <c r="AA231" s="25"/>
      <c r="AB231" s="25"/>
      <c r="AC231" s="25"/>
      <c r="AE231" s="25"/>
      <c r="AF231" s="49"/>
      <c r="AG231" s="25"/>
      <c r="AH231" s="25"/>
      <c r="AI231" s="25"/>
      <c r="AJ231" s="25"/>
      <c r="AK231" s="25"/>
    </row>
    <row r="232" spans="1:37" x14ac:dyDescent="0.25">
      <c r="A232" s="18" t="str">
        <f t="shared" si="3"/>
        <v/>
      </c>
      <c r="B232" s="25"/>
      <c r="C232" s="25"/>
      <c r="D232" s="25"/>
      <c r="E232" s="25"/>
      <c r="F232" s="25"/>
      <c r="G232" s="25"/>
      <c r="H232" s="37"/>
      <c r="I232" s="25"/>
      <c r="J232" s="38"/>
      <c r="K232" s="40"/>
      <c r="S232" s="25"/>
      <c r="T232" s="25" t="str">
        <f>IFERROR(IF(ISBLANK(S232),"",INDEX(Gen_Vessels!$A$3:$C$500,MATCH(InspectionSite!$S232,Gen_Vessels!$C$3:$C$500,0),1)),"")</f>
        <v/>
      </c>
      <c r="U232" s="25"/>
      <c r="V232" s="25"/>
      <c r="W232" s="25" t="str">
        <f>IFERROR(IF(ISBLANK(V232),"",INDEX(Gen_Vessels!$A$3:$C$500,MATCH(InspectionSite!$V232,Gen_Vessels!$C$3:$C$500,0),1)),"")</f>
        <v/>
      </c>
      <c r="X232" s="25"/>
      <c r="Y232" s="25"/>
      <c r="Z232" s="25"/>
      <c r="AA232" s="25"/>
      <c r="AB232" s="25"/>
      <c r="AC232" s="25"/>
      <c r="AE232" s="25"/>
      <c r="AF232" s="49"/>
      <c r="AG232" s="25"/>
      <c r="AH232" s="25"/>
      <c r="AI232" s="25"/>
      <c r="AJ232" s="25"/>
      <c r="AK232" s="25"/>
    </row>
    <row r="233" spans="1:37" x14ac:dyDescent="0.25">
      <c r="A233" s="18" t="str">
        <f t="shared" si="3"/>
        <v/>
      </c>
      <c r="B233" s="25"/>
      <c r="C233" s="25"/>
      <c r="D233" s="25"/>
      <c r="E233" s="25"/>
      <c r="F233" s="25"/>
      <c r="G233" s="25"/>
      <c r="H233" s="37"/>
      <c r="I233" s="25"/>
      <c r="J233" s="38"/>
      <c r="K233" s="40"/>
      <c r="S233" s="25"/>
      <c r="T233" s="25" t="str">
        <f>IFERROR(IF(ISBLANK(S233),"",INDEX(Gen_Vessels!$A$3:$C$500,MATCH(InspectionSite!$S233,Gen_Vessels!$C$3:$C$500,0),1)),"")</f>
        <v/>
      </c>
      <c r="U233" s="25"/>
      <c r="V233" s="25"/>
      <c r="W233" s="25" t="str">
        <f>IFERROR(IF(ISBLANK(V233),"",INDEX(Gen_Vessels!$A$3:$C$500,MATCH(InspectionSite!$V233,Gen_Vessels!$C$3:$C$500,0),1)),"")</f>
        <v/>
      </c>
      <c r="X233" s="25"/>
      <c r="Y233" s="25"/>
      <c r="Z233" s="25"/>
      <c r="AA233" s="25"/>
      <c r="AB233" s="25"/>
      <c r="AC233" s="25"/>
      <c r="AE233" s="25"/>
      <c r="AF233" s="49"/>
      <c r="AG233" s="25"/>
      <c r="AH233" s="25"/>
      <c r="AI233" s="25"/>
      <c r="AJ233" s="25"/>
      <c r="AK233" s="25"/>
    </row>
    <row r="234" spans="1:37" x14ac:dyDescent="0.25">
      <c r="A234" s="18" t="str">
        <f t="shared" si="3"/>
        <v/>
      </c>
      <c r="B234" s="25"/>
      <c r="C234" s="25"/>
      <c r="D234" s="25"/>
      <c r="E234" s="25"/>
      <c r="F234" s="25"/>
      <c r="G234" s="25"/>
      <c r="H234" s="37"/>
      <c r="I234" s="25"/>
      <c r="J234" s="38"/>
      <c r="K234" s="40"/>
      <c r="S234" s="25"/>
      <c r="T234" s="25" t="str">
        <f>IFERROR(IF(ISBLANK(S234),"",INDEX(Gen_Vessels!$A$3:$C$500,MATCH(InspectionSite!$S234,Gen_Vessels!$C$3:$C$500,0),1)),"")</f>
        <v/>
      </c>
      <c r="U234" s="25"/>
      <c r="V234" s="25"/>
      <c r="W234" s="25" t="str">
        <f>IFERROR(IF(ISBLANK(V234),"",INDEX(Gen_Vessels!$A$3:$C$500,MATCH(InspectionSite!$V234,Gen_Vessels!$C$3:$C$500,0),1)),"")</f>
        <v/>
      </c>
      <c r="X234" s="25"/>
      <c r="Y234" s="25"/>
      <c r="Z234" s="25"/>
      <c r="AA234" s="25"/>
      <c r="AB234" s="25"/>
      <c r="AC234" s="25"/>
      <c r="AE234" s="25"/>
      <c r="AF234" s="49"/>
      <c r="AG234" s="25"/>
      <c r="AH234" s="25"/>
      <c r="AI234" s="25"/>
      <c r="AJ234" s="25"/>
      <c r="AK234" s="25"/>
    </row>
    <row r="235" spans="1:37" x14ac:dyDescent="0.25">
      <c r="A235" s="18" t="str">
        <f t="shared" si="3"/>
        <v/>
      </c>
      <c r="B235" s="25"/>
      <c r="C235" s="25"/>
      <c r="D235" s="25"/>
      <c r="E235" s="25"/>
      <c r="F235" s="25"/>
      <c r="G235" s="25"/>
      <c r="H235" s="37"/>
      <c r="I235" s="25"/>
      <c r="J235" s="38"/>
      <c r="K235" s="40"/>
      <c r="S235" s="25"/>
      <c r="T235" s="25" t="str">
        <f>IFERROR(IF(ISBLANK(S235),"",INDEX(Gen_Vessels!$A$3:$C$500,MATCH(InspectionSite!$S235,Gen_Vessels!$C$3:$C$500,0),1)),"")</f>
        <v/>
      </c>
      <c r="U235" s="25"/>
      <c r="V235" s="25"/>
      <c r="W235" s="25" t="str">
        <f>IFERROR(IF(ISBLANK(V235),"",INDEX(Gen_Vessels!$A$3:$C$500,MATCH(InspectionSite!$V235,Gen_Vessels!$C$3:$C$500,0),1)),"")</f>
        <v/>
      </c>
      <c r="X235" s="25"/>
      <c r="Y235" s="25"/>
      <c r="Z235" s="25"/>
      <c r="AA235" s="25"/>
      <c r="AB235" s="25"/>
      <c r="AC235" s="25"/>
      <c r="AE235" s="25"/>
      <c r="AF235" s="49"/>
      <c r="AG235" s="25"/>
      <c r="AH235" s="25"/>
      <c r="AI235" s="25"/>
      <c r="AJ235" s="25"/>
      <c r="AK235" s="25"/>
    </row>
    <row r="236" spans="1:37" x14ac:dyDescent="0.25">
      <c r="A236" s="18" t="str">
        <f t="shared" si="3"/>
        <v/>
      </c>
      <c r="B236" s="25"/>
      <c r="C236" s="25"/>
      <c r="D236" s="25"/>
      <c r="E236" s="25"/>
      <c r="F236" s="25"/>
      <c r="G236" s="25"/>
      <c r="H236" s="37"/>
      <c r="I236" s="25"/>
      <c r="J236" s="38"/>
      <c r="K236" s="40"/>
      <c r="S236" s="25"/>
      <c r="T236" s="25" t="str">
        <f>IFERROR(IF(ISBLANK(S236),"",INDEX(Gen_Vessels!$A$3:$C$500,MATCH(InspectionSite!$S236,Gen_Vessels!$C$3:$C$500,0),1)),"")</f>
        <v/>
      </c>
      <c r="U236" s="25"/>
      <c r="V236" s="25"/>
      <c r="W236" s="25" t="str">
        <f>IFERROR(IF(ISBLANK(V236),"",INDEX(Gen_Vessels!$A$3:$C$500,MATCH(InspectionSite!$V236,Gen_Vessels!$C$3:$C$500,0),1)),"")</f>
        <v/>
      </c>
      <c r="X236" s="25"/>
      <c r="Y236" s="25"/>
      <c r="Z236" s="25"/>
      <c r="AA236" s="25"/>
      <c r="AB236" s="25"/>
      <c r="AC236" s="25"/>
      <c r="AE236" s="25"/>
      <c r="AF236" s="49"/>
      <c r="AG236" s="25"/>
      <c r="AH236" s="25"/>
      <c r="AI236" s="25"/>
      <c r="AJ236" s="25"/>
      <c r="AK236" s="25"/>
    </row>
    <row r="237" spans="1:37" x14ac:dyDescent="0.25">
      <c r="A237" s="18" t="str">
        <f t="shared" si="3"/>
        <v/>
      </c>
      <c r="B237" s="25"/>
      <c r="C237" s="25"/>
      <c r="D237" s="25"/>
      <c r="E237" s="25"/>
      <c r="F237" s="25"/>
      <c r="G237" s="25"/>
      <c r="H237" s="37"/>
      <c r="I237" s="25"/>
      <c r="J237" s="38"/>
      <c r="K237" s="40"/>
      <c r="S237" s="25"/>
      <c r="T237" s="25" t="str">
        <f>IFERROR(IF(ISBLANK(S237),"",INDEX(Gen_Vessels!$A$3:$C$500,MATCH(InspectionSite!$S237,Gen_Vessels!$C$3:$C$500,0),1)),"")</f>
        <v/>
      </c>
      <c r="U237" s="25"/>
      <c r="V237" s="25"/>
      <c r="W237" s="25" t="str">
        <f>IFERROR(IF(ISBLANK(V237),"",INDEX(Gen_Vessels!$A$3:$C$500,MATCH(InspectionSite!$V237,Gen_Vessels!$C$3:$C$500,0),1)),"")</f>
        <v/>
      </c>
      <c r="X237" s="25"/>
      <c r="Y237" s="25"/>
      <c r="Z237" s="25"/>
      <c r="AA237" s="25"/>
      <c r="AB237" s="25"/>
      <c r="AC237" s="25"/>
      <c r="AE237" s="25"/>
      <c r="AF237" s="49"/>
      <c r="AG237" s="25"/>
      <c r="AH237" s="25"/>
      <c r="AI237" s="25"/>
      <c r="AJ237" s="25"/>
      <c r="AK237" s="25"/>
    </row>
    <row r="238" spans="1:37" x14ac:dyDescent="0.25">
      <c r="A238" s="18" t="str">
        <f t="shared" si="3"/>
        <v/>
      </c>
      <c r="B238" s="25"/>
      <c r="C238" s="25"/>
      <c r="D238" s="25"/>
      <c r="E238" s="25"/>
      <c r="F238" s="25"/>
      <c r="G238" s="25"/>
      <c r="H238" s="37"/>
      <c r="I238" s="25"/>
      <c r="J238" s="38"/>
      <c r="K238" s="40"/>
      <c r="S238" s="25"/>
      <c r="T238" s="25" t="str">
        <f>IFERROR(IF(ISBLANK(S238),"",INDEX(Gen_Vessels!$A$3:$C$500,MATCH(InspectionSite!$S238,Gen_Vessels!$C$3:$C$500,0),1)),"")</f>
        <v/>
      </c>
      <c r="U238" s="25"/>
      <c r="V238" s="25"/>
      <c r="W238" s="25" t="str">
        <f>IFERROR(IF(ISBLANK(V238),"",INDEX(Gen_Vessels!$A$3:$C$500,MATCH(InspectionSite!$V238,Gen_Vessels!$C$3:$C$500,0),1)),"")</f>
        <v/>
      </c>
      <c r="X238" s="25"/>
      <c r="Y238" s="25"/>
      <c r="Z238" s="25"/>
      <c r="AA238" s="25"/>
      <c r="AB238" s="25"/>
      <c r="AC238" s="25"/>
      <c r="AE238" s="25"/>
      <c r="AF238" s="49"/>
      <c r="AG238" s="25"/>
      <c r="AH238" s="25"/>
      <c r="AI238" s="25"/>
      <c r="AJ238" s="25"/>
      <c r="AK238" s="25"/>
    </row>
    <row r="239" spans="1:37" x14ac:dyDescent="0.25">
      <c r="A239" s="18" t="str">
        <f t="shared" si="3"/>
        <v/>
      </c>
      <c r="B239" s="25"/>
      <c r="C239" s="25"/>
      <c r="D239" s="25"/>
      <c r="E239" s="25"/>
      <c r="F239" s="25"/>
      <c r="G239" s="25"/>
      <c r="H239" s="37"/>
      <c r="I239" s="25"/>
      <c r="J239" s="38"/>
      <c r="K239" s="40"/>
      <c r="S239" s="25"/>
      <c r="T239" s="25" t="str">
        <f>IFERROR(IF(ISBLANK(S239),"",INDEX(Gen_Vessels!$A$3:$C$500,MATCH(InspectionSite!$S239,Gen_Vessels!$C$3:$C$500,0),1)),"")</f>
        <v/>
      </c>
      <c r="U239" s="25"/>
      <c r="V239" s="25"/>
      <c r="W239" s="25" t="str">
        <f>IFERROR(IF(ISBLANK(V239),"",INDEX(Gen_Vessels!$A$3:$C$500,MATCH(InspectionSite!$V239,Gen_Vessels!$C$3:$C$500,0),1)),"")</f>
        <v/>
      </c>
      <c r="X239" s="25"/>
      <c r="Y239" s="25"/>
      <c r="Z239" s="25"/>
      <c r="AA239" s="25"/>
      <c r="AB239" s="25"/>
      <c r="AC239" s="25"/>
      <c r="AE239" s="25"/>
      <c r="AF239" s="49"/>
      <c r="AG239" s="25"/>
      <c r="AH239" s="25"/>
      <c r="AI239" s="25"/>
      <c r="AJ239" s="25"/>
      <c r="AK239" s="25"/>
    </row>
    <row r="240" spans="1:37" x14ac:dyDescent="0.25">
      <c r="A240" s="18" t="str">
        <f t="shared" si="3"/>
        <v/>
      </c>
      <c r="B240" s="25"/>
      <c r="C240" s="25"/>
      <c r="D240" s="25"/>
      <c r="E240" s="25"/>
      <c r="F240" s="25"/>
      <c r="G240" s="25"/>
      <c r="H240" s="37"/>
      <c r="I240" s="25"/>
      <c r="J240" s="38"/>
      <c r="K240" s="40"/>
      <c r="S240" s="25"/>
      <c r="T240" s="25" t="str">
        <f>IFERROR(IF(ISBLANK(S240),"",INDEX(Gen_Vessels!$A$3:$C$500,MATCH(InspectionSite!$S240,Gen_Vessels!$C$3:$C$500,0),1)),"")</f>
        <v/>
      </c>
      <c r="U240" s="25"/>
      <c r="V240" s="25"/>
      <c r="W240" s="25" t="str">
        <f>IFERROR(IF(ISBLANK(V240),"",INDEX(Gen_Vessels!$A$3:$C$500,MATCH(InspectionSite!$V240,Gen_Vessels!$C$3:$C$500,0),1)),"")</f>
        <v/>
      </c>
      <c r="X240" s="25"/>
      <c r="Y240" s="25"/>
      <c r="Z240" s="25"/>
      <c r="AA240" s="25"/>
      <c r="AB240" s="25"/>
      <c r="AC240" s="25"/>
      <c r="AE240" s="25"/>
      <c r="AF240" s="49"/>
      <c r="AG240" s="25"/>
      <c r="AH240" s="25"/>
      <c r="AI240" s="25"/>
      <c r="AJ240" s="25"/>
      <c r="AK240" s="25"/>
    </row>
    <row r="241" spans="1:37" x14ac:dyDescent="0.25">
      <c r="A241" s="18" t="str">
        <f t="shared" si="3"/>
        <v/>
      </c>
      <c r="B241" s="25"/>
      <c r="C241" s="25"/>
      <c r="D241" s="25"/>
      <c r="E241" s="25"/>
      <c r="F241" s="25"/>
      <c r="G241" s="25"/>
      <c r="H241" s="37"/>
      <c r="I241" s="25"/>
      <c r="J241" s="38"/>
      <c r="K241" s="40"/>
      <c r="S241" s="25"/>
      <c r="T241" s="25" t="str">
        <f>IFERROR(IF(ISBLANK(S241),"",INDEX(Gen_Vessels!$A$3:$C$500,MATCH(InspectionSite!$S241,Gen_Vessels!$C$3:$C$500,0),1)),"")</f>
        <v/>
      </c>
      <c r="U241" s="25"/>
      <c r="V241" s="25"/>
      <c r="W241" s="25" t="str">
        <f>IFERROR(IF(ISBLANK(V241),"",INDEX(Gen_Vessels!$A$3:$C$500,MATCH(InspectionSite!$V241,Gen_Vessels!$C$3:$C$500,0),1)),"")</f>
        <v/>
      </c>
      <c r="X241" s="25"/>
      <c r="Y241" s="25"/>
      <c r="Z241" s="25"/>
      <c r="AA241" s="25"/>
      <c r="AB241" s="25"/>
      <c r="AC241" s="25"/>
      <c r="AE241" s="25"/>
      <c r="AF241" s="49"/>
      <c r="AG241" s="25"/>
      <c r="AH241" s="25"/>
      <c r="AI241" s="25"/>
      <c r="AJ241" s="25"/>
      <c r="AK241" s="25"/>
    </row>
    <row r="242" spans="1:37" x14ac:dyDescent="0.25">
      <c r="A242" s="18" t="str">
        <f t="shared" si="3"/>
        <v/>
      </c>
      <c r="B242" s="25"/>
      <c r="C242" s="25"/>
      <c r="D242" s="25"/>
      <c r="E242" s="25"/>
      <c r="F242" s="25"/>
      <c r="G242" s="25"/>
      <c r="H242" s="37"/>
      <c r="I242" s="25"/>
      <c r="J242" s="38"/>
      <c r="K242" s="40"/>
      <c r="S242" s="25"/>
      <c r="T242" s="25" t="str">
        <f>IFERROR(IF(ISBLANK(S242),"",INDEX(Gen_Vessels!$A$3:$C$500,MATCH(InspectionSite!$S242,Gen_Vessels!$C$3:$C$500,0),1)),"")</f>
        <v/>
      </c>
      <c r="U242" s="25"/>
      <c r="V242" s="25"/>
      <c r="W242" s="25" t="str">
        <f>IFERROR(IF(ISBLANK(V242),"",INDEX(Gen_Vessels!$A$3:$C$500,MATCH(InspectionSite!$V242,Gen_Vessels!$C$3:$C$500,0),1)),"")</f>
        <v/>
      </c>
      <c r="X242" s="25"/>
      <c r="Y242" s="25"/>
      <c r="Z242" s="25"/>
      <c r="AA242" s="25"/>
      <c r="AB242" s="25"/>
      <c r="AC242" s="25"/>
      <c r="AE242" s="25"/>
      <c r="AF242" s="49"/>
      <c r="AG242" s="25"/>
      <c r="AH242" s="25"/>
      <c r="AI242" s="25"/>
      <c r="AJ242" s="25"/>
      <c r="AK242" s="25"/>
    </row>
    <row r="243" spans="1:37" x14ac:dyDescent="0.25">
      <c r="A243" s="18" t="str">
        <f t="shared" si="3"/>
        <v/>
      </c>
      <c r="B243" s="25"/>
      <c r="C243" s="25"/>
      <c r="D243" s="25"/>
      <c r="E243" s="25"/>
      <c r="F243" s="25"/>
      <c r="G243" s="25"/>
      <c r="H243" s="37"/>
      <c r="I243" s="25"/>
      <c r="J243" s="38"/>
      <c r="K243" s="40"/>
      <c r="S243" s="25"/>
      <c r="T243" s="25" t="str">
        <f>IFERROR(IF(ISBLANK(S243),"",INDEX(Gen_Vessels!$A$3:$C$500,MATCH(InspectionSite!$S243,Gen_Vessels!$C$3:$C$500,0),1)),"")</f>
        <v/>
      </c>
      <c r="U243" s="25"/>
      <c r="V243" s="25"/>
      <c r="W243" s="25" t="str">
        <f>IFERROR(IF(ISBLANK(V243),"",INDEX(Gen_Vessels!$A$3:$C$500,MATCH(InspectionSite!$V243,Gen_Vessels!$C$3:$C$500,0),1)),"")</f>
        <v/>
      </c>
      <c r="X243" s="25"/>
      <c r="Y243" s="25"/>
      <c r="Z243" s="25"/>
      <c r="AA243" s="25"/>
      <c r="AB243" s="25"/>
      <c r="AC243" s="25"/>
      <c r="AE243" s="25"/>
      <c r="AF243" s="49"/>
      <c r="AG243" s="25"/>
      <c r="AH243" s="25"/>
      <c r="AI243" s="25"/>
      <c r="AJ243" s="25"/>
      <c r="AK243" s="25"/>
    </row>
    <row r="244" spans="1:37" x14ac:dyDescent="0.25">
      <c r="A244" s="18" t="str">
        <f t="shared" si="3"/>
        <v/>
      </c>
      <c r="B244" s="25"/>
      <c r="C244" s="25"/>
      <c r="D244" s="25"/>
      <c r="E244" s="25"/>
      <c r="F244" s="25"/>
      <c r="G244" s="25"/>
      <c r="H244" s="37"/>
      <c r="I244" s="25"/>
      <c r="J244" s="38"/>
      <c r="K244" s="40"/>
      <c r="S244" s="25"/>
      <c r="T244" s="25" t="str">
        <f>IFERROR(IF(ISBLANK(S244),"",INDEX(Gen_Vessels!$A$3:$C$500,MATCH(InspectionSite!$S244,Gen_Vessels!$C$3:$C$500,0),1)),"")</f>
        <v/>
      </c>
      <c r="U244" s="25"/>
      <c r="V244" s="25"/>
      <c r="W244" s="25" t="str">
        <f>IFERROR(IF(ISBLANK(V244),"",INDEX(Gen_Vessels!$A$3:$C$500,MATCH(InspectionSite!$V244,Gen_Vessels!$C$3:$C$500,0),1)),"")</f>
        <v/>
      </c>
      <c r="X244" s="25"/>
      <c r="Y244" s="25"/>
      <c r="Z244" s="25"/>
      <c r="AA244" s="25"/>
      <c r="AB244" s="25"/>
      <c r="AC244" s="25"/>
      <c r="AE244" s="25"/>
      <c r="AF244" s="49"/>
      <c r="AG244" s="25"/>
      <c r="AH244" s="25"/>
      <c r="AI244" s="25"/>
      <c r="AJ244" s="25"/>
      <c r="AK244" s="25"/>
    </row>
    <row r="245" spans="1:37" x14ac:dyDescent="0.25">
      <c r="A245" s="18" t="str">
        <f t="shared" si="3"/>
        <v/>
      </c>
      <c r="B245" s="25"/>
      <c r="C245" s="25"/>
      <c r="D245" s="25"/>
      <c r="E245" s="25"/>
      <c r="F245" s="25"/>
      <c r="G245" s="25"/>
      <c r="H245" s="37"/>
      <c r="I245" s="25"/>
      <c r="J245" s="38"/>
      <c r="K245" s="40"/>
      <c r="S245" s="25"/>
      <c r="T245" s="25" t="str">
        <f>IFERROR(IF(ISBLANK(S245),"",INDEX(Gen_Vessels!$A$3:$C$500,MATCH(InspectionSite!$S245,Gen_Vessels!$C$3:$C$500,0),1)),"")</f>
        <v/>
      </c>
      <c r="U245" s="25"/>
      <c r="V245" s="25"/>
      <c r="W245" s="25" t="str">
        <f>IFERROR(IF(ISBLANK(V245),"",INDEX(Gen_Vessels!$A$3:$C$500,MATCH(InspectionSite!$V245,Gen_Vessels!$C$3:$C$500,0),1)),"")</f>
        <v/>
      </c>
      <c r="X245" s="25"/>
      <c r="Y245" s="25"/>
      <c r="Z245" s="25"/>
      <c r="AA245" s="25"/>
      <c r="AB245" s="25"/>
      <c r="AC245" s="25"/>
      <c r="AE245" s="25"/>
      <c r="AF245" s="49"/>
      <c r="AG245" s="25"/>
      <c r="AH245" s="25"/>
      <c r="AI245" s="25"/>
      <c r="AJ245" s="25"/>
      <c r="AK245" s="25"/>
    </row>
    <row r="246" spans="1:37" x14ac:dyDescent="0.25">
      <c r="A246" s="18" t="str">
        <f t="shared" si="3"/>
        <v/>
      </c>
      <c r="B246" s="25"/>
      <c r="C246" s="25"/>
      <c r="D246" s="25"/>
      <c r="E246" s="25"/>
      <c r="F246" s="25"/>
      <c r="G246" s="25"/>
      <c r="H246" s="37"/>
      <c r="I246" s="25"/>
      <c r="J246" s="38"/>
      <c r="K246" s="40"/>
      <c r="S246" s="25"/>
      <c r="T246" s="25" t="str">
        <f>IFERROR(IF(ISBLANK(S246),"",INDEX(Gen_Vessels!$A$3:$C$500,MATCH(InspectionSite!$S246,Gen_Vessels!$C$3:$C$500,0),1)),"")</f>
        <v/>
      </c>
      <c r="U246" s="25"/>
      <c r="V246" s="25"/>
      <c r="W246" s="25" t="str">
        <f>IFERROR(IF(ISBLANK(V246),"",INDEX(Gen_Vessels!$A$3:$C$500,MATCH(InspectionSite!$V246,Gen_Vessels!$C$3:$C$500,0),1)),"")</f>
        <v/>
      </c>
      <c r="X246" s="25"/>
      <c r="Y246" s="25"/>
      <c r="Z246" s="25"/>
      <c r="AA246" s="25"/>
      <c r="AB246" s="25"/>
      <c r="AC246" s="25"/>
      <c r="AE246" s="25"/>
      <c r="AF246" s="49"/>
      <c r="AG246" s="25"/>
      <c r="AH246" s="25"/>
      <c r="AI246" s="25"/>
      <c r="AJ246" s="25"/>
      <c r="AK246" s="25"/>
    </row>
    <row r="247" spans="1:37" x14ac:dyDescent="0.25">
      <c r="A247" s="18" t="str">
        <f t="shared" si="3"/>
        <v/>
      </c>
      <c r="B247" s="25"/>
      <c r="C247" s="25"/>
      <c r="D247" s="25"/>
      <c r="E247" s="25"/>
      <c r="F247" s="25"/>
      <c r="G247" s="25"/>
      <c r="H247" s="37"/>
      <c r="I247" s="25"/>
      <c r="J247" s="38"/>
      <c r="K247" s="40"/>
      <c r="S247" s="25"/>
      <c r="T247" s="25" t="str">
        <f>IFERROR(IF(ISBLANK(S247),"",INDEX(Gen_Vessels!$A$3:$C$500,MATCH(InspectionSite!$S247,Gen_Vessels!$C$3:$C$500,0),1)),"")</f>
        <v/>
      </c>
      <c r="U247" s="25"/>
      <c r="V247" s="25"/>
      <c r="W247" s="25" t="str">
        <f>IFERROR(IF(ISBLANK(V247),"",INDEX(Gen_Vessels!$A$3:$C$500,MATCH(InspectionSite!$V247,Gen_Vessels!$C$3:$C$500,0),1)),"")</f>
        <v/>
      </c>
      <c r="X247" s="25"/>
      <c r="Y247" s="25"/>
      <c r="Z247" s="25"/>
      <c r="AA247" s="25"/>
      <c r="AB247" s="25"/>
      <c r="AC247" s="25"/>
      <c r="AE247" s="25"/>
      <c r="AF247" s="49"/>
      <c r="AG247" s="25"/>
      <c r="AH247" s="25"/>
      <c r="AI247" s="25"/>
      <c r="AJ247" s="25"/>
      <c r="AK247" s="25"/>
    </row>
    <row r="248" spans="1:37" x14ac:dyDescent="0.25">
      <c r="A248" s="18" t="str">
        <f t="shared" si="3"/>
        <v/>
      </c>
      <c r="B248" s="25"/>
      <c r="C248" s="25"/>
      <c r="D248" s="25"/>
      <c r="E248" s="25"/>
      <c r="F248" s="25"/>
      <c r="G248" s="25"/>
      <c r="H248" s="37"/>
      <c r="I248" s="25"/>
      <c r="J248" s="38"/>
      <c r="K248" s="40"/>
      <c r="S248" s="25"/>
      <c r="T248" s="25" t="str">
        <f>IFERROR(IF(ISBLANK(S248),"",INDEX(Gen_Vessels!$A$3:$C$500,MATCH(InspectionSite!$S248,Gen_Vessels!$C$3:$C$500,0),1)),"")</f>
        <v/>
      </c>
      <c r="U248" s="25"/>
      <c r="V248" s="25"/>
      <c r="W248" s="25" t="str">
        <f>IFERROR(IF(ISBLANK(V248),"",INDEX(Gen_Vessels!$A$3:$C$500,MATCH(InspectionSite!$V248,Gen_Vessels!$C$3:$C$500,0),1)),"")</f>
        <v/>
      </c>
      <c r="X248" s="25"/>
      <c r="Y248" s="25"/>
      <c r="Z248" s="25"/>
      <c r="AA248" s="25"/>
      <c r="AB248" s="25"/>
      <c r="AC248" s="25"/>
      <c r="AE248" s="25"/>
      <c r="AF248" s="49"/>
      <c r="AG248" s="25"/>
      <c r="AH248" s="25"/>
      <c r="AI248" s="25"/>
      <c r="AJ248" s="25"/>
      <c r="AK248" s="25"/>
    </row>
    <row r="249" spans="1:37" x14ac:dyDescent="0.25">
      <c r="A249" s="18" t="str">
        <f t="shared" si="3"/>
        <v/>
      </c>
      <c r="B249" s="25"/>
      <c r="C249" s="25"/>
      <c r="D249" s="25"/>
      <c r="E249" s="25"/>
      <c r="F249" s="25"/>
      <c r="G249" s="25"/>
      <c r="H249" s="37"/>
      <c r="I249" s="25"/>
      <c r="J249" s="38"/>
      <c r="K249" s="40"/>
      <c r="S249" s="25"/>
      <c r="T249" s="25" t="str">
        <f>IFERROR(IF(ISBLANK(S249),"",INDEX(Gen_Vessels!$A$3:$C$500,MATCH(InspectionSite!$S249,Gen_Vessels!$C$3:$C$500,0),1)),"")</f>
        <v/>
      </c>
      <c r="U249" s="25"/>
      <c r="V249" s="25"/>
      <c r="W249" s="25" t="str">
        <f>IFERROR(IF(ISBLANK(V249),"",INDEX(Gen_Vessels!$A$3:$C$500,MATCH(InspectionSite!$V249,Gen_Vessels!$C$3:$C$500,0),1)),"")</f>
        <v/>
      </c>
      <c r="X249" s="25"/>
      <c r="Y249" s="25"/>
      <c r="Z249" s="25"/>
      <c r="AA249" s="25"/>
      <c r="AB249" s="25"/>
      <c r="AC249" s="25"/>
      <c r="AE249" s="25"/>
      <c r="AF249" s="49"/>
      <c r="AG249" s="25"/>
      <c r="AH249" s="25"/>
      <c r="AI249" s="25"/>
      <c r="AJ249" s="25"/>
      <c r="AK249" s="25"/>
    </row>
    <row r="250" spans="1:37" x14ac:dyDescent="0.25">
      <c r="A250" s="18" t="str">
        <f t="shared" si="3"/>
        <v/>
      </c>
      <c r="B250" s="25"/>
      <c r="C250" s="25"/>
      <c r="D250" s="25"/>
      <c r="E250" s="25"/>
      <c r="F250" s="25"/>
      <c r="G250" s="25"/>
      <c r="H250" s="37"/>
      <c r="I250" s="25"/>
      <c r="J250" s="38"/>
      <c r="K250" s="40"/>
      <c r="S250" s="25"/>
      <c r="T250" s="25" t="str">
        <f>IFERROR(IF(ISBLANK(S250),"",INDEX(Gen_Vessels!$A$3:$C$500,MATCH(InspectionSite!$S250,Gen_Vessels!$C$3:$C$500,0),1)),"")</f>
        <v/>
      </c>
      <c r="U250" s="25"/>
      <c r="V250" s="25"/>
      <c r="W250" s="25" t="str">
        <f>IFERROR(IF(ISBLANK(V250),"",INDEX(Gen_Vessels!$A$3:$C$500,MATCH(InspectionSite!$V250,Gen_Vessels!$C$3:$C$500,0),1)),"")</f>
        <v/>
      </c>
      <c r="X250" s="25"/>
      <c r="Y250" s="25"/>
      <c r="Z250" s="25"/>
      <c r="AA250" s="25"/>
      <c r="AB250" s="25"/>
      <c r="AC250" s="25"/>
      <c r="AE250" s="25"/>
      <c r="AF250" s="49"/>
      <c r="AG250" s="25"/>
      <c r="AH250" s="25"/>
      <c r="AI250" s="25"/>
      <c r="AJ250" s="25"/>
      <c r="AK250" s="25"/>
    </row>
    <row r="251" spans="1:37" x14ac:dyDescent="0.25">
      <c r="A251" s="18" t="str">
        <f t="shared" si="3"/>
        <v/>
      </c>
      <c r="B251" s="25"/>
      <c r="C251" s="25"/>
      <c r="D251" s="25"/>
      <c r="E251" s="25"/>
      <c r="F251" s="25"/>
      <c r="G251" s="25"/>
      <c r="H251" s="37"/>
      <c r="I251" s="25"/>
      <c r="J251" s="38"/>
      <c r="K251" s="40"/>
      <c r="S251" s="25"/>
      <c r="T251" s="25" t="str">
        <f>IFERROR(IF(ISBLANK(S251),"",INDEX(Gen_Vessels!$A$3:$C$500,MATCH(InspectionSite!$S251,Gen_Vessels!$C$3:$C$500,0),1)),"")</f>
        <v/>
      </c>
      <c r="U251" s="25"/>
      <c r="V251" s="25"/>
      <c r="W251" s="25" t="str">
        <f>IFERROR(IF(ISBLANK(V251),"",INDEX(Gen_Vessels!$A$3:$C$500,MATCH(InspectionSite!$V251,Gen_Vessels!$C$3:$C$500,0),1)),"")</f>
        <v/>
      </c>
      <c r="X251" s="25"/>
      <c r="Y251" s="25"/>
      <c r="Z251" s="25"/>
      <c r="AA251" s="25"/>
      <c r="AB251" s="25"/>
      <c r="AC251" s="25"/>
      <c r="AE251" s="25"/>
      <c r="AF251" s="49"/>
      <c r="AG251" s="25"/>
      <c r="AH251" s="25"/>
      <c r="AI251" s="25"/>
      <c r="AJ251" s="25"/>
      <c r="AK251" s="25"/>
    </row>
    <row r="252" spans="1:37" x14ac:dyDescent="0.25">
      <c r="A252" s="18" t="str">
        <f t="shared" si="3"/>
        <v/>
      </c>
      <c r="B252" s="25"/>
      <c r="C252" s="25"/>
      <c r="D252" s="25"/>
      <c r="E252" s="25"/>
      <c r="F252" s="25"/>
      <c r="G252" s="25"/>
      <c r="H252" s="37"/>
      <c r="I252" s="25"/>
      <c r="J252" s="38"/>
      <c r="K252" s="40"/>
      <c r="S252" s="25"/>
      <c r="T252" s="25" t="str">
        <f>IFERROR(IF(ISBLANK(S252),"",INDEX(Gen_Vessels!$A$3:$C$500,MATCH(InspectionSite!$S252,Gen_Vessels!$C$3:$C$500,0),1)),"")</f>
        <v/>
      </c>
      <c r="U252" s="25"/>
      <c r="V252" s="25"/>
      <c r="W252" s="25" t="str">
        <f>IFERROR(IF(ISBLANK(V252),"",INDEX(Gen_Vessels!$A$3:$C$500,MATCH(InspectionSite!$V252,Gen_Vessels!$C$3:$C$500,0),1)),"")</f>
        <v/>
      </c>
      <c r="X252" s="25"/>
      <c r="Y252" s="25"/>
      <c r="Z252" s="25"/>
      <c r="AA252" s="25"/>
      <c r="AB252" s="25"/>
      <c r="AC252" s="25"/>
      <c r="AE252" s="25"/>
      <c r="AF252" s="49"/>
      <c r="AG252" s="25"/>
      <c r="AH252" s="25"/>
      <c r="AI252" s="25"/>
      <c r="AJ252" s="25"/>
      <c r="AK252" s="25"/>
    </row>
    <row r="253" spans="1:37" x14ac:dyDescent="0.25">
      <c r="A253" s="18" t="str">
        <f t="shared" si="3"/>
        <v/>
      </c>
      <c r="B253" s="25"/>
      <c r="C253" s="25"/>
      <c r="D253" s="25"/>
      <c r="E253" s="25"/>
      <c r="F253" s="25"/>
      <c r="G253" s="25"/>
      <c r="H253" s="37"/>
      <c r="I253" s="25"/>
      <c r="J253" s="38"/>
      <c r="K253" s="40"/>
      <c r="S253" s="25"/>
      <c r="T253" s="25" t="str">
        <f>IFERROR(IF(ISBLANK(S253),"",INDEX(Gen_Vessels!$A$3:$C$500,MATCH(InspectionSite!$S253,Gen_Vessels!$C$3:$C$500,0),1)),"")</f>
        <v/>
      </c>
      <c r="U253" s="25"/>
      <c r="V253" s="25"/>
      <c r="W253" s="25" t="str">
        <f>IFERROR(IF(ISBLANK(V253),"",INDEX(Gen_Vessels!$A$3:$C$500,MATCH(InspectionSite!$V253,Gen_Vessels!$C$3:$C$500,0),1)),"")</f>
        <v/>
      </c>
      <c r="X253" s="25"/>
      <c r="Y253" s="25"/>
      <c r="Z253" s="25"/>
      <c r="AA253" s="25"/>
      <c r="AB253" s="25"/>
      <c r="AC253" s="25"/>
      <c r="AE253" s="25"/>
      <c r="AF253" s="49"/>
      <c r="AG253" s="25"/>
      <c r="AH253" s="25"/>
      <c r="AI253" s="25"/>
      <c r="AJ253" s="25"/>
      <c r="AK253" s="25"/>
    </row>
    <row r="254" spans="1:37" x14ac:dyDescent="0.25">
      <c r="A254" s="18" t="str">
        <f t="shared" si="3"/>
        <v/>
      </c>
      <c r="B254" s="25"/>
      <c r="C254" s="25"/>
      <c r="D254" s="25"/>
      <c r="E254" s="25"/>
      <c r="F254" s="25"/>
      <c r="G254" s="25"/>
      <c r="H254" s="37"/>
      <c r="I254" s="25"/>
      <c r="J254" s="38"/>
      <c r="K254" s="40"/>
      <c r="S254" s="25"/>
      <c r="T254" s="25" t="str">
        <f>IFERROR(IF(ISBLANK(S254),"",INDEX(Gen_Vessels!$A$3:$C$500,MATCH(InspectionSite!$S254,Gen_Vessels!$C$3:$C$500,0),1)),"")</f>
        <v/>
      </c>
      <c r="U254" s="25"/>
      <c r="V254" s="25"/>
      <c r="W254" s="25" t="str">
        <f>IFERROR(IF(ISBLANK(V254),"",INDEX(Gen_Vessels!$A$3:$C$500,MATCH(InspectionSite!$V254,Gen_Vessels!$C$3:$C$500,0),1)),"")</f>
        <v/>
      </c>
      <c r="X254" s="25"/>
      <c r="Y254" s="25"/>
      <c r="Z254" s="25"/>
      <c r="AA254" s="25"/>
      <c r="AB254" s="25"/>
      <c r="AC254" s="25"/>
      <c r="AE254" s="25"/>
      <c r="AF254" s="49"/>
      <c r="AG254" s="25"/>
      <c r="AH254" s="25"/>
      <c r="AI254" s="25"/>
      <c r="AJ254" s="25"/>
      <c r="AK254" s="25"/>
    </row>
    <row r="255" spans="1:37" x14ac:dyDescent="0.25">
      <c r="A255" s="18" t="str">
        <f t="shared" si="3"/>
        <v/>
      </c>
      <c r="B255" s="25"/>
      <c r="C255" s="25"/>
      <c r="D255" s="25"/>
      <c r="E255" s="25"/>
      <c r="F255" s="25"/>
      <c r="G255" s="25"/>
      <c r="H255" s="37"/>
      <c r="I255" s="25"/>
      <c r="J255" s="38"/>
      <c r="K255" s="40"/>
      <c r="S255" s="25"/>
      <c r="T255" s="25" t="str">
        <f>IFERROR(IF(ISBLANK(S255),"",INDEX(Gen_Vessels!$A$3:$C$500,MATCH(InspectionSite!$S255,Gen_Vessels!$C$3:$C$500,0),1)),"")</f>
        <v/>
      </c>
      <c r="U255" s="25"/>
      <c r="V255" s="25"/>
      <c r="W255" s="25" t="str">
        <f>IFERROR(IF(ISBLANK(V255),"",INDEX(Gen_Vessels!$A$3:$C$500,MATCH(InspectionSite!$V255,Gen_Vessels!$C$3:$C$500,0),1)),"")</f>
        <v/>
      </c>
      <c r="X255" s="25"/>
      <c r="Y255" s="25"/>
      <c r="Z255" s="25"/>
      <c r="AA255" s="25"/>
      <c r="AB255" s="25"/>
      <c r="AC255" s="25"/>
      <c r="AE255" s="25"/>
      <c r="AF255" s="49"/>
      <c r="AG255" s="25"/>
      <c r="AH255" s="25"/>
      <c r="AI255" s="25"/>
      <c r="AJ255" s="25"/>
      <c r="AK255" s="25"/>
    </row>
    <row r="256" spans="1:37" x14ac:dyDescent="0.25">
      <c r="A256" s="18" t="str">
        <f t="shared" si="3"/>
        <v/>
      </c>
      <c r="B256" s="25"/>
      <c r="C256" s="25"/>
      <c r="D256" s="25"/>
      <c r="E256" s="25"/>
      <c r="F256" s="25"/>
      <c r="G256" s="25"/>
      <c r="H256" s="37"/>
      <c r="I256" s="25"/>
      <c r="J256" s="38"/>
      <c r="K256" s="40"/>
      <c r="S256" s="25"/>
      <c r="T256" s="25" t="str">
        <f>IFERROR(IF(ISBLANK(S256),"",INDEX(Gen_Vessels!$A$3:$C$500,MATCH(InspectionSite!$S256,Gen_Vessels!$C$3:$C$500,0),1)),"")</f>
        <v/>
      </c>
      <c r="U256" s="25"/>
      <c r="V256" s="25"/>
      <c r="W256" s="25" t="str">
        <f>IFERROR(IF(ISBLANK(V256),"",INDEX(Gen_Vessels!$A$3:$C$500,MATCH(InspectionSite!$V256,Gen_Vessels!$C$3:$C$500,0),1)),"")</f>
        <v/>
      </c>
      <c r="X256" s="25"/>
      <c r="Y256" s="25"/>
      <c r="Z256" s="25"/>
      <c r="AA256" s="25"/>
      <c r="AB256" s="25"/>
      <c r="AC256" s="25"/>
      <c r="AE256" s="25"/>
      <c r="AF256" s="49"/>
      <c r="AG256" s="25"/>
      <c r="AH256" s="25"/>
      <c r="AI256" s="25"/>
      <c r="AJ256" s="25"/>
      <c r="AK256" s="25"/>
    </row>
    <row r="257" spans="1:37" x14ac:dyDescent="0.25">
      <c r="A257" s="18" t="str">
        <f t="shared" si="3"/>
        <v/>
      </c>
      <c r="B257" s="25"/>
      <c r="C257" s="25"/>
      <c r="D257" s="25"/>
      <c r="E257" s="25"/>
      <c r="F257" s="25"/>
      <c r="G257" s="25"/>
      <c r="H257" s="37"/>
      <c r="I257" s="25"/>
      <c r="J257" s="38"/>
      <c r="K257" s="40"/>
      <c r="S257" s="25"/>
      <c r="T257" s="25" t="str">
        <f>IFERROR(IF(ISBLANK(S257),"",INDEX(Gen_Vessels!$A$3:$C$500,MATCH(InspectionSite!$S257,Gen_Vessels!$C$3:$C$500,0),1)),"")</f>
        <v/>
      </c>
      <c r="U257" s="25"/>
      <c r="V257" s="25"/>
      <c r="W257" s="25" t="str">
        <f>IFERROR(IF(ISBLANK(V257),"",INDEX(Gen_Vessels!$A$3:$C$500,MATCH(InspectionSite!$V257,Gen_Vessels!$C$3:$C$500,0),1)),"")</f>
        <v/>
      </c>
      <c r="X257" s="25"/>
      <c r="Y257" s="25"/>
      <c r="Z257" s="25"/>
      <c r="AA257" s="25"/>
      <c r="AB257" s="25"/>
      <c r="AC257" s="25"/>
      <c r="AE257" s="25"/>
      <c r="AF257" s="49"/>
      <c r="AG257" s="25"/>
      <c r="AH257" s="25"/>
      <c r="AI257" s="25"/>
      <c r="AJ257" s="25"/>
      <c r="AK257" s="25"/>
    </row>
    <row r="258" spans="1:37" x14ac:dyDescent="0.25">
      <c r="A258" s="18" t="str">
        <f t="shared" si="3"/>
        <v/>
      </c>
      <c r="B258" s="25"/>
      <c r="C258" s="25"/>
      <c r="D258" s="25"/>
      <c r="E258" s="25"/>
      <c r="F258" s="25"/>
      <c r="G258" s="25"/>
      <c r="H258" s="37"/>
      <c r="I258" s="25"/>
      <c r="J258" s="38"/>
      <c r="K258" s="40"/>
      <c r="S258" s="25"/>
      <c r="T258" s="25" t="str">
        <f>IFERROR(IF(ISBLANK(S258),"",INDEX(Gen_Vessels!$A$3:$C$500,MATCH(InspectionSite!$S258,Gen_Vessels!$C$3:$C$500,0),1)),"")</f>
        <v/>
      </c>
      <c r="U258" s="25"/>
      <c r="V258" s="25"/>
      <c r="W258" s="25" t="str">
        <f>IFERROR(IF(ISBLANK(V258),"",INDEX(Gen_Vessels!$A$3:$C$500,MATCH(InspectionSite!$V258,Gen_Vessels!$C$3:$C$500,0),1)),"")</f>
        <v/>
      </c>
      <c r="X258" s="25"/>
      <c r="Y258" s="25"/>
      <c r="Z258" s="25"/>
      <c r="AA258" s="25"/>
      <c r="AB258" s="25"/>
      <c r="AC258" s="25"/>
      <c r="AE258" s="25"/>
      <c r="AF258" s="49"/>
      <c r="AG258" s="25"/>
      <c r="AH258" s="25"/>
      <c r="AI258" s="25"/>
      <c r="AJ258" s="25"/>
      <c r="AK258" s="25"/>
    </row>
    <row r="259" spans="1:37" x14ac:dyDescent="0.25">
      <c r="A259" s="18" t="str">
        <f t="shared" si="3"/>
        <v/>
      </c>
      <c r="B259" s="25"/>
      <c r="C259" s="25"/>
      <c r="D259" s="25"/>
      <c r="E259" s="25"/>
      <c r="F259" s="25"/>
      <c r="G259" s="25"/>
      <c r="H259" s="37"/>
      <c r="I259" s="25"/>
      <c r="J259" s="38"/>
      <c r="K259" s="40"/>
      <c r="S259" s="25"/>
      <c r="T259" s="25" t="str">
        <f>IFERROR(IF(ISBLANK(S259),"",INDEX(Gen_Vessels!$A$3:$C$500,MATCH(InspectionSite!$S259,Gen_Vessels!$C$3:$C$500,0),1)),"")</f>
        <v/>
      </c>
      <c r="U259" s="25"/>
      <c r="V259" s="25"/>
      <c r="W259" s="25" t="str">
        <f>IFERROR(IF(ISBLANK(V259),"",INDEX(Gen_Vessels!$A$3:$C$500,MATCH(InspectionSite!$V259,Gen_Vessels!$C$3:$C$500,0),1)),"")</f>
        <v/>
      </c>
      <c r="X259" s="25"/>
      <c r="Y259" s="25"/>
      <c r="Z259" s="25"/>
      <c r="AA259" s="25"/>
      <c r="AB259" s="25"/>
      <c r="AC259" s="25"/>
      <c r="AE259" s="25"/>
      <c r="AF259" s="49"/>
      <c r="AG259" s="25"/>
      <c r="AH259" s="25"/>
      <c r="AI259" s="25"/>
      <c r="AJ259" s="25"/>
      <c r="AK259" s="25"/>
    </row>
    <row r="260" spans="1:37" x14ac:dyDescent="0.25">
      <c r="A260" s="18" t="str">
        <f t="shared" si="3"/>
        <v/>
      </c>
      <c r="B260" s="25"/>
      <c r="C260" s="25"/>
      <c r="D260" s="25"/>
      <c r="E260" s="25"/>
      <c r="F260" s="25"/>
      <c r="G260" s="25"/>
      <c r="H260" s="37"/>
      <c r="I260" s="25"/>
      <c r="J260" s="38"/>
      <c r="K260" s="40"/>
      <c r="S260" s="25"/>
      <c r="T260" s="25" t="str">
        <f>IFERROR(IF(ISBLANK(S260),"",INDEX(Gen_Vessels!$A$3:$C$500,MATCH(InspectionSite!$S260,Gen_Vessels!$C$3:$C$500,0),1)),"")</f>
        <v/>
      </c>
      <c r="U260" s="25"/>
      <c r="V260" s="25"/>
      <c r="W260" s="25" t="str">
        <f>IFERROR(IF(ISBLANK(V260),"",INDEX(Gen_Vessels!$A$3:$C$500,MATCH(InspectionSite!$V260,Gen_Vessels!$C$3:$C$500,0),1)),"")</f>
        <v/>
      </c>
      <c r="X260" s="25"/>
      <c r="Y260" s="25"/>
      <c r="Z260" s="25"/>
      <c r="AA260" s="25"/>
      <c r="AB260" s="25"/>
      <c r="AC260" s="25"/>
      <c r="AE260" s="25"/>
      <c r="AF260" s="49"/>
      <c r="AG260" s="25"/>
      <c r="AH260" s="25"/>
      <c r="AI260" s="25"/>
      <c r="AJ260" s="25"/>
      <c r="AK260" s="25"/>
    </row>
    <row r="261" spans="1:37" x14ac:dyDescent="0.25">
      <c r="A261" s="18" t="str">
        <f t="shared" ref="A261:A324" si="4">IF(ISBLANK($B261)=FALSE,IF(AND($H261&gt;0,$I261&lt;=0,$J261&lt;=0),_xlfn.CONCAT("ofw_",$B261),IF(AND($H261&lt;=0,$I261&gt;0,$J261&lt;=0),_xlfn.CONCAT("owc_",$B261),IF(AND($H261&lt;=0,$I261&lt;=0,$J261&gt;0),_xlfn.CONCAT("opv_",$B261),_xlfn.CONCAT("oce_",$B261)))),"")</f>
        <v/>
      </c>
      <c r="B261" s="25"/>
      <c r="C261" s="25"/>
      <c r="D261" s="25"/>
      <c r="E261" s="25"/>
      <c r="F261" s="25"/>
      <c r="G261" s="25"/>
      <c r="H261" s="37"/>
      <c r="I261" s="25"/>
      <c r="J261" s="38"/>
      <c r="K261" s="40"/>
      <c r="S261" s="25"/>
      <c r="T261" s="25" t="str">
        <f>IFERROR(IF(ISBLANK(S261),"",INDEX(Gen_Vessels!$A$3:$C$500,MATCH(InspectionSite!$S261,Gen_Vessels!$C$3:$C$500,0),1)),"")</f>
        <v/>
      </c>
      <c r="U261" s="25"/>
      <c r="V261" s="25"/>
      <c r="W261" s="25" t="str">
        <f>IFERROR(IF(ISBLANK(V261),"",INDEX(Gen_Vessels!$A$3:$C$500,MATCH(InspectionSite!$V261,Gen_Vessels!$C$3:$C$500,0),1)),"")</f>
        <v/>
      </c>
      <c r="X261" s="25"/>
      <c r="Y261" s="25"/>
      <c r="Z261" s="25"/>
      <c r="AA261" s="25"/>
      <c r="AB261" s="25"/>
      <c r="AC261" s="25"/>
      <c r="AE261" s="25"/>
      <c r="AF261" s="49"/>
      <c r="AG261" s="25"/>
      <c r="AH261" s="25"/>
      <c r="AI261" s="25"/>
      <c r="AJ261" s="25"/>
      <c r="AK261" s="25"/>
    </row>
    <row r="262" spans="1:37" x14ac:dyDescent="0.25">
      <c r="A262" s="18" t="str">
        <f t="shared" si="4"/>
        <v/>
      </c>
      <c r="B262" s="25"/>
      <c r="C262" s="25"/>
      <c r="D262" s="25"/>
      <c r="E262" s="25"/>
      <c r="F262" s="25"/>
      <c r="G262" s="25"/>
      <c r="H262" s="37"/>
      <c r="I262" s="25"/>
      <c r="J262" s="38"/>
      <c r="K262" s="40"/>
      <c r="S262" s="25"/>
      <c r="T262" s="25" t="str">
        <f>IFERROR(IF(ISBLANK(S262),"",INDEX(Gen_Vessels!$A$3:$C$500,MATCH(InspectionSite!$S262,Gen_Vessels!$C$3:$C$500,0),1)),"")</f>
        <v/>
      </c>
      <c r="U262" s="25"/>
      <c r="V262" s="25"/>
      <c r="W262" s="25" t="str">
        <f>IFERROR(IF(ISBLANK(V262),"",INDEX(Gen_Vessels!$A$3:$C$500,MATCH(InspectionSite!$V262,Gen_Vessels!$C$3:$C$500,0),1)),"")</f>
        <v/>
      </c>
      <c r="X262" s="25"/>
      <c r="Y262" s="25"/>
      <c r="Z262" s="25"/>
      <c r="AA262" s="25"/>
      <c r="AB262" s="25"/>
      <c r="AC262" s="25"/>
      <c r="AE262" s="25"/>
      <c r="AF262" s="49"/>
      <c r="AG262" s="25"/>
      <c r="AH262" s="25"/>
      <c r="AI262" s="25"/>
      <c r="AJ262" s="25"/>
      <c r="AK262" s="25"/>
    </row>
    <row r="263" spans="1:37" x14ac:dyDescent="0.25">
      <c r="A263" s="18" t="str">
        <f t="shared" si="4"/>
        <v/>
      </c>
      <c r="B263" s="25"/>
      <c r="C263" s="25"/>
      <c r="D263" s="25"/>
      <c r="E263" s="25"/>
      <c r="F263" s="25"/>
      <c r="G263" s="25"/>
      <c r="H263" s="37"/>
      <c r="I263" s="25"/>
      <c r="J263" s="38"/>
      <c r="K263" s="40"/>
      <c r="S263" s="25"/>
      <c r="T263" s="25" t="str">
        <f>IFERROR(IF(ISBLANK(S263),"",INDEX(Gen_Vessels!$A$3:$C$500,MATCH(InspectionSite!$S263,Gen_Vessels!$C$3:$C$500,0),1)),"")</f>
        <v/>
      </c>
      <c r="U263" s="25"/>
      <c r="V263" s="25"/>
      <c r="W263" s="25" t="str">
        <f>IFERROR(IF(ISBLANK(V263),"",INDEX(Gen_Vessels!$A$3:$C$500,MATCH(InspectionSite!$V263,Gen_Vessels!$C$3:$C$500,0),1)),"")</f>
        <v/>
      </c>
      <c r="X263" s="25"/>
      <c r="Y263" s="25"/>
      <c r="Z263" s="25"/>
      <c r="AA263" s="25"/>
      <c r="AB263" s="25"/>
      <c r="AC263" s="25"/>
      <c r="AE263" s="25"/>
      <c r="AF263" s="49"/>
      <c r="AG263" s="25"/>
      <c r="AH263" s="25"/>
      <c r="AI263" s="25"/>
      <c r="AJ263" s="25"/>
      <c r="AK263" s="25"/>
    </row>
    <row r="264" spans="1:37" x14ac:dyDescent="0.25">
      <c r="A264" s="18" t="str">
        <f t="shared" si="4"/>
        <v/>
      </c>
      <c r="B264" s="25"/>
      <c r="C264" s="25"/>
      <c r="D264" s="25"/>
      <c r="E264" s="25"/>
      <c r="F264" s="25"/>
      <c r="G264" s="25"/>
      <c r="H264" s="37"/>
      <c r="I264" s="25"/>
      <c r="J264" s="38"/>
      <c r="K264" s="40"/>
      <c r="S264" s="25"/>
      <c r="T264" s="25" t="str">
        <f>IFERROR(IF(ISBLANK(S264),"",INDEX(Gen_Vessels!$A$3:$C$500,MATCH(InspectionSite!$S264,Gen_Vessels!$C$3:$C$500,0),1)),"")</f>
        <v/>
      </c>
      <c r="U264" s="25"/>
      <c r="V264" s="25"/>
      <c r="W264" s="25" t="str">
        <f>IFERROR(IF(ISBLANK(V264),"",INDEX(Gen_Vessels!$A$3:$C$500,MATCH(InspectionSite!$V264,Gen_Vessels!$C$3:$C$500,0),1)),"")</f>
        <v/>
      </c>
      <c r="X264" s="25"/>
      <c r="Y264" s="25"/>
      <c r="Z264" s="25"/>
      <c r="AA264" s="25"/>
      <c r="AB264" s="25"/>
      <c r="AC264" s="25"/>
      <c r="AE264" s="25"/>
      <c r="AF264" s="49"/>
      <c r="AG264" s="25"/>
      <c r="AH264" s="25"/>
      <c r="AI264" s="25"/>
      <c r="AJ264" s="25"/>
      <c r="AK264" s="25"/>
    </row>
    <row r="265" spans="1:37" x14ac:dyDescent="0.25">
      <c r="A265" s="18" t="str">
        <f t="shared" si="4"/>
        <v/>
      </c>
      <c r="B265" s="25"/>
      <c r="C265" s="25"/>
      <c r="D265" s="25"/>
      <c r="E265" s="25"/>
      <c r="F265" s="25"/>
      <c r="G265" s="25"/>
      <c r="H265" s="37"/>
      <c r="I265" s="25"/>
      <c r="J265" s="38"/>
      <c r="K265" s="40"/>
      <c r="S265" s="25"/>
      <c r="T265" s="25" t="str">
        <f>IFERROR(IF(ISBLANK(S265),"",INDEX(Gen_Vessels!$A$3:$C$500,MATCH(InspectionSite!$S265,Gen_Vessels!$C$3:$C$500,0),1)),"")</f>
        <v/>
      </c>
      <c r="U265" s="25"/>
      <c r="V265" s="25"/>
      <c r="W265" s="25" t="str">
        <f>IFERROR(IF(ISBLANK(V265),"",INDEX(Gen_Vessels!$A$3:$C$500,MATCH(InspectionSite!$V265,Gen_Vessels!$C$3:$C$500,0),1)),"")</f>
        <v/>
      </c>
      <c r="X265" s="25"/>
      <c r="Y265" s="25"/>
      <c r="Z265" s="25"/>
      <c r="AA265" s="25"/>
      <c r="AB265" s="25"/>
      <c r="AC265" s="25"/>
      <c r="AE265" s="25"/>
      <c r="AF265" s="49"/>
      <c r="AG265" s="25"/>
      <c r="AH265" s="25"/>
      <c r="AI265" s="25"/>
      <c r="AJ265" s="25"/>
      <c r="AK265" s="25"/>
    </row>
    <row r="266" spans="1:37" x14ac:dyDescent="0.25">
      <c r="A266" s="18" t="str">
        <f t="shared" si="4"/>
        <v/>
      </c>
      <c r="B266" s="25"/>
      <c r="C266" s="25"/>
      <c r="D266" s="25"/>
      <c r="E266" s="25"/>
      <c r="F266" s="25"/>
      <c r="G266" s="25"/>
      <c r="H266" s="37"/>
      <c r="I266" s="25"/>
      <c r="J266" s="38"/>
      <c r="K266" s="40"/>
      <c r="S266" s="25"/>
      <c r="T266" s="25" t="str">
        <f>IFERROR(IF(ISBLANK(S266),"",INDEX(Gen_Vessels!$A$3:$C$500,MATCH(InspectionSite!$S266,Gen_Vessels!$C$3:$C$500,0),1)),"")</f>
        <v/>
      </c>
      <c r="U266" s="25"/>
      <c r="V266" s="25"/>
      <c r="W266" s="25" t="str">
        <f>IFERROR(IF(ISBLANK(V266),"",INDEX(Gen_Vessels!$A$3:$C$500,MATCH(InspectionSite!$V266,Gen_Vessels!$C$3:$C$500,0),1)),"")</f>
        <v/>
      </c>
      <c r="X266" s="25"/>
      <c r="Y266" s="25"/>
      <c r="Z266" s="25"/>
      <c r="AA266" s="25"/>
      <c r="AB266" s="25"/>
      <c r="AC266" s="25"/>
      <c r="AE266" s="25"/>
      <c r="AF266" s="49"/>
      <c r="AG266" s="25"/>
      <c r="AH266" s="25"/>
      <c r="AI266" s="25"/>
      <c r="AJ266" s="25"/>
      <c r="AK266" s="25"/>
    </row>
    <row r="267" spans="1:37" x14ac:dyDescent="0.25">
      <c r="A267" s="18" t="str">
        <f t="shared" si="4"/>
        <v/>
      </c>
      <c r="B267" s="25"/>
      <c r="C267" s="25"/>
      <c r="D267" s="25"/>
      <c r="E267" s="25"/>
      <c r="F267" s="25"/>
      <c r="G267" s="25"/>
      <c r="H267" s="37"/>
      <c r="I267" s="25"/>
      <c r="J267" s="38"/>
      <c r="K267" s="40"/>
      <c r="S267" s="25"/>
      <c r="T267" s="25" t="str">
        <f>IFERROR(IF(ISBLANK(S267),"",INDEX(Gen_Vessels!$A$3:$C$500,MATCH(InspectionSite!$S267,Gen_Vessels!$C$3:$C$500,0),1)),"")</f>
        <v/>
      </c>
      <c r="U267" s="25"/>
      <c r="V267" s="25"/>
      <c r="W267" s="25" t="str">
        <f>IFERROR(IF(ISBLANK(V267),"",INDEX(Gen_Vessels!$A$3:$C$500,MATCH(InspectionSite!$V267,Gen_Vessels!$C$3:$C$500,0),1)),"")</f>
        <v/>
      </c>
      <c r="X267" s="25"/>
      <c r="Y267" s="25"/>
      <c r="Z267" s="25"/>
      <c r="AA267" s="25"/>
      <c r="AB267" s="25"/>
      <c r="AC267" s="25"/>
      <c r="AE267" s="25"/>
      <c r="AF267" s="49"/>
      <c r="AG267" s="25"/>
      <c r="AH267" s="25"/>
      <c r="AI267" s="25"/>
      <c r="AJ267" s="25"/>
      <c r="AK267" s="25"/>
    </row>
    <row r="268" spans="1:37" x14ac:dyDescent="0.25">
      <c r="A268" s="18" t="str">
        <f t="shared" si="4"/>
        <v/>
      </c>
      <c r="B268" s="25"/>
      <c r="C268" s="25"/>
      <c r="D268" s="25"/>
      <c r="E268" s="25"/>
      <c r="F268" s="25"/>
      <c r="G268" s="25"/>
      <c r="H268" s="37"/>
      <c r="I268" s="25"/>
      <c r="J268" s="38"/>
      <c r="K268" s="40"/>
      <c r="S268" s="25"/>
      <c r="T268" s="25" t="str">
        <f>IFERROR(IF(ISBLANK(S268),"",INDEX(Gen_Vessels!$A$3:$C$500,MATCH(InspectionSite!$S268,Gen_Vessels!$C$3:$C$500,0),1)),"")</f>
        <v/>
      </c>
      <c r="U268" s="25"/>
      <c r="V268" s="25"/>
      <c r="W268" s="25" t="str">
        <f>IFERROR(IF(ISBLANK(V268),"",INDEX(Gen_Vessels!$A$3:$C$500,MATCH(InspectionSite!$V268,Gen_Vessels!$C$3:$C$500,0),1)),"")</f>
        <v/>
      </c>
      <c r="X268" s="25"/>
      <c r="Y268" s="25"/>
      <c r="Z268" s="25"/>
      <c r="AA268" s="25"/>
      <c r="AB268" s="25"/>
      <c r="AC268" s="25"/>
      <c r="AE268" s="25"/>
      <c r="AF268" s="49"/>
      <c r="AG268" s="25"/>
      <c r="AH268" s="25"/>
      <c r="AI268" s="25"/>
      <c r="AJ268" s="25"/>
      <c r="AK268" s="25"/>
    </row>
    <row r="269" spans="1:37" x14ac:dyDescent="0.25">
      <c r="A269" s="18" t="str">
        <f t="shared" si="4"/>
        <v/>
      </c>
      <c r="B269" s="25"/>
      <c r="C269" s="25"/>
      <c r="D269" s="25"/>
      <c r="E269" s="25"/>
      <c r="F269" s="25"/>
      <c r="G269" s="25"/>
      <c r="H269" s="37"/>
      <c r="I269" s="25"/>
      <c r="J269" s="38"/>
      <c r="K269" s="40"/>
      <c r="S269" s="25"/>
      <c r="T269" s="25" t="str">
        <f>IFERROR(IF(ISBLANK(S269),"",INDEX(Gen_Vessels!$A$3:$C$500,MATCH(InspectionSite!$S269,Gen_Vessels!$C$3:$C$500,0),1)),"")</f>
        <v/>
      </c>
      <c r="U269" s="25"/>
      <c r="V269" s="25"/>
      <c r="W269" s="25" t="str">
        <f>IFERROR(IF(ISBLANK(V269),"",INDEX(Gen_Vessels!$A$3:$C$500,MATCH(InspectionSite!$V269,Gen_Vessels!$C$3:$C$500,0),1)),"")</f>
        <v/>
      </c>
      <c r="X269" s="25"/>
      <c r="Y269" s="25"/>
      <c r="Z269" s="25"/>
      <c r="AA269" s="25"/>
      <c r="AB269" s="25"/>
      <c r="AC269" s="25"/>
      <c r="AE269" s="25"/>
      <c r="AF269" s="49"/>
      <c r="AG269" s="25"/>
      <c r="AH269" s="25"/>
      <c r="AI269" s="25"/>
      <c r="AJ269" s="25"/>
      <c r="AK269" s="25"/>
    </row>
    <row r="270" spans="1:37" x14ac:dyDescent="0.25">
      <c r="A270" s="18" t="str">
        <f t="shared" si="4"/>
        <v/>
      </c>
      <c r="B270" s="25"/>
      <c r="C270" s="25"/>
      <c r="D270" s="25"/>
      <c r="E270" s="25"/>
      <c r="F270" s="25"/>
      <c r="G270" s="25"/>
      <c r="H270" s="37"/>
      <c r="I270" s="25"/>
      <c r="J270" s="38"/>
      <c r="K270" s="40"/>
      <c r="S270" s="25"/>
      <c r="T270" s="25" t="str">
        <f>IFERROR(IF(ISBLANK(S270),"",INDEX(Gen_Vessels!$A$3:$C$500,MATCH(InspectionSite!$S270,Gen_Vessels!$C$3:$C$500,0),1)),"")</f>
        <v/>
      </c>
      <c r="U270" s="25"/>
      <c r="V270" s="25"/>
      <c r="W270" s="25" t="str">
        <f>IFERROR(IF(ISBLANK(V270),"",INDEX(Gen_Vessels!$A$3:$C$500,MATCH(InspectionSite!$V270,Gen_Vessels!$C$3:$C$500,0),1)),"")</f>
        <v/>
      </c>
      <c r="X270" s="25"/>
      <c r="Y270" s="25"/>
      <c r="Z270" s="25"/>
      <c r="AA270" s="25"/>
      <c r="AB270" s="25"/>
      <c r="AC270" s="25"/>
      <c r="AE270" s="25"/>
      <c r="AF270" s="49"/>
      <c r="AG270" s="25"/>
      <c r="AH270" s="25"/>
      <c r="AI270" s="25"/>
      <c r="AJ270" s="25"/>
      <c r="AK270" s="25"/>
    </row>
    <row r="271" spans="1:37" x14ac:dyDescent="0.25">
      <c r="A271" s="18" t="str">
        <f t="shared" si="4"/>
        <v/>
      </c>
      <c r="B271" s="25"/>
      <c r="C271" s="25"/>
      <c r="D271" s="25"/>
      <c r="E271" s="25"/>
      <c r="F271" s="25"/>
      <c r="G271" s="25"/>
      <c r="H271" s="37"/>
      <c r="I271" s="25"/>
      <c r="J271" s="38"/>
      <c r="K271" s="40"/>
      <c r="S271" s="25"/>
      <c r="T271" s="25" t="str">
        <f>IFERROR(IF(ISBLANK(S271),"",INDEX(Gen_Vessels!$A$3:$C$500,MATCH(InspectionSite!$S271,Gen_Vessels!$C$3:$C$500,0),1)),"")</f>
        <v/>
      </c>
      <c r="U271" s="25"/>
      <c r="V271" s="25"/>
      <c r="W271" s="25" t="str">
        <f>IFERROR(IF(ISBLANK(V271),"",INDEX(Gen_Vessels!$A$3:$C$500,MATCH(InspectionSite!$V271,Gen_Vessels!$C$3:$C$500,0),1)),"")</f>
        <v/>
      </c>
      <c r="X271" s="25"/>
      <c r="Y271" s="25"/>
      <c r="Z271" s="25"/>
      <c r="AA271" s="25"/>
      <c r="AB271" s="25"/>
      <c r="AC271" s="25"/>
      <c r="AE271" s="25"/>
      <c r="AF271" s="49"/>
      <c r="AG271" s="25"/>
      <c r="AH271" s="25"/>
      <c r="AI271" s="25"/>
      <c r="AJ271" s="25"/>
      <c r="AK271" s="25"/>
    </row>
    <row r="272" spans="1:37" x14ac:dyDescent="0.25">
      <c r="A272" s="18" t="str">
        <f t="shared" si="4"/>
        <v/>
      </c>
      <c r="B272" s="25"/>
      <c r="C272" s="25"/>
      <c r="D272" s="25"/>
      <c r="E272" s="25"/>
      <c r="F272" s="25"/>
      <c r="G272" s="25"/>
      <c r="H272" s="37"/>
      <c r="I272" s="25"/>
      <c r="J272" s="38"/>
      <c r="K272" s="40"/>
      <c r="S272" s="25"/>
      <c r="T272" s="25" t="str">
        <f>IFERROR(IF(ISBLANK(S272),"",INDEX(Gen_Vessels!$A$3:$C$500,MATCH(InspectionSite!$S272,Gen_Vessels!$C$3:$C$500,0),1)),"")</f>
        <v/>
      </c>
      <c r="U272" s="25"/>
      <c r="V272" s="25"/>
      <c r="W272" s="25" t="str">
        <f>IFERROR(IF(ISBLANK(V272),"",INDEX(Gen_Vessels!$A$3:$C$500,MATCH(InspectionSite!$V272,Gen_Vessels!$C$3:$C$500,0),1)),"")</f>
        <v/>
      </c>
      <c r="X272" s="25"/>
      <c r="Y272" s="25"/>
      <c r="Z272" s="25"/>
      <c r="AA272" s="25"/>
      <c r="AB272" s="25"/>
      <c r="AC272" s="25"/>
      <c r="AE272" s="25"/>
      <c r="AF272" s="49"/>
      <c r="AG272" s="25"/>
      <c r="AH272" s="25"/>
      <c r="AI272" s="25"/>
      <c r="AJ272" s="25"/>
      <c r="AK272" s="25"/>
    </row>
    <row r="273" spans="1:37" x14ac:dyDescent="0.25">
      <c r="A273" s="18" t="str">
        <f t="shared" si="4"/>
        <v/>
      </c>
      <c r="B273" s="25"/>
      <c r="C273" s="25"/>
      <c r="D273" s="25"/>
      <c r="E273" s="25"/>
      <c r="F273" s="25"/>
      <c r="G273" s="25"/>
      <c r="H273" s="37"/>
      <c r="I273" s="25"/>
      <c r="J273" s="38"/>
      <c r="K273" s="40"/>
      <c r="S273" s="25"/>
      <c r="T273" s="25" t="str">
        <f>IFERROR(IF(ISBLANK(S273),"",INDEX(Gen_Vessels!$A$3:$C$500,MATCH(InspectionSite!$S273,Gen_Vessels!$C$3:$C$500,0),1)),"")</f>
        <v/>
      </c>
      <c r="U273" s="25"/>
      <c r="V273" s="25"/>
      <c r="W273" s="25" t="str">
        <f>IFERROR(IF(ISBLANK(V273),"",INDEX(Gen_Vessels!$A$3:$C$500,MATCH(InspectionSite!$V273,Gen_Vessels!$C$3:$C$500,0),1)),"")</f>
        <v/>
      </c>
      <c r="X273" s="25"/>
      <c r="Y273" s="25"/>
      <c r="Z273" s="25"/>
      <c r="AA273" s="25"/>
      <c r="AB273" s="25"/>
      <c r="AC273" s="25"/>
      <c r="AE273" s="25"/>
      <c r="AF273" s="49"/>
      <c r="AG273" s="25"/>
      <c r="AH273" s="25"/>
      <c r="AI273" s="25"/>
      <c r="AJ273" s="25"/>
      <c r="AK273" s="25"/>
    </row>
    <row r="274" spans="1:37" x14ac:dyDescent="0.25">
      <c r="A274" s="18" t="str">
        <f t="shared" si="4"/>
        <v/>
      </c>
      <c r="B274" s="25"/>
      <c r="C274" s="25"/>
      <c r="D274" s="25"/>
      <c r="E274" s="25"/>
      <c r="F274" s="25"/>
      <c r="G274" s="25"/>
      <c r="H274" s="37"/>
      <c r="I274" s="25"/>
      <c r="J274" s="38"/>
      <c r="K274" s="40"/>
      <c r="S274" s="25"/>
      <c r="T274" s="25" t="str">
        <f>IFERROR(IF(ISBLANK(S274),"",INDEX(Gen_Vessels!$A$3:$C$500,MATCH(InspectionSite!$S274,Gen_Vessels!$C$3:$C$500,0),1)),"")</f>
        <v/>
      </c>
      <c r="U274" s="25"/>
      <c r="V274" s="25"/>
      <c r="W274" s="25" t="str">
        <f>IFERROR(IF(ISBLANK(V274),"",INDEX(Gen_Vessels!$A$3:$C$500,MATCH(InspectionSite!$V274,Gen_Vessels!$C$3:$C$500,0),1)),"")</f>
        <v/>
      </c>
      <c r="X274" s="25"/>
      <c r="Y274" s="25"/>
      <c r="Z274" s="25"/>
      <c r="AA274" s="25"/>
      <c r="AB274" s="25"/>
      <c r="AC274" s="25"/>
      <c r="AE274" s="25"/>
      <c r="AF274" s="49"/>
      <c r="AG274" s="25"/>
      <c r="AH274" s="25"/>
      <c r="AI274" s="25"/>
      <c r="AJ274" s="25"/>
      <c r="AK274" s="25"/>
    </row>
    <row r="275" spans="1:37" x14ac:dyDescent="0.25">
      <c r="A275" s="18" t="str">
        <f t="shared" si="4"/>
        <v/>
      </c>
      <c r="B275" s="25"/>
      <c r="C275" s="25"/>
      <c r="D275" s="25"/>
      <c r="E275" s="25"/>
      <c r="F275" s="25"/>
      <c r="G275" s="25"/>
      <c r="H275" s="37"/>
      <c r="I275" s="25"/>
      <c r="J275" s="38"/>
      <c r="K275" s="40"/>
      <c r="S275" s="25"/>
      <c r="T275" s="25" t="str">
        <f>IFERROR(IF(ISBLANK(S275),"",INDEX(Gen_Vessels!$A$3:$C$500,MATCH(InspectionSite!$S275,Gen_Vessels!$C$3:$C$500,0),1)),"")</f>
        <v/>
      </c>
      <c r="U275" s="25"/>
      <c r="V275" s="25"/>
      <c r="W275" s="25" t="str">
        <f>IFERROR(IF(ISBLANK(V275),"",INDEX(Gen_Vessels!$A$3:$C$500,MATCH(InspectionSite!$V275,Gen_Vessels!$C$3:$C$500,0),1)),"")</f>
        <v/>
      </c>
      <c r="X275" s="25"/>
      <c r="Y275" s="25"/>
      <c r="Z275" s="25"/>
      <c r="AA275" s="25"/>
      <c r="AB275" s="25"/>
      <c r="AC275" s="25"/>
      <c r="AE275" s="25"/>
      <c r="AF275" s="49"/>
      <c r="AG275" s="25"/>
      <c r="AH275" s="25"/>
      <c r="AI275" s="25"/>
      <c r="AJ275" s="25"/>
      <c r="AK275" s="25"/>
    </row>
    <row r="276" spans="1:37" x14ac:dyDescent="0.25">
      <c r="A276" s="18" t="str">
        <f t="shared" si="4"/>
        <v/>
      </c>
      <c r="B276" s="25"/>
      <c r="C276" s="25"/>
      <c r="D276" s="25"/>
      <c r="E276" s="25"/>
      <c r="F276" s="25"/>
      <c r="G276" s="25"/>
      <c r="H276" s="37"/>
      <c r="I276" s="25"/>
      <c r="J276" s="38"/>
      <c r="K276" s="40"/>
      <c r="S276" s="25"/>
      <c r="T276" s="25" t="str">
        <f>IFERROR(IF(ISBLANK(S276),"",INDEX(Gen_Vessels!$A$3:$C$500,MATCH(InspectionSite!$S276,Gen_Vessels!$C$3:$C$500,0),1)),"")</f>
        <v/>
      </c>
      <c r="U276" s="25"/>
      <c r="V276" s="25"/>
      <c r="W276" s="25" t="str">
        <f>IFERROR(IF(ISBLANK(V276),"",INDEX(Gen_Vessels!$A$3:$C$500,MATCH(InspectionSite!$V276,Gen_Vessels!$C$3:$C$500,0),1)),"")</f>
        <v/>
      </c>
      <c r="X276" s="25"/>
      <c r="Y276" s="25"/>
      <c r="Z276" s="25"/>
      <c r="AA276" s="25"/>
      <c r="AB276" s="25"/>
      <c r="AC276" s="25"/>
      <c r="AE276" s="25"/>
      <c r="AF276" s="49"/>
      <c r="AG276" s="25"/>
      <c r="AH276" s="25"/>
      <c r="AI276" s="25"/>
      <c r="AJ276" s="25"/>
      <c r="AK276" s="25"/>
    </row>
    <row r="277" spans="1:37" x14ac:dyDescent="0.25">
      <c r="A277" s="18" t="str">
        <f t="shared" si="4"/>
        <v/>
      </c>
      <c r="B277" s="25"/>
      <c r="C277" s="25"/>
      <c r="D277" s="25"/>
      <c r="E277" s="25"/>
      <c r="F277" s="25"/>
      <c r="G277" s="25"/>
      <c r="H277" s="37"/>
      <c r="I277" s="25"/>
      <c r="J277" s="38"/>
      <c r="K277" s="40"/>
      <c r="S277" s="25"/>
      <c r="T277" s="25" t="str">
        <f>IFERROR(IF(ISBLANK(S277),"",INDEX(Gen_Vessels!$A$3:$C$500,MATCH(InspectionSite!$S277,Gen_Vessels!$C$3:$C$500,0),1)),"")</f>
        <v/>
      </c>
      <c r="U277" s="25"/>
      <c r="V277" s="25"/>
      <c r="W277" s="25" t="str">
        <f>IFERROR(IF(ISBLANK(V277),"",INDEX(Gen_Vessels!$A$3:$C$500,MATCH(InspectionSite!$V277,Gen_Vessels!$C$3:$C$500,0),1)),"")</f>
        <v/>
      </c>
      <c r="X277" s="25"/>
      <c r="Y277" s="25"/>
      <c r="Z277" s="25"/>
      <c r="AA277" s="25"/>
      <c r="AB277" s="25"/>
      <c r="AC277" s="25"/>
      <c r="AE277" s="25"/>
      <c r="AF277" s="49"/>
      <c r="AG277" s="25"/>
      <c r="AH277" s="25"/>
      <c r="AI277" s="25"/>
      <c r="AJ277" s="25"/>
      <c r="AK277" s="25"/>
    </row>
    <row r="278" spans="1:37" x14ac:dyDescent="0.25">
      <c r="A278" s="18" t="str">
        <f t="shared" si="4"/>
        <v/>
      </c>
      <c r="B278" s="25"/>
      <c r="C278" s="25"/>
      <c r="D278" s="25"/>
      <c r="E278" s="25"/>
      <c r="F278" s="25"/>
      <c r="G278" s="25"/>
      <c r="H278" s="37"/>
      <c r="I278" s="25"/>
      <c r="J278" s="38"/>
      <c r="K278" s="40"/>
      <c r="S278" s="25"/>
      <c r="T278" s="25" t="str">
        <f>IFERROR(IF(ISBLANK(S278),"",INDEX(Gen_Vessels!$A$3:$C$500,MATCH(InspectionSite!$S278,Gen_Vessels!$C$3:$C$500,0),1)),"")</f>
        <v/>
      </c>
      <c r="U278" s="25"/>
      <c r="V278" s="25"/>
      <c r="W278" s="25" t="str">
        <f>IFERROR(IF(ISBLANK(V278),"",INDEX(Gen_Vessels!$A$3:$C$500,MATCH(InspectionSite!$V278,Gen_Vessels!$C$3:$C$500,0),1)),"")</f>
        <v/>
      </c>
      <c r="X278" s="25"/>
      <c r="Y278" s="25"/>
      <c r="Z278" s="25"/>
      <c r="AA278" s="25"/>
      <c r="AB278" s="25"/>
      <c r="AC278" s="25"/>
      <c r="AE278" s="25"/>
      <c r="AF278" s="49"/>
      <c r="AG278" s="25"/>
      <c r="AH278" s="25"/>
      <c r="AI278" s="25"/>
      <c r="AJ278" s="25"/>
      <c r="AK278" s="25"/>
    </row>
    <row r="279" spans="1:37" x14ac:dyDescent="0.25">
      <c r="A279" s="18" t="str">
        <f t="shared" si="4"/>
        <v/>
      </c>
      <c r="B279" s="25"/>
      <c r="C279" s="25"/>
      <c r="D279" s="25"/>
      <c r="E279" s="25"/>
      <c r="F279" s="25"/>
      <c r="G279" s="25"/>
      <c r="H279" s="37"/>
      <c r="I279" s="25"/>
      <c r="J279" s="38"/>
      <c r="K279" s="40"/>
      <c r="S279" s="25"/>
      <c r="T279" s="25" t="str">
        <f>IFERROR(IF(ISBLANK(S279),"",INDEX(Gen_Vessels!$A$3:$C$500,MATCH(InspectionSite!$S279,Gen_Vessels!$C$3:$C$500,0),1)),"")</f>
        <v/>
      </c>
      <c r="U279" s="25"/>
      <c r="V279" s="25"/>
      <c r="W279" s="25" t="str">
        <f>IFERROR(IF(ISBLANK(V279),"",INDEX(Gen_Vessels!$A$3:$C$500,MATCH(InspectionSite!$V279,Gen_Vessels!$C$3:$C$500,0),1)),"")</f>
        <v/>
      </c>
      <c r="X279" s="25"/>
      <c r="Y279" s="25"/>
      <c r="Z279" s="25"/>
      <c r="AA279" s="25"/>
      <c r="AB279" s="25"/>
      <c r="AC279" s="25"/>
      <c r="AE279" s="25"/>
      <c r="AF279" s="49"/>
      <c r="AG279" s="25"/>
      <c r="AH279" s="25"/>
      <c r="AI279" s="25"/>
      <c r="AJ279" s="25"/>
      <c r="AK279" s="25"/>
    </row>
    <row r="280" spans="1:37" x14ac:dyDescent="0.25">
      <c r="A280" s="18" t="str">
        <f t="shared" si="4"/>
        <v/>
      </c>
      <c r="B280" s="25"/>
      <c r="C280" s="25"/>
      <c r="D280" s="25"/>
      <c r="E280" s="25"/>
      <c r="F280" s="25"/>
      <c r="G280" s="25"/>
      <c r="H280" s="37"/>
      <c r="I280" s="25"/>
      <c r="J280" s="38"/>
      <c r="K280" s="40"/>
      <c r="S280" s="25"/>
      <c r="T280" s="25" t="str">
        <f>IFERROR(IF(ISBLANK(S280),"",INDEX(Gen_Vessels!$A$3:$C$500,MATCH(InspectionSite!$S280,Gen_Vessels!$C$3:$C$500,0),1)),"")</f>
        <v/>
      </c>
      <c r="U280" s="25"/>
      <c r="V280" s="25"/>
      <c r="W280" s="25" t="str">
        <f>IFERROR(IF(ISBLANK(V280),"",INDEX(Gen_Vessels!$A$3:$C$500,MATCH(InspectionSite!$V280,Gen_Vessels!$C$3:$C$500,0),1)),"")</f>
        <v/>
      </c>
      <c r="X280" s="25"/>
      <c r="Y280" s="25"/>
      <c r="Z280" s="25"/>
      <c r="AA280" s="25"/>
      <c r="AB280" s="25"/>
      <c r="AC280" s="25"/>
      <c r="AE280" s="25"/>
      <c r="AF280" s="49"/>
      <c r="AG280" s="25"/>
      <c r="AH280" s="25"/>
      <c r="AI280" s="25"/>
      <c r="AJ280" s="25"/>
      <c r="AK280" s="25"/>
    </row>
    <row r="281" spans="1:37" x14ac:dyDescent="0.25">
      <c r="A281" s="18" t="str">
        <f t="shared" si="4"/>
        <v/>
      </c>
      <c r="B281" s="25"/>
      <c r="C281" s="25"/>
      <c r="D281" s="25"/>
      <c r="E281" s="25"/>
      <c r="F281" s="25"/>
      <c r="G281" s="25"/>
      <c r="H281" s="37"/>
      <c r="I281" s="25"/>
      <c r="J281" s="38"/>
      <c r="K281" s="40"/>
      <c r="S281" s="25"/>
      <c r="T281" s="25" t="str">
        <f>IFERROR(IF(ISBLANK(S281),"",INDEX(Gen_Vessels!$A$3:$C$500,MATCH(InspectionSite!$S281,Gen_Vessels!$C$3:$C$500,0),1)),"")</f>
        <v/>
      </c>
      <c r="U281" s="25"/>
      <c r="V281" s="25"/>
      <c r="W281" s="25" t="str">
        <f>IFERROR(IF(ISBLANK(V281),"",INDEX(Gen_Vessels!$A$3:$C$500,MATCH(InspectionSite!$V281,Gen_Vessels!$C$3:$C$500,0),1)),"")</f>
        <v/>
      </c>
      <c r="X281" s="25"/>
      <c r="Y281" s="25"/>
      <c r="Z281" s="25"/>
      <c r="AA281" s="25"/>
      <c r="AB281" s="25"/>
      <c r="AC281" s="25"/>
      <c r="AE281" s="25"/>
      <c r="AF281" s="49"/>
      <c r="AG281" s="25"/>
      <c r="AH281" s="25"/>
      <c r="AI281" s="25"/>
      <c r="AJ281" s="25"/>
      <c r="AK281" s="25"/>
    </row>
    <row r="282" spans="1:37" x14ac:dyDescent="0.25">
      <c r="A282" s="18" t="str">
        <f t="shared" si="4"/>
        <v/>
      </c>
      <c r="B282" s="25"/>
      <c r="C282" s="25"/>
      <c r="D282" s="25"/>
      <c r="E282" s="25"/>
      <c r="F282" s="25"/>
      <c r="G282" s="25"/>
      <c r="H282" s="37"/>
      <c r="I282" s="25"/>
      <c r="J282" s="38"/>
      <c r="K282" s="40"/>
      <c r="S282" s="25"/>
      <c r="T282" s="25" t="str">
        <f>IFERROR(IF(ISBLANK(S282),"",INDEX(Gen_Vessels!$A$3:$C$500,MATCH(InspectionSite!$S282,Gen_Vessels!$C$3:$C$500,0),1)),"")</f>
        <v/>
      </c>
      <c r="U282" s="25"/>
      <c r="V282" s="25"/>
      <c r="W282" s="25" t="str">
        <f>IFERROR(IF(ISBLANK(V282),"",INDEX(Gen_Vessels!$A$3:$C$500,MATCH(InspectionSite!$V282,Gen_Vessels!$C$3:$C$500,0),1)),"")</f>
        <v/>
      </c>
      <c r="X282" s="25"/>
      <c r="Y282" s="25"/>
      <c r="Z282" s="25"/>
      <c r="AA282" s="25"/>
      <c r="AB282" s="25"/>
      <c r="AC282" s="25"/>
      <c r="AE282" s="25"/>
      <c r="AF282" s="49"/>
      <c r="AG282" s="25"/>
      <c r="AH282" s="25"/>
      <c r="AI282" s="25"/>
      <c r="AJ282" s="25"/>
      <c r="AK282" s="25"/>
    </row>
    <row r="283" spans="1:37" x14ac:dyDescent="0.25">
      <c r="A283" s="18" t="str">
        <f t="shared" si="4"/>
        <v/>
      </c>
      <c r="B283" s="25"/>
      <c r="C283" s="25"/>
      <c r="D283" s="25"/>
      <c r="E283" s="25"/>
      <c r="F283" s="25"/>
      <c r="G283" s="25"/>
      <c r="H283" s="37"/>
      <c r="I283" s="25"/>
      <c r="J283" s="38"/>
      <c r="K283" s="40"/>
      <c r="S283" s="25"/>
      <c r="T283" s="25" t="str">
        <f>IFERROR(IF(ISBLANK(S283),"",INDEX(Gen_Vessels!$A$3:$C$500,MATCH(InspectionSite!$S283,Gen_Vessels!$C$3:$C$500,0),1)),"")</f>
        <v/>
      </c>
      <c r="U283" s="25"/>
      <c r="V283" s="25"/>
      <c r="W283" s="25" t="str">
        <f>IFERROR(IF(ISBLANK(V283),"",INDEX(Gen_Vessels!$A$3:$C$500,MATCH(InspectionSite!$V283,Gen_Vessels!$C$3:$C$500,0),1)),"")</f>
        <v/>
      </c>
      <c r="X283" s="25"/>
      <c r="Y283" s="25"/>
      <c r="Z283" s="25"/>
      <c r="AA283" s="25"/>
      <c r="AB283" s="25"/>
      <c r="AC283" s="25"/>
      <c r="AE283" s="25"/>
      <c r="AF283" s="49"/>
      <c r="AG283" s="25"/>
      <c r="AH283" s="25"/>
      <c r="AI283" s="25"/>
      <c r="AJ283" s="25"/>
      <c r="AK283" s="25"/>
    </row>
    <row r="284" spans="1:37" x14ac:dyDescent="0.25">
      <c r="A284" s="18" t="str">
        <f t="shared" si="4"/>
        <v/>
      </c>
      <c r="B284" s="25"/>
      <c r="C284" s="25"/>
      <c r="D284" s="25"/>
      <c r="E284" s="25"/>
      <c r="F284" s="25"/>
      <c r="G284" s="25"/>
      <c r="H284" s="37"/>
      <c r="I284" s="25"/>
      <c r="J284" s="38"/>
      <c r="K284" s="40"/>
      <c r="S284" s="25"/>
      <c r="T284" s="25" t="str">
        <f>IFERROR(IF(ISBLANK(S284),"",INDEX(Gen_Vessels!$A$3:$C$500,MATCH(InspectionSite!$S284,Gen_Vessels!$C$3:$C$500,0),1)),"")</f>
        <v/>
      </c>
      <c r="U284" s="25"/>
      <c r="V284" s="25"/>
      <c r="W284" s="25" t="str">
        <f>IFERROR(IF(ISBLANK(V284),"",INDEX(Gen_Vessels!$A$3:$C$500,MATCH(InspectionSite!$V284,Gen_Vessels!$C$3:$C$500,0),1)),"")</f>
        <v/>
      </c>
      <c r="X284" s="25"/>
      <c r="Y284" s="25"/>
      <c r="Z284" s="25"/>
      <c r="AA284" s="25"/>
      <c r="AB284" s="25"/>
      <c r="AC284" s="25"/>
      <c r="AE284" s="25"/>
      <c r="AF284" s="49"/>
      <c r="AG284" s="25"/>
      <c r="AH284" s="25"/>
      <c r="AI284" s="25"/>
      <c r="AJ284" s="25"/>
      <c r="AK284" s="25"/>
    </row>
    <row r="285" spans="1:37" x14ac:dyDescent="0.25">
      <c r="A285" s="18" t="str">
        <f t="shared" si="4"/>
        <v/>
      </c>
      <c r="B285" s="25"/>
      <c r="C285" s="25"/>
      <c r="D285" s="25"/>
      <c r="E285" s="25"/>
      <c r="F285" s="25"/>
      <c r="G285" s="25"/>
      <c r="H285" s="37"/>
      <c r="I285" s="25"/>
      <c r="J285" s="38"/>
      <c r="K285" s="40"/>
      <c r="S285" s="25"/>
      <c r="T285" s="25" t="str">
        <f>IFERROR(IF(ISBLANK(S285),"",INDEX(Gen_Vessels!$A$3:$C$500,MATCH(InspectionSite!$S285,Gen_Vessels!$C$3:$C$500,0),1)),"")</f>
        <v/>
      </c>
      <c r="U285" s="25"/>
      <c r="V285" s="25"/>
      <c r="W285" s="25" t="str">
        <f>IFERROR(IF(ISBLANK(V285),"",INDEX(Gen_Vessels!$A$3:$C$500,MATCH(InspectionSite!$V285,Gen_Vessels!$C$3:$C$500,0),1)),"")</f>
        <v/>
      </c>
      <c r="X285" s="25"/>
      <c r="Y285" s="25"/>
      <c r="Z285" s="25"/>
      <c r="AA285" s="25"/>
      <c r="AB285" s="25"/>
      <c r="AC285" s="25"/>
      <c r="AE285" s="25"/>
      <c r="AF285" s="49"/>
      <c r="AG285" s="25"/>
      <c r="AH285" s="25"/>
      <c r="AI285" s="25"/>
      <c r="AJ285" s="25"/>
      <c r="AK285" s="25"/>
    </row>
    <row r="286" spans="1:37" x14ac:dyDescent="0.25">
      <c r="A286" s="18" t="str">
        <f t="shared" si="4"/>
        <v/>
      </c>
      <c r="B286" s="25"/>
      <c r="C286" s="25"/>
      <c r="D286" s="25"/>
      <c r="E286" s="25"/>
      <c r="F286" s="25"/>
      <c r="G286" s="25"/>
      <c r="H286" s="37"/>
      <c r="I286" s="25"/>
      <c r="J286" s="38"/>
      <c r="K286" s="40"/>
      <c r="S286" s="25"/>
      <c r="T286" s="25" t="str">
        <f>IFERROR(IF(ISBLANK(S286),"",INDEX(Gen_Vessels!$A$3:$C$500,MATCH(InspectionSite!$S286,Gen_Vessels!$C$3:$C$500,0),1)),"")</f>
        <v/>
      </c>
      <c r="U286" s="25"/>
      <c r="V286" s="25"/>
      <c r="W286" s="25" t="str">
        <f>IFERROR(IF(ISBLANK(V286),"",INDEX(Gen_Vessels!$A$3:$C$500,MATCH(InspectionSite!$V286,Gen_Vessels!$C$3:$C$500,0),1)),"")</f>
        <v/>
      </c>
      <c r="X286" s="25"/>
      <c r="Y286" s="25"/>
      <c r="Z286" s="25"/>
      <c r="AA286" s="25"/>
      <c r="AB286" s="25"/>
      <c r="AC286" s="25"/>
      <c r="AE286" s="25"/>
      <c r="AF286" s="49"/>
      <c r="AG286" s="25"/>
      <c r="AH286" s="25"/>
      <c r="AI286" s="25"/>
      <c r="AJ286" s="25"/>
      <c r="AK286" s="25"/>
    </row>
    <row r="287" spans="1:37" x14ac:dyDescent="0.25">
      <c r="A287" s="18" t="str">
        <f t="shared" si="4"/>
        <v/>
      </c>
      <c r="B287" s="25"/>
      <c r="C287" s="25"/>
      <c r="D287" s="25"/>
      <c r="E287" s="25"/>
      <c r="F287" s="25"/>
      <c r="G287" s="25"/>
      <c r="H287" s="37"/>
      <c r="I287" s="25"/>
      <c r="J287" s="38"/>
      <c r="K287" s="40"/>
      <c r="S287" s="25"/>
      <c r="T287" s="25" t="str">
        <f>IFERROR(IF(ISBLANK(S287),"",INDEX(Gen_Vessels!$A$3:$C$500,MATCH(InspectionSite!$S287,Gen_Vessels!$C$3:$C$500,0),1)),"")</f>
        <v/>
      </c>
      <c r="U287" s="25"/>
      <c r="V287" s="25"/>
      <c r="W287" s="25" t="str">
        <f>IFERROR(IF(ISBLANK(V287),"",INDEX(Gen_Vessels!$A$3:$C$500,MATCH(InspectionSite!$V287,Gen_Vessels!$C$3:$C$500,0),1)),"")</f>
        <v/>
      </c>
      <c r="X287" s="25"/>
      <c r="Y287" s="25"/>
      <c r="Z287" s="25"/>
      <c r="AA287" s="25"/>
      <c r="AB287" s="25"/>
      <c r="AC287" s="25"/>
      <c r="AE287" s="25"/>
      <c r="AF287" s="49"/>
      <c r="AG287" s="25"/>
      <c r="AH287" s="25"/>
      <c r="AI287" s="25"/>
      <c r="AJ287" s="25"/>
      <c r="AK287" s="25"/>
    </row>
    <row r="288" spans="1:37" x14ac:dyDescent="0.25">
      <c r="A288" s="18" t="str">
        <f t="shared" si="4"/>
        <v/>
      </c>
      <c r="B288" s="25"/>
      <c r="C288" s="25"/>
      <c r="D288" s="25"/>
      <c r="E288" s="25"/>
      <c r="F288" s="25"/>
      <c r="G288" s="25"/>
      <c r="H288" s="37"/>
      <c r="I288" s="25"/>
      <c r="J288" s="38"/>
      <c r="K288" s="40"/>
      <c r="S288" s="25"/>
      <c r="T288" s="25" t="str">
        <f>IFERROR(IF(ISBLANK(S288),"",INDEX(Gen_Vessels!$A$3:$C$500,MATCH(InspectionSite!$S288,Gen_Vessels!$C$3:$C$500,0),1)),"")</f>
        <v/>
      </c>
      <c r="U288" s="25"/>
      <c r="V288" s="25"/>
      <c r="W288" s="25" t="str">
        <f>IFERROR(IF(ISBLANK(V288),"",INDEX(Gen_Vessels!$A$3:$C$500,MATCH(InspectionSite!$V288,Gen_Vessels!$C$3:$C$500,0),1)),"")</f>
        <v/>
      </c>
      <c r="X288" s="25"/>
      <c r="Y288" s="25"/>
      <c r="Z288" s="25"/>
      <c r="AA288" s="25"/>
      <c r="AB288" s="25"/>
      <c r="AC288" s="25"/>
      <c r="AE288" s="25"/>
      <c r="AF288" s="49"/>
      <c r="AG288" s="25"/>
      <c r="AH288" s="25"/>
      <c r="AI288" s="25"/>
      <c r="AJ288" s="25"/>
      <c r="AK288" s="25"/>
    </row>
    <row r="289" spans="1:37" x14ac:dyDescent="0.25">
      <c r="A289" s="18" t="str">
        <f t="shared" si="4"/>
        <v/>
      </c>
      <c r="B289" s="25"/>
      <c r="C289" s="25"/>
      <c r="D289" s="25"/>
      <c r="E289" s="25"/>
      <c r="F289" s="25"/>
      <c r="G289" s="25"/>
      <c r="H289" s="37"/>
      <c r="I289" s="25"/>
      <c r="J289" s="38"/>
      <c r="K289" s="40"/>
      <c r="S289" s="25"/>
      <c r="T289" s="25" t="str">
        <f>IFERROR(IF(ISBLANK(S289),"",INDEX(Gen_Vessels!$A$3:$C$500,MATCH(InspectionSite!$S289,Gen_Vessels!$C$3:$C$500,0),1)),"")</f>
        <v/>
      </c>
      <c r="U289" s="25"/>
      <c r="V289" s="25"/>
      <c r="W289" s="25" t="str">
        <f>IFERROR(IF(ISBLANK(V289),"",INDEX(Gen_Vessels!$A$3:$C$500,MATCH(InspectionSite!$V289,Gen_Vessels!$C$3:$C$500,0),1)),"")</f>
        <v/>
      </c>
      <c r="X289" s="25"/>
      <c r="Y289" s="25"/>
      <c r="Z289" s="25"/>
      <c r="AA289" s="25"/>
      <c r="AB289" s="25"/>
      <c r="AC289" s="25"/>
      <c r="AE289" s="25"/>
      <c r="AF289" s="49"/>
      <c r="AG289" s="25"/>
      <c r="AH289" s="25"/>
      <c r="AI289" s="25"/>
      <c r="AJ289" s="25"/>
      <c r="AK289" s="25"/>
    </row>
    <row r="290" spans="1:37" x14ac:dyDescent="0.25">
      <c r="A290" s="18" t="str">
        <f t="shared" si="4"/>
        <v/>
      </c>
      <c r="B290" s="25"/>
      <c r="C290" s="25"/>
      <c r="D290" s="25"/>
      <c r="E290" s="25"/>
      <c r="F290" s="25"/>
      <c r="G290" s="25"/>
      <c r="H290" s="37"/>
      <c r="I290" s="25"/>
      <c r="J290" s="38"/>
      <c r="K290" s="40"/>
      <c r="S290" s="25"/>
      <c r="T290" s="25" t="str">
        <f>IFERROR(IF(ISBLANK(S290),"",INDEX(Gen_Vessels!$A$3:$C$500,MATCH(InspectionSite!$S290,Gen_Vessels!$C$3:$C$500,0),1)),"")</f>
        <v/>
      </c>
      <c r="U290" s="25"/>
      <c r="V290" s="25"/>
      <c r="W290" s="25" t="str">
        <f>IFERROR(IF(ISBLANK(V290),"",INDEX(Gen_Vessels!$A$3:$C$500,MATCH(InspectionSite!$V290,Gen_Vessels!$C$3:$C$500,0),1)),"")</f>
        <v/>
      </c>
      <c r="X290" s="25"/>
      <c r="Y290" s="25"/>
      <c r="Z290" s="25"/>
      <c r="AA290" s="25"/>
      <c r="AB290" s="25"/>
      <c r="AC290" s="25"/>
      <c r="AE290" s="25"/>
      <c r="AF290" s="49"/>
      <c r="AG290" s="25"/>
      <c r="AH290" s="25"/>
      <c r="AI290" s="25"/>
      <c r="AJ290" s="25"/>
      <c r="AK290" s="25"/>
    </row>
    <row r="291" spans="1:37" x14ac:dyDescent="0.25">
      <c r="A291" s="18" t="str">
        <f t="shared" si="4"/>
        <v/>
      </c>
      <c r="B291" s="25"/>
      <c r="C291" s="25"/>
      <c r="D291" s="25"/>
      <c r="E291" s="25"/>
      <c r="F291" s="25"/>
      <c r="G291" s="25"/>
      <c r="H291" s="37"/>
      <c r="I291" s="25"/>
      <c r="J291" s="38"/>
      <c r="K291" s="40"/>
      <c r="S291" s="25"/>
      <c r="T291" s="25" t="str">
        <f>IFERROR(IF(ISBLANK(S291),"",INDEX(Gen_Vessels!$A$3:$C$500,MATCH(InspectionSite!$S291,Gen_Vessels!$C$3:$C$500,0),1)),"")</f>
        <v/>
      </c>
      <c r="U291" s="25"/>
      <c r="V291" s="25"/>
      <c r="W291" s="25" t="str">
        <f>IFERROR(IF(ISBLANK(V291),"",INDEX(Gen_Vessels!$A$3:$C$500,MATCH(InspectionSite!$V291,Gen_Vessels!$C$3:$C$500,0),1)),"")</f>
        <v/>
      </c>
      <c r="X291" s="25"/>
      <c r="Y291" s="25"/>
      <c r="Z291" s="25"/>
      <c r="AA291" s="25"/>
      <c r="AB291" s="25"/>
      <c r="AC291" s="25"/>
      <c r="AE291" s="25"/>
      <c r="AF291" s="49"/>
      <c r="AG291" s="25"/>
      <c r="AH291" s="25"/>
      <c r="AI291" s="25"/>
      <c r="AJ291" s="25"/>
      <c r="AK291" s="25"/>
    </row>
    <row r="292" spans="1:37" x14ac:dyDescent="0.25">
      <c r="A292" s="18" t="str">
        <f t="shared" si="4"/>
        <v/>
      </c>
      <c r="B292" s="25"/>
      <c r="C292" s="25"/>
      <c r="D292" s="25"/>
      <c r="E292" s="25"/>
      <c r="F292" s="25"/>
      <c r="G292" s="25"/>
      <c r="H292" s="37"/>
      <c r="I292" s="25"/>
      <c r="J292" s="38"/>
      <c r="K292" s="40"/>
      <c r="S292" s="25"/>
      <c r="T292" s="25" t="str">
        <f>IFERROR(IF(ISBLANK(S292),"",INDEX(Gen_Vessels!$A$3:$C$500,MATCH(InspectionSite!$S292,Gen_Vessels!$C$3:$C$500,0),1)),"")</f>
        <v/>
      </c>
      <c r="U292" s="25"/>
      <c r="V292" s="25"/>
      <c r="W292" s="25" t="str">
        <f>IFERROR(IF(ISBLANK(V292),"",INDEX(Gen_Vessels!$A$3:$C$500,MATCH(InspectionSite!$V292,Gen_Vessels!$C$3:$C$500,0),1)),"")</f>
        <v/>
      </c>
      <c r="X292" s="25"/>
      <c r="Y292" s="25"/>
      <c r="Z292" s="25"/>
      <c r="AA292" s="25"/>
      <c r="AB292" s="25"/>
      <c r="AC292" s="25"/>
      <c r="AE292" s="25"/>
      <c r="AF292" s="49"/>
      <c r="AG292" s="25"/>
      <c r="AH292" s="25"/>
      <c r="AI292" s="25"/>
      <c r="AJ292" s="25"/>
      <c r="AK292" s="25"/>
    </row>
    <row r="293" spans="1:37" x14ac:dyDescent="0.25">
      <c r="A293" s="18" t="str">
        <f t="shared" si="4"/>
        <v/>
      </c>
      <c r="B293" s="25"/>
      <c r="C293" s="25"/>
      <c r="D293" s="25"/>
      <c r="E293" s="25"/>
      <c r="F293" s="25"/>
      <c r="G293" s="25"/>
      <c r="H293" s="37"/>
      <c r="I293" s="25"/>
      <c r="J293" s="38"/>
      <c r="K293" s="40"/>
      <c r="S293" s="25"/>
      <c r="T293" s="25" t="str">
        <f>IFERROR(IF(ISBLANK(S293),"",INDEX(Gen_Vessels!$A$3:$C$500,MATCH(InspectionSite!$S293,Gen_Vessels!$C$3:$C$500,0),1)),"")</f>
        <v/>
      </c>
      <c r="U293" s="25"/>
      <c r="V293" s="25"/>
      <c r="W293" s="25" t="str">
        <f>IFERROR(IF(ISBLANK(V293),"",INDEX(Gen_Vessels!$A$3:$C$500,MATCH(InspectionSite!$V293,Gen_Vessels!$C$3:$C$500,0),1)),"")</f>
        <v/>
      </c>
      <c r="X293" s="25"/>
      <c r="Y293" s="25"/>
      <c r="Z293" s="25"/>
      <c r="AA293" s="25"/>
      <c r="AB293" s="25"/>
      <c r="AC293" s="25"/>
      <c r="AE293" s="25"/>
      <c r="AF293" s="49"/>
      <c r="AG293" s="25"/>
      <c r="AH293" s="25"/>
      <c r="AI293" s="25"/>
      <c r="AJ293" s="25"/>
      <c r="AK293" s="25"/>
    </row>
    <row r="294" spans="1:37" x14ac:dyDescent="0.25">
      <c r="A294" s="18" t="str">
        <f t="shared" si="4"/>
        <v/>
      </c>
      <c r="B294" s="25"/>
      <c r="C294" s="25"/>
      <c r="D294" s="25"/>
      <c r="E294" s="25"/>
      <c r="F294" s="25"/>
      <c r="G294" s="25"/>
      <c r="H294" s="37"/>
      <c r="I294" s="25"/>
      <c r="J294" s="38"/>
      <c r="K294" s="40"/>
      <c r="S294" s="25"/>
      <c r="T294" s="25" t="str">
        <f>IFERROR(IF(ISBLANK(S294),"",INDEX(Gen_Vessels!$A$3:$C$500,MATCH(InspectionSite!$S294,Gen_Vessels!$C$3:$C$500,0),1)),"")</f>
        <v/>
      </c>
      <c r="U294" s="25"/>
      <c r="V294" s="25"/>
      <c r="W294" s="25" t="str">
        <f>IFERROR(IF(ISBLANK(V294),"",INDEX(Gen_Vessels!$A$3:$C$500,MATCH(InspectionSite!$V294,Gen_Vessels!$C$3:$C$500,0),1)),"")</f>
        <v/>
      </c>
      <c r="X294" s="25"/>
      <c r="Y294" s="25"/>
      <c r="Z294" s="25"/>
      <c r="AA294" s="25"/>
      <c r="AB294" s="25"/>
      <c r="AC294" s="25"/>
      <c r="AE294" s="25"/>
      <c r="AF294" s="49"/>
      <c r="AG294" s="25"/>
      <c r="AH294" s="25"/>
      <c r="AI294" s="25"/>
      <c r="AJ294" s="25"/>
      <c r="AK294" s="25"/>
    </row>
    <row r="295" spans="1:37" x14ac:dyDescent="0.25">
      <c r="A295" s="18" t="str">
        <f t="shared" si="4"/>
        <v/>
      </c>
      <c r="B295" s="25"/>
      <c r="C295" s="25"/>
      <c r="D295" s="25"/>
      <c r="E295" s="25"/>
      <c r="F295" s="25"/>
      <c r="G295" s="25"/>
      <c r="H295" s="37"/>
      <c r="I295" s="25"/>
      <c r="J295" s="38"/>
      <c r="K295" s="40"/>
      <c r="S295" s="25"/>
      <c r="T295" s="25" t="str">
        <f>IFERROR(IF(ISBLANK(S295),"",INDEX(Gen_Vessels!$A$3:$C$500,MATCH(InspectionSite!$S295,Gen_Vessels!$C$3:$C$500,0),1)),"")</f>
        <v/>
      </c>
      <c r="U295" s="25"/>
      <c r="V295" s="25"/>
      <c r="W295" s="25" t="str">
        <f>IFERROR(IF(ISBLANK(V295),"",INDEX(Gen_Vessels!$A$3:$C$500,MATCH(InspectionSite!$V295,Gen_Vessels!$C$3:$C$500,0),1)),"")</f>
        <v/>
      </c>
      <c r="X295" s="25"/>
      <c r="Y295" s="25"/>
      <c r="Z295" s="25"/>
      <c r="AA295" s="25"/>
      <c r="AB295" s="25"/>
      <c r="AC295" s="25"/>
      <c r="AE295" s="25"/>
      <c r="AF295" s="49"/>
      <c r="AG295" s="25"/>
      <c r="AH295" s="25"/>
      <c r="AI295" s="25"/>
      <c r="AJ295" s="25"/>
      <c r="AK295" s="25"/>
    </row>
    <row r="296" spans="1:37" x14ac:dyDescent="0.25">
      <c r="A296" s="18" t="str">
        <f t="shared" si="4"/>
        <v/>
      </c>
      <c r="B296" s="25"/>
      <c r="C296" s="25"/>
      <c r="D296" s="25"/>
      <c r="E296" s="25"/>
      <c r="F296" s="25"/>
      <c r="G296" s="25"/>
      <c r="H296" s="37"/>
      <c r="I296" s="25"/>
      <c r="J296" s="38"/>
      <c r="K296" s="40"/>
      <c r="S296" s="25"/>
      <c r="T296" s="25" t="str">
        <f>IFERROR(IF(ISBLANK(S296),"",INDEX(Gen_Vessels!$A$3:$C$500,MATCH(InspectionSite!$S296,Gen_Vessels!$C$3:$C$500,0),1)),"")</f>
        <v/>
      </c>
      <c r="U296" s="25"/>
      <c r="V296" s="25"/>
      <c r="W296" s="25" t="str">
        <f>IFERROR(IF(ISBLANK(V296),"",INDEX(Gen_Vessels!$A$3:$C$500,MATCH(InspectionSite!$V296,Gen_Vessels!$C$3:$C$500,0),1)),"")</f>
        <v/>
      </c>
      <c r="X296" s="25"/>
      <c r="Y296" s="25"/>
      <c r="Z296" s="25"/>
      <c r="AA296" s="25"/>
      <c r="AB296" s="25"/>
      <c r="AC296" s="25"/>
      <c r="AE296" s="25"/>
      <c r="AF296" s="49"/>
      <c r="AG296" s="25"/>
      <c r="AH296" s="25"/>
      <c r="AI296" s="25"/>
      <c r="AJ296" s="25"/>
      <c r="AK296" s="25"/>
    </row>
    <row r="297" spans="1:37" x14ac:dyDescent="0.25">
      <c r="A297" s="18" t="str">
        <f t="shared" si="4"/>
        <v/>
      </c>
      <c r="B297" s="25"/>
      <c r="C297" s="25"/>
      <c r="D297" s="25"/>
      <c r="E297" s="25"/>
      <c r="F297" s="25"/>
      <c r="G297" s="25"/>
      <c r="H297" s="37"/>
      <c r="I297" s="25"/>
      <c r="J297" s="38"/>
      <c r="K297" s="40"/>
      <c r="S297" s="25"/>
      <c r="T297" s="25" t="str">
        <f>IFERROR(IF(ISBLANK(S297),"",INDEX(Gen_Vessels!$A$3:$C$500,MATCH(InspectionSite!$S297,Gen_Vessels!$C$3:$C$500,0),1)),"")</f>
        <v/>
      </c>
      <c r="U297" s="25"/>
      <c r="V297" s="25"/>
      <c r="W297" s="25" t="str">
        <f>IFERROR(IF(ISBLANK(V297),"",INDEX(Gen_Vessels!$A$3:$C$500,MATCH(InspectionSite!$V297,Gen_Vessels!$C$3:$C$500,0),1)),"")</f>
        <v/>
      </c>
      <c r="X297" s="25"/>
      <c r="Y297" s="25"/>
      <c r="Z297" s="25"/>
      <c r="AA297" s="25"/>
      <c r="AB297" s="25"/>
      <c r="AC297" s="25"/>
      <c r="AE297" s="25"/>
      <c r="AF297" s="49"/>
      <c r="AG297" s="25"/>
      <c r="AH297" s="25"/>
      <c r="AI297" s="25"/>
      <c r="AJ297" s="25"/>
      <c r="AK297" s="25"/>
    </row>
    <row r="298" spans="1:37" x14ac:dyDescent="0.25">
      <c r="A298" s="18" t="str">
        <f t="shared" si="4"/>
        <v/>
      </c>
      <c r="B298" s="25"/>
      <c r="C298" s="25"/>
      <c r="D298" s="25"/>
      <c r="E298" s="25"/>
      <c r="F298" s="25"/>
      <c r="G298" s="25"/>
      <c r="H298" s="37"/>
      <c r="I298" s="25"/>
      <c r="J298" s="38"/>
      <c r="K298" s="40"/>
      <c r="S298" s="25"/>
      <c r="T298" s="25" t="str">
        <f>IFERROR(IF(ISBLANK(S298),"",INDEX(Gen_Vessels!$A$3:$C$500,MATCH(InspectionSite!$S298,Gen_Vessels!$C$3:$C$500,0),1)),"")</f>
        <v/>
      </c>
      <c r="U298" s="25"/>
      <c r="V298" s="25"/>
      <c r="W298" s="25" t="str">
        <f>IFERROR(IF(ISBLANK(V298),"",INDEX(Gen_Vessels!$A$3:$C$500,MATCH(InspectionSite!$V298,Gen_Vessels!$C$3:$C$500,0),1)),"")</f>
        <v/>
      </c>
      <c r="X298" s="25"/>
      <c r="Y298" s="25"/>
      <c r="Z298" s="25"/>
      <c r="AA298" s="25"/>
      <c r="AB298" s="25"/>
      <c r="AC298" s="25"/>
      <c r="AE298" s="25"/>
      <c r="AF298" s="49"/>
      <c r="AG298" s="25"/>
      <c r="AH298" s="25"/>
      <c r="AI298" s="25"/>
      <c r="AJ298" s="25"/>
      <c r="AK298" s="25"/>
    </row>
    <row r="299" spans="1:37" x14ac:dyDescent="0.25">
      <c r="A299" s="18" t="str">
        <f t="shared" si="4"/>
        <v/>
      </c>
      <c r="B299" s="25"/>
      <c r="C299" s="25"/>
      <c r="D299" s="25"/>
      <c r="E299" s="25"/>
      <c r="F299" s="25"/>
      <c r="G299" s="25"/>
      <c r="H299" s="37"/>
      <c r="I299" s="25"/>
      <c r="J299" s="38"/>
      <c r="K299" s="40"/>
      <c r="S299" s="25"/>
      <c r="T299" s="25" t="str">
        <f>IFERROR(IF(ISBLANK(S299),"",INDEX(Gen_Vessels!$A$3:$C$500,MATCH(InspectionSite!$S299,Gen_Vessels!$C$3:$C$500,0),1)),"")</f>
        <v/>
      </c>
      <c r="U299" s="25"/>
      <c r="V299" s="25"/>
      <c r="W299" s="25" t="str">
        <f>IFERROR(IF(ISBLANK(V299),"",INDEX(Gen_Vessels!$A$3:$C$500,MATCH(InspectionSite!$V299,Gen_Vessels!$C$3:$C$500,0),1)),"")</f>
        <v/>
      </c>
      <c r="X299" s="25"/>
      <c r="Y299" s="25"/>
      <c r="Z299" s="25"/>
      <c r="AA299" s="25"/>
      <c r="AB299" s="25"/>
      <c r="AC299" s="25"/>
      <c r="AE299" s="25"/>
      <c r="AF299" s="49"/>
      <c r="AG299" s="25"/>
      <c r="AH299" s="25"/>
      <c r="AI299" s="25"/>
      <c r="AJ299" s="25"/>
      <c r="AK299" s="25"/>
    </row>
    <row r="300" spans="1:37" x14ac:dyDescent="0.25">
      <c r="A300" s="18" t="str">
        <f t="shared" si="4"/>
        <v/>
      </c>
      <c r="B300" s="25"/>
      <c r="C300" s="25"/>
      <c r="D300" s="25"/>
      <c r="E300" s="25"/>
      <c r="F300" s="25"/>
      <c r="G300" s="25"/>
      <c r="H300" s="37"/>
      <c r="I300" s="25"/>
      <c r="J300" s="38"/>
      <c r="K300" s="40"/>
      <c r="S300" s="25"/>
      <c r="T300" s="25" t="str">
        <f>IFERROR(IF(ISBLANK(S300),"",INDEX(Gen_Vessels!$A$3:$C$500,MATCH(InspectionSite!$S300,Gen_Vessels!$C$3:$C$500,0),1)),"")</f>
        <v/>
      </c>
      <c r="U300" s="25"/>
      <c r="V300" s="25"/>
      <c r="W300" s="25" t="str">
        <f>IFERROR(IF(ISBLANK(V300),"",INDEX(Gen_Vessels!$A$3:$C$500,MATCH(InspectionSite!$V300,Gen_Vessels!$C$3:$C$500,0),1)),"")</f>
        <v/>
      </c>
      <c r="X300" s="25"/>
      <c r="Y300" s="25"/>
      <c r="Z300" s="25"/>
      <c r="AA300" s="25"/>
      <c r="AB300" s="25"/>
      <c r="AC300" s="25"/>
      <c r="AE300" s="25"/>
      <c r="AF300" s="49"/>
      <c r="AG300" s="25"/>
      <c r="AH300" s="25"/>
      <c r="AI300" s="25"/>
      <c r="AJ300" s="25"/>
      <c r="AK300" s="25"/>
    </row>
    <row r="301" spans="1:37" x14ac:dyDescent="0.25">
      <c r="A301" s="18" t="str">
        <f t="shared" si="4"/>
        <v/>
      </c>
      <c r="B301" s="25"/>
      <c r="C301" s="25"/>
      <c r="D301" s="25"/>
      <c r="E301" s="25"/>
      <c r="F301" s="25"/>
      <c r="G301" s="25"/>
      <c r="H301" s="37"/>
      <c r="I301" s="25"/>
      <c r="J301" s="38"/>
      <c r="K301" s="40"/>
      <c r="S301" s="25"/>
      <c r="T301" s="25" t="str">
        <f>IFERROR(IF(ISBLANK(S301),"",INDEX(Gen_Vessels!$A$3:$C$500,MATCH(InspectionSite!$S301,Gen_Vessels!$C$3:$C$500,0),1)),"")</f>
        <v/>
      </c>
      <c r="U301" s="25"/>
      <c r="V301" s="25"/>
      <c r="W301" s="25" t="str">
        <f>IFERROR(IF(ISBLANK(V301),"",INDEX(Gen_Vessels!$A$3:$C$500,MATCH(InspectionSite!$V301,Gen_Vessels!$C$3:$C$500,0),1)),"")</f>
        <v/>
      </c>
      <c r="X301" s="25"/>
      <c r="Y301" s="25"/>
      <c r="Z301" s="25"/>
      <c r="AA301" s="25"/>
      <c r="AB301" s="25"/>
      <c r="AC301" s="25"/>
      <c r="AE301" s="25"/>
      <c r="AF301" s="49"/>
      <c r="AG301" s="25"/>
      <c r="AH301" s="25"/>
      <c r="AI301" s="25"/>
      <c r="AJ301" s="25"/>
      <c r="AK301" s="25"/>
    </row>
    <row r="302" spans="1:37" x14ac:dyDescent="0.25">
      <c r="A302" s="18" t="str">
        <f t="shared" si="4"/>
        <v/>
      </c>
      <c r="B302" s="25"/>
      <c r="C302" s="25"/>
      <c r="D302" s="25"/>
      <c r="E302" s="25"/>
      <c r="F302" s="25"/>
      <c r="G302" s="25"/>
      <c r="H302" s="37"/>
      <c r="I302" s="25"/>
      <c r="J302" s="38"/>
      <c r="K302" s="40"/>
      <c r="S302" s="25"/>
      <c r="T302" s="25" t="str">
        <f>IFERROR(IF(ISBLANK(S302),"",INDEX(Gen_Vessels!$A$3:$C$500,MATCH(InspectionSite!$S302,Gen_Vessels!$C$3:$C$500,0),1)),"")</f>
        <v/>
      </c>
      <c r="U302" s="25"/>
      <c r="V302" s="25"/>
      <c r="W302" s="25" t="str">
        <f>IFERROR(IF(ISBLANK(V302),"",INDEX(Gen_Vessels!$A$3:$C$500,MATCH(InspectionSite!$V302,Gen_Vessels!$C$3:$C$500,0),1)),"")</f>
        <v/>
      </c>
      <c r="X302" s="25"/>
      <c r="Y302" s="25"/>
      <c r="Z302" s="25"/>
      <c r="AA302" s="25"/>
      <c r="AB302" s="25"/>
      <c r="AC302" s="25"/>
      <c r="AE302" s="25"/>
      <c r="AF302" s="49"/>
      <c r="AG302" s="25"/>
      <c r="AH302" s="25"/>
      <c r="AI302" s="25"/>
      <c r="AJ302" s="25"/>
      <c r="AK302" s="25"/>
    </row>
    <row r="303" spans="1:37" x14ac:dyDescent="0.25">
      <c r="A303" s="18" t="str">
        <f t="shared" si="4"/>
        <v/>
      </c>
      <c r="B303" s="25"/>
      <c r="C303" s="25"/>
      <c r="D303" s="25"/>
      <c r="E303" s="25"/>
      <c r="F303" s="25"/>
      <c r="G303" s="25"/>
      <c r="H303" s="37"/>
      <c r="I303" s="25"/>
      <c r="J303" s="38"/>
      <c r="K303" s="40"/>
      <c r="S303" s="25"/>
      <c r="T303" s="25" t="str">
        <f>IFERROR(IF(ISBLANK(S303),"",INDEX(Gen_Vessels!$A$3:$C$500,MATCH(InspectionSite!$S303,Gen_Vessels!$C$3:$C$500,0),1)),"")</f>
        <v/>
      </c>
      <c r="U303" s="25"/>
      <c r="V303" s="25"/>
      <c r="W303" s="25" t="str">
        <f>IFERROR(IF(ISBLANK(V303),"",INDEX(Gen_Vessels!$A$3:$C$500,MATCH(InspectionSite!$V303,Gen_Vessels!$C$3:$C$500,0),1)),"")</f>
        <v/>
      </c>
      <c r="X303" s="25"/>
      <c r="Y303" s="25"/>
      <c r="Z303" s="25"/>
      <c r="AA303" s="25"/>
      <c r="AB303" s="25"/>
      <c r="AC303" s="25"/>
      <c r="AE303" s="25"/>
      <c r="AF303" s="49"/>
      <c r="AG303" s="25"/>
      <c r="AH303" s="25"/>
      <c r="AI303" s="25"/>
      <c r="AJ303" s="25"/>
      <c r="AK303" s="25"/>
    </row>
    <row r="304" spans="1:37" x14ac:dyDescent="0.25">
      <c r="A304" s="18" t="str">
        <f t="shared" si="4"/>
        <v/>
      </c>
      <c r="B304" s="25"/>
      <c r="C304" s="25"/>
      <c r="D304" s="25"/>
      <c r="E304" s="25"/>
      <c r="F304" s="25"/>
      <c r="G304" s="25"/>
      <c r="H304" s="37"/>
      <c r="I304" s="25"/>
      <c r="J304" s="38"/>
      <c r="K304" s="40"/>
      <c r="S304" s="25"/>
      <c r="T304" s="25" t="str">
        <f>IFERROR(IF(ISBLANK(S304),"",INDEX(Gen_Vessels!$A$3:$C$500,MATCH(InspectionSite!$S304,Gen_Vessels!$C$3:$C$500,0),1)),"")</f>
        <v/>
      </c>
      <c r="U304" s="25"/>
      <c r="V304" s="25"/>
      <c r="W304" s="25" t="str">
        <f>IFERROR(IF(ISBLANK(V304),"",INDEX(Gen_Vessels!$A$3:$C$500,MATCH(InspectionSite!$V304,Gen_Vessels!$C$3:$C$500,0),1)),"")</f>
        <v/>
      </c>
      <c r="X304" s="25"/>
      <c r="Y304" s="25"/>
      <c r="Z304" s="25"/>
      <c r="AA304" s="25"/>
      <c r="AB304" s="25"/>
      <c r="AC304" s="25"/>
      <c r="AE304" s="25"/>
      <c r="AF304" s="49"/>
      <c r="AG304" s="25"/>
      <c r="AH304" s="25"/>
      <c r="AI304" s="25"/>
      <c r="AJ304" s="25"/>
      <c r="AK304" s="25"/>
    </row>
    <row r="305" spans="1:37" x14ac:dyDescent="0.25">
      <c r="A305" s="18" t="str">
        <f t="shared" si="4"/>
        <v/>
      </c>
      <c r="B305" s="25"/>
      <c r="C305" s="25"/>
      <c r="D305" s="25"/>
      <c r="E305" s="25"/>
      <c r="F305" s="25"/>
      <c r="G305" s="25"/>
      <c r="H305" s="37"/>
      <c r="I305" s="25"/>
      <c r="J305" s="38"/>
      <c r="K305" s="40"/>
      <c r="S305" s="25"/>
      <c r="T305" s="25" t="str">
        <f>IFERROR(IF(ISBLANK(S305),"",INDEX(Gen_Vessels!$A$3:$C$500,MATCH(InspectionSite!$S305,Gen_Vessels!$C$3:$C$500,0),1)),"")</f>
        <v/>
      </c>
      <c r="U305" s="25"/>
      <c r="V305" s="25"/>
      <c r="W305" s="25" t="str">
        <f>IFERROR(IF(ISBLANK(V305),"",INDEX(Gen_Vessels!$A$3:$C$500,MATCH(InspectionSite!$V305,Gen_Vessels!$C$3:$C$500,0),1)),"")</f>
        <v/>
      </c>
      <c r="X305" s="25"/>
      <c r="Y305" s="25"/>
      <c r="Z305" s="25"/>
      <c r="AA305" s="25"/>
      <c r="AB305" s="25"/>
      <c r="AC305" s="25"/>
      <c r="AE305" s="25"/>
      <c r="AF305" s="49"/>
      <c r="AG305" s="25"/>
      <c r="AH305" s="25"/>
      <c r="AI305" s="25"/>
      <c r="AJ305" s="25"/>
      <c r="AK305" s="25"/>
    </row>
    <row r="306" spans="1:37" x14ac:dyDescent="0.25">
      <c r="A306" s="18" t="str">
        <f t="shared" si="4"/>
        <v/>
      </c>
      <c r="B306" s="25"/>
      <c r="C306" s="25"/>
      <c r="D306" s="25"/>
      <c r="E306" s="25"/>
      <c r="F306" s="25"/>
      <c r="G306" s="25"/>
      <c r="H306" s="37"/>
      <c r="I306" s="25"/>
      <c r="J306" s="38"/>
      <c r="K306" s="40"/>
      <c r="S306" s="25"/>
      <c r="T306" s="25" t="str">
        <f>IFERROR(IF(ISBLANK(S306),"",INDEX(Gen_Vessels!$A$3:$C$500,MATCH(InspectionSite!$S306,Gen_Vessels!$C$3:$C$500,0),1)),"")</f>
        <v/>
      </c>
      <c r="U306" s="25"/>
      <c r="V306" s="25"/>
      <c r="W306" s="25" t="str">
        <f>IFERROR(IF(ISBLANK(V306),"",INDEX(Gen_Vessels!$A$3:$C$500,MATCH(InspectionSite!$V306,Gen_Vessels!$C$3:$C$500,0),1)),"")</f>
        <v/>
      </c>
      <c r="X306" s="25"/>
      <c r="Y306" s="25"/>
      <c r="Z306" s="25"/>
      <c r="AA306" s="25"/>
      <c r="AB306" s="25"/>
      <c r="AC306" s="25"/>
      <c r="AE306" s="25"/>
      <c r="AF306" s="49"/>
      <c r="AG306" s="25"/>
      <c r="AH306" s="25"/>
      <c r="AI306" s="25"/>
      <c r="AJ306" s="25"/>
      <c r="AK306" s="25"/>
    </row>
    <row r="307" spans="1:37" x14ac:dyDescent="0.25">
      <c r="A307" s="18" t="str">
        <f t="shared" si="4"/>
        <v/>
      </c>
      <c r="B307" s="25"/>
      <c r="C307" s="25"/>
      <c r="D307" s="25"/>
      <c r="E307" s="25"/>
      <c r="F307" s="25"/>
      <c r="G307" s="25"/>
      <c r="H307" s="37"/>
      <c r="I307" s="25"/>
      <c r="J307" s="38"/>
      <c r="K307" s="40"/>
      <c r="S307" s="25"/>
      <c r="T307" s="25" t="str">
        <f>IFERROR(IF(ISBLANK(S307),"",INDEX(Gen_Vessels!$A$3:$C$500,MATCH(InspectionSite!$S307,Gen_Vessels!$C$3:$C$500,0),1)),"")</f>
        <v/>
      </c>
      <c r="U307" s="25"/>
      <c r="V307" s="25"/>
      <c r="W307" s="25" t="str">
        <f>IFERROR(IF(ISBLANK(V307),"",INDEX(Gen_Vessels!$A$3:$C$500,MATCH(InspectionSite!$V307,Gen_Vessels!$C$3:$C$500,0),1)),"")</f>
        <v/>
      </c>
      <c r="X307" s="25"/>
      <c r="Y307" s="25"/>
      <c r="Z307" s="25"/>
      <c r="AA307" s="25"/>
      <c r="AB307" s="25"/>
      <c r="AC307" s="25"/>
      <c r="AE307" s="25"/>
      <c r="AF307" s="49"/>
      <c r="AG307" s="25"/>
      <c r="AH307" s="25"/>
      <c r="AI307" s="25"/>
      <c r="AJ307" s="25"/>
      <c r="AK307" s="25"/>
    </row>
    <row r="308" spans="1:37" x14ac:dyDescent="0.25">
      <c r="A308" s="18" t="str">
        <f t="shared" si="4"/>
        <v/>
      </c>
      <c r="B308" s="25"/>
      <c r="C308" s="25"/>
      <c r="D308" s="25"/>
      <c r="E308" s="25"/>
      <c r="F308" s="25"/>
      <c r="G308" s="25"/>
      <c r="H308" s="37"/>
      <c r="I308" s="25"/>
      <c r="J308" s="38"/>
      <c r="K308" s="40"/>
      <c r="S308" s="25"/>
      <c r="T308" s="25" t="str">
        <f>IFERROR(IF(ISBLANK(S308),"",INDEX(Gen_Vessels!$A$3:$C$500,MATCH(InspectionSite!$S308,Gen_Vessels!$C$3:$C$500,0),1)),"")</f>
        <v/>
      </c>
      <c r="U308" s="25"/>
      <c r="V308" s="25"/>
      <c r="W308" s="25" t="str">
        <f>IFERROR(IF(ISBLANK(V308),"",INDEX(Gen_Vessels!$A$3:$C$500,MATCH(InspectionSite!$V308,Gen_Vessels!$C$3:$C$500,0),1)),"")</f>
        <v/>
      </c>
      <c r="X308" s="25"/>
      <c r="Y308" s="25"/>
      <c r="Z308" s="25"/>
      <c r="AA308" s="25"/>
      <c r="AB308" s="25"/>
      <c r="AC308" s="25"/>
      <c r="AE308" s="25"/>
      <c r="AF308" s="49"/>
      <c r="AG308" s="25"/>
      <c r="AH308" s="25"/>
      <c r="AI308" s="25"/>
      <c r="AJ308" s="25"/>
      <c r="AK308" s="25"/>
    </row>
    <row r="309" spans="1:37" x14ac:dyDescent="0.25">
      <c r="A309" s="18" t="str">
        <f t="shared" si="4"/>
        <v/>
      </c>
      <c r="B309" s="25"/>
      <c r="C309" s="25"/>
      <c r="D309" s="25"/>
      <c r="E309" s="25"/>
      <c r="F309" s="25"/>
      <c r="G309" s="25"/>
      <c r="H309" s="37"/>
      <c r="I309" s="25"/>
      <c r="J309" s="38"/>
      <c r="K309" s="40"/>
      <c r="S309" s="25"/>
      <c r="T309" s="25" t="str">
        <f>IFERROR(IF(ISBLANK(S309),"",INDEX(Gen_Vessels!$A$3:$C$500,MATCH(InspectionSite!$S309,Gen_Vessels!$C$3:$C$500,0),1)),"")</f>
        <v/>
      </c>
      <c r="U309" s="25"/>
      <c r="V309" s="25"/>
      <c r="W309" s="25" t="str">
        <f>IFERROR(IF(ISBLANK(V309),"",INDEX(Gen_Vessels!$A$3:$C$500,MATCH(InspectionSite!$V309,Gen_Vessels!$C$3:$C$500,0),1)),"")</f>
        <v/>
      </c>
      <c r="X309" s="25"/>
      <c r="Y309" s="25"/>
      <c r="Z309" s="25"/>
      <c r="AA309" s="25"/>
      <c r="AB309" s="25"/>
      <c r="AC309" s="25"/>
      <c r="AE309" s="25"/>
      <c r="AF309" s="49"/>
      <c r="AG309" s="25"/>
      <c r="AH309" s="25"/>
      <c r="AI309" s="25"/>
      <c r="AJ309" s="25"/>
      <c r="AK309" s="25"/>
    </row>
    <row r="310" spans="1:37" x14ac:dyDescent="0.25">
      <c r="A310" s="18" t="str">
        <f t="shared" si="4"/>
        <v/>
      </c>
      <c r="B310" s="25"/>
      <c r="C310" s="25"/>
      <c r="D310" s="25"/>
      <c r="E310" s="25"/>
      <c r="F310" s="25"/>
      <c r="G310" s="25"/>
      <c r="H310" s="37"/>
      <c r="I310" s="25"/>
      <c r="J310" s="38"/>
      <c r="K310" s="40"/>
      <c r="S310" s="25"/>
      <c r="T310" s="25" t="str">
        <f>IFERROR(IF(ISBLANK(S310),"",INDEX(Gen_Vessels!$A$3:$C$500,MATCH(InspectionSite!$S310,Gen_Vessels!$C$3:$C$500,0),1)),"")</f>
        <v/>
      </c>
      <c r="U310" s="25"/>
      <c r="V310" s="25"/>
      <c r="W310" s="25" t="str">
        <f>IFERROR(IF(ISBLANK(V310),"",INDEX(Gen_Vessels!$A$3:$C$500,MATCH(InspectionSite!$V310,Gen_Vessels!$C$3:$C$500,0),1)),"")</f>
        <v/>
      </c>
      <c r="X310" s="25"/>
      <c r="Y310" s="25"/>
      <c r="Z310" s="25"/>
      <c r="AA310" s="25"/>
      <c r="AB310" s="25"/>
      <c r="AC310" s="25"/>
      <c r="AE310" s="25"/>
      <c r="AF310" s="49"/>
      <c r="AG310" s="25"/>
      <c r="AH310" s="25"/>
      <c r="AI310" s="25"/>
      <c r="AJ310" s="25"/>
      <c r="AK310" s="25"/>
    </row>
    <row r="311" spans="1:37" x14ac:dyDescent="0.25">
      <c r="A311" s="18" t="str">
        <f t="shared" si="4"/>
        <v/>
      </c>
      <c r="B311" s="25"/>
      <c r="C311" s="25"/>
      <c r="D311" s="25"/>
      <c r="E311" s="25"/>
      <c r="F311" s="25"/>
      <c r="G311" s="25"/>
      <c r="H311" s="37"/>
      <c r="I311" s="25"/>
      <c r="J311" s="38"/>
      <c r="K311" s="40"/>
      <c r="S311" s="25"/>
      <c r="T311" s="25" t="str">
        <f>IFERROR(IF(ISBLANK(S311),"",INDEX(Gen_Vessels!$A$3:$C$500,MATCH(InspectionSite!$S311,Gen_Vessels!$C$3:$C$500,0),1)),"")</f>
        <v/>
      </c>
      <c r="U311" s="25"/>
      <c r="V311" s="25"/>
      <c r="W311" s="25" t="str">
        <f>IFERROR(IF(ISBLANK(V311),"",INDEX(Gen_Vessels!$A$3:$C$500,MATCH(InspectionSite!$V311,Gen_Vessels!$C$3:$C$500,0),1)),"")</f>
        <v/>
      </c>
      <c r="X311" s="25"/>
      <c r="Y311" s="25"/>
      <c r="Z311" s="25"/>
      <c r="AA311" s="25"/>
      <c r="AB311" s="25"/>
      <c r="AC311" s="25"/>
      <c r="AE311" s="25"/>
      <c r="AF311" s="49"/>
      <c r="AG311" s="25"/>
      <c r="AH311" s="25"/>
      <c r="AI311" s="25"/>
      <c r="AJ311" s="25"/>
      <c r="AK311" s="25"/>
    </row>
    <row r="312" spans="1:37" x14ac:dyDescent="0.25">
      <c r="A312" s="18" t="str">
        <f t="shared" si="4"/>
        <v/>
      </c>
      <c r="B312" s="25"/>
      <c r="C312" s="25"/>
      <c r="D312" s="25"/>
      <c r="E312" s="25"/>
      <c r="F312" s="25"/>
      <c r="G312" s="25"/>
      <c r="H312" s="37"/>
      <c r="I312" s="25"/>
      <c r="J312" s="38"/>
      <c r="K312" s="40"/>
      <c r="S312" s="25"/>
      <c r="T312" s="25" t="str">
        <f>IFERROR(IF(ISBLANK(S312),"",INDEX(Gen_Vessels!$A$3:$C$500,MATCH(InspectionSite!$S312,Gen_Vessels!$C$3:$C$500,0),1)),"")</f>
        <v/>
      </c>
      <c r="U312" s="25"/>
      <c r="V312" s="25"/>
      <c r="W312" s="25" t="str">
        <f>IFERROR(IF(ISBLANK(V312),"",INDEX(Gen_Vessels!$A$3:$C$500,MATCH(InspectionSite!$V312,Gen_Vessels!$C$3:$C$500,0),1)),"")</f>
        <v/>
      </c>
      <c r="X312" s="25"/>
      <c r="Y312" s="25"/>
      <c r="Z312" s="25"/>
      <c r="AA312" s="25"/>
      <c r="AB312" s="25"/>
      <c r="AC312" s="25"/>
      <c r="AE312" s="25"/>
      <c r="AF312" s="49"/>
      <c r="AG312" s="25"/>
      <c r="AH312" s="25"/>
      <c r="AI312" s="25"/>
      <c r="AJ312" s="25"/>
      <c r="AK312" s="25"/>
    </row>
    <row r="313" spans="1:37" x14ac:dyDescent="0.25">
      <c r="A313" s="18" t="str">
        <f t="shared" si="4"/>
        <v/>
      </c>
      <c r="B313" s="25"/>
      <c r="C313" s="25"/>
      <c r="D313" s="25"/>
      <c r="E313" s="25"/>
      <c r="F313" s="25"/>
      <c r="G313" s="25"/>
      <c r="H313" s="37"/>
      <c r="I313" s="25"/>
      <c r="J313" s="38"/>
      <c r="K313" s="40"/>
      <c r="S313" s="25"/>
      <c r="T313" s="25" t="str">
        <f>IFERROR(IF(ISBLANK(S313),"",INDEX(Gen_Vessels!$A$3:$C$500,MATCH(InspectionSite!$S313,Gen_Vessels!$C$3:$C$500,0),1)),"")</f>
        <v/>
      </c>
      <c r="U313" s="25"/>
      <c r="V313" s="25"/>
      <c r="W313" s="25" t="str">
        <f>IFERROR(IF(ISBLANK(V313),"",INDEX(Gen_Vessels!$A$3:$C$500,MATCH(InspectionSite!$V313,Gen_Vessels!$C$3:$C$500,0),1)),"")</f>
        <v/>
      </c>
      <c r="X313" s="25"/>
      <c r="Y313" s="25"/>
      <c r="Z313" s="25"/>
      <c r="AA313" s="25"/>
      <c r="AB313" s="25"/>
      <c r="AC313" s="25"/>
      <c r="AE313" s="25"/>
      <c r="AF313" s="49"/>
      <c r="AG313" s="25"/>
      <c r="AH313" s="25"/>
      <c r="AI313" s="25"/>
      <c r="AJ313" s="25"/>
      <c r="AK313" s="25"/>
    </row>
    <row r="314" spans="1:37" x14ac:dyDescent="0.25">
      <c r="A314" s="18" t="str">
        <f t="shared" si="4"/>
        <v/>
      </c>
      <c r="B314" s="25"/>
      <c r="C314" s="25"/>
      <c r="D314" s="25"/>
      <c r="E314" s="25"/>
      <c r="F314" s="25"/>
      <c r="G314" s="25"/>
      <c r="H314" s="37"/>
      <c r="I314" s="25"/>
      <c r="J314" s="38"/>
      <c r="K314" s="40"/>
      <c r="S314" s="25"/>
      <c r="T314" s="25" t="str">
        <f>IFERROR(IF(ISBLANK(S314),"",INDEX(Gen_Vessels!$A$3:$C$500,MATCH(InspectionSite!$S314,Gen_Vessels!$C$3:$C$500,0),1)),"")</f>
        <v/>
      </c>
      <c r="U314" s="25"/>
      <c r="V314" s="25"/>
      <c r="W314" s="25" t="str">
        <f>IFERROR(IF(ISBLANK(V314),"",INDEX(Gen_Vessels!$A$3:$C$500,MATCH(InspectionSite!$V314,Gen_Vessels!$C$3:$C$500,0),1)),"")</f>
        <v/>
      </c>
      <c r="X314" s="25"/>
      <c r="Y314" s="25"/>
      <c r="Z314" s="25"/>
      <c r="AA314" s="25"/>
      <c r="AB314" s="25"/>
      <c r="AC314" s="25"/>
      <c r="AE314" s="25"/>
      <c r="AF314" s="49"/>
      <c r="AG314" s="25"/>
      <c r="AH314" s="25"/>
      <c r="AI314" s="25"/>
      <c r="AJ314" s="25"/>
      <c r="AK314" s="25"/>
    </row>
    <row r="315" spans="1:37" x14ac:dyDescent="0.25">
      <c r="A315" s="18" t="str">
        <f t="shared" si="4"/>
        <v/>
      </c>
      <c r="B315" s="25"/>
      <c r="C315" s="25"/>
      <c r="D315" s="25"/>
      <c r="E315" s="25"/>
      <c r="F315" s="25"/>
      <c r="G315" s="25"/>
      <c r="H315" s="37"/>
      <c r="I315" s="25"/>
      <c r="J315" s="38"/>
      <c r="K315" s="40"/>
      <c r="S315" s="25"/>
      <c r="T315" s="25" t="str">
        <f>IFERROR(IF(ISBLANK(S315),"",INDEX(Gen_Vessels!$A$3:$C$500,MATCH(InspectionSite!$S315,Gen_Vessels!$C$3:$C$500,0),1)),"")</f>
        <v/>
      </c>
      <c r="U315" s="25"/>
      <c r="V315" s="25"/>
      <c r="W315" s="25" t="str">
        <f>IFERROR(IF(ISBLANK(V315),"",INDEX(Gen_Vessels!$A$3:$C$500,MATCH(InspectionSite!$V315,Gen_Vessels!$C$3:$C$500,0),1)),"")</f>
        <v/>
      </c>
      <c r="X315" s="25"/>
      <c r="Y315" s="25"/>
      <c r="Z315" s="25"/>
      <c r="AA315" s="25"/>
      <c r="AB315" s="25"/>
      <c r="AC315" s="25"/>
      <c r="AE315" s="25"/>
      <c r="AF315" s="49"/>
      <c r="AG315" s="25"/>
      <c r="AH315" s="25"/>
      <c r="AI315" s="25"/>
      <c r="AJ315" s="25"/>
      <c r="AK315" s="25"/>
    </row>
    <row r="316" spans="1:37" x14ac:dyDescent="0.25">
      <c r="A316" s="18" t="str">
        <f t="shared" si="4"/>
        <v/>
      </c>
      <c r="B316" s="25"/>
      <c r="C316" s="25"/>
      <c r="D316" s="25"/>
      <c r="E316" s="25"/>
      <c r="F316" s="25"/>
      <c r="G316" s="25"/>
      <c r="H316" s="37"/>
      <c r="I316" s="25"/>
      <c r="J316" s="38"/>
      <c r="K316" s="40"/>
      <c r="S316" s="25"/>
      <c r="T316" s="25" t="str">
        <f>IFERROR(IF(ISBLANK(S316),"",INDEX(Gen_Vessels!$A$3:$C$500,MATCH(InspectionSite!$S316,Gen_Vessels!$C$3:$C$500,0),1)),"")</f>
        <v/>
      </c>
      <c r="U316" s="25"/>
      <c r="V316" s="25"/>
      <c r="W316" s="25" t="str">
        <f>IFERROR(IF(ISBLANK(V316),"",INDEX(Gen_Vessels!$A$3:$C$500,MATCH(InspectionSite!$V316,Gen_Vessels!$C$3:$C$500,0),1)),"")</f>
        <v/>
      </c>
      <c r="X316" s="25"/>
      <c r="Y316" s="25"/>
      <c r="Z316" s="25"/>
      <c r="AA316" s="25"/>
      <c r="AB316" s="25"/>
      <c r="AC316" s="25"/>
      <c r="AE316" s="25"/>
      <c r="AF316" s="49"/>
      <c r="AG316" s="25"/>
      <c r="AH316" s="25"/>
      <c r="AI316" s="25"/>
      <c r="AJ316" s="25"/>
      <c r="AK316" s="25"/>
    </row>
    <row r="317" spans="1:37" x14ac:dyDescent="0.25">
      <c r="A317" s="18" t="str">
        <f t="shared" si="4"/>
        <v/>
      </c>
      <c r="B317" s="25"/>
      <c r="C317" s="25"/>
      <c r="D317" s="25"/>
      <c r="E317" s="25"/>
      <c r="F317" s="25"/>
      <c r="G317" s="25"/>
      <c r="H317" s="37"/>
      <c r="I317" s="25"/>
      <c r="J317" s="38"/>
      <c r="K317" s="40"/>
      <c r="S317" s="25"/>
      <c r="T317" s="25" t="str">
        <f>IFERROR(IF(ISBLANK(S317),"",INDEX(Gen_Vessels!$A$3:$C$500,MATCH(InspectionSite!$S317,Gen_Vessels!$C$3:$C$500,0),1)),"")</f>
        <v/>
      </c>
      <c r="U317" s="25"/>
      <c r="V317" s="25"/>
      <c r="W317" s="25" t="str">
        <f>IFERROR(IF(ISBLANK(V317),"",INDEX(Gen_Vessels!$A$3:$C$500,MATCH(InspectionSite!$V317,Gen_Vessels!$C$3:$C$500,0),1)),"")</f>
        <v/>
      </c>
      <c r="X317" s="25"/>
      <c r="Y317" s="25"/>
      <c r="Z317" s="25"/>
      <c r="AA317" s="25"/>
      <c r="AB317" s="25"/>
      <c r="AC317" s="25"/>
      <c r="AE317" s="25"/>
      <c r="AF317" s="49"/>
      <c r="AG317" s="25"/>
      <c r="AH317" s="25"/>
      <c r="AI317" s="25"/>
      <c r="AJ317" s="25"/>
      <c r="AK317" s="25"/>
    </row>
    <row r="318" spans="1:37" x14ac:dyDescent="0.25">
      <c r="A318" s="18" t="str">
        <f t="shared" si="4"/>
        <v/>
      </c>
      <c r="B318" s="25"/>
      <c r="C318" s="25"/>
      <c r="D318" s="25"/>
      <c r="E318" s="25"/>
      <c r="F318" s="25"/>
      <c r="G318" s="25"/>
      <c r="H318" s="37"/>
      <c r="I318" s="25"/>
      <c r="J318" s="38"/>
      <c r="K318" s="40"/>
      <c r="S318" s="25"/>
      <c r="T318" s="25" t="str">
        <f>IFERROR(IF(ISBLANK(S318),"",INDEX(Gen_Vessels!$A$3:$C$500,MATCH(InspectionSite!$S318,Gen_Vessels!$C$3:$C$500,0),1)),"")</f>
        <v/>
      </c>
      <c r="U318" s="25"/>
      <c r="V318" s="25"/>
      <c r="W318" s="25" t="str">
        <f>IFERROR(IF(ISBLANK(V318),"",INDEX(Gen_Vessels!$A$3:$C$500,MATCH(InspectionSite!$V318,Gen_Vessels!$C$3:$C$500,0),1)),"")</f>
        <v/>
      </c>
      <c r="X318" s="25"/>
      <c r="Y318" s="25"/>
      <c r="Z318" s="25"/>
      <c r="AA318" s="25"/>
      <c r="AB318" s="25"/>
      <c r="AC318" s="25"/>
      <c r="AE318" s="25"/>
      <c r="AF318" s="49"/>
      <c r="AG318" s="25"/>
      <c r="AH318" s="25"/>
      <c r="AI318" s="25"/>
      <c r="AJ318" s="25"/>
      <c r="AK318" s="25"/>
    </row>
    <row r="319" spans="1:37" x14ac:dyDescent="0.25">
      <c r="A319" s="18" t="str">
        <f t="shared" si="4"/>
        <v/>
      </c>
      <c r="B319" s="25"/>
      <c r="C319" s="25"/>
      <c r="D319" s="25"/>
      <c r="E319" s="25"/>
      <c r="F319" s="25"/>
      <c r="G319" s="25"/>
      <c r="H319" s="37"/>
      <c r="I319" s="25"/>
      <c r="J319" s="38"/>
      <c r="K319" s="40"/>
      <c r="S319" s="25"/>
      <c r="T319" s="25" t="str">
        <f>IFERROR(IF(ISBLANK(S319),"",INDEX(Gen_Vessels!$A$3:$C$500,MATCH(InspectionSite!$S319,Gen_Vessels!$C$3:$C$500,0),1)),"")</f>
        <v/>
      </c>
      <c r="U319" s="25"/>
      <c r="V319" s="25"/>
      <c r="W319" s="25" t="str">
        <f>IFERROR(IF(ISBLANK(V319),"",INDEX(Gen_Vessels!$A$3:$C$500,MATCH(InspectionSite!$V319,Gen_Vessels!$C$3:$C$500,0),1)),"")</f>
        <v/>
      </c>
      <c r="X319" s="25"/>
      <c r="Y319" s="25"/>
      <c r="Z319" s="25"/>
      <c r="AA319" s="25"/>
      <c r="AB319" s="25"/>
      <c r="AC319" s="25"/>
      <c r="AE319" s="25"/>
      <c r="AF319" s="49"/>
      <c r="AG319" s="25"/>
      <c r="AH319" s="25"/>
      <c r="AI319" s="25"/>
      <c r="AJ319" s="25"/>
      <c r="AK319" s="25"/>
    </row>
    <row r="320" spans="1:37" x14ac:dyDescent="0.25">
      <c r="A320" s="18" t="str">
        <f t="shared" si="4"/>
        <v/>
      </c>
      <c r="B320" s="25"/>
      <c r="C320" s="25"/>
      <c r="D320" s="25"/>
      <c r="E320" s="25"/>
      <c r="F320" s="25"/>
      <c r="G320" s="25"/>
      <c r="H320" s="37"/>
      <c r="I320" s="25"/>
      <c r="J320" s="38"/>
      <c r="K320" s="40"/>
      <c r="S320" s="25"/>
      <c r="T320" s="25" t="str">
        <f>IFERROR(IF(ISBLANK(S320),"",INDEX(Gen_Vessels!$A$3:$C$500,MATCH(InspectionSite!$S320,Gen_Vessels!$C$3:$C$500,0),1)),"")</f>
        <v/>
      </c>
      <c r="U320" s="25"/>
      <c r="V320" s="25"/>
      <c r="W320" s="25" t="str">
        <f>IFERROR(IF(ISBLANK(V320),"",INDEX(Gen_Vessels!$A$3:$C$500,MATCH(InspectionSite!$V320,Gen_Vessels!$C$3:$C$500,0),1)),"")</f>
        <v/>
      </c>
      <c r="X320" s="25"/>
      <c r="Y320" s="25"/>
      <c r="Z320" s="25"/>
      <c r="AA320" s="25"/>
      <c r="AB320" s="25"/>
      <c r="AC320" s="25"/>
      <c r="AE320" s="25"/>
      <c r="AF320" s="49"/>
      <c r="AG320" s="25"/>
      <c r="AH320" s="25"/>
      <c r="AI320" s="25"/>
      <c r="AJ320" s="25"/>
      <c r="AK320" s="25"/>
    </row>
    <row r="321" spans="1:37" x14ac:dyDescent="0.25">
      <c r="A321" s="18" t="str">
        <f t="shared" si="4"/>
        <v/>
      </c>
      <c r="B321" s="25"/>
      <c r="C321" s="25"/>
      <c r="D321" s="25"/>
      <c r="E321" s="25"/>
      <c r="F321" s="25"/>
      <c r="G321" s="25"/>
      <c r="H321" s="37"/>
      <c r="I321" s="25"/>
      <c r="J321" s="38"/>
      <c r="K321" s="40"/>
      <c r="S321" s="25"/>
      <c r="T321" s="25" t="str">
        <f>IFERROR(IF(ISBLANK(S321),"",INDEX(Gen_Vessels!$A$3:$C$500,MATCH(InspectionSite!$S321,Gen_Vessels!$C$3:$C$500,0),1)),"")</f>
        <v/>
      </c>
      <c r="U321" s="25"/>
      <c r="V321" s="25"/>
      <c r="W321" s="25" t="str">
        <f>IFERROR(IF(ISBLANK(V321),"",INDEX(Gen_Vessels!$A$3:$C$500,MATCH(InspectionSite!$V321,Gen_Vessels!$C$3:$C$500,0),1)),"")</f>
        <v/>
      </c>
      <c r="X321" s="25"/>
      <c r="Y321" s="25"/>
      <c r="Z321" s="25"/>
      <c r="AA321" s="25"/>
      <c r="AB321" s="25"/>
      <c r="AC321" s="25"/>
      <c r="AE321" s="25"/>
      <c r="AF321" s="49"/>
      <c r="AG321" s="25"/>
      <c r="AH321" s="25"/>
      <c r="AI321" s="25"/>
      <c r="AJ321" s="25"/>
      <c r="AK321" s="25"/>
    </row>
    <row r="322" spans="1:37" x14ac:dyDescent="0.25">
      <c r="A322" s="18" t="str">
        <f t="shared" si="4"/>
        <v/>
      </c>
      <c r="B322" s="25"/>
      <c r="C322" s="25"/>
      <c r="D322" s="25"/>
      <c r="E322" s="25"/>
      <c r="F322" s="25"/>
      <c r="G322" s="25"/>
      <c r="H322" s="37"/>
      <c r="I322" s="25"/>
      <c r="J322" s="38"/>
      <c r="K322" s="40"/>
      <c r="S322" s="25"/>
      <c r="T322" s="25" t="str">
        <f>IFERROR(IF(ISBLANK(S322),"",INDEX(Gen_Vessels!$A$3:$C$500,MATCH(InspectionSite!$S322,Gen_Vessels!$C$3:$C$500,0),1)),"")</f>
        <v/>
      </c>
      <c r="U322" s="25"/>
      <c r="V322" s="25"/>
      <c r="W322" s="25" t="str">
        <f>IFERROR(IF(ISBLANK(V322),"",INDEX(Gen_Vessels!$A$3:$C$500,MATCH(InspectionSite!$V322,Gen_Vessels!$C$3:$C$500,0),1)),"")</f>
        <v/>
      </c>
      <c r="X322" s="25"/>
      <c r="Y322" s="25"/>
      <c r="Z322" s="25"/>
      <c r="AA322" s="25"/>
      <c r="AB322" s="25"/>
      <c r="AC322" s="25"/>
      <c r="AE322" s="25"/>
      <c r="AF322" s="49"/>
      <c r="AG322" s="25"/>
      <c r="AH322" s="25"/>
      <c r="AI322" s="25"/>
      <c r="AJ322" s="25"/>
      <c r="AK322" s="25"/>
    </row>
    <row r="323" spans="1:37" x14ac:dyDescent="0.25">
      <c r="A323" s="18" t="str">
        <f t="shared" si="4"/>
        <v/>
      </c>
      <c r="B323" s="25"/>
      <c r="C323" s="25"/>
      <c r="D323" s="25"/>
      <c r="E323" s="25"/>
      <c r="F323" s="25"/>
      <c r="G323" s="25"/>
      <c r="H323" s="37"/>
      <c r="I323" s="25"/>
      <c r="J323" s="38"/>
      <c r="K323" s="40"/>
      <c r="S323" s="25"/>
      <c r="T323" s="25" t="str">
        <f>IFERROR(IF(ISBLANK(S323),"",INDEX(Gen_Vessels!$A$3:$C$500,MATCH(InspectionSite!$S323,Gen_Vessels!$C$3:$C$500,0),1)),"")</f>
        <v/>
      </c>
      <c r="U323" s="25"/>
      <c r="V323" s="25"/>
      <c r="W323" s="25" t="str">
        <f>IFERROR(IF(ISBLANK(V323),"",INDEX(Gen_Vessels!$A$3:$C$500,MATCH(InspectionSite!$V323,Gen_Vessels!$C$3:$C$500,0),1)),"")</f>
        <v/>
      </c>
      <c r="X323" s="25"/>
      <c r="Y323" s="25"/>
      <c r="Z323" s="25"/>
      <c r="AA323" s="25"/>
      <c r="AB323" s="25"/>
      <c r="AC323" s="25"/>
      <c r="AE323" s="25"/>
      <c r="AF323" s="49"/>
      <c r="AG323" s="25"/>
      <c r="AH323" s="25"/>
      <c r="AI323" s="25"/>
      <c r="AJ323" s="25"/>
      <c r="AK323" s="25"/>
    </row>
    <row r="324" spans="1:37" x14ac:dyDescent="0.25">
      <c r="A324" s="18" t="str">
        <f t="shared" si="4"/>
        <v/>
      </c>
      <c r="B324" s="25"/>
      <c r="C324" s="25"/>
      <c r="D324" s="25"/>
      <c r="E324" s="25"/>
      <c r="F324" s="25"/>
      <c r="G324" s="25"/>
      <c r="H324" s="37"/>
      <c r="I324" s="25"/>
      <c r="J324" s="38"/>
      <c r="K324" s="40"/>
      <c r="S324" s="25"/>
      <c r="T324" s="25" t="str">
        <f>IFERROR(IF(ISBLANK(S324),"",INDEX(Gen_Vessels!$A$3:$C$500,MATCH(InspectionSite!$S324,Gen_Vessels!$C$3:$C$500,0),1)),"")</f>
        <v/>
      </c>
      <c r="U324" s="25"/>
      <c r="V324" s="25"/>
      <c r="W324" s="25" t="str">
        <f>IFERROR(IF(ISBLANK(V324),"",INDEX(Gen_Vessels!$A$3:$C$500,MATCH(InspectionSite!$V324,Gen_Vessels!$C$3:$C$500,0),1)),"")</f>
        <v/>
      </c>
      <c r="X324" s="25"/>
      <c r="Y324" s="25"/>
      <c r="Z324" s="25"/>
      <c r="AA324" s="25"/>
      <c r="AB324" s="25"/>
      <c r="AC324" s="25"/>
      <c r="AE324" s="25"/>
      <c r="AF324" s="49"/>
      <c r="AG324" s="25"/>
      <c r="AH324" s="25"/>
      <c r="AI324" s="25"/>
      <c r="AJ324" s="25"/>
      <c r="AK324" s="25"/>
    </row>
    <row r="325" spans="1:37" x14ac:dyDescent="0.25">
      <c r="A325" s="18" t="str">
        <f t="shared" ref="A325:A388" si="5">IF(ISBLANK($B325)=FALSE,IF(AND($H325&gt;0,$I325&lt;=0,$J325&lt;=0),_xlfn.CONCAT("ofw_",$B325),IF(AND($H325&lt;=0,$I325&gt;0,$J325&lt;=0),_xlfn.CONCAT("owc_",$B325),IF(AND($H325&lt;=0,$I325&lt;=0,$J325&gt;0),_xlfn.CONCAT("opv_",$B325),_xlfn.CONCAT("oce_",$B325)))),"")</f>
        <v/>
      </c>
      <c r="B325" s="25"/>
      <c r="C325" s="25"/>
      <c r="D325" s="25"/>
      <c r="E325" s="25"/>
      <c r="F325" s="25"/>
      <c r="G325" s="25"/>
      <c r="H325" s="37"/>
      <c r="I325" s="25"/>
      <c r="J325" s="38"/>
      <c r="K325" s="40"/>
      <c r="S325" s="25"/>
      <c r="T325" s="25" t="str">
        <f>IFERROR(IF(ISBLANK(S325),"",INDEX(Gen_Vessels!$A$3:$C$500,MATCH(InspectionSite!$S325,Gen_Vessels!$C$3:$C$500,0),1)),"")</f>
        <v/>
      </c>
      <c r="U325" s="25"/>
      <c r="V325" s="25"/>
      <c r="W325" s="25" t="str">
        <f>IFERROR(IF(ISBLANK(V325),"",INDEX(Gen_Vessels!$A$3:$C$500,MATCH(InspectionSite!$V325,Gen_Vessels!$C$3:$C$500,0),1)),"")</f>
        <v/>
      </c>
      <c r="X325" s="25"/>
      <c r="Y325" s="25"/>
      <c r="Z325" s="25"/>
      <c r="AA325" s="25"/>
      <c r="AB325" s="25"/>
      <c r="AC325" s="25"/>
      <c r="AE325" s="25"/>
      <c r="AF325" s="49"/>
      <c r="AG325" s="25"/>
      <c r="AH325" s="25"/>
      <c r="AI325" s="25"/>
      <c r="AJ325" s="25"/>
      <c r="AK325" s="25"/>
    </row>
    <row r="326" spans="1:37" x14ac:dyDescent="0.25">
      <c r="A326" s="18" t="str">
        <f t="shared" si="5"/>
        <v/>
      </c>
      <c r="B326" s="25"/>
      <c r="C326" s="25"/>
      <c r="D326" s="25"/>
      <c r="E326" s="25"/>
      <c r="F326" s="25"/>
      <c r="G326" s="25"/>
      <c r="H326" s="37"/>
      <c r="I326" s="25"/>
      <c r="J326" s="38"/>
      <c r="K326" s="40"/>
      <c r="S326" s="25"/>
      <c r="T326" s="25" t="str">
        <f>IFERROR(IF(ISBLANK(S326),"",INDEX(Gen_Vessels!$A$3:$C$500,MATCH(InspectionSite!$S326,Gen_Vessels!$C$3:$C$500,0),1)),"")</f>
        <v/>
      </c>
      <c r="U326" s="25"/>
      <c r="V326" s="25"/>
      <c r="W326" s="25" t="str">
        <f>IFERROR(IF(ISBLANK(V326),"",INDEX(Gen_Vessels!$A$3:$C$500,MATCH(InspectionSite!$V326,Gen_Vessels!$C$3:$C$500,0),1)),"")</f>
        <v/>
      </c>
      <c r="X326" s="25"/>
      <c r="Y326" s="25"/>
      <c r="Z326" s="25"/>
      <c r="AA326" s="25"/>
      <c r="AB326" s="25"/>
      <c r="AC326" s="25"/>
      <c r="AE326" s="25"/>
      <c r="AF326" s="49"/>
      <c r="AG326" s="25"/>
      <c r="AH326" s="25"/>
      <c r="AI326" s="25"/>
      <c r="AJ326" s="25"/>
      <c r="AK326" s="25"/>
    </row>
    <row r="327" spans="1:37" x14ac:dyDescent="0.25">
      <c r="A327" s="18" t="str">
        <f t="shared" si="5"/>
        <v/>
      </c>
      <c r="B327" s="25"/>
      <c r="C327" s="25"/>
      <c r="D327" s="25"/>
      <c r="E327" s="25"/>
      <c r="F327" s="25"/>
      <c r="G327" s="25"/>
      <c r="H327" s="37"/>
      <c r="I327" s="25"/>
      <c r="J327" s="38"/>
      <c r="K327" s="40"/>
      <c r="S327" s="25"/>
      <c r="T327" s="25" t="str">
        <f>IFERROR(IF(ISBLANK(S327),"",INDEX(Gen_Vessels!$A$3:$C$500,MATCH(InspectionSite!$S327,Gen_Vessels!$C$3:$C$500,0),1)),"")</f>
        <v/>
      </c>
      <c r="U327" s="25"/>
      <c r="V327" s="25"/>
      <c r="W327" s="25" t="str">
        <f>IFERROR(IF(ISBLANK(V327),"",INDEX(Gen_Vessels!$A$3:$C$500,MATCH(InspectionSite!$V327,Gen_Vessels!$C$3:$C$500,0),1)),"")</f>
        <v/>
      </c>
      <c r="X327" s="25"/>
      <c r="Y327" s="25"/>
      <c r="Z327" s="25"/>
      <c r="AA327" s="25"/>
      <c r="AB327" s="25"/>
      <c r="AC327" s="25"/>
      <c r="AE327" s="25"/>
      <c r="AF327" s="49"/>
      <c r="AG327" s="25"/>
      <c r="AH327" s="25"/>
      <c r="AI327" s="25"/>
      <c r="AJ327" s="25"/>
      <c r="AK327" s="25"/>
    </row>
    <row r="328" spans="1:37" x14ac:dyDescent="0.25">
      <c r="A328" s="18" t="str">
        <f t="shared" si="5"/>
        <v/>
      </c>
      <c r="B328" s="25"/>
      <c r="C328" s="25"/>
      <c r="D328" s="25"/>
      <c r="E328" s="25"/>
      <c r="F328" s="25"/>
      <c r="G328" s="25"/>
      <c r="H328" s="37"/>
      <c r="I328" s="25"/>
      <c r="J328" s="38"/>
      <c r="K328" s="40"/>
      <c r="S328" s="25"/>
      <c r="T328" s="25" t="str">
        <f>IFERROR(IF(ISBLANK(S328),"",INDEX(Gen_Vessels!$A$3:$C$500,MATCH(InspectionSite!$S328,Gen_Vessels!$C$3:$C$500,0),1)),"")</f>
        <v/>
      </c>
      <c r="U328" s="25"/>
      <c r="V328" s="25"/>
      <c r="W328" s="25" t="str">
        <f>IFERROR(IF(ISBLANK(V328),"",INDEX(Gen_Vessels!$A$3:$C$500,MATCH(InspectionSite!$V328,Gen_Vessels!$C$3:$C$500,0),1)),"")</f>
        <v/>
      </c>
      <c r="X328" s="25"/>
      <c r="Y328" s="25"/>
      <c r="Z328" s="25"/>
      <c r="AA328" s="25"/>
      <c r="AB328" s="25"/>
      <c r="AC328" s="25"/>
      <c r="AE328" s="25"/>
      <c r="AF328" s="49"/>
      <c r="AG328" s="25"/>
      <c r="AH328" s="25"/>
      <c r="AI328" s="25"/>
      <c r="AJ328" s="25"/>
      <c r="AK328" s="25"/>
    </row>
    <row r="329" spans="1:37" x14ac:dyDescent="0.25">
      <c r="A329" s="18" t="str">
        <f t="shared" si="5"/>
        <v/>
      </c>
      <c r="B329" s="25"/>
      <c r="C329" s="25"/>
      <c r="D329" s="25"/>
      <c r="E329" s="25"/>
      <c r="F329" s="25"/>
      <c r="G329" s="25"/>
      <c r="H329" s="37"/>
      <c r="I329" s="25"/>
      <c r="J329" s="38"/>
      <c r="K329" s="40"/>
      <c r="S329" s="25"/>
      <c r="T329" s="25" t="str">
        <f>IFERROR(IF(ISBLANK(S329),"",INDEX(Gen_Vessels!$A$3:$C$500,MATCH(InspectionSite!$S329,Gen_Vessels!$C$3:$C$500,0),1)),"")</f>
        <v/>
      </c>
      <c r="U329" s="25"/>
      <c r="V329" s="25"/>
      <c r="W329" s="25" t="str">
        <f>IFERROR(IF(ISBLANK(V329),"",INDEX(Gen_Vessels!$A$3:$C$500,MATCH(InspectionSite!$V329,Gen_Vessels!$C$3:$C$500,0),1)),"")</f>
        <v/>
      </c>
      <c r="X329" s="25"/>
      <c r="Y329" s="25"/>
      <c r="Z329" s="25"/>
      <c r="AA329" s="25"/>
      <c r="AB329" s="25"/>
      <c r="AC329" s="25"/>
      <c r="AE329" s="25"/>
      <c r="AF329" s="49"/>
      <c r="AG329" s="25"/>
      <c r="AH329" s="25"/>
      <c r="AI329" s="25"/>
      <c r="AJ329" s="25"/>
      <c r="AK329" s="25"/>
    </row>
    <row r="330" spans="1:37" x14ac:dyDescent="0.25">
      <c r="A330" s="18" t="str">
        <f t="shared" si="5"/>
        <v/>
      </c>
      <c r="B330" s="25"/>
      <c r="C330" s="25"/>
      <c r="D330" s="25"/>
      <c r="E330" s="25"/>
      <c r="F330" s="25"/>
      <c r="G330" s="25"/>
      <c r="H330" s="37"/>
      <c r="I330" s="25"/>
      <c r="J330" s="38"/>
      <c r="K330" s="40"/>
      <c r="S330" s="25"/>
      <c r="T330" s="25" t="str">
        <f>IFERROR(IF(ISBLANK(S330),"",INDEX(Gen_Vessels!$A$3:$C$500,MATCH(InspectionSite!$S330,Gen_Vessels!$C$3:$C$500,0),1)),"")</f>
        <v/>
      </c>
      <c r="U330" s="25"/>
      <c r="V330" s="25"/>
      <c r="W330" s="25" t="str">
        <f>IFERROR(IF(ISBLANK(V330),"",INDEX(Gen_Vessels!$A$3:$C$500,MATCH(InspectionSite!$V330,Gen_Vessels!$C$3:$C$500,0),1)),"")</f>
        <v/>
      </c>
      <c r="X330" s="25"/>
      <c r="Y330" s="25"/>
      <c r="Z330" s="25"/>
      <c r="AA330" s="25"/>
      <c r="AB330" s="25"/>
      <c r="AC330" s="25"/>
      <c r="AE330" s="25"/>
      <c r="AF330" s="49"/>
      <c r="AG330" s="25"/>
      <c r="AH330" s="25"/>
      <c r="AI330" s="25"/>
      <c r="AJ330" s="25"/>
      <c r="AK330" s="25"/>
    </row>
    <row r="331" spans="1:37" x14ac:dyDescent="0.25">
      <c r="A331" s="18" t="str">
        <f t="shared" si="5"/>
        <v/>
      </c>
      <c r="B331" s="25"/>
      <c r="C331" s="25"/>
      <c r="D331" s="25"/>
      <c r="E331" s="25"/>
      <c r="F331" s="25"/>
      <c r="G331" s="25"/>
      <c r="H331" s="37"/>
      <c r="I331" s="25"/>
      <c r="J331" s="38"/>
      <c r="K331" s="40"/>
      <c r="S331" s="25"/>
      <c r="T331" s="25" t="str">
        <f>IFERROR(IF(ISBLANK(S331),"",INDEX(Gen_Vessels!$A$3:$C$500,MATCH(InspectionSite!$S331,Gen_Vessels!$C$3:$C$500,0),1)),"")</f>
        <v/>
      </c>
      <c r="U331" s="25"/>
      <c r="V331" s="25"/>
      <c r="W331" s="25" t="str">
        <f>IFERROR(IF(ISBLANK(V331),"",INDEX(Gen_Vessels!$A$3:$C$500,MATCH(InspectionSite!$V331,Gen_Vessels!$C$3:$C$500,0),1)),"")</f>
        <v/>
      </c>
      <c r="X331" s="25"/>
      <c r="Y331" s="25"/>
      <c r="Z331" s="25"/>
      <c r="AA331" s="25"/>
      <c r="AB331" s="25"/>
      <c r="AC331" s="25"/>
      <c r="AE331" s="25"/>
      <c r="AF331" s="49"/>
      <c r="AG331" s="25"/>
      <c r="AH331" s="25"/>
      <c r="AI331" s="25"/>
      <c r="AJ331" s="25"/>
      <c r="AK331" s="25"/>
    </row>
    <row r="332" spans="1:37" x14ac:dyDescent="0.25">
      <c r="A332" s="18" t="str">
        <f t="shared" si="5"/>
        <v/>
      </c>
      <c r="B332" s="25"/>
      <c r="C332" s="25"/>
      <c r="D332" s="25"/>
      <c r="E332" s="25"/>
      <c r="F332" s="25"/>
      <c r="G332" s="25"/>
      <c r="H332" s="37"/>
      <c r="I332" s="25"/>
      <c r="J332" s="38"/>
      <c r="K332" s="40"/>
      <c r="S332" s="25"/>
      <c r="T332" s="25" t="str">
        <f>IFERROR(IF(ISBLANK(S332),"",INDEX(Gen_Vessels!$A$3:$C$500,MATCH(InspectionSite!$S332,Gen_Vessels!$C$3:$C$500,0),1)),"")</f>
        <v/>
      </c>
      <c r="U332" s="25"/>
      <c r="V332" s="25"/>
      <c r="W332" s="25" t="str">
        <f>IFERROR(IF(ISBLANK(V332),"",INDEX(Gen_Vessels!$A$3:$C$500,MATCH(InspectionSite!$V332,Gen_Vessels!$C$3:$C$500,0),1)),"")</f>
        <v/>
      </c>
      <c r="X332" s="25"/>
      <c r="Y332" s="25"/>
      <c r="Z332" s="25"/>
      <c r="AA332" s="25"/>
      <c r="AB332" s="25"/>
      <c r="AC332" s="25"/>
      <c r="AE332" s="25"/>
      <c r="AF332" s="49"/>
      <c r="AG332" s="25"/>
      <c r="AH332" s="25"/>
      <c r="AI332" s="25"/>
      <c r="AJ332" s="25"/>
      <c r="AK332" s="25"/>
    </row>
    <row r="333" spans="1:37" x14ac:dyDescent="0.25">
      <c r="A333" s="18" t="str">
        <f t="shared" si="5"/>
        <v/>
      </c>
      <c r="B333" s="25"/>
      <c r="C333" s="25"/>
      <c r="D333" s="25"/>
      <c r="E333" s="25"/>
      <c r="F333" s="25"/>
      <c r="G333" s="25"/>
      <c r="H333" s="37"/>
      <c r="I333" s="25"/>
      <c r="J333" s="38"/>
      <c r="K333" s="40"/>
      <c r="S333" s="25"/>
      <c r="T333" s="25" t="str">
        <f>IFERROR(IF(ISBLANK(S333),"",INDEX(Gen_Vessels!$A$3:$C$500,MATCH(InspectionSite!$S333,Gen_Vessels!$C$3:$C$500,0),1)),"")</f>
        <v/>
      </c>
      <c r="U333" s="25"/>
      <c r="V333" s="25"/>
      <c r="W333" s="25" t="str">
        <f>IFERROR(IF(ISBLANK(V333),"",INDEX(Gen_Vessels!$A$3:$C$500,MATCH(InspectionSite!$V333,Gen_Vessels!$C$3:$C$500,0),1)),"")</f>
        <v/>
      </c>
      <c r="X333" s="25"/>
      <c r="Y333" s="25"/>
      <c r="Z333" s="25"/>
      <c r="AA333" s="25"/>
      <c r="AB333" s="25"/>
      <c r="AC333" s="25"/>
      <c r="AE333" s="25"/>
      <c r="AF333" s="49"/>
      <c r="AG333" s="25"/>
      <c r="AH333" s="25"/>
      <c r="AI333" s="25"/>
      <c r="AJ333" s="25"/>
      <c r="AK333" s="25"/>
    </row>
    <row r="334" spans="1:37" x14ac:dyDescent="0.25">
      <c r="A334" s="18" t="str">
        <f t="shared" si="5"/>
        <v/>
      </c>
      <c r="B334" s="25"/>
      <c r="C334" s="25"/>
      <c r="D334" s="25"/>
      <c r="E334" s="25"/>
      <c r="F334" s="25"/>
      <c r="G334" s="25"/>
      <c r="H334" s="37"/>
      <c r="I334" s="25"/>
      <c r="J334" s="38"/>
      <c r="K334" s="40"/>
      <c r="S334" s="25"/>
      <c r="T334" s="25" t="str">
        <f>IFERROR(IF(ISBLANK(S334),"",INDEX(Gen_Vessels!$A$3:$C$500,MATCH(InspectionSite!$S334,Gen_Vessels!$C$3:$C$500,0),1)),"")</f>
        <v/>
      </c>
      <c r="U334" s="25"/>
      <c r="V334" s="25"/>
      <c r="W334" s="25" t="str">
        <f>IFERROR(IF(ISBLANK(V334),"",INDEX(Gen_Vessels!$A$3:$C$500,MATCH(InspectionSite!$V334,Gen_Vessels!$C$3:$C$500,0),1)),"")</f>
        <v/>
      </c>
      <c r="X334" s="25"/>
      <c r="Y334" s="25"/>
      <c r="Z334" s="25"/>
      <c r="AA334" s="25"/>
      <c r="AB334" s="25"/>
      <c r="AC334" s="25"/>
      <c r="AE334" s="25"/>
      <c r="AF334" s="49"/>
      <c r="AG334" s="25"/>
      <c r="AH334" s="25"/>
      <c r="AI334" s="25"/>
      <c r="AJ334" s="25"/>
      <c r="AK334" s="25"/>
    </row>
    <row r="335" spans="1:37" x14ac:dyDescent="0.25">
      <c r="A335" s="18" t="str">
        <f t="shared" si="5"/>
        <v/>
      </c>
      <c r="B335" s="25"/>
      <c r="C335" s="25"/>
      <c r="D335" s="25"/>
      <c r="E335" s="25"/>
      <c r="F335" s="25"/>
      <c r="G335" s="25"/>
      <c r="H335" s="37"/>
      <c r="I335" s="25"/>
      <c r="J335" s="38"/>
      <c r="K335" s="40"/>
      <c r="S335" s="25"/>
      <c r="T335" s="25" t="str">
        <f>IFERROR(IF(ISBLANK(S335),"",INDEX(Gen_Vessels!$A$3:$C$500,MATCH(InspectionSite!$S335,Gen_Vessels!$C$3:$C$500,0),1)),"")</f>
        <v/>
      </c>
      <c r="U335" s="25"/>
      <c r="V335" s="25"/>
      <c r="W335" s="25" t="str">
        <f>IFERROR(IF(ISBLANK(V335),"",INDEX(Gen_Vessels!$A$3:$C$500,MATCH(InspectionSite!$V335,Gen_Vessels!$C$3:$C$500,0),1)),"")</f>
        <v/>
      </c>
      <c r="X335" s="25"/>
      <c r="Y335" s="25"/>
      <c r="Z335" s="25"/>
      <c r="AA335" s="25"/>
      <c r="AB335" s="25"/>
      <c r="AC335" s="25"/>
      <c r="AE335" s="25"/>
      <c r="AF335" s="49"/>
      <c r="AG335" s="25"/>
      <c r="AH335" s="25"/>
      <c r="AI335" s="25"/>
      <c r="AJ335" s="25"/>
      <c r="AK335" s="25"/>
    </row>
    <row r="336" spans="1:37" x14ac:dyDescent="0.25">
      <c r="A336" s="18" t="str">
        <f t="shared" si="5"/>
        <v/>
      </c>
      <c r="B336" s="25"/>
      <c r="C336" s="25"/>
      <c r="D336" s="25"/>
      <c r="E336" s="25"/>
      <c r="F336" s="25"/>
      <c r="G336" s="25"/>
      <c r="H336" s="37"/>
      <c r="I336" s="25"/>
      <c r="J336" s="38"/>
      <c r="K336" s="40"/>
      <c r="S336" s="25"/>
      <c r="T336" s="25" t="str">
        <f>IFERROR(IF(ISBLANK(S336),"",INDEX(Gen_Vessels!$A$3:$C$500,MATCH(InspectionSite!$S336,Gen_Vessels!$C$3:$C$500,0),1)),"")</f>
        <v/>
      </c>
      <c r="U336" s="25"/>
      <c r="V336" s="25"/>
      <c r="W336" s="25" t="str">
        <f>IFERROR(IF(ISBLANK(V336),"",INDEX(Gen_Vessels!$A$3:$C$500,MATCH(InspectionSite!$V336,Gen_Vessels!$C$3:$C$500,0),1)),"")</f>
        <v/>
      </c>
      <c r="X336" s="25"/>
      <c r="Y336" s="25"/>
      <c r="Z336" s="25"/>
      <c r="AA336" s="25"/>
      <c r="AB336" s="25"/>
      <c r="AC336" s="25"/>
      <c r="AE336" s="25"/>
      <c r="AF336" s="49"/>
      <c r="AG336" s="25"/>
      <c r="AH336" s="25"/>
      <c r="AI336" s="25"/>
      <c r="AJ336" s="25"/>
      <c r="AK336" s="25"/>
    </row>
    <row r="337" spans="1:37" x14ac:dyDescent="0.25">
      <c r="A337" s="18" t="str">
        <f t="shared" si="5"/>
        <v/>
      </c>
      <c r="B337" s="25"/>
      <c r="C337" s="25"/>
      <c r="D337" s="25"/>
      <c r="E337" s="25"/>
      <c r="F337" s="25"/>
      <c r="G337" s="25"/>
      <c r="H337" s="37"/>
      <c r="I337" s="25"/>
      <c r="J337" s="38"/>
      <c r="K337" s="40"/>
      <c r="S337" s="25"/>
      <c r="T337" s="25" t="str">
        <f>IFERROR(IF(ISBLANK(S337),"",INDEX(Gen_Vessels!$A$3:$C$500,MATCH(InspectionSite!$S337,Gen_Vessels!$C$3:$C$500,0),1)),"")</f>
        <v/>
      </c>
      <c r="U337" s="25"/>
      <c r="V337" s="25"/>
      <c r="W337" s="25" t="str">
        <f>IFERROR(IF(ISBLANK(V337),"",INDEX(Gen_Vessels!$A$3:$C$500,MATCH(InspectionSite!$V337,Gen_Vessels!$C$3:$C$500,0),1)),"")</f>
        <v/>
      </c>
      <c r="X337" s="25"/>
      <c r="Y337" s="25"/>
      <c r="Z337" s="25"/>
      <c r="AA337" s="25"/>
      <c r="AB337" s="25"/>
      <c r="AC337" s="25"/>
      <c r="AE337" s="25"/>
      <c r="AF337" s="49"/>
      <c r="AG337" s="25"/>
      <c r="AH337" s="25"/>
      <c r="AI337" s="25"/>
      <c r="AJ337" s="25"/>
      <c r="AK337" s="25"/>
    </row>
    <row r="338" spans="1:37" x14ac:dyDescent="0.25">
      <c r="A338" s="18" t="str">
        <f t="shared" si="5"/>
        <v/>
      </c>
      <c r="B338" s="25"/>
      <c r="C338" s="25"/>
      <c r="D338" s="25"/>
      <c r="E338" s="25"/>
      <c r="F338" s="25"/>
      <c r="G338" s="25"/>
      <c r="H338" s="37"/>
      <c r="I338" s="25"/>
      <c r="J338" s="38"/>
      <c r="K338" s="40"/>
      <c r="S338" s="25"/>
      <c r="T338" s="25" t="str">
        <f>IFERROR(IF(ISBLANK(S338),"",INDEX(Gen_Vessels!$A$3:$C$500,MATCH(InspectionSite!$S338,Gen_Vessels!$C$3:$C$500,0),1)),"")</f>
        <v/>
      </c>
      <c r="U338" s="25"/>
      <c r="V338" s="25"/>
      <c r="W338" s="25" t="str">
        <f>IFERROR(IF(ISBLANK(V338),"",INDEX(Gen_Vessels!$A$3:$C$500,MATCH(InspectionSite!$V338,Gen_Vessels!$C$3:$C$500,0),1)),"")</f>
        <v/>
      </c>
      <c r="X338" s="25"/>
      <c r="Y338" s="25"/>
      <c r="Z338" s="25"/>
      <c r="AA338" s="25"/>
      <c r="AB338" s="25"/>
      <c r="AC338" s="25"/>
      <c r="AE338" s="25"/>
      <c r="AF338" s="49"/>
      <c r="AG338" s="25"/>
      <c r="AH338" s="25"/>
      <c r="AI338" s="25"/>
      <c r="AJ338" s="25"/>
      <c r="AK338" s="25"/>
    </row>
    <row r="339" spans="1:37" x14ac:dyDescent="0.25">
      <c r="A339" s="18" t="str">
        <f t="shared" si="5"/>
        <v/>
      </c>
      <c r="B339" s="25"/>
      <c r="C339" s="25"/>
      <c r="D339" s="25"/>
      <c r="E339" s="25"/>
      <c r="F339" s="25"/>
      <c r="G339" s="25"/>
      <c r="H339" s="37"/>
      <c r="I339" s="25"/>
      <c r="J339" s="38"/>
      <c r="K339" s="40"/>
      <c r="S339" s="25"/>
      <c r="T339" s="25" t="str">
        <f>IFERROR(IF(ISBLANK(S339),"",INDEX(Gen_Vessels!$A$3:$C$500,MATCH(InspectionSite!$S339,Gen_Vessels!$C$3:$C$500,0),1)),"")</f>
        <v/>
      </c>
      <c r="U339" s="25"/>
      <c r="V339" s="25"/>
      <c r="W339" s="25" t="str">
        <f>IFERROR(IF(ISBLANK(V339),"",INDEX(Gen_Vessels!$A$3:$C$500,MATCH(InspectionSite!$V339,Gen_Vessels!$C$3:$C$500,0),1)),"")</f>
        <v/>
      </c>
      <c r="X339" s="25"/>
      <c r="Y339" s="25"/>
      <c r="Z339" s="25"/>
      <c r="AA339" s="25"/>
      <c r="AB339" s="25"/>
      <c r="AC339" s="25"/>
      <c r="AE339" s="25"/>
      <c r="AF339" s="49"/>
      <c r="AG339" s="25"/>
      <c r="AH339" s="25"/>
      <c r="AI339" s="25"/>
      <c r="AJ339" s="25"/>
      <c r="AK339" s="25"/>
    </row>
    <row r="340" spans="1:37" x14ac:dyDescent="0.25">
      <c r="A340" s="18" t="str">
        <f t="shared" si="5"/>
        <v/>
      </c>
      <c r="B340" s="25"/>
      <c r="C340" s="25"/>
      <c r="D340" s="25"/>
      <c r="E340" s="25"/>
      <c r="F340" s="25"/>
      <c r="G340" s="25"/>
      <c r="H340" s="37"/>
      <c r="I340" s="25"/>
      <c r="J340" s="38"/>
      <c r="K340" s="40"/>
      <c r="S340" s="25"/>
      <c r="T340" s="25" t="str">
        <f>IFERROR(IF(ISBLANK(S340),"",INDEX(Gen_Vessels!$A$3:$C$500,MATCH(InspectionSite!$S340,Gen_Vessels!$C$3:$C$500,0),1)),"")</f>
        <v/>
      </c>
      <c r="U340" s="25"/>
      <c r="V340" s="25"/>
      <c r="W340" s="25" t="str">
        <f>IFERROR(IF(ISBLANK(V340),"",INDEX(Gen_Vessels!$A$3:$C$500,MATCH(InspectionSite!$V340,Gen_Vessels!$C$3:$C$500,0),1)),"")</f>
        <v/>
      </c>
      <c r="X340" s="25"/>
      <c r="Y340" s="25"/>
      <c r="Z340" s="25"/>
      <c r="AA340" s="25"/>
      <c r="AB340" s="25"/>
      <c r="AC340" s="25"/>
      <c r="AE340" s="25"/>
      <c r="AF340" s="49"/>
      <c r="AG340" s="25"/>
      <c r="AH340" s="25"/>
      <c r="AI340" s="25"/>
      <c r="AJ340" s="25"/>
      <c r="AK340" s="25"/>
    </row>
    <row r="341" spans="1:37" x14ac:dyDescent="0.25">
      <c r="A341" s="18" t="str">
        <f t="shared" si="5"/>
        <v/>
      </c>
      <c r="B341" s="25"/>
      <c r="C341" s="25"/>
      <c r="D341" s="25"/>
      <c r="E341" s="25"/>
      <c r="F341" s="25"/>
      <c r="G341" s="25"/>
      <c r="H341" s="37"/>
      <c r="I341" s="25"/>
      <c r="J341" s="38"/>
      <c r="K341" s="40"/>
      <c r="S341" s="25"/>
      <c r="T341" s="25" t="str">
        <f>IFERROR(IF(ISBLANK(S341),"",INDEX(Gen_Vessels!$A$3:$C$500,MATCH(InspectionSite!$S341,Gen_Vessels!$C$3:$C$500,0),1)),"")</f>
        <v/>
      </c>
      <c r="U341" s="25"/>
      <c r="V341" s="25"/>
      <c r="W341" s="25" t="str">
        <f>IFERROR(IF(ISBLANK(V341),"",INDEX(Gen_Vessels!$A$3:$C$500,MATCH(InspectionSite!$V341,Gen_Vessels!$C$3:$C$500,0),1)),"")</f>
        <v/>
      </c>
      <c r="X341" s="25"/>
      <c r="Y341" s="25"/>
      <c r="Z341" s="25"/>
      <c r="AA341" s="25"/>
      <c r="AB341" s="25"/>
      <c r="AC341" s="25"/>
      <c r="AE341" s="25"/>
      <c r="AF341" s="49"/>
      <c r="AG341" s="25"/>
      <c r="AH341" s="25"/>
      <c r="AI341" s="25"/>
      <c r="AJ341" s="25"/>
      <c r="AK341" s="25"/>
    </row>
    <row r="342" spans="1:37" x14ac:dyDescent="0.25">
      <c r="A342" s="18" t="str">
        <f t="shared" si="5"/>
        <v/>
      </c>
      <c r="B342" s="25"/>
      <c r="C342" s="25"/>
      <c r="D342" s="25"/>
      <c r="E342" s="25"/>
      <c r="F342" s="25"/>
      <c r="G342" s="25"/>
      <c r="H342" s="37"/>
      <c r="I342" s="25"/>
      <c r="J342" s="38"/>
      <c r="K342" s="40"/>
      <c r="S342" s="25"/>
      <c r="T342" s="25" t="str">
        <f>IFERROR(IF(ISBLANK(S342),"",INDEX(Gen_Vessels!$A$3:$C$500,MATCH(InspectionSite!$S342,Gen_Vessels!$C$3:$C$500,0),1)),"")</f>
        <v/>
      </c>
      <c r="U342" s="25"/>
      <c r="V342" s="25"/>
      <c r="W342" s="25" t="str">
        <f>IFERROR(IF(ISBLANK(V342),"",INDEX(Gen_Vessels!$A$3:$C$500,MATCH(InspectionSite!$V342,Gen_Vessels!$C$3:$C$500,0),1)),"")</f>
        <v/>
      </c>
      <c r="X342" s="25"/>
      <c r="Y342" s="25"/>
      <c r="Z342" s="25"/>
      <c r="AA342" s="25"/>
      <c r="AB342" s="25"/>
      <c r="AC342" s="25"/>
      <c r="AE342" s="25"/>
      <c r="AF342" s="49"/>
      <c r="AG342" s="25"/>
      <c r="AH342" s="25"/>
      <c r="AI342" s="25"/>
      <c r="AJ342" s="25"/>
      <c r="AK342" s="25"/>
    </row>
    <row r="343" spans="1:37" x14ac:dyDescent="0.25">
      <c r="A343" s="18" t="str">
        <f t="shared" si="5"/>
        <v/>
      </c>
      <c r="B343" s="25"/>
      <c r="C343" s="25"/>
      <c r="D343" s="25"/>
      <c r="E343" s="25"/>
      <c r="F343" s="25"/>
      <c r="G343" s="25"/>
      <c r="H343" s="37"/>
      <c r="I343" s="25"/>
      <c r="J343" s="38"/>
      <c r="K343" s="40"/>
      <c r="S343" s="25"/>
      <c r="T343" s="25" t="str">
        <f>IFERROR(IF(ISBLANK(S343),"",INDEX(Gen_Vessels!$A$3:$C$500,MATCH(InspectionSite!$S343,Gen_Vessels!$C$3:$C$500,0),1)),"")</f>
        <v/>
      </c>
      <c r="U343" s="25"/>
      <c r="V343" s="25"/>
      <c r="W343" s="25" t="str">
        <f>IFERROR(IF(ISBLANK(V343),"",INDEX(Gen_Vessels!$A$3:$C$500,MATCH(InspectionSite!$V343,Gen_Vessels!$C$3:$C$500,0),1)),"")</f>
        <v/>
      </c>
      <c r="X343" s="25"/>
      <c r="Y343" s="25"/>
      <c r="Z343" s="25"/>
      <c r="AA343" s="25"/>
      <c r="AB343" s="25"/>
      <c r="AC343" s="25"/>
      <c r="AE343" s="25"/>
      <c r="AF343" s="49"/>
      <c r="AG343" s="25"/>
      <c r="AH343" s="25"/>
      <c r="AI343" s="25"/>
      <c r="AJ343" s="25"/>
      <c r="AK343" s="25"/>
    </row>
    <row r="344" spans="1:37" x14ac:dyDescent="0.25">
      <c r="A344" s="18" t="str">
        <f t="shared" si="5"/>
        <v/>
      </c>
      <c r="B344" s="25"/>
      <c r="C344" s="25"/>
      <c r="D344" s="25"/>
      <c r="E344" s="25"/>
      <c r="F344" s="25"/>
      <c r="G344" s="25"/>
      <c r="H344" s="37"/>
      <c r="I344" s="25"/>
      <c r="J344" s="38"/>
      <c r="K344" s="40"/>
      <c r="S344" s="25"/>
      <c r="T344" s="25" t="str">
        <f>IFERROR(IF(ISBLANK(S344),"",INDEX(Gen_Vessels!$A$3:$C$500,MATCH(InspectionSite!$S344,Gen_Vessels!$C$3:$C$500,0),1)),"")</f>
        <v/>
      </c>
      <c r="U344" s="25"/>
      <c r="V344" s="25"/>
      <c r="W344" s="25" t="str">
        <f>IFERROR(IF(ISBLANK(V344),"",INDEX(Gen_Vessels!$A$3:$C$500,MATCH(InspectionSite!$V344,Gen_Vessels!$C$3:$C$500,0),1)),"")</f>
        <v/>
      </c>
      <c r="X344" s="25"/>
      <c r="Y344" s="25"/>
      <c r="Z344" s="25"/>
      <c r="AA344" s="25"/>
      <c r="AB344" s="25"/>
      <c r="AC344" s="25"/>
      <c r="AE344" s="25"/>
      <c r="AF344" s="49"/>
      <c r="AG344" s="25"/>
      <c r="AH344" s="25"/>
      <c r="AI344" s="25"/>
      <c r="AJ344" s="25"/>
      <c r="AK344" s="25"/>
    </row>
    <row r="345" spans="1:37" x14ac:dyDescent="0.25">
      <c r="A345" s="18" t="str">
        <f t="shared" si="5"/>
        <v/>
      </c>
      <c r="B345" s="25"/>
      <c r="C345" s="25"/>
      <c r="D345" s="25"/>
      <c r="E345" s="25"/>
      <c r="F345" s="25"/>
      <c r="G345" s="25"/>
      <c r="H345" s="37"/>
      <c r="I345" s="25"/>
      <c r="J345" s="38"/>
      <c r="K345" s="40"/>
      <c r="S345" s="25"/>
      <c r="T345" s="25" t="str">
        <f>IFERROR(IF(ISBLANK(S345),"",INDEX(Gen_Vessels!$A$3:$C$500,MATCH(InspectionSite!$S345,Gen_Vessels!$C$3:$C$500,0),1)),"")</f>
        <v/>
      </c>
      <c r="U345" s="25"/>
      <c r="V345" s="25"/>
      <c r="W345" s="25" t="str">
        <f>IFERROR(IF(ISBLANK(V345),"",INDEX(Gen_Vessels!$A$3:$C$500,MATCH(InspectionSite!$V345,Gen_Vessels!$C$3:$C$500,0),1)),"")</f>
        <v/>
      </c>
      <c r="X345" s="25"/>
      <c r="Y345" s="25"/>
      <c r="Z345" s="25"/>
      <c r="AA345" s="25"/>
      <c r="AB345" s="25"/>
      <c r="AC345" s="25"/>
      <c r="AE345" s="25"/>
      <c r="AF345" s="49"/>
      <c r="AG345" s="25"/>
      <c r="AH345" s="25"/>
      <c r="AI345" s="25"/>
      <c r="AJ345" s="25"/>
      <c r="AK345" s="25"/>
    </row>
    <row r="346" spans="1:37" x14ac:dyDescent="0.25">
      <c r="A346" s="18" t="str">
        <f t="shared" si="5"/>
        <v/>
      </c>
      <c r="B346" s="25"/>
      <c r="C346" s="25"/>
      <c r="D346" s="25"/>
      <c r="E346" s="25"/>
      <c r="F346" s="25"/>
      <c r="G346" s="25"/>
      <c r="H346" s="37"/>
      <c r="I346" s="25"/>
      <c r="J346" s="38"/>
      <c r="K346" s="40"/>
      <c r="S346" s="25"/>
      <c r="T346" s="25" t="str">
        <f>IFERROR(IF(ISBLANK(S346),"",INDEX(Gen_Vessels!$A$3:$C$500,MATCH(InspectionSite!$S346,Gen_Vessels!$C$3:$C$500,0),1)),"")</f>
        <v/>
      </c>
      <c r="U346" s="25"/>
      <c r="V346" s="25"/>
      <c r="W346" s="25" t="str">
        <f>IFERROR(IF(ISBLANK(V346),"",INDEX(Gen_Vessels!$A$3:$C$500,MATCH(InspectionSite!$V346,Gen_Vessels!$C$3:$C$500,0),1)),"")</f>
        <v/>
      </c>
      <c r="X346" s="25"/>
      <c r="Y346" s="25"/>
      <c r="Z346" s="25"/>
      <c r="AA346" s="25"/>
      <c r="AB346" s="25"/>
      <c r="AC346" s="25"/>
      <c r="AE346" s="25"/>
      <c r="AF346" s="49"/>
      <c r="AG346" s="25"/>
      <c r="AH346" s="25"/>
      <c r="AI346" s="25"/>
      <c r="AJ346" s="25"/>
      <c r="AK346" s="25"/>
    </row>
    <row r="347" spans="1:37" x14ac:dyDescent="0.25">
      <c r="A347" s="18" t="str">
        <f t="shared" si="5"/>
        <v/>
      </c>
      <c r="B347" s="25"/>
      <c r="C347" s="25"/>
      <c r="D347" s="25"/>
      <c r="E347" s="25"/>
      <c r="F347" s="25"/>
      <c r="G347" s="25"/>
      <c r="H347" s="37"/>
      <c r="I347" s="25"/>
      <c r="J347" s="38"/>
      <c r="K347" s="40"/>
      <c r="S347" s="25"/>
      <c r="T347" s="25" t="str">
        <f>IFERROR(IF(ISBLANK(S347),"",INDEX(Gen_Vessels!$A$3:$C$500,MATCH(InspectionSite!$S347,Gen_Vessels!$C$3:$C$500,0),1)),"")</f>
        <v/>
      </c>
      <c r="U347" s="25"/>
      <c r="V347" s="25"/>
      <c r="W347" s="25" t="str">
        <f>IFERROR(IF(ISBLANK(V347),"",INDEX(Gen_Vessels!$A$3:$C$500,MATCH(InspectionSite!$V347,Gen_Vessels!$C$3:$C$500,0),1)),"")</f>
        <v/>
      </c>
      <c r="X347" s="25"/>
      <c r="Y347" s="25"/>
      <c r="Z347" s="25"/>
      <c r="AA347" s="25"/>
      <c r="AB347" s="25"/>
      <c r="AC347" s="25"/>
      <c r="AE347" s="25"/>
      <c r="AF347" s="49"/>
      <c r="AG347" s="25"/>
      <c r="AH347" s="25"/>
      <c r="AI347" s="25"/>
      <c r="AJ347" s="25"/>
      <c r="AK347" s="25"/>
    </row>
    <row r="348" spans="1:37" x14ac:dyDescent="0.25">
      <c r="A348" s="18" t="str">
        <f t="shared" si="5"/>
        <v/>
      </c>
      <c r="B348" s="25"/>
      <c r="C348" s="25"/>
      <c r="D348" s="25"/>
      <c r="E348" s="25"/>
      <c r="F348" s="25"/>
      <c r="G348" s="25"/>
      <c r="H348" s="37"/>
      <c r="I348" s="25"/>
      <c r="J348" s="38"/>
      <c r="K348" s="40"/>
      <c r="S348" s="25"/>
      <c r="T348" s="25" t="str">
        <f>IFERROR(IF(ISBLANK(S348),"",INDEX(Gen_Vessels!$A$3:$C$500,MATCH(InspectionSite!$S348,Gen_Vessels!$C$3:$C$500,0),1)),"")</f>
        <v/>
      </c>
      <c r="U348" s="25"/>
      <c r="V348" s="25"/>
      <c r="W348" s="25" t="str">
        <f>IFERROR(IF(ISBLANK(V348),"",INDEX(Gen_Vessels!$A$3:$C$500,MATCH(InspectionSite!$V348,Gen_Vessels!$C$3:$C$500,0),1)),"")</f>
        <v/>
      </c>
      <c r="X348" s="25"/>
      <c r="Y348" s="25"/>
      <c r="Z348" s="25"/>
      <c r="AA348" s="25"/>
      <c r="AB348" s="25"/>
      <c r="AC348" s="25"/>
      <c r="AE348" s="25"/>
      <c r="AF348" s="49"/>
      <c r="AG348" s="25"/>
      <c r="AH348" s="25"/>
      <c r="AI348" s="25"/>
      <c r="AJ348" s="25"/>
      <c r="AK348" s="25"/>
    </row>
    <row r="349" spans="1:37" x14ac:dyDescent="0.25">
      <c r="A349" s="18" t="str">
        <f t="shared" si="5"/>
        <v/>
      </c>
      <c r="B349" s="25"/>
      <c r="C349" s="25"/>
      <c r="D349" s="25"/>
      <c r="E349" s="25"/>
      <c r="F349" s="25"/>
      <c r="G349" s="25"/>
      <c r="H349" s="37"/>
      <c r="I349" s="25"/>
      <c r="J349" s="38"/>
      <c r="K349" s="40"/>
      <c r="S349" s="25"/>
      <c r="T349" s="25" t="str">
        <f>IFERROR(IF(ISBLANK(S349),"",INDEX(Gen_Vessels!$A$3:$C$500,MATCH(InspectionSite!$S349,Gen_Vessels!$C$3:$C$500,0),1)),"")</f>
        <v/>
      </c>
      <c r="U349" s="25"/>
      <c r="V349" s="25"/>
      <c r="W349" s="25" t="str">
        <f>IFERROR(IF(ISBLANK(V349),"",INDEX(Gen_Vessels!$A$3:$C$500,MATCH(InspectionSite!$V349,Gen_Vessels!$C$3:$C$500,0),1)),"")</f>
        <v/>
      </c>
      <c r="X349" s="25"/>
      <c r="Y349" s="25"/>
      <c r="Z349" s="25"/>
      <c r="AA349" s="25"/>
      <c r="AB349" s="25"/>
      <c r="AC349" s="25"/>
      <c r="AE349" s="25"/>
      <c r="AF349" s="49"/>
      <c r="AG349" s="25"/>
      <c r="AH349" s="25"/>
      <c r="AI349" s="25"/>
      <c r="AJ349" s="25"/>
      <c r="AK349" s="25"/>
    </row>
    <row r="350" spans="1:37" x14ac:dyDescent="0.25">
      <c r="A350" s="18" t="str">
        <f t="shared" si="5"/>
        <v/>
      </c>
      <c r="B350" s="25"/>
      <c r="C350" s="25"/>
      <c r="D350" s="25"/>
      <c r="E350" s="25"/>
      <c r="F350" s="25"/>
      <c r="G350" s="25"/>
      <c r="H350" s="37"/>
      <c r="I350" s="25"/>
      <c r="J350" s="38"/>
      <c r="K350" s="40"/>
      <c r="S350" s="25"/>
      <c r="T350" s="25" t="str">
        <f>IFERROR(IF(ISBLANK(S350),"",INDEX(Gen_Vessels!$A$3:$C$500,MATCH(InspectionSite!$S350,Gen_Vessels!$C$3:$C$500,0),1)),"")</f>
        <v/>
      </c>
      <c r="U350" s="25"/>
      <c r="V350" s="25"/>
      <c r="W350" s="25" t="str">
        <f>IFERROR(IF(ISBLANK(V350),"",INDEX(Gen_Vessels!$A$3:$C$500,MATCH(InspectionSite!$V350,Gen_Vessels!$C$3:$C$500,0),1)),"")</f>
        <v/>
      </c>
      <c r="X350" s="25"/>
      <c r="Y350" s="25"/>
      <c r="Z350" s="25"/>
      <c r="AA350" s="25"/>
      <c r="AB350" s="25"/>
      <c r="AC350" s="25"/>
      <c r="AE350" s="25"/>
      <c r="AF350" s="49"/>
      <c r="AG350" s="25"/>
      <c r="AH350" s="25"/>
      <c r="AI350" s="25"/>
      <c r="AJ350" s="25"/>
      <c r="AK350" s="25"/>
    </row>
    <row r="351" spans="1:37" x14ac:dyDescent="0.25">
      <c r="A351" s="18" t="str">
        <f t="shared" si="5"/>
        <v/>
      </c>
      <c r="B351" s="25"/>
      <c r="C351" s="25"/>
      <c r="D351" s="25"/>
      <c r="E351" s="25"/>
      <c r="F351" s="25"/>
      <c r="G351" s="25"/>
      <c r="H351" s="37"/>
      <c r="I351" s="25"/>
      <c r="J351" s="38"/>
      <c r="K351" s="40"/>
      <c r="S351" s="25"/>
      <c r="T351" s="25" t="str">
        <f>IFERROR(IF(ISBLANK(S351),"",INDEX(Gen_Vessels!$A$3:$C$500,MATCH(InspectionSite!$S351,Gen_Vessels!$C$3:$C$500,0),1)),"")</f>
        <v/>
      </c>
      <c r="U351" s="25"/>
      <c r="V351" s="25"/>
      <c r="W351" s="25" t="str">
        <f>IFERROR(IF(ISBLANK(V351),"",INDEX(Gen_Vessels!$A$3:$C$500,MATCH(InspectionSite!$V351,Gen_Vessels!$C$3:$C$500,0),1)),"")</f>
        <v/>
      </c>
      <c r="X351" s="25"/>
      <c r="Y351" s="25"/>
      <c r="Z351" s="25"/>
      <c r="AA351" s="25"/>
      <c r="AB351" s="25"/>
      <c r="AC351" s="25"/>
      <c r="AE351" s="25"/>
      <c r="AF351" s="49"/>
      <c r="AG351" s="25"/>
      <c r="AH351" s="25"/>
      <c r="AI351" s="25"/>
      <c r="AJ351" s="25"/>
      <c r="AK351" s="25"/>
    </row>
    <row r="352" spans="1:37" x14ac:dyDescent="0.25">
      <c r="A352" s="18" t="str">
        <f t="shared" si="5"/>
        <v/>
      </c>
      <c r="B352" s="25"/>
      <c r="C352" s="25"/>
      <c r="D352" s="25"/>
      <c r="E352" s="25"/>
      <c r="F352" s="25"/>
      <c r="G352" s="25"/>
      <c r="H352" s="37"/>
      <c r="I352" s="25"/>
      <c r="J352" s="38"/>
      <c r="K352" s="40"/>
      <c r="S352" s="25"/>
      <c r="T352" s="25" t="str">
        <f>IFERROR(IF(ISBLANK(S352),"",INDEX(Gen_Vessels!$A$3:$C$500,MATCH(InspectionSite!$S352,Gen_Vessels!$C$3:$C$500,0),1)),"")</f>
        <v/>
      </c>
      <c r="U352" s="25"/>
      <c r="V352" s="25"/>
      <c r="W352" s="25" t="str">
        <f>IFERROR(IF(ISBLANK(V352),"",INDEX(Gen_Vessels!$A$3:$C$500,MATCH(InspectionSite!$V352,Gen_Vessels!$C$3:$C$500,0),1)),"")</f>
        <v/>
      </c>
      <c r="X352" s="25"/>
      <c r="Y352" s="25"/>
      <c r="Z352" s="25"/>
      <c r="AA352" s="25"/>
      <c r="AB352" s="25"/>
      <c r="AC352" s="25"/>
      <c r="AE352" s="25"/>
      <c r="AF352" s="49"/>
      <c r="AG352" s="25"/>
      <c r="AH352" s="25"/>
      <c r="AI352" s="25"/>
      <c r="AJ352" s="25"/>
      <c r="AK352" s="25"/>
    </row>
    <row r="353" spans="1:37" x14ac:dyDescent="0.25">
      <c r="A353" s="18" t="str">
        <f t="shared" si="5"/>
        <v/>
      </c>
      <c r="B353" s="25"/>
      <c r="C353" s="25"/>
      <c r="D353" s="25"/>
      <c r="E353" s="25"/>
      <c r="F353" s="25"/>
      <c r="G353" s="25"/>
      <c r="H353" s="37"/>
      <c r="I353" s="25"/>
      <c r="J353" s="38"/>
      <c r="K353" s="40"/>
      <c r="S353" s="25"/>
      <c r="T353" s="25" t="str">
        <f>IFERROR(IF(ISBLANK(S353),"",INDEX(Gen_Vessels!$A$3:$C$500,MATCH(InspectionSite!$S353,Gen_Vessels!$C$3:$C$500,0),1)),"")</f>
        <v/>
      </c>
      <c r="U353" s="25"/>
      <c r="V353" s="25"/>
      <c r="W353" s="25" t="str">
        <f>IFERROR(IF(ISBLANK(V353),"",INDEX(Gen_Vessels!$A$3:$C$500,MATCH(InspectionSite!$V353,Gen_Vessels!$C$3:$C$500,0),1)),"")</f>
        <v/>
      </c>
      <c r="X353" s="25"/>
      <c r="Y353" s="25"/>
      <c r="Z353" s="25"/>
      <c r="AA353" s="25"/>
      <c r="AB353" s="25"/>
      <c r="AC353" s="25"/>
      <c r="AE353" s="25"/>
      <c r="AF353" s="49"/>
      <c r="AG353" s="25"/>
      <c r="AH353" s="25"/>
      <c r="AI353" s="25"/>
      <c r="AJ353" s="25"/>
      <c r="AK353" s="25"/>
    </row>
    <row r="354" spans="1:37" x14ac:dyDescent="0.25">
      <c r="A354" s="18" t="str">
        <f t="shared" si="5"/>
        <v/>
      </c>
      <c r="B354" s="25"/>
      <c r="C354" s="25"/>
      <c r="D354" s="25"/>
      <c r="E354" s="25"/>
      <c r="F354" s="25"/>
      <c r="G354" s="25"/>
      <c r="H354" s="37"/>
      <c r="I354" s="25"/>
      <c r="J354" s="38"/>
      <c r="K354" s="40"/>
      <c r="S354" s="25"/>
      <c r="T354" s="25" t="str">
        <f>IFERROR(IF(ISBLANK(S354),"",INDEX(Gen_Vessels!$A$3:$C$500,MATCH(InspectionSite!$S354,Gen_Vessels!$C$3:$C$500,0),1)),"")</f>
        <v/>
      </c>
      <c r="U354" s="25"/>
      <c r="V354" s="25"/>
      <c r="W354" s="25" t="str">
        <f>IFERROR(IF(ISBLANK(V354),"",INDEX(Gen_Vessels!$A$3:$C$500,MATCH(InspectionSite!$V354,Gen_Vessels!$C$3:$C$500,0),1)),"")</f>
        <v/>
      </c>
      <c r="X354" s="25"/>
      <c r="Y354" s="25"/>
      <c r="Z354" s="25"/>
      <c r="AA354" s="25"/>
      <c r="AB354" s="25"/>
      <c r="AC354" s="25"/>
      <c r="AE354" s="25"/>
      <c r="AF354" s="49"/>
      <c r="AG354" s="25"/>
      <c r="AH354" s="25"/>
      <c r="AI354" s="25"/>
      <c r="AJ354" s="25"/>
      <c r="AK354" s="25"/>
    </row>
    <row r="355" spans="1:37" x14ac:dyDescent="0.25">
      <c r="A355" s="18" t="str">
        <f t="shared" si="5"/>
        <v/>
      </c>
      <c r="B355" s="25"/>
      <c r="C355" s="25"/>
      <c r="D355" s="25"/>
      <c r="E355" s="25"/>
      <c r="F355" s="25"/>
      <c r="G355" s="25"/>
      <c r="H355" s="37"/>
      <c r="I355" s="25"/>
      <c r="J355" s="38"/>
      <c r="K355" s="40"/>
      <c r="S355" s="25"/>
      <c r="T355" s="25" t="str">
        <f>IFERROR(IF(ISBLANK(S355),"",INDEX(Gen_Vessels!$A$3:$C$500,MATCH(InspectionSite!$S355,Gen_Vessels!$C$3:$C$500,0),1)),"")</f>
        <v/>
      </c>
      <c r="U355" s="25"/>
      <c r="V355" s="25"/>
      <c r="W355" s="25" t="str">
        <f>IFERROR(IF(ISBLANK(V355),"",INDEX(Gen_Vessels!$A$3:$C$500,MATCH(InspectionSite!$V355,Gen_Vessels!$C$3:$C$500,0),1)),"")</f>
        <v/>
      </c>
      <c r="X355" s="25"/>
      <c r="Y355" s="25"/>
      <c r="Z355" s="25"/>
      <c r="AA355" s="25"/>
      <c r="AB355" s="25"/>
      <c r="AC355" s="25"/>
      <c r="AE355" s="25"/>
      <c r="AF355" s="49"/>
      <c r="AG355" s="25"/>
      <c r="AH355" s="25"/>
      <c r="AI355" s="25"/>
      <c r="AJ355" s="25"/>
      <c r="AK355" s="25"/>
    </row>
    <row r="356" spans="1:37" x14ac:dyDescent="0.25">
      <c r="A356" s="18" t="str">
        <f t="shared" si="5"/>
        <v/>
      </c>
      <c r="B356" s="25"/>
      <c r="C356" s="25"/>
      <c r="D356" s="25"/>
      <c r="E356" s="25"/>
      <c r="F356" s="25"/>
      <c r="G356" s="25"/>
      <c r="H356" s="37"/>
      <c r="I356" s="25"/>
      <c r="J356" s="38"/>
      <c r="K356" s="40"/>
      <c r="S356" s="25"/>
      <c r="T356" s="25" t="str">
        <f>IFERROR(IF(ISBLANK(S356),"",INDEX(Gen_Vessels!$A$3:$C$500,MATCH(InspectionSite!$S356,Gen_Vessels!$C$3:$C$500,0),1)),"")</f>
        <v/>
      </c>
      <c r="U356" s="25"/>
      <c r="V356" s="25"/>
      <c r="W356" s="25" t="str">
        <f>IFERROR(IF(ISBLANK(V356),"",INDEX(Gen_Vessels!$A$3:$C$500,MATCH(InspectionSite!$V356,Gen_Vessels!$C$3:$C$500,0),1)),"")</f>
        <v/>
      </c>
      <c r="X356" s="25"/>
      <c r="Y356" s="25"/>
      <c r="Z356" s="25"/>
      <c r="AA356" s="25"/>
      <c r="AB356" s="25"/>
      <c r="AC356" s="25"/>
      <c r="AE356" s="25"/>
      <c r="AF356" s="49"/>
      <c r="AG356" s="25"/>
      <c r="AH356" s="25"/>
      <c r="AI356" s="25"/>
      <c r="AJ356" s="25"/>
      <c r="AK356" s="25"/>
    </row>
    <row r="357" spans="1:37" x14ac:dyDescent="0.25">
      <c r="A357" s="18" t="str">
        <f t="shared" si="5"/>
        <v/>
      </c>
      <c r="B357" s="25"/>
      <c r="C357" s="25"/>
      <c r="D357" s="25"/>
      <c r="E357" s="25"/>
      <c r="F357" s="25"/>
      <c r="G357" s="25"/>
      <c r="H357" s="37"/>
      <c r="I357" s="25"/>
      <c r="J357" s="38"/>
      <c r="K357" s="40"/>
      <c r="S357" s="25"/>
      <c r="T357" s="25" t="str">
        <f>IFERROR(IF(ISBLANK(S357),"",INDEX(Gen_Vessels!$A$3:$C$500,MATCH(InspectionSite!$S357,Gen_Vessels!$C$3:$C$500,0),1)),"")</f>
        <v/>
      </c>
      <c r="U357" s="25"/>
      <c r="V357" s="25"/>
      <c r="W357" s="25" t="str">
        <f>IFERROR(IF(ISBLANK(V357),"",INDEX(Gen_Vessels!$A$3:$C$500,MATCH(InspectionSite!$V357,Gen_Vessels!$C$3:$C$500,0),1)),"")</f>
        <v/>
      </c>
      <c r="X357" s="25"/>
      <c r="Y357" s="25"/>
      <c r="Z357" s="25"/>
      <c r="AA357" s="25"/>
      <c r="AB357" s="25"/>
      <c r="AC357" s="25"/>
      <c r="AE357" s="25"/>
      <c r="AF357" s="49"/>
      <c r="AG357" s="25"/>
      <c r="AH357" s="25"/>
      <c r="AI357" s="25"/>
      <c r="AJ357" s="25"/>
      <c r="AK357" s="25"/>
    </row>
    <row r="358" spans="1:37" x14ac:dyDescent="0.25">
      <c r="A358" s="18" t="str">
        <f t="shared" si="5"/>
        <v/>
      </c>
      <c r="B358" s="25"/>
      <c r="C358" s="25"/>
      <c r="D358" s="25"/>
      <c r="E358" s="25"/>
      <c r="F358" s="25"/>
      <c r="G358" s="25"/>
      <c r="H358" s="37"/>
      <c r="I358" s="25"/>
      <c r="J358" s="38"/>
      <c r="K358" s="40"/>
      <c r="S358" s="25"/>
      <c r="T358" s="25" t="str">
        <f>IFERROR(IF(ISBLANK(S358),"",INDEX(Gen_Vessels!$A$3:$C$500,MATCH(InspectionSite!$S358,Gen_Vessels!$C$3:$C$500,0),1)),"")</f>
        <v/>
      </c>
      <c r="U358" s="25"/>
      <c r="V358" s="25"/>
      <c r="W358" s="25" t="str">
        <f>IFERROR(IF(ISBLANK(V358),"",INDEX(Gen_Vessels!$A$3:$C$500,MATCH(InspectionSite!$V358,Gen_Vessels!$C$3:$C$500,0),1)),"")</f>
        <v/>
      </c>
      <c r="X358" s="25"/>
      <c r="Y358" s="25"/>
      <c r="Z358" s="25"/>
      <c r="AA358" s="25"/>
      <c r="AB358" s="25"/>
      <c r="AC358" s="25"/>
      <c r="AE358" s="25"/>
      <c r="AF358" s="49"/>
      <c r="AG358" s="25"/>
      <c r="AH358" s="25"/>
      <c r="AI358" s="25"/>
      <c r="AJ358" s="25"/>
      <c r="AK358" s="25"/>
    </row>
    <row r="359" spans="1:37" x14ac:dyDescent="0.25">
      <c r="A359" s="18" t="str">
        <f t="shared" si="5"/>
        <v/>
      </c>
      <c r="B359" s="25"/>
      <c r="C359" s="25"/>
      <c r="D359" s="25"/>
      <c r="E359" s="25"/>
      <c r="F359" s="25"/>
      <c r="G359" s="25"/>
      <c r="H359" s="37"/>
      <c r="I359" s="25"/>
      <c r="J359" s="38"/>
      <c r="K359" s="40"/>
      <c r="S359" s="25"/>
      <c r="T359" s="25" t="str">
        <f>IFERROR(IF(ISBLANK(S359),"",INDEX(Gen_Vessels!$A$3:$C$500,MATCH(InspectionSite!$S359,Gen_Vessels!$C$3:$C$500,0),1)),"")</f>
        <v/>
      </c>
      <c r="U359" s="25"/>
      <c r="V359" s="25"/>
      <c r="W359" s="25" t="str">
        <f>IFERROR(IF(ISBLANK(V359),"",INDEX(Gen_Vessels!$A$3:$C$500,MATCH(InspectionSite!$V359,Gen_Vessels!$C$3:$C$500,0),1)),"")</f>
        <v/>
      </c>
      <c r="X359" s="25"/>
      <c r="Y359" s="25"/>
      <c r="Z359" s="25"/>
      <c r="AA359" s="25"/>
      <c r="AB359" s="25"/>
      <c r="AC359" s="25"/>
      <c r="AE359" s="25"/>
      <c r="AF359" s="49"/>
      <c r="AG359" s="25"/>
      <c r="AH359" s="25"/>
      <c r="AI359" s="25"/>
      <c r="AJ359" s="25"/>
      <c r="AK359" s="25"/>
    </row>
    <row r="360" spans="1:37" x14ac:dyDescent="0.25">
      <c r="A360" s="18" t="str">
        <f t="shared" si="5"/>
        <v/>
      </c>
      <c r="B360" s="25"/>
      <c r="C360" s="25"/>
      <c r="D360" s="25"/>
      <c r="E360" s="25"/>
      <c r="F360" s="25"/>
      <c r="G360" s="25"/>
      <c r="H360" s="37"/>
      <c r="I360" s="25"/>
      <c r="J360" s="38"/>
      <c r="K360" s="40"/>
      <c r="S360" s="25"/>
      <c r="T360" s="25" t="str">
        <f>IFERROR(IF(ISBLANK(S360),"",INDEX(Gen_Vessels!$A$3:$C$500,MATCH(InspectionSite!$S360,Gen_Vessels!$C$3:$C$500,0),1)),"")</f>
        <v/>
      </c>
      <c r="U360" s="25"/>
      <c r="V360" s="25"/>
      <c r="W360" s="25" t="str">
        <f>IFERROR(IF(ISBLANK(V360),"",INDEX(Gen_Vessels!$A$3:$C$500,MATCH(InspectionSite!$V360,Gen_Vessels!$C$3:$C$500,0),1)),"")</f>
        <v/>
      </c>
      <c r="X360" s="25"/>
      <c r="Y360" s="25"/>
      <c r="Z360" s="25"/>
      <c r="AA360" s="25"/>
      <c r="AB360" s="25"/>
      <c r="AC360" s="25"/>
      <c r="AE360" s="25"/>
      <c r="AF360" s="49"/>
      <c r="AG360" s="25"/>
      <c r="AH360" s="25"/>
      <c r="AI360" s="25"/>
      <c r="AJ360" s="25"/>
      <c r="AK360" s="25"/>
    </row>
    <row r="361" spans="1:37" x14ac:dyDescent="0.25">
      <c r="A361" s="18" t="str">
        <f t="shared" si="5"/>
        <v/>
      </c>
      <c r="B361" s="25"/>
      <c r="C361" s="25"/>
      <c r="D361" s="25"/>
      <c r="E361" s="25"/>
      <c r="F361" s="25"/>
      <c r="G361" s="25"/>
      <c r="H361" s="37"/>
      <c r="I361" s="25"/>
      <c r="J361" s="38"/>
      <c r="K361" s="40"/>
      <c r="S361" s="25"/>
      <c r="T361" s="25" t="str">
        <f>IFERROR(IF(ISBLANK(S361),"",INDEX(Gen_Vessels!$A$3:$C$500,MATCH(InspectionSite!$S361,Gen_Vessels!$C$3:$C$500,0),1)),"")</f>
        <v/>
      </c>
      <c r="U361" s="25"/>
      <c r="V361" s="25"/>
      <c r="W361" s="25" t="str">
        <f>IFERROR(IF(ISBLANK(V361),"",INDEX(Gen_Vessels!$A$3:$C$500,MATCH(InspectionSite!$V361,Gen_Vessels!$C$3:$C$500,0),1)),"")</f>
        <v/>
      </c>
      <c r="X361" s="25"/>
      <c r="Y361" s="25"/>
      <c r="Z361" s="25"/>
      <c r="AA361" s="25"/>
      <c r="AB361" s="25"/>
      <c r="AC361" s="25"/>
      <c r="AE361" s="25"/>
      <c r="AF361" s="49"/>
      <c r="AG361" s="25"/>
      <c r="AH361" s="25"/>
      <c r="AI361" s="25"/>
      <c r="AJ361" s="25"/>
      <c r="AK361" s="25"/>
    </row>
    <row r="362" spans="1:37" x14ac:dyDescent="0.25">
      <c r="A362" s="18" t="str">
        <f t="shared" si="5"/>
        <v/>
      </c>
      <c r="B362" s="25"/>
      <c r="C362" s="25"/>
      <c r="D362" s="25"/>
      <c r="E362" s="25"/>
      <c r="F362" s="25"/>
      <c r="G362" s="25"/>
      <c r="H362" s="37"/>
      <c r="I362" s="25"/>
      <c r="J362" s="38"/>
      <c r="K362" s="40"/>
      <c r="S362" s="25"/>
      <c r="T362" s="25" t="str">
        <f>IFERROR(IF(ISBLANK(S362),"",INDEX(Gen_Vessels!$A$3:$C$500,MATCH(InspectionSite!$S362,Gen_Vessels!$C$3:$C$500,0),1)),"")</f>
        <v/>
      </c>
      <c r="U362" s="25"/>
      <c r="V362" s="25"/>
      <c r="W362" s="25" t="str">
        <f>IFERROR(IF(ISBLANK(V362),"",INDEX(Gen_Vessels!$A$3:$C$500,MATCH(InspectionSite!$V362,Gen_Vessels!$C$3:$C$500,0),1)),"")</f>
        <v/>
      </c>
      <c r="X362" s="25"/>
      <c r="Y362" s="25"/>
      <c r="Z362" s="25"/>
      <c r="AA362" s="25"/>
      <c r="AB362" s="25"/>
      <c r="AC362" s="25"/>
      <c r="AE362" s="25"/>
      <c r="AF362" s="49"/>
      <c r="AG362" s="25"/>
      <c r="AH362" s="25"/>
      <c r="AI362" s="25"/>
      <c r="AJ362" s="25"/>
      <c r="AK362" s="25"/>
    </row>
    <row r="363" spans="1:37" x14ac:dyDescent="0.25">
      <c r="A363" s="18" t="str">
        <f t="shared" si="5"/>
        <v/>
      </c>
      <c r="B363" s="25"/>
      <c r="C363" s="25"/>
      <c r="D363" s="25"/>
      <c r="E363" s="25"/>
      <c r="F363" s="25"/>
      <c r="G363" s="25"/>
      <c r="H363" s="37"/>
      <c r="I363" s="25"/>
      <c r="J363" s="38"/>
      <c r="K363" s="40"/>
      <c r="S363" s="25"/>
      <c r="T363" s="25" t="str">
        <f>IFERROR(IF(ISBLANK(S363),"",INDEX(Gen_Vessels!$A$3:$C$500,MATCH(InspectionSite!$S363,Gen_Vessels!$C$3:$C$500,0),1)),"")</f>
        <v/>
      </c>
      <c r="U363" s="25"/>
      <c r="V363" s="25"/>
      <c r="W363" s="25" t="str">
        <f>IFERROR(IF(ISBLANK(V363),"",INDEX(Gen_Vessels!$A$3:$C$500,MATCH(InspectionSite!$V363,Gen_Vessels!$C$3:$C$500,0),1)),"")</f>
        <v/>
      </c>
      <c r="X363" s="25"/>
      <c r="Y363" s="25"/>
      <c r="Z363" s="25"/>
      <c r="AA363" s="25"/>
      <c r="AB363" s="25"/>
      <c r="AC363" s="25"/>
      <c r="AE363" s="25"/>
      <c r="AF363" s="49"/>
      <c r="AG363" s="25"/>
      <c r="AH363" s="25"/>
      <c r="AI363" s="25"/>
      <c r="AJ363" s="25"/>
      <c r="AK363" s="25"/>
    </row>
    <row r="364" spans="1:37" x14ac:dyDescent="0.25">
      <c r="A364" s="18" t="str">
        <f t="shared" si="5"/>
        <v/>
      </c>
      <c r="B364" s="25"/>
      <c r="C364" s="25"/>
      <c r="D364" s="25"/>
      <c r="E364" s="25"/>
      <c r="F364" s="25"/>
      <c r="G364" s="25"/>
      <c r="H364" s="37"/>
      <c r="I364" s="25"/>
      <c r="J364" s="38"/>
      <c r="K364" s="40"/>
      <c r="S364" s="25"/>
      <c r="T364" s="25" t="str">
        <f>IFERROR(IF(ISBLANK(S364),"",INDEX(Gen_Vessels!$A$3:$C$500,MATCH(InspectionSite!$S364,Gen_Vessels!$C$3:$C$500,0),1)),"")</f>
        <v/>
      </c>
      <c r="U364" s="25"/>
      <c r="V364" s="25"/>
      <c r="W364" s="25" t="str">
        <f>IFERROR(IF(ISBLANK(V364),"",INDEX(Gen_Vessels!$A$3:$C$500,MATCH(InspectionSite!$V364,Gen_Vessels!$C$3:$C$500,0),1)),"")</f>
        <v/>
      </c>
      <c r="X364" s="25"/>
      <c r="Y364" s="25"/>
      <c r="Z364" s="25"/>
      <c r="AA364" s="25"/>
      <c r="AB364" s="25"/>
      <c r="AC364" s="25"/>
      <c r="AE364" s="25"/>
      <c r="AF364" s="49"/>
      <c r="AG364" s="25"/>
      <c r="AH364" s="25"/>
      <c r="AI364" s="25"/>
      <c r="AJ364" s="25"/>
      <c r="AK364" s="25"/>
    </row>
    <row r="365" spans="1:37" x14ac:dyDescent="0.25">
      <c r="A365" s="18" t="str">
        <f t="shared" si="5"/>
        <v/>
      </c>
      <c r="B365" s="25"/>
      <c r="C365" s="25"/>
      <c r="D365" s="25"/>
      <c r="E365" s="25"/>
      <c r="F365" s="25"/>
      <c r="G365" s="25"/>
      <c r="H365" s="37"/>
      <c r="I365" s="25"/>
      <c r="J365" s="38"/>
      <c r="K365" s="40"/>
      <c r="S365" s="25"/>
      <c r="T365" s="25" t="str">
        <f>IFERROR(IF(ISBLANK(S365),"",INDEX(Gen_Vessels!$A$3:$C$500,MATCH(InspectionSite!$S365,Gen_Vessels!$C$3:$C$500,0),1)),"")</f>
        <v/>
      </c>
      <c r="U365" s="25"/>
      <c r="V365" s="25"/>
      <c r="W365" s="25" t="str">
        <f>IFERROR(IF(ISBLANK(V365),"",INDEX(Gen_Vessels!$A$3:$C$500,MATCH(InspectionSite!$V365,Gen_Vessels!$C$3:$C$500,0),1)),"")</f>
        <v/>
      </c>
      <c r="X365" s="25"/>
      <c r="Y365" s="25"/>
      <c r="Z365" s="25"/>
      <c r="AA365" s="25"/>
      <c r="AB365" s="25"/>
      <c r="AC365" s="25"/>
      <c r="AE365" s="25"/>
      <c r="AF365" s="49"/>
      <c r="AG365" s="25"/>
      <c r="AH365" s="25"/>
      <c r="AI365" s="25"/>
      <c r="AJ365" s="25"/>
      <c r="AK365" s="25"/>
    </row>
    <row r="366" spans="1:37" x14ac:dyDescent="0.25">
      <c r="A366" s="18" t="str">
        <f t="shared" si="5"/>
        <v/>
      </c>
      <c r="B366" s="25"/>
      <c r="C366" s="25"/>
      <c r="D366" s="25"/>
      <c r="E366" s="25"/>
      <c r="F366" s="25"/>
      <c r="G366" s="25"/>
      <c r="H366" s="37"/>
      <c r="I366" s="25"/>
      <c r="J366" s="38"/>
      <c r="K366" s="40"/>
      <c r="S366" s="25"/>
      <c r="T366" s="25" t="str">
        <f>IFERROR(IF(ISBLANK(S366),"",INDEX(Gen_Vessels!$A$3:$C$500,MATCH(InspectionSite!$S366,Gen_Vessels!$C$3:$C$500,0),1)),"")</f>
        <v/>
      </c>
      <c r="U366" s="25"/>
      <c r="V366" s="25"/>
      <c r="W366" s="25" t="str">
        <f>IFERROR(IF(ISBLANK(V366),"",INDEX(Gen_Vessels!$A$3:$C$500,MATCH(InspectionSite!$V366,Gen_Vessels!$C$3:$C$500,0),1)),"")</f>
        <v/>
      </c>
      <c r="X366" s="25"/>
      <c r="Y366" s="25"/>
      <c r="Z366" s="25"/>
      <c r="AA366" s="25"/>
      <c r="AB366" s="25"/>
      <c r="AC366" s="25"/>
      <c r="AE366" s="25"/>
      <c r="AF366" s="49"/>
      <c r="AG366" s="25"/>
      <c r="AH366" s="25"/>
      <c r="AI366" s="25"/>
      <c r="AJ366" s="25"/>
      <c r="AK366" s="25"/>
    </row>
    <row r="367" spans="1:37" x14ac:dyDescent="0.25">
      <c r="A367" s="18" t="str">
        <f t="shared" si="5"/>
        <v/>
      </c>
      <c r="B367" s="25"/>
      <c r="C367" s="25"/>
      <c r="D367" s="25"/>
      <c r="E367" s="25"/>
      <c r="F367" s="25"/>
      <c r="G367" s="25"/>
      <c r="H367" s="37"/>
      <c r="I367" s="25"/>
      <c r="J367" s="38"/>
      <c r="K367" s="40"/>
      <c r="S367" s="25"/>
      <c r="T367" s="25" t="str">
        <f>IFERROR(IF(ISBLANK(S367),"",INDEX(Gen_Vessels!$A$3:$C$500,MATCH(InspectionSite!$S367,Gen_Vessels!$C$3:$C$500,0),1)),"")</f>
        <v/>
      </c>
      <c r="U367" s="25"/>
      <c r="V367" s="25"/>
      <c r="W367" s="25" t="str">
        <f>IFERROR(IF(ISBLANK(V367),"",INDEX(Gen_Vessels!$A$3:$C$500,MATCH(InspectionSite!$V367,Gen_Vessels!$C$3:$C$500,0),1)),"")</f>
        <v/>
      </c>
      <c r="X367" s="25"/>
      <c r="Y367" s="25"/>
      <c r="Z367" s="25"/>
      <c r="AA367" s="25"/>
      <c r="AB367" s="25"/>
      <c r="AC367" s="25"/>
      <c r="AE367" s="25"/>
      <c r="AF367" s="49"/>
      <c r="AG367" s="25"/>
      <c r="AH367" s="25"/>
      <c r="AI367" s="25"/>
      <c r="AJ367" s="25"/>
      <c r="AK367" s="25"/>
    </row>
    <row r="368" spans="1:37" x14ac:dyDescent="0.25">
      <c r="A368" s="18" t="str">
        <f t="shared" si="5"/>
        <v/>
      </c>
      <c r="B368" s="25"/>
      <c r="C368" s="25"/>
      <c r="D368" s="25"/>
      <c r="E368" s="25"/>
      <c r="F368" s="25"/>
      <c r="G368" s="25"/>
      <c r="H368" s="37"/>
      <c r="I368" s="25"/>
      <c r="J368" s="38"/>
      <c r="K368" s="40"/>
      <c r="S368" s="25"/>
      <c r="T368" s="25" t="str">
        <f>IFERROR(IF(ISBLANK(S368),"",INDEX(Gen_Vessels!$A$3:$C$500,MATCH(InspectionSite!$S368,Gen_Vessels!$C$3:$C$500,0),1)),"")</f>
        <v/>
      </c>
      <c r="U368" s="25"/>
      <c r="V368" s="25"/>
      <c r="W368" s="25" t="str">
        <f>IFERROR(IF(ISBLANK(V368),"",INDEX(Gen_Vessels!$A$3:$C$500,MATCH(InspectionSite!$V368,Gen_Vessels!$C$3:$C$500,0),1)),"")</f>
        <v/>
      </c>
      <c r="X368" s="25"/>
      <c r="Y368" s="25"/>
      <c r="Z368" s="25"/>
      <c r="AA368" s="25"/>
      <c r="AB368" s="25"/>
      <c r="AC368" s="25"/>
      <c r="AE368" s="25"/>
      <c r="AF368" s="49"/>
      <c r="AG368" s="25"/>
      <c r="AH368" s="25"/>
      <c r="AI368" s="25"/>
      <c r="AJ368" s="25"/>
      <c r="AK368" s="25"/>
    </row>
    <row r="369" spans="1:37" x14ac:dyDescent="0.25">
      <c r="A369" s="18" t="str">
        <f t="shared" si="5"/>
        <v/>
      </c>
      <c r="B369" s="25"/>
      <c r="C369" s="25"/>
      <c r="D369" s="25"/>
      <c r="E369" s="25"/>
      <c r="F369" s="25"/>
      <c r="G369" s="25"/>
      <c r="H369" s="37"/>
      <c r="I369" s="25"/>
      <c r="J369" s="38"/>
      <c r="K369" s="40"/>
      <c r="S369" s="25"/>
      <c r="T369" s="25" t="str">
        <f>IFERROR(IF(ISBLANK(S369),"",INDEX(Gen_Vessels!$A$3:$C$500,MATCH(InspectionSite!$S369,Gen_Vessels!$C$3:$C$500,0),1)),"")</f>
        <v/>
      </c>
      <c r="U369" s="25"/>
      <c r="V369" s="25"/>
      <c r="W369" s="25" t="str">
        <f>IFERROR(IF(ISBLANK(V369),"",INDEX(Gen_Vessels!$A$3:$C$500,MATCH(InspectionSite!$V369,Gen_Vessels!$C$3:$C$500,0),1)),"")</f>
        <v/>
      </c>
      <c r="X369" s="25"/>
      <c r="Y369" s="25"/>
      <c r="Z369" s="25"/>
      <c r="AA369" s="25"/>
      <c r="AB369" s="25"/>
      <c r="AC369" s="25"/>
      <c r="AE369" s="25"/>
      <c r="AF369" s="49"/>
      <c r="AG369" s="25"/>
      <c r="AH369" s="25"/>
      <c r="AI369" s="25"/>
      <c r="AJ369" s="25"/>
      <c r="AK369" s="25"/>
    </row>
    <row r="370" spans="1:37" x14ac:dyDescent="0.25">
      <c r="A370" s="18" t="str">
        <f t="shared" si="5"/>
        <v/>
      </c>
      <c r="B370" s="25"/>
      <c r="C370" s="25"/>
      <c r="D370" s="25"/>
      <c r="E370" s="25"/>
      <c r="F370" s="25"/>
      <c r="G370" s="25"/>
      <c r="H370" s="37"/>
      <c r="I370" s="25"/>
      <c r="J370" s="38"/>
      <c r="K370" s="40"/>
      <c r="S370" s="25"/>
      <c r="T370" s="25" t="str">
        <f>IFERROR(IF(ISBLANK(S370),"",INDEX(Gen_Vessels!$A$3:$C$500,MATCH(InspectionSite!$S370,Gen_Vessels!$C$3:$C$500,0),1)),"")</f>
        <v/>
      </c>
      <c r="U370" s="25"/>
      <c r="V370" s="25"/>
      <c r="W370" s="25" t="str">
        <f>IFERROR(IF(ISBLANK(V370),"",INDEX(Gen_Vessels!$A$3:$C$500,MATCH(InspectionSite!$V370,Gen_Vessels!$C$3:$C$500,0),1)),"")</f>
        <v/>
      </c>
      <c r="X370" s="25"/>
      <c r="Y370" s="25"/>
      <c r="Z370" s="25"/>
      <c r="AA370" s="25"/>
      <c r="AB370" s="25"/>
      <c r="AC370" s="25"/>
      <c r="AE370" s="25"/>
      <c r="AF370" s="49"/>
      <c r="AG370" s="25"/>
      <c r="AH370" s="25"/>
      <c r="AI370" s="25"/>
      <c r="AJ370" s="25"/>
      <c r="AK370" s="25"/>
    </row>
    <row r="371" spans="1:37" x14ac:dyDescent="0.25">
      <c r="A371" s="18" t="str">
        <f t="shared" si="5"/>
        <v/>
      </c>
      <c r="B371" s="25"/>
      <c r="C371" s="25"/>
      <c r="D371" s="25"/>
      <c r="E371" s="25"/>
      <c r="F371" s="25"/>
      <c r="G371" s="25"/>
      <c r="H371" s="37"/>
      <c r="I371" s="25"/>
      <c r="J371" s="38"/>
      <c r="K371" s="40"/>
      <c r="S371" s="25"/>
      <c r="T371" s="25" t="str">
        <f>IFERROR(IF(ISBLANK(S371),"",INDEX(Gen_Vessels!$A$3:$C$500,MATCH(InspectionSite!$S371,Gen_Vessels!$C$3:$C$500,0),1)),"")</f>
        <v/>
      </c>
      <c r="U371" s="25"/>
      <c r="V371" s="25"/>
      <c r="W371" s="25" t="str">
        <f>IFERROR(IF(ISBLANK(V371),"",INDEX(Gen_Vessels!$A$3:$C$500,MATCH(InspectionSite!$V371,Gen_Vessels!$C$3:$C$500,0),1)),"")</f>
        <v/>
      </c>
      <c r="X371" s="25"/>
      <c r="Y371" s="25"/>
      <c r="Z371" s="25"/>
      <c r="AA371" s="25"/>
      <c r="AB371" s="25"/>
      <c r="AC371" s="25"/>
      <c r="AE371" s="25"/>
      <c r="AF371" s="49"/>
      <c r="AG371" s="25"/>
      <c r="AH371" s="25"/>
      <c r="AI371" s="25"/>
      <c r="AJ371" s="25"/>
      <c r="AK371" s="25"/>
    </row>
    <row r="372" spans="1:37" x14ac:dyDescent="0.25">
      <c r="A372" s="18" t="str">
        <f t="shared" si="5"/>
        <v/>
      </c>
      <c r="B372" s="25"/>
      <c r="C372" s="25"/>
      <c r="D372" s="25"/>
      <c r="E372" s="25"/>
      <c r="F372" s="25"/>
      <c r="G372" s="25"/>
      <c r="H372" s="37"/>
      <c r="I372" s="25"/>
      <c r="J372" s="38"/>
      <c r="K372" s="40"/>
      <c r="S372" s="25"/>
      <c r="T372" s="25" t="str">
        <f>IFERROR(IF(ISBLANK(S372),"",INDEX(Gen_Vessels!$A$3:$C$500,MATCH(InspectionSite!$S372,Gen_Vessels!$C$3:$C$500,0),1)),"")</f>
        <v/>
      </c>
      <c r="U372" s="25"/>
      <c r="V372" s="25"/>
      <c r="W372" s="25" t="str">
        <f>IFERROR(IF(ISBLANK(V372),"",INDEX(Gen_Vessels!$A$3:$C$500,MATCH(InspectionSite!$V372,Gen_Vessels!$C$3:$C$500,0),1)),"")</f>
        <v/>
      </c>
      <c r="X372" s="25"/>
      <c r="Y372" s="25"/>
      <c r="Z372" s="25"/>
      <c r="AA372" s="25"/>
      <c r="AB372" s="25"/>
      <c r="AC372" s="25"/>
      <c r="AE372" s="25"/>
      <c r="AF372" s="49"/>
      <c r="AG372" s="25"/>
      <c r="AH372" s="25"/>
      <c r="AI372" s="25"/>
      <c r="AJ372" s="25"/>
      <c r="AK372" s="25"/>
    </row>
    <row r="373" spans="1:37" x14ac:dyDescent="0.25">
      <c r="A373" s="18" t="str">
        <f t="shared" si="5"/>
        <v/>
      </c>
      <c r="B373" s="25"/>
      <c r="C373" s="25"/>
      <c r="D373" s="25"/>
      <c r="E373" s="25"/>
      <c r="F373" s="25"/>
      <c r="G373" s="25"/>
      <c r="H373" s="37"/>
      <c r="I373" s="25"/>
      <c r="J373" s="38"/>
      <c r="K373" s="40"/>
      <c r="S373" s="25"/>
      <c r="T373" s="25" t="str">
        <f>IFERROR(IF(ISBLANK(S373),"",INDEX(Gen_Vessels!$A$3:$C$500,MATCH(InspectionSite!$S373,Gen_Vessels!$C$3:$C$500,0),1)),"")</f>
        <v/>
      </c>
      <c r="U373" s="25"/>
      <c r="V373" s="25"/>
      <c r="W373" s="25" t="str">
        <f>IFERROR(IF(ISBLANK(V373),"",INDEX(Gen_Vessels!$A$3:$C$500,MATCH(InspectionSite!$V373,Gen_Vessels!$C$3:$C$500,0),1)),"")</f>
        <v/>
      </c>
      <c r="X373" s="25"/>
      <c r="Y373" s="25"/>
      <c r="Z373" s="25"/>
      <c r="AA373" s="25"/>
      <c r="AB373" s="25"/>
      <c r="AC373" s="25"/>
      <c r="AE373" s="25"/>
      <c r="AF373" s="49"/>
      <c r="AG373" s="25"/>
      <c r="AH373" s="25"/>
      <c r="AI373" s="25"/>
      <c r="AJ373" s="25"/>
      <c r="AK373" s="25"/>
    </row>
    <row r="374" spans="1:37" x14ac:dyDescent="0.25">
      <c r="A374" s="18" t="str">
        <f t="shared" si="5"/>
        <v/>
      </c>
      <c r="B374" s="25"/>
      <c r="C374" s="25"/>
      <c r="D374" s="25"/>
      <c r="E374" s="25"/>
      <c r="F374" s="25"/>
      <c r="G374" s="25"/>
      <c r="H374" s="37"/>
      <c r="I374" s="25"/>
      <c r="J374" s="38"/>
      <c r="K374" s="40"/>
      <c r="S374" s="25"/>
      <c r="T374" s="25" t="str">
        <f>IFERROR(IF(ISBLANK(S374),"",INDEX(Gen_Vessels!$A$3:$C$500,MATCH(InspectionSite!$S374,Gen_Vessels!$C$3:$C$500,0),1)),"")</f>
        <v/>
      </c>
      <c r="U374" s="25"/>
      <c r="V374" s="25"/>
      <c r="W374" s="25" t="str">
        <f>IFERROR(IF(ISBLANK(V374),"",INDEX(Gen_Vessels!$A$3:$C$500,MATCH(InspectionSite!$V374,Gen_Vessels!$C$3:$C$500,0),1)),"")</f>
        <v/>
      </c>
      <c r="X374" s="25"/>
      <c r="Y374" s="25"/>
      <c r="Z374" s="25"/>
      <c r="AA374" s="25"/>
      <c r="AB374" s="25"/>
      <c r="AC374" s="25"/>
      <c r="AE374" s="25"/>
      <c r="AF374" s="49"/>
      <c r="AG374" s="25"/>
      <c r="AH374" s="25"/>
      <c r="AI374" s="25"/>
      <c r="AJ374" s="25"/>
      <c r="AK374" s="25"/>
    </row>
    <row r="375" spans="1:37" x14ac:dyDescent="0.25">
      <c r="A375" s="18" t="str">
        <f t="shared" si="5"/>
        <v/>
      </c>
      <c r="B375" s="25"/>
      <c r="C375" s="25"/>
      <c r="D375" s="25"/>
      <c r="E375" s="25"/>
      <c r="F375" s="25"/>
      <c r="G375" s="25"/>
      <c r="H375" s="37"/>
      <c r="I375" s="25"/>
      <c r="J375" s="38"/>
      <c r="K375" s="40"/>
      <c r="S375" s="25"/>
      <c r="T375" s="25" t="str">
        <f>IFERROR(IF(ISBLANK(S375),"",INDEX(Gen_Vessels!$A$3:$C$500,MATCH(InspectionSite!$S375,Gen_Vessels!$C$3:$C$500,0),1)),"")</f>
        <v/>
      </c>
      <c r="U375" s="25"/>
      <c r="V375" s="25"/>
      <c r="W375" s="25" t="str">
        <f>IFERROR(IF(ISBLANK(V375),"",INDEX(Gen_Vessels!$A$3:$C$500,MATCH(InspectionSite!$V375,Gen_Vessels!$C$3:$C$500,0),1)),"")</f>
        <v/>
      </c>
      <c r="X375" s="25"/>
      <c r="Y375" s="25"/>
      <c r="Z375" s="25"/>
      <c r="AA375" s="25"/>
      <c r="AB375" s="25"/>
      <c r="AC375" s="25"/>
      <c r="AE375" s="25"/>
      <c r="AF375" s="49"/>
      <c r="AG375" s="25"/>
      <c r="AH375" s="25"/>
      <c r="AI375" s="25"/>
      <c r="AJ375" s="25"/>
      <c r="AK375" s="25"/>
    </row>
    <row r="376" spans="1:37" x14ac:dyDescent="0.25">
      <c r="A376" s="18" t="str">
        <f t="shared" si="5"/>
        <v/>
      </c>
      <c r="B376" s="25"/>
      <c r="C376" s="25"/>
      <c r="D376" s="25"/>
      <c r="E376" s="25"/>
      <c r="F376" s="25"/>
      <c r="G376" s="25"/>
      <c r="H376" s="37"/>
      <c r="I376" s="25"/>
      <c r="J376" s="38"/>
      <c r="K376" s="40"/>
      <c r="S376" s="25"/>
      <c r="T376" s="25" t="str">
        <f>IFERROR(IF(ISBLANK(S376),"",INDEX(Gen_Vessels!$A$3:$C$500,MATCH(InspectionSite!$S376,Gen_Vessels!$C$3:$C$500,0),1)),"")</f>
        <v/>
      </c>
      <c r="U376" s="25"/>
      <c r="V376" s="25"/>
      <c r="W376" s="25" t="str">
        <f>IFERROR(IF(ISBLANK(V376),"",INDEX(Gen_Vessels!$A$3:$C$500,MATCH(InspectionSite!$V376,Gen_Vessels!$C$3:$C$500,0),1)),"")</f>
        <v/>
      </c>
      <c r="X376" s="25"/>
      <c r="Y376" s="25"/>
      <c r="Z376" s="25"/>
      <c r="AA376" s="25"/>
      <c r="AB376" s="25"/>
      <c r="AC376" s="25"/>
      <c r="AE376" s="25"/>
      <c r="AF376" s="49"/>
      <c r="AG376" s="25"/>
      <c r="AH376" s="25"/>
      <c r="AI376" s="25"/>
      <c r="AJ376" s="25"/>
      <c r="AK376" s="25"/>
    </row>
    <row r="377" spans="1:37" x14ac:dyDescent="0.25">
      <c r="A377" s="18" t="str">
        <f t="shared" si="5"/>
        <v/>
      </c>
      <c r="B377" s="25"/>
      <c r="C377" s="25"/>
      <c r="D377" s="25"/>
      <c r="E377" s="25"/>
      <c r="F377" s="25"/>
      <c r="G377" s="25"/>
      <c r="H377" s="37"/>
      <c r="I377" s="25"/>
      <c r="J377" s="38"/>
      <c r="K377" s="40"/>
      <c r="S377" s="25"/>
      <c r="T377" s="25" t="str">
        <f>IFERROR(IF(ISBLANK(S377),"",INDEX(Gen_Vessels!$A$3:$C$500,MATCH(InspectionSite!$S377,Gen_Vessels!$C$3:$C$500,0),1)),"")</f>
        <v/>
      </c>
      <c r="U377" s="25"/>
      <c r="V377" s="25"/>
      <c r="W377" s="25" t="str">
        <f>IFERROR(IF(ISBLANK(V377),"",INDEX(Gen_Vessels!$A$3:$C$500,MATCH(InspectionSite!$V377,Gen_Vessels!$C$3:$C$500,0),1)),"")</f>
        <v/>
      </c>
      <c r="X377" s="25"/>
      <c r="Y377" s="25"/>
      <c r="Z377" s="25"/>
      <c r="AA377" s="25"/>
      <c r="AB377" s="25"/>
      <c r="AC377" s="25"/>
      <c r="AE377" s="25"/>
      <c r="AF377" s="49"/>
      <c r="AG377" s="25"/>
      <c r="AH377" s="25"/>
      <c r="AI377" s="25"/>
      <c r="AJ377" s="25"/>
      <c r="AK377" s="25"/>
    </row>
    <row r="378" spans="1:37" x14ac:dyDescent="0.25">
      <c r="A378" s="18" t="str">
        <f t="shared" si="5"/>
        <v/>
      </c>
      <c r="B378" s="25"/>
      <c r="C378" s="25"/>
      <c r="D378" s="25"/>
      <c r="E378" s="25"/>
      <c r="F378" s="25"/>
      <c r="G378" s="25"/>
      <c r="H378" s="37"/>
      <c r="I378" s="25"/>
      <c r="J378" s="38"/>
      <c r="K378" s="40"/>
      <c r="S378" s="25"/>
      <c r="T378" s="25" t="str">
        <f>IFERROR(IF(ISBLANK(S378),"",INDEX(Gen_Vessels!$A$3:$C$500,MATCH(InspectionSite!$S378,Gen_Vessels!$C$3:$C$500,0),1)),"")</f>
        <v/>
      </c>
      <c r="U378" s="25"/>
      <c r="V378" s="25"/>
      <c r="W378" s="25" t="str">
        <f>IFERROR(IF(ISBLANK(V378),"",INDEX(Gen_Vessels!$A$3:$C$500,MATCH(InspectionSite!$V378,Gen_Vessels!$C$3:$C$500,0),1)),"")</f>
        <v/>
      </c>
      <c r="X378" s="25"/>
      <c r="Y378" s="25"/>
      <c r="Z378" s="25"/>
      <c r="AA378" s="25"/>
      <c r="AB378" s="25"/>
      <c r="AC378" s="25"/>
      <c r="AE378" s="25"/>
      <c r="AF378" s="49"/>
      <c r="AG378" s="25"/>
      <c r="AH378" s="25"/>
      <c r="AI378" s="25"/>
      <c r="AJ378" s="25"/>
      <c r="AK378" s="25"/>
    </row>
    <row r="379" spans="1:37" x14ac:dyDescent="0.25">
      <c r="A379" s="18" t="str">
        <f t="shared" si="5"/>
        <v/>
      </c>
      <c r="B379" s="25"/>
      <c r="C379" s="25"/>
      <c r="D379" s="25"/>
      <c r="E379" s="25"/>
      <c r="F379" s="25"/>
      <c r="G379" s="25"/>
      <c r="H379" s="37"/>
      <c r="I379" s="25"/>
      <c r="J379" s="38"/>
      <c r="K379" s="40"/>
      <c r="S379" s="25"/>
      <c r="T379" s="25" t="str">
        <f>IFERROR(IF(ISBLANK(S379),"",INDEX(Gen_Vessels!$A$3:$C$500,MATCH(InspectionSite!$S379,Gen_Vessels!$C$3:$C$500,0),1)),"")</f>
        <v/>
      </c>
      <c r="U379" s="25"/>
      <c r="V379" s="25"/>
      <c r="W379" s="25" t="str">
        <f>IFERROR(IF(ISBLANK(V379),"",INDEX(Gen_Vessels!$A$3:$C$500,MATCH(InspectionSite!$V379,Gen_Vessels!$C$3:$C$500,0),1)),"")</f>
        <v/>
      </c>
      <c r="X379" s="25"/>
      <c r="Y379" s="25"/>
      <c r="Z379" s="25"/>
      <c r="AA379" s="25"/>
      <c r="AB379" s="25"/>
      <c r="AC379" s="25"/>
      <c r="AE379" s="25"/>
      <c r="AF379" s="49"/>
      <c r="AG379" s="25"/>
      <c r="AH379" s="25"/>
      <c r="AI379" s="25"/>
      <c r="AJ379" s="25"/>
      <c r="AK379" s="25"/>
    </row>
    <row r="380" spans="1:37" x14ac:dyDescent="0.25">
      <c r="A380" s="18" t="str">
        <f t="shared" si="5"/>
        <v/>
      </c>
      <c r="B380" s="25"/>
      <c r="C380" s="25"/>
      <c r="D380" s="25"/>
      <c r="E380" s="25"/>
      <c r="F380" s="25"/>
      <c r="G380" s="25"/>
      <c r="H380" s="37"/>
      <c r="I380" s="25"/>
      <c r="J380" s="38"/>
      <c r="K380" s="40"/>
      <c r="S380" s="25"/>
      <c r="T380" s="25" t="str">
        <f>IFERROR(IF(ISBLANK(S380),"",INDEX(Gen_Vessels!$A$3:$C$500,MATCH(InspectionSite!$S380,Gen_Vessels!$C$3:$C$500,0),1)),"")</f>
        <v/>
      </c>
      <c r="U380" s="25"/>
      <c r="V380" s="25"/>
      <c r="W380" s="25" t="str">
        <f>IFERROR(IF(ISBLANK(V380),"",INDEX(Gen_Vessels!$A$3:$C$500,MATCH(InspectionSite!$V380,Gen_Vessels!$C$3:$C$500,0),1)),"")</f>
        <v/>
      </c>
      <c r="X380" s="25"/>
      <c r="Y380" s="25"/>
      <c r="Z380" s="25"/>
      <c r="AA380" s="25"/>
      <c r="AB380" s="25"/>
      <c r="AC380" s="25"/>
      <c r="AE380" s="25"/>
      <c r="AF380" s="49"/>
      <c r="AG380" s="25"/>
      <c r="AH380" s="25"/>
      <c r="AI380" s="25"/>
      <c r="AJ380" s="25"/>
      <c r="AK380" s="25"/>
    </row>
    <row r="381" spans="1:37" x14ac:dyDescent="0.25">
      <c r="A381" s="18" t="str">
        <f t="shared" si="5"/>
        <v/>
      </c>
      <c r="B381" s="25"/>
      <c r="C381" s="25"/>
      <c r="D381" s="25"/>
      <c r="E381" s="25"/>
      <c r="F381" s="25"/>
      <c r="G381" s="25"/>
      <c r="H381" s="37"/>
      <c r="I381" s="25"/>
      <c r="J381" s="38"/>
      <c r="K381" s="40"/>
      <c r="S381" s="25"/>
      <c r="T381" s="25" t="str">
        <f>IFERROR(IF(ISBLANK(S381),"",INDEX(Gen_Vessels!$A$3:$C$500,MATCH(InspectionSite!$S381,Gen_Vessels!$C$3:$C$500,0),1)),"")</f>
        <v/>
      </c>
      <c r="U381" s="25"/>
      <c r="V381" s="25"/>
      <c r="W381" s="25" t="str">
        <f>IFERROR(IF(ISBLANK(V381),"",INDEX(Gen_Vessels!$A$3:$C$500,MATCH(InspectionSite!$V381,Gen_Vessels!$C$3:$C$500,0),1)),"")</f>
        <v/>
      </c>
      <c r="X381" s="25"/>
      <c r="Y381" s="25"/>
      <c r="Z381" s="25"/>
      <c r="AA381" s="25"/>
      <c r="AB381" s="25"/>
      <c r="AC381" s="25"/>
      <c r="AE381" s="25"/>
      <c r="AF381" s="49"/>
      <c r="AG381" s="25"/>
      <c r="AH381" s="25"/>
      <c r="AI381" s="25"/>
      <c r="AJ381" s="25"/>
      <c r="AK381" s="25"/>
    </row>
    <row r="382" spans="1:37" x14ac:dyDescent="0.25">
      <c r="A382" s="18" t="str">
        <f t="shared" si="5"/>
        <v/>
      </c>
      <c r="B382" s="25"/>
      <c r="C382" s="25"/>
      <c r="D382" s="25"/>
      <c r="E382" s="25"/>
      <c r="F382" s="25"/>
      <c r="G382" s="25"/>
      <c r="H382" s="37"/>
      <c r="I382" s="25"/>
      <c r="J382" s="38"/>
      <c r="K382" s="40"/>
      <c r="S382" s="25"/>
      <c r="T382" s="25" t="str">
        <f>IFERROR(IF(ISBLANK(S382),"",INDEX(Gen_Vessels!$A$3:$C$500,MATCH(InspectionSite!$S382,Gen_Vessels!$C$3:$C$500,0),1)),"")</f>
        <v/>
      </c>
      <c r="U382" s="25"/>
      <c r="V382" s="25"/>
      <c r="W382" s="25" t="str">
        <f>IFERROR(IF(ISBLANK(V382),"",INDEX(Gen_Vessels!$A$3:$C$500,MATCH(InspectionSite!$V382,Gen_Vessels!$C$3:$C$500,0),1)),"")</f>
        <v/>
      </c>
      <c r="X382" s="25"/>
      <c r="Y382" s="25"/>
      <c r="Z382" s="25"/>
      <c r="AA382" s="25"/>
      <c r="AB382" s="25"/>
      <c r="AC382" s="25"/>
      <c r="AE382" s="25"/>
      <c r="AF382" s="49"/>
      <c r="AG382" s="25"/>
      <c r="AH382" s="25"/>
      <c r="AI382" s="25"/>
      <c r="AJ382" s="25"/>
      <c r="AK382" s="25"/>
    </row>
    <row r="383" spans="1:37" x14ac:dyDescent="0.25">
      <c r="A383" s="18" t="str">
        <f t="shared" si="5"/>
        <v/>
      </c>
      <c r="B383" s="25"/>
      <c r="C383" s="25"/>
      <c r="D383" s="25"/>
      <c r="E383" s="25"/>
      <c r="F383" s="25"/>
      <c r="G383" s="25"/>
      <c r="H383" s="37"/>
      <c r="I383" s="25"/>
      <c r="J383" s="38"/>
      <c r="K383" s="40"/>
      <c r="S383" s="25"/>
      <c r="T383" s="25" t="str">
        <f>IFERROR(IF(ISBLANK(S383),"",INDEX(Gen_Vessels!$A$3:$C$500,MATCH(InspectionSite!$S383,Gen_Vessels!$C$3:$C$500,0),1)),"")</f>
        <v/>
      </c>
      <c r="U383" s="25"/>
      <c r="V383" s="25"/>
      <c r="W383" s="25" t="str">
        <f>IFERROR(IF(ISBLANK(V383),"",INDEX(Gen_Vessels!$A$3:$C$500,MATCH(InspectionSite!$V383,Gen_Vessels!$C$3:$C$500,0),1)),"")</f>
        <v/>
      </c>
      <c r="X383" s="25"/>
      <c r="Y383" s="25"/>
      <c r="Z383" s="25"/>
      <c r="AA383" s="25"/>
      <c r="AB383" s="25"/>
      <c r="AC383" s="25"/>
      <c r="AE383" s="25"/>
      <c r="AF383" s="49"/>
      <c r="AG383" s="25"/>
      <c r="AH383" s="25"/>
      <c r="AI383" s="25"/>
      <c r="AJ383" s="25"/>
      <c r="AK383" s="25"/>
    </row>
    <row r="384" spans="1:37" x14ac:dyDescent="0.25">
      <c r="A384" s="18" t="str">
        <f t="shared" si="5"/>
        <v/>
      </c>
      <c r="B384" s="25"/>
      <c r="C384" s="25"/>
      <c r="D384" s="25"/>
      <c r="E384" s="25"/>
      <c r="F384" s="25"/>
      <c r="G384" s="25"/>
      <c r="H384" s="37"/>
      <c r="I384" s="25"/>
      <c r="J384" s="38"/>
      <c r="K384" s="40"/>
      <c r="S384" s="25"/>
      <c r="T384" s="25" t="str">
        <f>IFERROR(IF(ISBLANK(S384),"",INDEX(Gen_Vessels!$A$3:$C$500,MATCH(InspectionSite!$S384,Gen_Vessels!$C$3:$C$500,0),1)),"")</f>
        <v/>
      </c>
      <c r="U384" s="25"/>
      <c r="V384" s="25"/>
      <c r="W384" s="25" t="str">
        <f>IFERROR(IF(ISBLANK(V384),"",INDEX(Gen_Vessels!$A$3:$C$500,MATCH(InspectionSite!$V384,Gen_Vessels!$C$3:$C$500,0),1)),"")</f>
        <v/>
      </c>
      <c r="X384" s="25"/>
      <c r="Y384" s="25"/>
      <c r="Z384" s="25"/>
      <c r="AA384" s="25"/>
      <c r="AB384" s="25"/>
      <c r="AC384" s="25"/>
      <c r="AE384" s="25"/>
      <c r="AF384" s="49"/>
      <c r="AG384" s="25"/>
      <c r="AH384" s="25"/>
      <c r="AI384" s="25"/>
      <c r="AJ384" s="25"/>
      <c r="AK384" s="25"/>
    </row>
    <row r="385" spans="1:37" x14ac:dyDescent="0.25">
      <c r="A385" s="18" t="str">
        <f t="shared" si="5"/>
        <v/>
      </c>
      <c r="B385" s="25"/>
      <c r="C385" s="25"/>
      <c r="D385" s="25"/>
      <c r="E385" s="25"/>
      <c r="F385" s="25"/>
      <c r="G385" s="25"/>
      <c r="H385" s="37"/>
      <c r="I385" s="25"/>
      <c r="J385" s="38"/>
      <c r="K385" s="40"/>
      <c r="S385" s="25"/>
      <c r="T385" s="25" t="str">
        <f>IFERROR(IF(ISBLANK(S385),"",INDEX(Gen_Vessels!$A$3:$C$500,MATCH(InspectionSite!$S385,Gen_Vessels!$C$3:$C$500,0),1)),"")</f>
        <v/>
      </c>
      <c r="U385" s="25"/>
      <c r="V385" s="25"/>
      <c r="W385" s="25" t="str">
        <f>IFERROR(IF(ISBLANK(V385),"",INDEX(Gen_Vessels!$A$3:$C$500,MATCH(InspectionSite!$V385,Gen_Vessels!$C$3:$C$500,0),1)),"")</f>
        <v/>
      </c>
      <c r="X385" s="25"/>
      <c r="Y385" s="25"/>
      <c r="Z385" s="25"/>
      <c r="AA385" s="25"/>
      <c r="AB385" s="25"/>
      <c r="AC385" s="25"/>
      <c r="AE385" s="25"/>
      <c r="AF385" s="49"/>
      <c r="AG385" s="25"/>
      <c r="AH385" s="25"/>
      <c r="AI385" s="25"/>
      <c r="AJ385" s="25"/>
      <c r="AK385" s="25"/>
    </row>
    <row r="386" spans="1:37" x14ac:dyDescent="0.25">
      <c r="A386" s="18" t="str">
        <f t="shared" si="5"/>
        <v/>
      </c>
      <c r="B386" s="25"/>
      <c r="C386" s="25"/>
      <c r="D386" s="25"/>
      <c r="E386" s="25"/>
      <c r="F386" s="25"/>
      <c r="G386" s="25"/>
      <c r="H386" s="37"/>
      <c r="I386" s="25"/>
      <c r="J386" s="38"/>
      <c r="K386" s="40"/>
      <c r="S386" s="25"/>
      <c r="T386" s="25" t="str">
        <f>IFERROR(IF(ISBLANK(S386),"",INDEX(Gen_Vessels!$A$3:$C$500,MATCH(InspectionSite!$S386,Gen_Vessels!$C$3:$C$500,0),1)),"")</f>
        <v/>
      </c>
      <c r="U386" s="25"/>
      <c r="V386" s="25"/>
      <c r="W386" s="25" t="str">
        <f>IFERROR(IF(ISBLANK(V386),"",INDEX(Gen_Vessels!$A$3:$C$500,MATCH(InspectionSite!$V386,Gen_Vessels!$C$3:$C$500,0),1)),"")</f>
        <v/>
      </c>
      <c r="X386" s="25"/>
      <c r="Y386" s="25"/>
      <c r="Z386" s="25"/>
      <c r="AA386" s="25"/>
      <c r="AB386" s="25"/>
      <c r="AC386" s="25"/>
      <c r="AE386" s="25"/>
      <c r="AF386" s="49"/>
      <c r="AG386" s="25"/>
      <c r="AH386" s="25"/>
      <c r="AI386" s="25"/>
      <c r="AJ386" s="25"/>
      <c r="AK386" s="25"/>
    </row>
    <row r="387" spans="1:37" x14ac:dyDescent="0.25">
      <c r="A387" s="18" t="str">
        <f t="shared" si="5"/>
        <v/>
      </c>
      <c r="B387" s="25"/>
      <c r="C387" s="25"/>
      <c r="D387" s="25"/>
      <c r="E387" s="25"/>
      <c r="F387" s="25"/>
      <c r="G387" s="25"/>
      <c r="H387" s="37"/>
      <c r="I387" s="25"/>
      <c r="J387" s="38"/>
      <c r="K387" s="40"/>
      <c r="S387" s="25"/>
      <c r="T387" s="25" t="str">
        <f>IFERROR(IF(ISBLANK(S387),"",INDEX(Gen_Vessels!$A$3:$C$500,MATCH(InspectionSite!$S387,Gen_Vessels!$C$3:$C$500,0),1)),"")</f>
        <v/>
      </c>
      <c r="U387" s="25"/>
      <c r="V387" s="25"/>
      <c r="W387" s="25" t="str">
        <f>IFERROR(IF(ISBLANK(V387),"",INDEX(Gen_Vessels!$A$3:$C$500,MATCH(InspectionSite!$V387,Gen_Vessels!$C$3:$C$500,0),1)),"")</f>
        <v/>
      </c>
      <c r="X387" s="25"/>
      <c r="Y387" s="25"/>
      <c r="Z387" s="25"/>
      <c r="AA387" s="25"/>
      <c r="AB387" s="25"/>
      <c r="AC387" s="25"/>
      <c r="AE387" s="25"/>
      <c r="AF387" s="49"/>
      <c r="AG387" s="25"/>
      <c r="AH387" s="25"/>
      <c r="AI387" s="25"/>
      <c r="AJ387" s="25"/>
      <c r="AK387" s="25"/>
    </row>
    <row r="388" spans="1:37" x14ac:dyDescent="0.25">
      <c r="A388" s="18" t="str">
        <f t="shared" si="5"/>
        <v/>
      </c>
      <c r="B388" s="25"/>
      <c r="C388" s="25"/>
      <c r="D388" s="25"/>
      <c r="E388" s="25"/>
      <c r="F388" s="25"/>
      <c r="G388" s="25"/>
      <c r="H388" s="37"/>
      <c r="I388" s="25"/>
      <c r="J388" s="38"/>
      <c r="K388" s="40"/>
      <c r="S388" s="25"/>
      <c r="T388" s="25" t="str">
        <f>IFERROR(IF(ISBLANK(S388),"",INDEX(Gen_Vessels!$A$3:$C$500,MATCH(InspectionSite!$S388,Gen_Vessels!$C$3:$C$500,0),1)),"")</f>
        <v/>
      </c>
      <c r="U388" s="25"/>
      <c r="V388" s="25"/>
      <c r="W388" s="25" t="str">
        <f>IFERROR(IF(ISBLANK(V388),"",INDEX(Gen_Vessels!$A$3:$C$500,MATCH(InspectionSite!$V388,Gen_Vessels!$C$3:$C$500,0),1)),"")</f>
        <v/>
      </c>
      <c r="X388" s="25"/>
      <c r="Y388" s="25"/>
      <c r="Z388" s="25"/>
      <c r="AA388" s="25"/>
      <c r="AB388" s="25"/>
      <c r="AC388" s="25"/>
      <c r="AE388" s="25"/>
      <c r="AF388" s="49"/>
      <c r="AG388" s="25"/>
      <c r="AH388" s="25"/>
      <c r="AI388" s="25"/>
      <c r="AJ388" s="25"/>
      <c r="AK388" s="25"/>
    </row>
    <row r="389" spans="1:37" x14ac:dyDescent="0.25">
      <c r="A389" s="18" t="str">
        <f t="shared" ref="A389:A452" si="6">IF(ISBLANK($B389)=FALSE,IF(AND($H389&gt;0,$I389&lt;=0,$J389&lt;=0),_xlfn.CONCAT("ofw_",$B389),IF(AND($H389&lt;=0,$I389&gt;0,$J389&lt;=0),_xlfn.CONCAT("owc_",$B389),IF(AND($H389&lt;=0,$I389&lt;=0,$J389&gt;0),_xlfn.CONCAT("opv_",$B389),_xlfn.CONCAT("oce_",$B389)))),"")</f>
        <v/>
      </c>
      <c r="B389" s="25"/>
      <c r="C389" s="25"/>
      <c r="D389" s="25"/>
      <c r="E389" s="25"/>
      <c r="F389" s="25"/>
      <c r="G389" s="25"/>
      <c r="H389" s="37"/>
      <c r="I389" s="25"/>
      <c r="J389" s="38"/>
      <c r="K389" s="40"/>
      <c r="S389" s="25"/>
      <c r="T389" s="25" t="str">
        <f>IFERROR(IF(ISBLANK(S389),"",INDEX(Gen_Vessels!$A$3:$C$500,MATCH(InspectionSite!$S389,Gen_Vessels!$C$3:$C$500,0),1)),"")</f>
        <v/>
      </c>
      <c r="U389" s="25"/>
      <c r="V389" s="25"/>
      <c r="W389" s="25" t="str">
        <f>IFERROR(IF(ISBLANK(V389),"",INDEX(Gen_Vessels!$A$3:$C$500,MATCH(InspectionSite!$V389,Gen_Vessels!$C$3:$C$500,0),1)),"")</f>
        <v/>
      </c>
      <c r="X389" s="25"/>
      <c r="Y389" s="25"/>
      <c r="Z389" s="25"/>
      <c r="AA389" s="25"/>
      <c r="AB389" s="25"/>
      <c r="AC389" s="25"/>
      <c r="AE389" s="25"/>
      <c r="AF389" s="49"/>
      <c r="AG389" s="25"/>
      <c r="AH389" s="25"/>
      <c r="AI389" s="25"/>
      <c r="AJ389" s="25"/>
      <c r="AK389" s="25"/>
    </row>
    <row r="390" spans="1:37" x14ac:dyDescent="0.25">
      <c r="A390" s="18" t="str">
        <f t="shared" si="6"/>
        <v/>
      </c>
      <c r="B390" s="25"/>
      <c r="C390" s="25"/>
      <c r="D390" s="25"/>
      <c r="E390" s="25"/>
      <c r="F390" s="25"/>
      <c r="G390" s="25"/>
      <c r="H390" s="37"/>
      <c r="I390" s="25"/>
      <c r="J390" s="38"/>
      <c r="K390" s="40"/>
      <c r="S390" s="25"/>
      <c r="T390" s="25" t="str">
        <f>IFERROR(IF(ISBLANK(S390),"",INDEX(Gen_Vessels!$A$3:$C$500,MATCH(InspectionSite!$S390,Gen_Vessels!$C$3:$C$500,0),1)),"")</f>
        <v/>
      </c>
      <c r="U390" s="25"/>
      <c r="V390" s="25"/>
      <c r="W390" s="25" t="str">
        <f>IFERROR(IF(ISBLANK(V390),"",INDEX(Gen_Vessels!$A$3:$C$500,MATCH(InspectionSite!$V390,Gen_Vessels!$C$3:$C$500,0),1)),"")</f>
        <v/>
      </c>
      <c r="X390" s="25"/>
      <c r="Y390" s="25"/>
      <c r="Z390" s="25"/>
      <c r="AA390" s="25"/>
      <c r="AB390" s="25"/>
      <c r="AC390" s="25"/>
      <c r="AE390" s="25"/>
      <c r="AF390" s="49"/>
      <c r="AG390" s="25"/>
      <c r="AH390" s="25"/>
      <c r="AI390" s="25"/>
      <c r="AJ390" s="25"/>
      <c r="AK390" s="25"/>
    </row>
    <row r="391" spans="1:37" x14ac:dyDescent="0.25">
      <c r="A391" s="18" t="str">
        <f t="shared" si="6"/>
        <v/>
      </c>
      <c r="B391" s="25"/>
      <c r="C391" s="25"/>
      <c r="D391" s="25"/>
      <c r="E391" s="25"/>
      <c r="F391" s="25"/>
      <c r="G391" s="25"/>
      <c r="H391" s="37"/>
      <c r="I391" s="25"/>
      <c r="J391" s="38"/>
      <c r="K391" s="40"/>
      <c r="S391" s="25"/>
      <c r="T391" s="25" t="str">
        <f>IFERROR(IF(ISBLANK(S391),"",INDEX(Gen_Vessels!$A$3:$C$500,MATCH(InspectionSite!$S391,Gen_Vessels!$C$3:$C$500,0),1)),"")</f>
        <v/>
      </c>
      <c r="U391" s="25"/>
      <c r="V391" s="25"/>
      <c r="W391" s="25" t="str">
        <f>IFERROR(IF(ISBLANK(V391),"",INDEX(Gen_Vessels!$A$3:$C$500,MATCH(InspectionSite!$V391,Gen_Vessels!$C$3:$C$500,0),1)),"")</f>
        <v/>
      </c>
      <c r="X391" s="25"/>
      <c r="Y391" s="25"/>
      <c r="Z391" s="25"/>
      <c r="AA391" s="25"/>
      <c r="AB391" s="25"/>
      <c r="AC391" s="25"/>
      <c r="AE391" s="25"/>
      <c r="AF391" s="49"/>
      <c r="AG391" s="25"/>
      <c r="AH391" s="25"/>
      <c r="AI391" s="25"/>
      <c r="AJ391" s="25"/>
      <c r="AK391" s="25"/>
    </row>
    <row r="392" spans="1:37" x14ac:dyDescent="0.25">
      <c r="A392" s="18" t="str">
        <f t="shared" si="6"/>
        <v/>
      </c>
      <c r="B392" s="25"/>
      <c r="C392" s="25"/>
      <c r="D392" s="25"/>
      <c r="E392" s="25"/>
      <c r="F392" s="25"/>
      <c r="G392" s="25"/>
      <c r="H392" s="37"/>
      <c r="I392" s="25"/>
      <c r="J392" s="38"/>
      <c r="K392" s="40"/>
      <c r="S392" s="25"/>
      <c r="T392" s="25" t="str">
        <f>IFERROR(IF(ISBLANK(S392),"",INDEX(Gen_Vessels!$A$3:$C$500,MATCH(InspectionSite!$S392,Gen_Vessels!$C$3:$C$500,0),1)),"")</f>
        <v/>
      </c>
      <c r="U392" s="25"/>
      <c r="V392" s="25"/>
      <c r="W392" s="25" t="str">
        <f>IFERROR(IF(ISBLANK(V392),"",INDEX(Gen_Vessels!$A$3:$C$500,MATCH(InspectionSite!$V392,Gen_Vessels!$C$3:$C$500,0),1)),"")</f>
        <v/>
      </c>
      <c r="X392" s="25"/>
      <c r="Y392" s="25"/>
      <c r="Z392" s="25"/>
      <c r="AA392" s="25"/>
      <c r="AB392" s="25"/>
      <c r="AC392" s="25"/>
      <c r="AE392" s="25"/>
      <c r="AF392" s="49"/>
      <c r="AG392" s="25"/>
      <c r="AH392" s="25"/>
      <c r="AI392" s="25"/>
      <c r="AJ392" s="25"/>
      <c r="AK392" s="25"/>
    </row>
    <row r="393" spans="1:37" x14ac:dyDescent="0.25">
      <c r="A393" s="18" t="str">
        <f t="shared" si="6"/>
        <v/>
      </c>
      <c r="B393" s="25"/>
      <c r="C393" s="25"/>
      <c r="D393" s="25"/>
      <c r="E393" s="25"/>
      <c r="F393" s="25"/>
      <c r="G393" s="25"/>
      <c r="H393" s="37"/>
      <c r="I393" s="25"/>
      <c r="J393" s="38"/>
      <c r="K393" s="40"/>
      <c r="S393" s="25"/>
      <c r="T393" s="25" t="str">
        <f>IFERROR(IF(ISBLANK(S393),"",INDEX(Gen_Vessels!$A$3:$C$500,MATCH(InspectionSite!$S393,Gen_Vessels!$C$3:$C$500,0),1)),"")</f>
        <v/>
      </c>
      <c r="U393" s="25"/>
      <c r="V393" s="25"/>
      <c r="W393" s="25" t="str">
        <f>IFERROR(IF(ISBLANK(V393),"",INDEX(Gen_Vessels!$A$3:$C$500,MATCH(InspectionSite!$V393,Gen_Vessels!$C$3:$C$500,0),1)),"")</f>
        <v/>
      </c>
      <c r="X393" s="25"/>
      <c r="Y393" s="25"/>
      <c r="Z393" s="25"/>
      <c r="AA393" s="25"/>
      <c r="AB393" s="25"/>
      <c r="AC393" s="25"/>
      <c r="AE393" s="25"/>
      <c r="AF393" s="49"/>
      <c r="AG393" s="25"/>
      <c r="AH393" s="25"/>
      <c r="AI393" s="25"/>
      <c r="AJ393" s="25"/>
      <c r="AK393" s="25"/>
    </row>
    <row r="394" spans="1:37" x14ac:dyDescent="0.25">
      <c r="A394" s="18" t="str">
        <f t="shared" si="6"/>
        <v/>
      </c>
      <c r="B394" s="25"/>
      <c r="C394" s="25"/>
      <c r="D394" s="25"/>
      <c r="E394" s="25"/>
      <c r="F394" s="25"/>
      <c r="G394" s="25"/>
      <c r="H394" s="37"/>
      <c r="I394" s="25"/>
      <c r="J394" s="38"/>
      <c r="K394" s="40"/>
      <c r="S394" s="25"/>
      <c r="T394" s="25" t="str">
        <f>IFERROR(IF(ISBLANK(S394),"",INDEX(Gen_Vessels!$A$3:$C$500,MATCH(InspectionSite!$S394,Gen_Vessels!$C$3:$C$500,0),1)),"")</f>
        <v/>
      </c>
      <c r="U394" s="25"/>
      <c r="V394" s="25"/>
      <c r="W394" s="25" t="str">
        <f>IFERROR(IF(ISBLANK(V394),"",INDEX(Gen_Vessels!$A$3:$C$500,MATCH(InspectionSite!$V394,Gen_Vessels!$C$3:$C$500,0),1)),"")</f>
        <v/>
      </c>
      <c r="X394" s="25"/>
      <c r="Y394" s="25"/>
      <c r="Z394" s="25"/>
      <c r="AA394" s="25"/>
      <c r="AB394" s="25"/>
      <c r="AC394" s="25"/>
      <c r="AE394" s="25"/>
      <c r="AF394" s="49"/>
      <c r="AG394" s="25"/>
      <c r="AH394" s="25"/>
      <c r="AI394" s="25"/>
      <c r="AJ394" s="25"/>
      <c r="AK394" s="25"/>
    </row>
    <row r="395" spans="1:37" x14ac:dyDescent="0.25">
      <c r="A395" s="18" t="str">
        <f t="shared" si="6"/>
        <v/>
      </c>
      <c r="B395" s="25"/>
      <c r="C395" s="25"/>
      <c r="D395" s="25"/>
      <c r="E395" s="25"/>
      <c r="F395" s="25"/>
      <c r="G395" s="25"/>
      <c r="H395" s="37"/>
      <c r="I395" s="25"/>
      <c r="J395" s="38"/>
      <c r="K395" s="40"/>
      <c r="S395" s="25"/>
      <c r="T395" s="25" t="str">
        <f>IFERROR(IF(ISBLANK(S395),"",INDEX(Gen_Vessels!$A$3:$C$500,MATCH(InspectionSite!$S395,Gen_Vessels!$C$3:$C$500,0),1)),"")</f>
        <v/>
      </c>
      <c r="U395" s="25"/>
      <c r="V395" s="25"/>
      <c r="W395" s="25" t="str">
        <f>IFERROR(IF(ISBLANK(V395),"",INDEX(Gen_Vessels!$A$3:$C$500,MATCH(InspectionSite!$V395,Gen_Vessels!$C$3:$C$500,0),1)),"")</f>
        <v/>
      </c>
      <c r="X395" s="25"/>
      <c r="Y395" s="25"/>
      <c r="Z395" s="25"/>
      <c r="AA395" s="25"/>
      <c r="AB395" s="25"/>
      <c r="AC395" s="25"/>
      <c r="AE395" s="25"/>
      <c r="AF395" s="49"/>
      <c r="AG395" s="25"/>
      <c r="AH395" s="25"/>
      <c r="AI395" s="25"/>
      <c r="AJ395" s="25"/>
      <c r="AK395" s="25"/>
    </row>
    <row r="396" spans="1:37" x14ac:dyDescent="0.25">
      <c r="A396" s="18" t="str">
        <f t="shared" si="6"/>
        <v/>
      </c>
      <c r="B396" s="25"/>
      <c r="C396" s="25"/>
      <c r="D396" s="25"/>
      <c r="E396" s="25"/>
      <c r="F396" s="25"/>
      <c r="G396" s="25"/>
      <c r="H396" s="37"/>
      <c r="I396" s="25"/>
      <c r="J396" s="38"/>
      <c r="K396" s="40"/>
      <c r="S396" s="25"/>
      <c r="T396" s="25" t="str">
        <f>IFERROR(IF(ISBLANK(S396),"",INDEX(Gen_Vessels!$A$3:$C$500,MATCH(InspectionSite!$S396,Gen_Vessels!$C$3:$C$500,0),1)),"")</f>
        <v/>
      </c>
      <c r="U396" s="25"/>
      <c r="V396" s="25"/>
      <c r="W396" s="25" t="str">
        <f>IFERROR(IF(ISBLANK(V396),"",INDEX(Gen_Vessels!$A$3:$C$500,MATCH(InspectionSite!$V396,Gen_Vessels!$C$3:$C$500,0),1)),"")</f>
        <v/>
      </c>
      <c r="X396" s="25"/>
      <c r="Y396" s="25"/>
      <c r="Z396" s="25"/>
      <c r="AA396" s="25"/>
      <c r="AB396" s="25"/>
      <c r="AC396" s="25"/>
      <c r="AE396" s="25"/>
      <c r="AF396" s="49"/>
      <c r="AG396" s="25"/>
      <c r="AH396" s="25"/>
      <c r="AI396" s="25"/>
      <c r="AJ396" s="25"/>
      <c r="AK396" s="25"/>
    </row>
    <row r="397" spans="1:37" x14ac:dyDescent="0.25">
      <c r="A397" s="18" t="str">
        <f t="shared" si="6"/>
        <v/>
      </c>
      <c r="B397" s="25"/>
      <c r="C397" s="25"/>
      <c r="D397" s="25"/>
      <c r="E397" s="25"/>
      <c r="F397" s="25"/>
      <c r="G397" s="25"/>
      <c r="H397" s="37"/>
      <c r="I397" s="25"/>
      <c r="J397" s="38"/>
      <c r="K397" s="40"/>
      <c r="S397" s="25"/>
      <c r="T397" s="25" t="str">
        <f>IFERROR(IF(ISBLANK(S397),"",INDEX(Gen_Vessels!$A$3:$C$500,MATCH(InspectionSite!$S397,Gen_Vessels!$C$3:$C$500,0),1)),"")</f>
        <v/>
      </c>
      <c r="U397" s="25"/>
      <c r="V397" s="25"/>
      <c r="W397" s="25" t="str">
        <f>IFERROR(IF(ISBLANK(V397),"",INDEX(Gen_Vessels!$A$3:$C$500,MATCH(InspectionSite!$V397,Gen_Vessels!$C$3:$C$500,0),1)),"")</f>
        <v/>
      </c>
      <c r="X397" s="25"/>
      <c r="Y397" s="25"/>
      <c r="Z397" s="25"/>
      <c r="AA397" s="25"/>
      <c r="AB397" s="25"/>
      <c r="AC397" s="25"/>
      <c r="AE397" s="25"/>
      <c r="AF397" s="49"/>
      <c r="AG397" s="25"/>
      <c r="AH397" s="25"/>
      <c r="AI397" s="25"/>
      <c r="AJ397" s="25"/>
      <c r="AK397" s="25"/>
    </row>
    <row r="398" spans="1:37" x14ac:dyDescent="0.25">
      <c r="A398" s="18" t="str">
        <f t="shared" si="6"/>
        <v/>
      </c>
      <c r="B398" s="25"/>
      <c r="C398" s="25"/>
      <c r="D398" s="25"/>
      <c r="E398" s="25"/>
      <c r="F398" s="25"/>
      <c r="G398" s="25"/>
      <c r="H398" s="37"/>
      <c r="I398" s="25"/>
      <c r="J398" s="38"/>
      <c r="K398" s="40"/>
      <c r="S398" s="25"/>
      <c r="T398" s="25" t="str">
        <f>IFERROR(IF(ISBLANK(S398),"",INDEX(Gen_Vessels!$A$3:$C$500,MATCH(InspectionSite!$S398,Gen_Vessels!$C$3:$C$500,0),1)),"")</f>
        <v/>
      </c>
      <c r="U398" s="25"/>
      <c r="V398" s="25"/>
      <c r="W398" s="25" t="str">
        <f>IFERROR(IF(ISBLANK(V398),"",INDEX(Gen_Vessels!$A$3:$C$500,MATCH(InspectionSite!$V398,Gen_Vessels!$C$3:$C$500,0),1)),"")</f>
        <v/>
      </c>
      <c r="X398" s="25"/>
      <c r="Y398" s="25"/>
      <c r="Z398" s="25"/>
      <c r="AA398" s="25"/>
      <c r="AB398" s="25"/>
      <c r="AC398" s="25"/>
      <c r="AE398" s="25"/>
      <c r="AF398" s="49"/>
      <c r="AG398" s="25"/>
      <c r="AH398" s="25"/>
      <c r="AI398" s="25"/>
      <c r="AJ398" s="25"/>
      <c r="AK398" s="25"/>
    </row>
    <row r="399" spans="1:37" x14ac:dyDescent="0.25">
      <c r="A399" s="18" t="str">
        <f t="shared" si="6"/>
        <v/>
      </c>
      <c r="B399" s="25"/>
      <c r="C399" s="25"/>
      <c r="D399" s="25"/>
      <c r="E399" s="25"/>
      <c r="F399" s="25"/>
      <c r="G399" s="25"/>
      <c r="H399" s="37"/>
      <c r="I399" s="25"/>
      <c r="J399" s="38"/>
      <c r="K399" s="40"/>
      <c r="S399" s="25"/>
      <c r="T399" s="25" t="str">
        <f>IFERROR(IF(ISBLANK(S399),"",INDEX(Gen_Vessels!$A$3:$C$500,MATCH(InspectionSite!$S399,Gen_Vessels!$C$3:$C$500,0),1)),"")</f>
        <v/>
      </c>
      <c r="U399" s="25"/>
      <c r="V399" s="25"/>
      <c r="W399" s="25" t="str">
        <f>IFERROR(IF(ISBLANK(V399),"",INDEX(Gen_Vessels!$A$3:$C$500,MATCH(InspectionSite!$V399,Gen_Vessels!$C$3:$C$500,0),1)),"")</f>
        <v/>
      </c>
      <c r="X399" s="25"/>
      <c r="Y399" s="25"/>
      <c r="Z399" s="25"/>
      <c r="AA399" s="25"/>
      <c r="AB399" s="25"/>
      <c r="AC399" s="25"/>
      <c r="AE399" s="25"/>
      <c r="AF399" s="49"/>
      <c r="AG399" s="25"/>
      <c r="AH399" s="25"/>
      <c r="AI399" s="25"/>
      <c r="AJ399" s="25"/>
      <c r="AK399" s="25"/>
    </row>
    <row r="400" spans="1:37" x14ac:dyDescent="0.25">
      <c r="A400" s="18" t="str">
        <f t="shared" si="6"/>
        <v/>
      </c>
      <c r="B400" s="25"/>
      <c r="C400" s="25"/>
      <c r="D400" s="25"/>
      <c r="E400" s="25"/>
      <c r="F400" s="25"/>
      <c r="G400" s="25"/>
      <c r="H400" s="37"/>
      <c r="I400" s="25"/>
      <c r="J400" s="38"/>
      <c r="K400" s="40"/>
      <c r="S400" s="25"/>
      <c r="T400" s="25" t="str">
        <f>IFERROR(IF(ISBLANK(S400),"",INDEX(Gen_Vessels!$A$3:$C$500,MATCH(InspectionSite!$S400,Gen_Vessels!$C$3:$C$500,0),1)),"")</f>
        <v/>
      </c>
      <c r="U400" s="25"/>
      <c r="V400" s="25"/>
      <c r="W400" s="25" t="str">
        <f>IFERROR(IF(ISBLANK(V400),"",INDEX(Gen_Vessels!$A$3:$C$500,MATCH(InspectionSite!$V400,Gen_Vessels!$C$3:$C$500,0),1)),"")</f>
        <v/>
      </c>
      <c r="X400" s="25"/>
      <c r="Y400" s="25"/>
      <c r="Z400" s="25"/>
      <c r="AA400" s="25"/>
      <c r="AB400" s="25"/>
      <c r="AC400" s="25"/>
      <c r="AE400" s="25"/>
      <c r="AF400" s="49"/>
      <c r="AG400" s="25"/>
      <c r="AH400" s="25"/>
      <c r="AI400" s="25"/>
      <c r="AJ400" s="25"/>
      <c r="AK400" s="25"/>
    </row>
    <row r="401" spans="1:37" x14ac:dyDescent="0.25">
      <c r="A401" s="18" t="str">
        <f t="shared" si="6"/>
        <v/>
      </c>
      <c r="B401" s="25"/>
      <c r="C401" s="25"/>
      <c r="D401" s="25"/>
      <c r="E401" s="25"/>
      <c r="F401" s="25"/>
      <c r="G401" s="25"/>
      <c r="H401" s="37"/>
      <c r="I401" s="25"/>
      <c r="J401" s="38"/>
      <c r="K401" s="40"/>
      <c r="S401" s="25"/>
      <c r="T401" s="25" t="str">
        <f>IFERROR(IF(ISBLANK(S401),"",INDEX(Gen_Vessels!$A$3:$C$500,MATCH(InspectionSite!$S401,Gen_Vessels!$C$3:$C$500,0),1)),"")</f>
        <v/>
      </c>
      <c r="U401" s="25"/>
      <c r="V401" s="25"/>
      <c r="W401" s="25" t="str">
        <f>IFERROR(IF(ISBLANK(V401),"",INDEX(Gen_Vessels!$A$3:$C$500,MATCH(InspectionSite!$V401,Gen_Vessels!$C$3:$C$500,0),1)),"")</f>
        <v/>
      </c>
      <c r="X401" s="25"/>
      <c r="Y401" s="25"/>
      <c r="Z401" s="25"/>
      <c r="AA401" s="25"/>
      <c r="AB401" s="25"/>
      <c r="AC401" s="25"/>
      <c r="AE401" s="25"/>
      <c r="AF401" s="49"/>
      <c r="AG401" s="25"/>
      <c r="AH401" s="25"/>
      <c r="AI401" s="25"/>
      <c r="AJ401" s="25"/>
      <c r="AK401" s="25"/>
    </row>
    <row r="402" spans="1:37" x14ac:dyDescent="0.25">
      <c r="A402" s="18" t="str">
        <f t="shared" si="6"/>
        <v/>
      </c>
      <c r="B402" s="25"/>
      <c r="C402" s="25"/>
      <c r="D402" s="25"/>
      <c r="E402" s="25"/>
      <c r="F402" s="25"/>
      <c r="G402" s="25"/>
      <c r="H402" s="37"/>
      <c r="I402" s="25"/>
      <c r="J402" s="38"/>
      <c r="K402" s="40"/>
      <c r="S402" s="25"/>
      <c r="T402" s="25" t="str">
        <f>IFERROR(IF(ISBLANK(S402),"",INDEX(Gen_Vessels!$A$3:$C$500,MATCH(InspectionSite!$S402,Gen_Vessels!$C$3:$C$500,0),1)),"")</f>
        <v/>
      </c>
      <c r="U402" s="25"/>
      <c r="V402" s="25"/>
      <c r="W402" s="25" t="str">
        <f>IFERROR(IF(ISBLANK(V402),"",INDEX(Gen_Vessels!$A$3:$C$500,MATCH(InspectionSite!$V402,Gen_Vessels!$C$3:$C$500,0),1)),"")</f>
        <v/>
      </c>
      <c r="X402" s="25"/>
      <c r="Y402" s="25"/>
      <c r="Z402" s="25"/>
      <c r="AA402" s="25"/>
      <c r="AB402" s="25"/>
      <c r="AC402" s="25"/>
      <c r="AE402" s="25"/>
      <c r="AF402" s="49"/>
      <c r="AG402" s="25"/>
      <c r="AH402" s="25"/>
      <c r="AI402" s="25"/>
      <c r="AJ402" s="25"/>
      <c r="AK402" s="25"/>
    </row>
    <row r="403" spans="1:37" x14ac:dyDescent="0.25">
      <c r="A403" s="18" t="str">
        <f t="shared" si="6"/>
        <v/>
      </c>
      <c r="B403" s="25"/>
      <c r="C403" s="25"/>
      <c r="D403" s="25"/>
      <c r="E403" s="25"/>
      <c r="F403" s="25"/>
      <c r="G403" s="25"/>
      <c r="H403" s="37"/>
      <c r="I403" s="25"/>
      <c r="J403" s="38"/>
      <c r="K403" s="40"/>
      <c r="S403" s="25"/>
      <c r="T403" s="25" t="str">
        <f>IFERROR(IF(ISBLANK(S403),"",INDEX(Gen_Vessels!$A$3:$C$500,MATCH(InspectionSite!$S403,Gen_Vessels!$C$3:$C$500,0),1)),"")</f>
        <v/>
      </c>
      <c r="U403" s="25"/>
      <c r="V403" s="25"/>
      <c r="W403" s="25" t="str">
        <f>IFERROR(IF(ISBLANK(V403),"",INDEX(Gen_Vessels!$A$3:$C$500,MATCH(InspectionSite!$V403,Gen_Vessels!$C$3:$C$500,0),1)),"")</f>
        <v/>
      </c>
      <c r="X403" s="25"/>
      <c r="Y403" s="25"/>
      <c r="Z403" s="25"/>
      <c r="AA403" s="25"/>
      <c r="AB403" s="25"/>
      <c r="AC403" s="25"/>
      <c r="AE403" s="25"/>
      <c r="AF403" s="49"/>
      <c r="AG403" s="25"/>
      <c r="AH403" s="25"/>
      <c r="AI403" s="25"/>
      <c r="AJ403" s="25"/>
      <c r="AK403" s="25"/>
    </row>
    <row r="404" spans="1:37" x14ac:dyDescent="0.25">
      <c r="A404" s="18" t="str">
        <f t="shared" si="6"/>
        <v/>
      </c>
      <c r="B404" s="25"/>
      <c r="C404" s="25"/>
      <c r="D404" s="25"/>
      <c r="E404" s="25"/>
      <c r="F404" s="25"/>
      <c r="G404" s="25"/>
      <c r="H404" s="37"/>
      <c r="I404" s="25"/>
      <c r="J404" s="38"/>
      <c r="K404" s="40"/>
      <c r="S404" s="25"/>
      <c r="T404" s="25" t="str">
        <f>IFERROR(IF(ISBLANK(S404),"",INDEX(Gen_Vessels!$A$3:$C$500,MATCH(InspectionSite!$S404,Gen_Vessels!$C$3:$C$500,0),1)),"")</f>
        <v/>
      </c>
      <c r="U404" s="25"/>
      <c r="V404" s="25"/>
      <c r="W404" s="25" t="str">
        <f>IFERROR(IF(ISBLANK(V404),"",INDEX(Gen_Vessels!$A$3:$C$500,MATCH(InspectionSite!$V404,Gen_Vessels!$C$3:$C$500,0),1)),"")</f>
        <v/>
      </c>
      <c r="X404" s="25"/>
      <c r="Y404" s="25"/>
      <c r="Z404" s="25"/>
      <c r="AA404" s="25"/>
      <c r="AB404" s="25"/>
      <c r="AC404" s="25"/>
      <c r="AE404" s="25"/>
      <c r="AF404" s="49"/>
      <c r="AG404" s="25"/>
      <c r="AH404" s="25"/>
      <c r="AI404" s="25"/>
      <c r="AJ404" s="25"/>
      <c r="AK404" s="25"/>
    </row>
    <row r="405" spans="1:37" x14ac:dyDescent="0.25">
      <c r="A405" s="18" t="str">
        <f t="shared" si="6"/>
        <v/>
      </c>
      <c r="B405" s="25"/>
      <c r="C405" s="25"/>
      <c r="D405" s="25"/>
      <c r="E405" s="25"/>
      <c r="F405" s="25"/>
      <c r="G405" s="25"/>
      <c r="H405" s="37"/>
      <c r="I405" s="25"/>
      <c r="J405" s="38"/>
      <c r="K405" s="40"/>
      <c r="S405" s="25"/>
      <c r="T405" s="25" t="str">
        <f>IFERROR(IF(ISBLANK(S405),"",INDEX(Gen_Vessels!$A$3:$C$500,MATCH(InspectionSite!$S405,Gen_Vessels!$C$3:$C$500,0),1)),"")</f>
        <v/>
      </c>
      <c r="U405" s="25"/>
      <c r="V405" s="25"/>
      <c r="W405" s="25" t="str">
        <f>IFERROR(IF(ISBLANK(V405),"",INDEX(Gen_Vessels!$A$3:$C$500,MATCH(InspectionSite!$V405,Gen_Vessels!$C$3:$C$500,0),1)),"")</f>
        <v/>
      </c>
      <c r="X405" s="25"/>
      <c r="Y405" s="25"/>
      <c r="Z405" s="25"/>
      <c r="AA405" s="25"/>
      <c r="AB405" s="25"/>
      <c r="AC405" s="25"/>
      <c r="AE405" s="25"/>
      <c r="AF405" s="49"/>
      <c r="AG405" s="25"/>
      <c r="AH405" s="25"/>
      <c r="AI405" s="25"/>
      <c r="AJ405" s="25"/>
      <c r="AK405" s="25"/>
    </row>
    <row r="406" spans="1:37" x14ac:dyDescent="0.25">
      <c r="A406" s="18" t="str">
        <f t="shared" si="6"/>
        <v/>
      </c>
      <c r="B406" s="25"/>
      <c r="C406" s="25"/>
      <c r="D406" s="25"/>
      <c r="E406" s="25"/>
      <c r="F406" s="25"/>
      <c r="G406" s="25"/>
      <c r="H406" s="37"/>
      <c r="I406" s="25"/>
      <c r="J406" s="38"/>
      <c r="K406" s="40"/>
      <c r="S406" s="25"/>
      <c r="T406" s="25" t="str">
        <f>IFERROR(IF(ISBLANK(S406),"",INDEX(Gen_Vessels!$A$3:$C$500,MATCH(InspectionSite!$S406,Gen_Vessels!$C$3:$C$500,0),1)),"")</f>
        <v/>
      </c>
      <c r="U406" s="25"/>
      <c r="V406" s="25"/>
      <c r="W406" s="25" t="str">
        <f>IFERROR(IF(ISBLANK(V406),"",INDEX(Gen_Vessels!$A$3:$C$500,MATCH(InspectionSite!$V406,Gen_Vessels!$C$3:$C$500,0),1)),"")</f>
        <v/>
      </c>
      <c r="X406" s="25"/>
      <c r="Y406" s="25"/>
      <c r="Z406" s="25"/>
      <c r="AA406" s="25"/>
      <c r="AB406" s="25"/>
      <c r="AC406" s="25"/>
      <c r="AE406" s="25"/>
      <c r="AF406" s="49"/>
      <c r="AG406" s="25"/>
      <c r="AH406" s="25"/>
      <c r="AI406" s="25"/>
      <c r="AJ406" s="25"/>
      <c r="AK406" s="25"/>
    </row>
    <row r="407" spans="1:37" x14ac:dyDescent="0.25">
      <c r="A407" s="18" t="str">
        <f t="shared" si="6"/>
        <v/>
      </c>
      <c r="B407" s="25"/>
      <c r="C407" s="25"/>
      <c r="D407" s="25"/>
      <c r="E407" s="25"/>
      <c r="F407" s="25"/>
      <c r="G407" s="25"/>
      <c r="H407" s="37"/>
      <c r="I407" s="25"/>
      <c r="J407" s="38"/>
      <c r="K407" s="40"/>
      <c r="S407" s="25"/>
      <c r="T407" s="25" t="str">
        <f>IFERROR(IF(ISBLANK(S407),"",INDEX(Gen_Vessels!$A$3:$C$500,MATCH(InspectionSite!$S407,Gen_Vessels!$C$3:$C$500,0),1)),"")</f>
        <v/>
      </c>
      <c r="U407" s="25"/>
      <c r="V407" s="25"/>
      <c r="W407" s="25" t="str">
        <f>IFERROR(IF(ISBLANK(V407),"",INDEX(Gen_Vessels!$A$3:$C$500,MATCH(InspectionSite!$V407,Gen_Vessels!$C$3:$C$500,0),1)),"")</f>
        <v/>
      </c>
      <c r="X407" s="25"/>
      <c r="Y407" s="25"/>
      <c r="Z407" s="25"/>
      <c r="AA407" s="25"/>
      <c r="AB407" s="25"/>
      <c r="AC407" s="25"/>
      <c r="AE407" s="25"/>
      <c r="AF407" s="49"/>
      <c r="AG407" s="25"/>
      <c r="AH407" s="25"/>
      <c r="AI407" s="25"/>
      <c r="AJ407" s="25"/>
      <c r="AK407" s="25"/>
    </row>
    <row r="408" spans="1:37" x14ac:dyDescent="0.25">
      <c r="A408" s="18" t="str">
        <f t="shared" si="6"/>
        <v/>
      </c>
      <c r="B408" s="25"/>
      <c r="C408" s="25"/>
      <c r="D408" s="25"/>
      <c r="E408" s="25"/>
      <c r="F408" s="25"/>
      <c r="G408" s="25"/>
      <c r="H408" s="37"/>
      <c r="I408" s="25"/>
      <c r="J408" s="38"/>
      <c r="K408" s="40"/>
      <c r="S408" s="25"/>
      <c r="T408" s="25" t="str">
        <f>IFERROR(IF(ISBLANK(S408),"",INDEX(Gen_Vessels!$A$3:$C$500,MATCH(InspectionSite!$S408,Gen_Vessels!$C$3:$C$500,0),1)),"")</f>
        <v/>
      </c>
      <c r="U408" s="25"/>
      <c r="V408" s="25"/>
      <c r="W408" s="25" t="str">
        <f>IFERROR(IF(ISBLANK(V408),"",INDEX(Gen_Vessels!$A$3:$C$500,MATCH(InspectionSite!$V408,Gen_Vessels!$C$3:$C$500,0),1)),"")</f>
        <v/>
      </c>
      <c r="X408" s="25"/>
      <c r="Y408" s="25"/>
      <c r="Z408" s="25"/>
      <c r="AA408" s="25"/>
      <c r="AB408" s="25"/>
      <c r="AC408" s="25"/>
      <c r="AE408" s="25"/>
      <c r="AF408" s="49"/>
      <c r="AG408" s="25"/>
      <c r="AH408" s="25"/>
      <c r="AI408" s="25"/>
      <c r="AJ408" s="25"/>
      <c r="AK408" s="25"/>
    </row>
    <row r="409" spans="1:37" x14ac:dyDescent="0.25">
      <c r="A409" s="18" t="str">
        <f t="shared" si="6"/>
        <v/>
      </c>
      <c r="B409" s="25"/>
      <c r="C409" s="25"/>
      <c r="D409" s="25"/>
      <c r="E409" s="25"/>
      <c r="F409" s="25"/>
      <c r="G409" s="25"/>
      <c r="H409" s="37"/>
      <c r="I409" s="25"/>
      <c r="J409" s="38"/>
      <c r="K409" s="40"/>
      <c r="S409" s="25"/>
      <c r="T409" s="25" t="str">
        <f>IFERROR(IF(ISBLANK(S409),"",INDEX(Gen_Vessels!$A$3:$C$500,MATCH(InspectionSite!$S409,Gen_Vessels!$C$3:$C$500,0),1)),"")</f>
        <v/>
      </c>
      <c r="U409" s="25"/>
      <c r="V409" s="25"/>
      <c r="W409" s="25" t="str">
        <f>IFERROR(IF(ISBLANK(V409),"",INDEX(Gen_Vessels!$A$3:$C$500,MATCH(InspectionSite!$V409,Gen_Vessels!$C$3:$C$500,0),1)),"")</f>
        <v/>
      </c>
      <c r="X409" s="25"/>
      <c r="Y409" s="25"/>
      <c r="Z409" s="25"/>
      <c r="AA409" s="25"/>
      <c r="AB409" s="25"/>
      <c r="AC409" s="25"/>
      <c r="AE409" s="25"/>
      <c r="AF409" s="49"/>
      <c r="AG409" s="25"/>
      <c r="AH409" s="25"/>
      <c r="AI409" s="25"/>
      <c r="AJ409" s="25"/>
      <c r="AK409" s="25"/>
    </row>
    <row r="410" spans="1:37" x14ac:dyDescent="0.25">
      <c r="A410" s="18" t="str">
        <f t="shared" si="6"/>
        <v/>
      </c>
      <c r="B410" s="25"/>
      <c r="C410" s="25"/>
      <c r="D410" s="25"/>
      <c r="E410" s="25"/>
      <c r="F410" s="25"/>
      <c r="G410" s="25"/>
      <c r="H410" s="37"/>
      <c r="I410" s="25"/>
      <c r="J410" s="38"/>
      <c r="K410" s="40"/>
      <c r="S410" s="25"/>
      <c r="T410" s="25" t="str">
        <f>IFERROR(IF(ISBLANK(S410),"",INDEX(Gen_Vessels!$A$3:$C$500,MATCH(InspectionSite!$S410,Gen_Vessels!$C$3:$C$500,0),1)),"")</f>
        <v/>
      </c>
      <c r="U410" s="25"/>
      <c r="V410" s="25"/>
      <c r="W410" s="25" t="str">
        <f>IFERROR(IF(ISBLANK(V410),"",INDEX(Gen_Vessels!$A$3:$C$500,MATCH(InspectionSite!$V410,Gen_Vessels!$C$3:$C$500,0),1)),"")</f>
        <v/>
      </c>
      <c r="X410" s="25"/>
      <c r="Y410" s="25"/>
      <c r="Z410" s="25"/>
      <c r="AA410" s="25"/>
      <c r="AB410" s="25"/>
      <c r="AC410" s="25"/>
      <c r="AE410" s="25"/>
      <c r="AF410" s="49"/>
      <c r="AG410" s="25"/>
      <c r="AH410" s="25"/>
      <c r="AI410" s="25"/>
      <c r="AJ410" s="25"/>
      <c r="AK410" s="25"/>
    </row>
    <row r="411" spans="1:37" x14ac:dyDescent="0.25">
      <c r="A411" s="18" t="str">
        <f t="shared" si="6"/>
        <v/>
      </c>
      <c r="B411" s="25"/>
      <c r="C411" s="25"/>
      <c r="D411" s="25"/>
      <c r="E411" s="25"/>
      <c r="F411" s="25"/>
      <c r="G411" s="25"/>
      <c r="H411" s="37"/>
      <c r="I411" s="25"/>
      <c r="J411" s="38"/>
      <c r="K411" s="40"/>
      <c r="S411" s="25"/>
      <c r="T411" s="25" t="str">
        <f>IFERROR(IF(ISBLANK(S411),"",INDEX(Gen_Vessels!$A$3:$C$500,MATCH(InspectionSite!$S411,Gen_Vessels!$C$3:$C$500,0),1)),"")</f>
        <v/>
      </c>
      <c r="U411" s="25"/>
      <c r="V411" s="25"/>
      <c r="W411" s="25" t="str">
        <f>IFERROR(IF(ISBLANK(V411),"",INDEX(Gen_Vessels!$A$3:$C$500,MATCH(InspectionSite!$V411,Gen_Vessels!$C$3:$C$500,0),1)),"")</f>
        <v/>
      </c>
      <c r="X411" s="25"/>
      <c r="Y411" s="25"/>
      <c r="Z411" s="25"/>
      <c r="AA411" s="25"/>
      <c r="AB411" s="25"/>
      <c r="AC411" s="25"/>
      <c r="AE411" s="25"/>
      <c r="AF411" s="49"/>
      <c r="AG411" s="25"/>
      <c r="AH411" s="25"/>
      <c r="AI411" s="25"/>
      <c r="AJ411" s="25"/>
      <c r="AK411" s="25"/>
    </row>
    <row r="412" spans="1:37" x14ac:dyDescent="0.25">
      <c r="A412" s="18" t="str">
        <f t="shared" si="6"/>
        <v/>
      </c>
      <c r="B412" s="25"/>
      <c r="C412" s="25"/>
      <c r="D412" s="25"/>
      <c r="E412" s="25"/>
      <c r="F412" s="25"/>
      <c r="G412" s="25"/>
      <c r="H412" s="37"/>
      <c r="I412" s="25"/>
      <c r="J412" s="38"/>
      <c r="K412" s="40"/>
      <c r="S412" s="25"/>
      <c r="T412" s="25" t="str">
        <f>IFERROR(IF(ISBLANK(S412),"",INDEX(Gen_Vessels!$A$3:$C$500,MATCH(InspectionSite!$S412,Gen_Vessels!$C$3:$C$500,0),1)),"")</f>
        <v/>
      </c>
      <c r="U412" s="25"/>
      <c r="V412" s="25"/>
      <c r="W412" s="25" t="str">
        <f>IFERROR(IF(ISBLANK(V412),"",INDEX(Gen_Vessels!$A$3:$C$500,MATCH(InspectionSite!$V412,Gen_Vessels!$C$3:$C$500,0),1)),"")</f>
        <v/>
      </c>
      <c r="X412" s="25"/>
      <c r="Y412" s="25"/>
      <c r="Z412" s="25"/>
      <c r="AA412" s="25"/>
      <c r="AB412" s="25"/>
      <c r="AC412" s="25"/>
      <c r="AE412" s="25"/>
      <c r="AF412" s="49"/>
      <c r="AG412" s="25"/>
      <c r="AH412" s="25"/>
      <c r="AI412" s="25"/>
      <c r="AJ412" s="25"/>
      <c r="AK412" s="25"/>
    </row>
    <row r="413" spans="1:37" x14ac:dyDescent="0.25">
      <c r="A413" s="18" t="str">
        <f t="shared" si="6"/>
        <v/>
      </c>
      <c r="B413" s="25"/>
      <c r="C413" s="25"/>
      <c r="D413" s="25"/>
      <c r="E413" s="25"/>
      <c r="F413" s="25"/>
      <c r="G413" s="25"/>
      <c r="H413" s="37"/>
      <c r="I413" s="25"/>
      <c r="J413" s="38"/>
      <c r="K413" s="40"/>
      <c r="S413" s="25"/>
      <c r="T413" s="25" t="str">
        <f>IFERROR(IF(ISBLANK(S413),"",INDEX(Gen_Vessels!$A$3:$C$500,MATCH(InspectionSite!$S413,Gen_Vessels!$C$3:$C$500,0),1)),"")</f>
        <v/>
      </c>
      <c r="U413" s="25"/>
      <c r="V413" s="25"/>
      <c r="W413" s="25" t="str">
        <f>IFERROR(IF(ISBLANK(V413),"",INDEX(Gen_Vessels!$A$3:$C$500,MATCH(InspectionSite!$V413,Gen_Vessels!$C$3:$C$500,0),1)),"")</f>
        <v/>
      </c>
      <c r="X413" s="25"/>
      <c r="Y413" s="25"/>
      <c r="Z413" s="25"/>
      <c r="AA413" s="25"/>
      <c r="AB413" s="25"/>
      <c r="AC413" s="25"/>
      <c r="AE413" s="25"/>
      <c r="AF413" s="49"/>
      <c r="AG413" s="25"/>
      <c r="AH413" s="25"/>
      <c r="AI413" s="25"/>
      <c r="AJ413" s="25"/>
      <c r="AK413" s="25"/>
    </row>
    <row r="414" spans="1:37" x14ac:dyDescent="0.25">
      <c r="A414" s="18" t="str">
        <f t="shared" si="6"/>
        <v/>
      </c>
      <c r="B414" s="25"/>
      <c r="C414" s="25"/>
      <c r="D414" s="25"/>
      <c r="E414" s="25"/>
      <c r="F414" s="25"/>
      <c r="G414" s="25"/>
      <c r="H414" s="37"/>
      <c r="I414" s="25"/>
      <c r="J414" s="38"/>
      <c r="K414" s="40"/>
      <c r="S414" s="25"/>
      <c r="T414" s="25" t="str">
        <f>IFERROR(IF(ISBLANK(S414),"",INDEX(Gen_Vessels!$A$3:$C$500,MATCH(InspectionSite!$S414,Gen_Vessels!$C$3:$C$500,0),1)),"")</f>
        <v/>
      </c>
      <c r="U414" s="25"/>
      <c r="V414" s="25"/>
      <c r="W414" s="25" t="str">
        <f>IFERROR(IF(ISBLANK(V414),"",INDEX(Gen_Vessels!$A$3:$C$500,MATCH(InspectionSite!$V414,Gen_Vessels!$C$3:$C$500,0),1)),"")</f>
        <v/>
      </c>
      <c r="X414" s="25"/>
      <c r="Y414" s="25"/>
      <c r="Z414" s="25"/>
      <c r="AA414" s="25"/>
      <c r="AB414" s="25"/>
      <c r="AC414" s="25"/>
      <c r="AE414" s="25"/>
      <c r="AF414" s="49"/>
      <c r="AG414" s="25"/>
      <c r="AH414" s="25"/>
      <c r="AI414" s="25"/>
      <c r="AJ414" s="25"/>
      <c r="AK414" s="25"/>
    </row>
    <row r="415" spans="1:37" x14ac:dyDescent="0.25">
      <c r="A415" s="18" t="str">
        <f t="shared" si="6"/>
        <v/>
      </c>
      <c r="B415" s="25"/>
      <c r="C415" s="25"/>
      <c r="D415" s="25"/>
      <c r="E415" s="25"/>
      <c r="F415" s="25"/>
      <c r="G415" s="25"/>
      <c r="H415" s="37"/>
      <c r="I415" s="25"/>
      <c r="J415" s="38"/>
      <c r="K415" s="40"/>
      <c r="S415" s="25"/>
      <c r="T415" s="25" t="str">
        <f>IFERROR(IF(ISBLANK(S415),"",INDEX(Gen_Vessels!$A$3:$C$500,MATCH(InspectionSite!$S415,Gen_Vessels!$C$3:$C$500,0),1)),"")</f>
        <v/>
      </c>
      <c r="U415" s="25"/>
      <c r="V415" s="25"/>
      <c r="W415" s="25" t="str">
        <f>IFERROR(IF(ISBLANK(V415),"",INDEX(Gen_Vessels!$A$3:$C$500,MATCH(InspectionSite!$V415,Gen_Vessels!$C$3:$C$500,0),1)),"")</f>
        <v/>
      </c>
      <c r="X415" s="25"/>
      <c r="Y415" s="25"/>
      <c r="Z415" s="25"/>
      <c r="AA415" s="25"/>
      <c r="AB415" s="25"/>
      <c r="AC415" s="25"/>
      <c r="AE415" s="25"/>
      <c r="AF415" s="49"/>
      <c r="AG415" s="25"/>
      <c r="AH415" s="25"/>
      <c r="AI415" s="25"/>
      <c r="AJ415" s="25"/>
      <c r="AK415" s="25"/>
    </row>
    <row r="416" spans="1:37" x14ac:dyDescent="0.25">
      <c r="A416" s="18" t="str">
        <f t="shared" si="6"/>
        <v/>
      </c>
      <c r="B416" s="25"/>
      <c r="C416" s="25"/>
      <c r="D416" s="25"/>
      <c r="E416" s="25"/>
      <c r="F416" s="25"/>
      <c r="G416" s="25"/>
      <c r="H416" s="37"/>
      <c r="I416" s="25"/>
      <c r="J416" s="38"/>
      <c r="K416" s="40"/>
      <c r="S416" s="25"/>
      <c r="T416" s="25" t="str">
        <f>IFERROR(IF(ISBLANK(S416),"",INDEX(Gen_Vessels!$A$3:$C$500,MATCH(InspectionSite!$S416,Gen_Vessels!$C$3:$C$500,0),1)),"")</f>
        <v/>
      </c>
      <c r="U416" s="25"/>
      <c r="V416" s="25"/>
      <c r="W416" s="25" t="str">
        <f>IFERROR(IF(ISBLANK(V416),"",INDEX(Gen_Vessels!$A$3:$C$500,MATCH(InspectionSite!$V416,Gen_Vessels!$C$3:$C$500,0),1)),"")</f>
        <v/>
      </c>
      <c r="X416" s="25"/>
      <c r="Y416" s="25"/>
      <c r="Z416" s="25"/>
      <c r="AA416" s="25"/>
      <c r="AB416" s="25"/>
      <c r="AC416" s="25"/>
      <c r="AE416" s="25"/>
      <c r="AF416" s="49"/>
      <c r="AG416" s="25"/>
      <c r="AH416" s="25"/>
      <c r="AI416" s="25"/>
      <c r="AJ416" s="25"/>
      <c r="AK416" s="25"/>
    </row>
    <row r="417" spans="1:37" x14ac:dyDescent="0.25">
      <c r="A417" s="18" t="str">
        <f t="shared" si="6"/>
        <v/>
      </c>
      <c r="B417" s="25"/>
      <c r="C417" s="25"/>
      <c r="D417" s="25"/>
      <c r="E417" s="25"/>
      <c r="F417" s="25"/>
      <c r="G417" s="25"/>
      <c r="H417" s="37"/>
      <c r="I417" s="25"/>
      <c r="J417" s="38"/>
      <c r="K417" s="40"/>
      <c r="S417" s="25"/>
      <c r="T417" s="25" t="str">
        <f>IFERROR(IF(ISBLANK(S417),"",INDEX(Gen_Vessels!$A$3:$C$500,MATCH(InspectionSite!$S417,Gen_Vessels!$C$3:$C$500,0),1)),"")</f>
        <v/>
      </c>
      <c r="U417" s="25"/>
      <c r="V417" s="25"/>
      <c r="W417" s="25" t="str">
        <f>IFERROR(IF(ISBLANK(V417),"",INDEX(Gen_Vessels!$A$3:$C$500,MATCH(InspectionSite!$V417,Gen_Vessels!$C$3:$C$500,0),1)),"")</f>
        <v/>
      </c>
      <c r="X417" s="25"/>
      <c r="Y417" s="25"/>
      <c r="Z417" s="25"/>
      <c r="AA417" s="25"/>
      <c r="AB417" s="25"/>
      <c r="AC417" s="25"/>
      <c r="AE417" s="25"/>
      <c r="AF417" s="49"/>
      <c r="AG417" s="25"/>
      <c r="AH417" s="25"/>
      <c r="AI417" s="25"/>
      <c r="AJ417" s="25"/>
      <c r="AK417" s="25"/>
    </row>
    <row r="418" spans="1:37" x14ac:dyDescent="0.25">
      <c r="A418" s="18" t="str">
        <f t="shared" si="6"/>
        <v/>
      </c>
      <c r="B418" s="25"/>
      <c r="C418" s="25"/>
      <c r="D418" s="25"/>
      <c r="E418" s="25"/>
      <c r="F418" s="25"/>
      <c r="G418" s="25"/>
      <c r="H418" s="37"/>
      <c r="I418" s="25"/>
      <c r="J418" s="38"/>
      <c r="K418" s="40"/>
      <c r="S418" s="25"/>
      <c r="T418" s="25" t="str">
        <f>IFERROR(IF(ISBLANK(S418),"",INDEX(Gen_Vessels!$A$3:$C$500,MATCH(InspectionSite!$S418,Gen_Vessels!$C$3:$C$500,0),1)),"")</f>
        <v/>
      </c>
      <c r="U418" s="25"/>
      <c r="V418" s="25"/>
      <c r="W418" s="25" t="str">
        <f>IFERROR(IF(ISBLANK(V418),"",INDEX(Gen_Vessels!$A$3:$C$500,MATCH(InspectionSite!$V418,Gen_Vessels!$C$3:$C$500,0),1)),"")</f>
        <v/>
      </c>
      <c r="X418" s="25"/>
      <c r="Y418" s="25"/>
      <c r="Z418" s="25"/>
      <c r="AA418" s="25"/>
      <c r="AB418" s="25"/>
      <c r="AC418" s="25"/>
      <c r="AE418" s="25"/>
      <c r="AF418" s="49"/>
      <c r="AG418" s="25"/>
      <c r="AH418" s="25"/>
      <c r="AI418" s="25"/>
      <c r="AJ418" s="25"/>
      <c r="AK418" s="25"/>
    </row>
    <row r="419" spans="1:37" x14ac:dyDescent="0.25">
      <c r="A419" s="18" t="str">
        <f t="shared" si="6"/>
        <v/>
      </c>
      <c r="B419" s="25"/>
      <c r="C419" s="25"/>
      <c r="D419" s="25"/>
      <c r="E419" s="25"/>
      <c r="F419" s="25"/>
      <c r="G419" s="25"/>
      <c r="H419" s="37"/>
      <c r="I419" s="25"/>
      <c r="J419" s="38"/>
      <c r="K419" s="40"/>
      <c r="S419" s="25"/>
      <c r="T419" s="25" t="str">
        <f>IFERROR(IF(ISBLANK(S419),"",INDEX(Gen_Vessels!$A$3:$C$500,MATCH(InspectionSite!$S419,Gen_Vessels!$C$3:$C$500,0),1)),"")</f>
        <v/>
      </c>
      <c r="U419" s="25"/>
      <c r="V419" s="25"/>
      <c r="W419" s="25" t="str">
        <f>IFERROR(IF(ISBLANK(V419),"",INDEX(Gen_Vessels!$A$3:$C$500,MATCH(InspectionSite!$V419,Gen_Vessels!$C$3:$C$500,0),1)),"")</f>
        <v/>
      </c>
      <c r="X419" s="25"/>
      <c r="Y419" s="25"/>
      <c r="Z419" s="25"/>
      <c r="AA419" s="25"/>
      <c r="AB419" s="25"/>
      <c r="AC419" s="25"/>
      <c r="AE419" s="25"/>
      <c r="AF419" s="49"/>
      <c r="AG419" s="25"/>
      <c r="AH419" s="25"/>
      <c r="AI419" s="25"/>
      <c r="AJ419" s="25"/>
      <c r="AK419" s="25"/>
    </row>
    <row r="420" spans="1:37" x14ac:dyDescent="0.25">
      <c r="A420" s="18" t="str">
        <f t="shared" si="6"/>
        <v/>
      </c>
      <c r="B420" s="25"/>
      <c r="C420" s="25"/>
      <c r="D420" s="25"/>
      <c r="E420" s="25"/>
      <c r="F420" s="25"/>
      <c r="G420" s="25"/>
      <c r="H420" s="37"/>
      <c r="I420" s="25"/>
      <c r="J420" s="38"/>
      <c r="K420" s="40"/>
      <c r="S420" s="25"/>
      <c r="T420" s="25" t="str">
        <f>IFERROR(IF(ISBLANK(S420),"",INDEX(Gen_Vessels!$A$3:$C$500,MATCH(InspectionSite!$S420,Gen_Vessels!$C$3:$C$500,0),1)),"")</f>
        <v/>
      </c>
      <c r="U420" s="25"/>
      <c r="V420" s="25"/>
      <c r="W420" s="25" t="str">
        <f>IFERROR(IF(ISBLANK(V420),"",INDEX(Gen_Vessels!$A$3:$C$500,MATCH(InspectionSite!$V420,Gen_Vessels!$C$3:$C$500,0),1)),"")</f>
        <v/>
      </c>
      <c r="X420" s="25"/>
      <c r="Y420" s="25"/>
      <c r="Z420" s="25"/>
      <c r="AA420" s="25"/>
      <c r="AB420" s="25"/>
      <c r="AC420" s="25"/>
      <c r="AE420" s="25"/>
      <c r="AF420" s="49"/>
      <c r="AG420" s="25"/>
      <c r="AH420" s="25"/>
      <c r="AI420" s="25"/>
      <c r="AJ420" s="25"/>
      <c r="AK420" s="25"/>
    </row>
    <row r="421" spans="1:37" x14ac:dyDescent="0.25">
      <c r="A421" s="18" t="str">
        <f t="shared" si="6"/>
        <v/>
      </c>
      <c r="B421" s="25"/>
      <c r="C421" s="25"/>
      <c r="D421" s="25"/>
      <c r="E421" s="25"/>
      <c r="F421" s="25"/>
      <c r="G421" s="25"/>
      <c r="H421" s="37"/>
      <c r="I421" s="25"/>
      <c r="J421" s="38"/>
      <c r="K421" s="40"/>
      <c r="S421" s="25"/>
      <c r="T421" s="25" t="str">
        <f>IFERROR(IF(ISBLANK(S421),"",INDEX(Gen_Vessels!$A$3:$C$500,MATCH(InspectionSite!$S421,Gen_Vessels!$C$3:$C$500,0),1)),"")</f>
        <v/>
      </c>
      <c r="U421" s="25"/>
      <c r="V421" s="25"/>
      <c r="W421" s="25" t="str">
        <f>IFERROR(IF(ISBLANK(V421),"",INDEX(Gen_Vessels!$A$3:$C$500,MATCH(InspectionSite!$V421,Gen_Vessels!$C$3:$C$500,0),1)),"")</f>
        <v/>
      </c>
      <c r="X421" s="25"/>
      <c r="Y421" s="25"/>
      <c r="Z421" s="25"/>
      <c r="AA421" s="25"/>
      <c r="AB421" s="25"/>
      <c r="AC421" s="25"/>
      <c r="AE421" s="25"/>
      <c r="AF421" s="49"/>
      <c r="AG421" s="25"/>
      <c r="AH421" s="25"/>
      <c r="AI421" s="25"/>
      <c r="AJ421" s="25"/>
      <c r="AK421" s="25"/>
    </row>
    <row r="422" spans="1:37" x14ac:dyDescent="0.25">
      <c r="A422" s="18" t="str">
        <f t="shared" si="6"/>
        <v/>
      </c>
      <c r="B422" s="25"/>
      <c r="C422" s="25"/>
      <c r="D422" s="25"/>
      <c r="E422" s="25"/>
      <c r="F422" s="25"/>
      <c r="G422" s="25"/>
      <c r="H422" s="37"/>
      <c r="I422" s="25"/>
      <c r="J422" s="38"/>
      <c r="K422" s="40"/>
      <c r="S422" s="25"/>
      <c r="T422" s="25" t="str">
        <f>IFERROR(IF(ISBLANK(S422),"",INDEX(Gen_Vessels!$A$3:$C$500,MATCH(InspectionSite!$S422,Gen_Vessels!$C$3:$C$500,0),1)),"")</f>
        <v/>
      </c>
      <c r="U422" s="25"/>
      <c r="V422" s="25"/>
      <c r="W422" s="25" t="str">
        <f>IFERROR(IF(ISBLANK(V422),"",INDEX(Gen_Vessels!$A$3:$C$500,MATCH(InspectionSite!$V422,Gen_Vessels!$C$3:$C$500,0),1)),"")</f>
        <v/>
      </c>
      <c r="X422" s="25"/>
      <c r="Y422" s="25"/>
      <c r="Z422" s="25"/>
      <c r="AA422" s="25"/>
      <c r="AB422" s="25"/>
      <c r="AC422" s="25"/>
      <c r="AE422" s="25"/>
      <c r="AF422" s="49"/>
      <c r="AG422" s="25"/>
      <c r="AH422" s="25"/>
      <c r="AI422" s="25"/>
      <c r="AJ422" s="25"/>
      <c r="AK422" s="25"/>
    </row>
    <row r="423" spans="1:37" x14ac:dyDescent="0.25">
      <c r="A423" s="18" t="str">
        <f t="shared" si="6"/>
        <v/>
      </c>
      <c r="B423" s="25"/>
      <c r="C423" s="25"/>
      <c r="D423" s="25"/>
      <c r="E423" s="25"/>
      <c r="F423" s="25"/>
      <c r="G423" s="25"/>
      <c r="H423" s="37"/>
      <c r="I423" s="25"/>
      <c r="J423" s="38"/>
      <c r="K423" s="40"/>
      <c r="S423" s="25"/>
      <c r="T423" s="25" t="str">
        <f>IFERROR(IF(ISBLANK(S423),"",INDEX(Gen_Vessels!$A$3:$C$500,MATCH(InspectionSite!$S423,Gen_Vessels!$C$3:$C$500,0),1)),"")</f>
        <v/>
      </c>
      <c r="U423" s="25"/>
      <c r="V423" s="25"/>
      <c r="W423" s="25" t="str">
        <f>IFERROR(IF(ISBLANK(V423),"",INDEX(Gen_Vessels!$A$3:$C$500,MATCH(InspectionSite!$V423,Gen_Vessels!$C$3:$C$500,0),1)),"")</f>
        <v/>
      </c>
      <c r="X423" s="25"/>
      <c r="Y423" s="25"/>
      <c r="Z423" s="25"/>
      <c r="AA423" s="25"/>
      <c r="AB423" s="25"/>
      <c r="AC423" s="25"/>
      <c r="AE423" s="25"/>
      <c r="AF423" s="49"/>
      <c r="AG423" s="25"/>
      <c r="AH423" s="25"/>
      <c r="AI423" s="25"/>
      <c r="AJ423" s="25"/>
      <c r="AK423" s="25"/>
    </row>
    <row r="424" spans="1:37" x14ac:dyDescent="0.25">
      <c r="A424" s="18" t="str">
        <f t="shared" si="6"/>
        <v/>
      </c>
      <c r="B424" s="25"/>
      <c r="C424" s="25"/>
      <c r="D424" s="25"/>
      <c r="E424" s="25"/>
      <c r="F424" s="25"/>
      <c r="G424" s="25"/>
      <c r="H424" s="37"/>
      <c r="I424" s="25"/>
      <c r="J424" s="38"/>
      <c r="K424" s="40"/>
      <c r="S424" s="25"/>
      <c r="T424" s="25" t="str">
        <f>IFERROR(IF(ISBLANK(S424),"",INDEX(Gen_Vessels!$A$3:$C$500,MATCH(InspectionSite!$S424,Gen_Vessels!$C$3:$C$500,0),1)),"")</f>
        <v/>
      </c>
      <c r="U424" s="25"/>
      <c r="V424" s="25"/>
      <c r="W424" s="25" t="str">
        <f>IFERROR(IF(ISBLANK(V424),"",INDEX(Gen_Vessels!$A$3:$C$500,MATCH(InspectionSite!$V424,Gen_Vessels!$C$3:$C$500,0),1)),"")</f>
        <v/>
      </c>
      <c r="X424" s="25"/>
      <c r="Y424" s="25"/>
      <c r="Z424" s="25"/>
      <c r="AA424" s="25"/>
      <c r="AB424" s="25"/>
      <c r="AC424" s="25"/>
      <c r="AE424" s="25"/>
      <c r="AF424" s="49"/>
      <c r="AG424" s="25"/>
      <c r="AH424" s="25"/>
      <c r="AI424" s="25"/>
      <c r="AJ424" s="25"/>
      <c r="AK424" s="25"/>
    </row>
    <row r="425" spans="1:37" x14ac:dyDescent="0.25">
      <c r="A425" s="18" t="str">
        <f t="shared" si="6"/>
        <v/>
      </c>
      <c r="B425" s="25"/>
      <c r="C425" s="25"/>
      <c r="D425" s="25"/>
      <c r="E425" s="25"/>
      <c r="F425" s="25"/>
      <c r="G425" s="25"/>
      <c r="H425" s="37"/>
      <c r="I425" s="25"/>
      <c r="J425" s="38"/>
      <c r="K425" s="40"/>
      <c r="S425" s="25"/>
      <c r="T425" s="25" t="str">
        <f>IFERROR(IF(ISBLANK(S425),"",INDEX(Gen_Vessels!$A$3:$C$500,MATCH(InspectionSite!$S425,Gen_Vessels!$C$3:$C$500,0),1)),"")</f>
        <v/>
      </c>
      <c r="U425" s="25"/>
      <c r="V425" s="25"/>
      <c r="W425" s="25" t="str">
        <f>IFERROR(IF(ISBLANK(V425),"",INDEX(Gen_Vessels!$A$3:$C$500,MATCH(InspectionSite!$V425,Gen_Vessels!$C$3:$C$500,0),1)),"")</f>
        <v/>
      </c>
      <c r="X425" s="25"/>
      <c r="Y425" s="25"/>
      <c r="Z425" s="25"/>
      <c r="AA425" s="25"/>
      <c r="AB425" s="25"/>
      <c r="AC425" s="25"/>
      <c r="AE425" s="25"/>
      <c r="AF425" s="49"/>
      <c r="AG425" s="25"/>
      <c r="AH425" s="25"/>
      <c r="AI425" s="25"/>
      <c r="AJ425" s="25"/>
      <c r="AK425" s="25"/>
    </row>
    <row r="426" spans="1:37" x14ac:dyDescent="0.25">
      <c r="A426" s="18" t="str">
        <f t="shared" si="6"/>
        <v/>
      </c>
      <c r="B426" s="25"/>
      <c r="C426" s="25"/>
      <c r="D426" s="25"/>
      <c r="E426" s="25"/>
      <c r="F426" s="25"/>
      <c r="G426" s="25"/>
      <c r="H426" s="37"/>
      <c r="I426" s="25"/>
      <c r="J426" s="38"/>
      <c r="K426" s="40"/>
      <c r="S426" s="25"/>
      <c r="T426" s="25" t="str">
        <f>IFERROR(IF(ISBLANK(S426),"",INDEX(Gen_Vessels!$A$3:$C$500,MATCH(InspectionSite!$S426,Gen_Vessels!$C$3:$C$500,0),1)),"")</f>
        <v/>
      </c>
      <c r="U426" s="25"/>
      <c r="V426" s="25"/>
      <c r="W426" s="25" t="str">
        <f>IFERROR(IF(ISBLANK(V426),"",INDEX(Gen_Vessels!$A$3:$C$500,MATCH(InspectionSite!$V426,Gen_Vessels!$C$3:$C$500,0),1)),"")</f>
        <v/>
      </c>
      <c r="X426" s="25"/>
      <c r="Y426" s="25"/>
      <c r="Z426" s="25"/>
      <c r="AA426" s="25"/>
      <c r="AB426" s="25"/>
      <c r="AC426" s="25"/>
      <c r="AE426" s="25"/>
      <c r="AF426" s="49"/>
      <c r="AG426" s="25"/>
      <c r="AH426" s="25"/>
      <c r="AI426" s="25"/>
      <c r="AJ426" s="25"/>
      <c r="AK426" s="25"/>
    </row>
    <row r="427" spans="1:37" x14ac:dyDescent="0.25">
      <c r="A427" s="18" t="str">
        <f t="shared" si="6"/>
        <v/>
      </c>
      <c r="B427" s="25"/>
      <c r="C427" s="25"/>
      <c r="D427" s="25"/>
      <c r="E427" s="25"/>
      <c r="F427" s="25"/>
      <c r="G427" s="25"/>
      <c r="H427" s="37"/>
      <c r="I427" s="25"/>
      <c r="J427" s="38"/>
      <c r="K427" s="40"/>
      <c r="S427" s="25"/>
      <c r="T427" s="25" t="str">
        <f>IFERROR(IF(ISBLANK(S427),"",INDEX(Gen_Vessels!$A$3:$C$500,MATCH(InspectionSite!$S427,Gen_Vessels!$C$3:$C$500,0),1)),"")</f>
        <v/>
      </c>
      <c r="U427" s="25"/>
      <c r="V427" s="25"/>
      <c r="W427" s="25" t="str">
        <f>IFERROR(IF(ISBLANK(V427),"",INDEX(Gen_Vessels!$A$3:$C$500,MATCH(InspectionSite!$V427,Gen_Vessels!$C$3:$C$500,0),1)),"")</f>
        <v/>
      </c>
      <c r="X427" s="25"/>
      <c r="Y427" s="25"/>
      <c r="Z427" s="25"/>
      <c r="AA427" s="25"/>
      <c r="AB427" s="25"/>
      <c r="AC427" s="25"/>
      <c r="AE427" s="25"/>
      <c r="AF427" s="49"/>
      <c r="AG427" s="25"/>
      <c r="AH427" s="25"/>
      <c r="AI427" s="25"/>
      <c r="AJ427" s="25"/>
      <c r="AK427" s="25"/>
    </row>
    <row r="428" spans="1:37" x14ac:dyDescent="0.25">
      <c r="A428" s="18" t="str">
        <f t="shared" si="6"/>
        <v/>
      </c>
      <c r="B428" s="25"/>
      <c r="C428" s="25"/>
      <c r="D428" s="25"/>
      <c r="E428" s="25"/>
      <c r="F428" s="25"/>
      <c r="G428" s="25"/>
      <c r="H428" s="37"/>
      <c r="I428" s="25"/>
      <c r="J428" s="38"/>
      <c r="K428" s="40"/>
      <c r="S428" s="25"/>
      <c r="T428" s="25" t="str">
        <f>IFERROR(IF(ISBLANK(S428),"",INDEX(Gen_Vessels!$A$3:$C$500,MATCH(InspectionSite!$S428,Gen_Vessels!$C$3:$C$500,0),1)),"")</f>
        <v/>
      </c>
      <c r="U428" s="25"/>
      <c r="V428" s="25"/>
      <c r="W428" s="25" t="str">
        <f>IFERROR(IF(ISBLANK(V428),"",INDEX(Gen_Vessels!$A$3:$C$500,MATCH(InspectionSite!$V428,Gen_Vessels!$C$3:$C$500,0),1)),"")</f>
        <v/>
      </c>
      <c r="X428" s="25"/>
      <c r="Y428" s="25"/>
      <c r="Z428" s="25"/>
      <c r="AA428" s="25"/>
      <c r="AB428" s="25"/>
      <c r="AC428" s="25"/>
      <c r="AE428" s="25"/>
      <c r="AF428" s="49"/>
      <c r="AG428" s="25"/>
      <c r="AH428" s="25"/>
      <c r="AI428" s="25"/>
      <c r="AJ428" s="25"/>
      <c r="AK428" s="25"/>
    </row>
    <row r="429" spans="1:37" x14ac:dyDescent="0.25">
      <c r="A429" s="18" t="str">
        <f t="shared" si="6"/>
        <v/>
      </c>
      <c r="B429" s="25"/>
      <c r="C429" s="25"/>
      <c r="D429" s="25"/>
      <c r="E429" s="25"/>
      <c r="F429" s="25"/>
      <c r="G429" s="25"/>
      <c r="H429" s="37"/>
      <c r="I429" s="25"/>
      <c r="J429" s="38"/>
      <c r="K429" s="40"/>
      <c r="S429" s="25"/>
      <c r="T429" s="25" t="str">
        <f>IFERROR(IF(ISBLANK(S429),"",INDEX(Gen_Vessels!$A$3:$C$500,MATCH(InspectionSite!$S429,Gen_Vessels!$C$3:$C$500,0),1)),"")</f>
        <v/>
      </c>
      <c r="U429" s="25"/>
      <c r="V429" s="25"/>
      <c r="W429" s="25" t="str">
        <f>IFERROR(IF(ISBLANK(V429),"",INDEX(Gen_Vessels!$A$3:$C$500,MATCH(InspectionSite!$V429,Gen_Vessels!$C$3:$C$500,0),1)),"")</f>
        <v/>
      </c>
      <c r="X429" s="25"/>
      <c r="Y429" s="25"/>
      <c r="Z429" s="25"/>
      <c r="AA429" s="25"/>
      <c r="AB429" s="25"/>
      <c r="AC429" s="25"/>
      <c r="AE429" s="25"/>
      <c r="AF429" s="49"/>
      <c r="AG429" s="25"/>
      <c r="AH429" s="25"/>
      <c r="AI429" s="25"/>
      <c r="AJ429" s="25"/>
      <c r="AK429" s="25"/>
    </row>
    <row r="430" spans="1:37" x14ac:dyDescent="0.25">
      <c r="A430" s="18" t="str">
        <f t="shared" si="6"/>
        <v/>
      </c>
      <c r="B430" s="25"/>
      <c r="C430" s="25"/>
      <c r="D430" s="25"/>
      <c r="E430" s="25"/>
      <c r="F430" s="25"/>
      <c r="G430" s="25"/>
      <c r="H430" s="37"/>
      <c r="I430" s="25"/>
      <c r="J430" s="38"/>
      <c r="K430" s="40"/>
      <c r="S430" s="25"/>
      <c r="T430" s="25" t="str">
        <f>IFERROR(IF(ISBLANK(S430),"",INDEX(Gen_Vessels!$A$3:$C$500,MATCH(InspectionSite!$S430,Gen_Vessels!$C$3:$C$500,0),1)),"")</f>
        <v/>
      </c>
      <c r="U430" s="25"/>
      <c r="V430" s="25"/>
      <c r="W430" s="25" t="str">
        <f>IFERROR(IF(ISBLANK(V430),"",INDEX(Gen_Vessels!$A$3:$C$500,MATCH(InspectionSite!$V430,Gen_Vessels!$C$3:$C$500,0),1)),"")</f>
        <v/>
      </c>
      <c r="X430" s="25"/>
      <c r="Y430" s="25"/>
      <c r="Z430" s="25"/>
      <c r="AA430" s="25"/>
      <c r="AB430" s="25"/>
      <c r="AC430" s="25"/>
      <c r="AE430" s="25"/>
      <c r="AF430" s="49"/>
      <c r="AG430" s="25"/>
      <c r="AH430" s="25"/>
      <c r="AI430" s="25"/>
      <c r="AJ430" s="25"/>
      <c r="AK430" s="25"/>
    </row>
    <row r="431" spans="1:37" x14ac:dyDescent="0.25">
      <c r="A431" s="18" t="str">
        <f t="shared" si="6"/>
        <v/>
      </c>
      <c r="B431" s="25"/>
      <c r="C431" s="25"/>
      <c r="D431" s="25"/>
      <c r="E431" s="25"/>
      <c r="F431" s="25"/>
      <c r="G431" s="25"/>
      <c r="H431" s="37"/>
      <c r="I431" s="25"/>
      <c r="J431" s="38"/>
      <c r="K431" s="40"/>
      <c r="S431" s="25"/>
      <c r="T431" s="25" t="str">
        <f>IFERROR(IF(ISBLANK(S431),"",INDEX(Gen_Vessels!$A$3:$C$500,MATCH(InspectionSite!$S431,Gen_Vessels!$C$3:$C$500,0),1)),"")</f>
        <v/>
      </c>
      <c r="U431" s="25"/>
      <c r="V431" s="25"/>
      <c r="W431" s="25" t="str">
        <f>IFERROR(IF(ISBLANK(V431),"",INDEX(Gen_Vessels!$A$3:$C$500,MATCH(InspectionSite!$V431,Gen_Vessels!$C$3:$C$500,0),1)),"")</f>
        <v/>
      </c>
      <c r="X431" s="25"/>
      <c r="Y431" s="25"/>
      <c r="Z431" s="25"/>
      <c r="AA431" s="25"/>
      <c r="AB431" s="25"/>
      <c r="AC431" s="25"/>
      <c r="AE431" s="25"/>
      <c r="AF431" s="49"/>
      <c r="AG431" s="25"/>
      <c r="AH431" s="25"/>
      <c r="AI431" s="25"/>
      <c r="AJ431" s="25"/>
      <c r="AK431" s="25"/>
    </row>
    <row r="432" spans="1:37" x14ac:dyDescent="0.25">
      <c r="A432" s="18" t="str">
        <f t="shared" si="6"/>
        <v/>
      </c>
      <c r="B432" s="25"/>
      <c r="C432" s="25"/>
      <c r="D432" s="25"/>
      <c r="E432" s="25"/>
      <c r="F432" s="25"/>
      <c r="G432" s="25"/>
      <c r="H432" s="37"/>
      <c r="I432" s="25"/>
      <c r="J432" s="38"/>
      <c r="K432" s="40"/>
      <c r="S432" s="25"/>
      <c r="T432" s="25" t="str">
        <f>IFERROR(IF(ISBLANK(S432),"",INDEX(Gen_Vessels!$A$3:$C$500,MATCH(InspectionSite!$S432,Gen_Vessels!$C$3:$C$500,0),1)),"")</f>
        <v/>
      </c>
      <c r="U432" s="25"/>
      <c r="V432" s="25"/>
      <c r="W432" s="25" t="str">
        <f>IFERROR(IF(ISBLANK(V432),"",INDEX(Gen_Vessels!$A$3:$C$500,MATCH(InspectionSite!$V432,Gen_Vessels!$C$3:$C$500,0),1)),"")</f>
        <v/>
      </c>
      <c r="X432" s="25"/>
      <c r="Y432" s="25"/>
      <c r="Z432" s="25"/>
      <c r="AA432" s="25"/>
      <c r="AB432" s="25"/>
      <c r="AC432" s="25"/>
      <c r="AE432" s="25"/>
      <c r="AF432" s="49"/>
      <c r="AG432" s="25"/>
      <c r="AH432" s="25"/>
      <c r="AI432" s="25"/>
      <c r="AJ432" s="25"/>
      <c r="AK432" s="25"/>
    </row>
    <row r="433" spans="1:37" x14ac:dyDescent="0.25">
      <c r="A433" s="18" t="str">
        <f t="shared" si="6"/>
        <v/>
      </c>
      <c r="B433" s="25"/>
      <c r="C433" s="25"/>
      <c r="D433" s="25"/>
      <c r="E433" s="25"/>
      <c r="F433" s="25"/>
      <c r="G433" s="25"/>
      <c r="H433" s="37"/>
      <c r="I433" s="25"/>
      <c r="J433" s="38"/>
      <c r="K433" s="40"/>
      <c r="S433" s="25"/>
      <c r="T433" s="25" t="str">
        <f>IFERROR(IF(ISBLANK(S433),"",INDEX(Gen_Vessels!$A$3:$C$500,MATCH(InspectionSite!$S433,Gen_Vessels!$C$3:$C$500,0),1)),"")</f>
        <v/>
      </c>
      <c r="U433" s="25"/>
      <c r="V433" s="25"/>
      <c r="W433" s="25" t="str">
        <f>IFERROR(IF(ISBLANK(V433),"",INDEX(Gen_Vessels!$A$3:$C$500,MATCH(InspectionSite!$V433,Gen_Vessels!$C$3:$C$500,0),1)),"")</f>
        <v/>
      </c>
      <c r="X433" s="25"/>
      <c r="Y433" s="25"/>
      <c r="Z433" s="25"/>
      <c r="AA433" s="25"/>
      <c r="AB433" s="25"/>
      <c r="AC433" s="25"/>
      <c r="AE433" s="25"/>
      <c r="AF433" s="49"/>
      <c r="AG433" s="25"/>
      <c r="AH433" s="25"/>
      <c r="AI433" s="25"/>
      <c r="AJ433" s="25"/>
      <c r="AK433" s="25"/>
    </row>
    <row r="434" spans="1:37" x14ac:dyDescent="0.25">
      <c r="A434" s="18" t="str">
        <f t="shared" si="6"/>
        <v/>
      </c>
      <c r="B434" s="25"/>
      <c r="C434" s="25"/>
      <c r="D434" s="25"/>
      <c r="E434" s="25"/>
      <c r="F434" s="25"/>
      <c r="G434" s="25"/>
      <c r="H434" s="37"/>
      <c r="I434" s="25"/>
      <c r="J434" s="38"/>
      <c r="K434" s="40"/>
      <c r="S434" s="25"/>
      <c r="T434" s="25" t="str">
        <f>IFERROR(IF(ISBLANK(S434),"",INDEX(Gen_Vessels!$A$3:$C$500,MATCH(InspectionSite!$S434,Gen_Vessels!$C$3:$C$500,0),1)),"")</f>
        <v/>
      </c>
      <c r="U434" s="25"/>
      <c r="V434" s="25"/>
      <c r="W434" s="25" t="str">
        <f>IFERROR(IF(ISBLANK(V434),"",INDEX(Gen_Vessels!$A$3:$C$500,MATCH(InspectionSite!$V434,Gen_Vessels!$C$3:$C$500,0),1)),"")</f>
        <v/>
      </c>
      <c r="X434" s="25"/>
      <c r="Y434" s="25"/>
      <c r="Z434" s="25"/>
      <c r="AA434" s="25"/>
      <c r="AB434" s="25"/>
      <c r="AC434" s="25"/>
      <c r="AE434" s="25"/>
      <c r="AF434" s="49"/>
      <c r="AG434" s="25"/>
      <c r="AH434" s="25"/>
      <c r="AI434" s="25"/>
      <c r="AJ434" s="25"/>
      <c r="AK434" s="25"/>
    </row>
    <row r="435" spans="1:37" x14ac:dyDescent="0.25">
      <c r="A435" s="18" t="str">
        <f t="shared" si="6"/>
        <v/>
      </c>
      <c r="B435" s="25"/>
      <c r="C435" s="25"/>
      <c r="D435" s="25"/>
      <c r="E435" s="25"/>
      <c r="F435" s="25"/>
      <c r="G435" s="25"/>
      <c r="H435" s="37"/>
      <c r="I435" s="25"/>
      <c r="J435" s="38"/>
      <c r="K435" s="40"/>
      <c r="S435" s="25"/>
      <c r="T435" s="25" t="str">
        <f>IFERROR(IF(ISBLANK(S435),"",INDEX(Gen_Vessels!$A$3:$C$500,MATCH(InspectionSite!$S435,Gen_Vessels!$C$3:$C$500,0),1)),"")</f>
        <v/>
      </c>
      <c r="U435" s="25"/>
      <c r="V435" s="25"/>
      <c r="W435" s="25" t="str">
        <f>IFERROR(IF(ISBLANK(V435),"",INDEX(Gen_Vessels!$A$3:$C$500,MATCH(InspectionSite!$V435,Gen_Vessels!$C$3:$C$500,0),1)),"")</f>
        <v/>
      </c>
      <c r="X435" s="25"/>
      <c r="Y435" s="25"/>
      <c r="Z435" s="25"/>
      <c r="AA435" s="25"/>
      <c r="AB435" s="25"/>
      <c r="AC435" s="25"/>
      <c r="AE435" s="25"/>
      <c r="AF435" s="49"/>
      <c r="AG435" s="25"/>
      <c r="AH435" s="25"/>
      <c r="AI435" s="25"/>
      <c r="AJ435" s="25"/>
      <c r="AK435" s="25"/>
    </row>
    <row r="436" spans="1:37" x14ac:dyDescent="0.25">
      <c r="A436" s="18" t="str">
        <f t="shared" si="6"/>
        <v/>
      </c>
      <c r="B436" s="25"/>
      <c r="C436" s="25"/>
      <c r="D436" s="25"/>
      <c r="E436" s="25"/>
      <c r="F436" s="25"/>
      <c r="G436" s="25"/>
      <c r="H436" s="37"/>
      <c r="I436" s="25"/>
      <c r="J436" s="38"/>
      <c r="K436" s="40"/>
      <c r="S436" s="25"/>
      <c r="T436" s="25" t="str">
        <f>IFERROR(IF(ISBLANK(S436),"",INDEX(Gen_Vessels!$A$3:$C$500,MATCH(InspectionSite!$S436,Gen_Vessels!$C$3:$C$500,0),1)),"")</f>
        <v/>
      </c>
      <c r="U436" s="25"/>
      <c r="V436" s="25"/>
      <c r="W436" s="25" t="str">
        <f>IFERROR(IF(ISBLANK(V436),"",INDEX(Gen_Vessels!$A$3:$C$500,MATCH(InspectionSite!$V436,Gen_Vessels!$C$3:$C$500,0),1)),"")</f>
        <v/>
      </c>
      <c r="X436" s="25"/>
      <c r="Y436" s="25"/>
      <c r="Z436" s="25"/>
      <c r="AA436" s="25"/>
      <c r="AB436" s="25"/>
      <c r="AC436" s="25"/>
      <c r="AE436" s="25"/>
      <c r="AF436" s="49"/>
      <c r="AG436" s="25"/>
      <c r="AH436" s="25"/>
      <c r="AI436" s="25"/>
      <c r="AJ436" s="25"/>
      <c r="AK436" s="25"/>
    </row>
    <row r="437" spans="1:37" x14ac:dyDescent="0.25">
      <c r="A437" s="18" t="str">
        <f t="shared" si="6"/>
        <v/>
      </c>
      <c r="B437" s="25"/>
      <c r="C437" s="25"/>
      <c r="D437" s="25"/>
      <c r="E437" s="25"/>
      <c r="F437" s="25"/>
      <c r="G437" s="25"/>
      <c r="H437" s="37"/>
      <c r="I437" s="25"/>
      <c r="J437" s="38"/>
      <c r="K437" s="40"/>
      <c r="S437" s="25"/>
      <c r="T437" s="25" t="str">
        <f>IFERROR(IF(ISBLANK(S437),"",INDEX(Gen_Vessels!$A$3:$C$500,MATCH(InspectionSite!$S437,Gen_Vessels!$C$3:$C$500,0),1)),"")</f>
        <v/>
      </c>
      <c r="U437" s="25"/>
      <c r="V437" s="25"/>
      <c r="W437" s="25" t="str">
        <f>IFERROR(IF(ISBLANK(V437),"",INDEX(Gen_Vessels!$A$3:$C$500,MATCH(InspectionSite!$V437,Gen_Vessels!$C$3:$C$500,0),1)),"")</f>
        <v/>
      </c>
      <c r="X437" s="25"/>
      <c r="Y437" s="25"/>
      <c r="Z437" s="25"/>
      <c r="AA437" s="25"/>
      <c r="AB437" s="25"/>
      <c r="AC437" s="25"/>
      <c r="AE437" s="25"/>
      <c r="AF437" s="49"/>
      <c r="AG437" s="25"/>
      <c r="AH437" s="25"/>
      <c r="AI437" s="25"/>
      <c r="AJ437" s="25"/>
      <c r="AK437" s="25"/>
    </row>
    <row r="438" spans="1:37" x14ac:dyDescent="0.25">
      <c r="A438" s="18" t="str">
        <f t="shared" si="6"/>
        <v/>
      </c>
      <c r="B438" s="25"/>
      <c r="C438" s="25"/>
      <c r="D438" s="25"/>
      <c r="E438" s="25"/>
      <c r="F438" s="25"/>
      <c r="G438" s="25"/>
      <c r="H438" s="37"/>
      <c r="I438" s="25"/>
      <c r="J438" s="38"/>
      <c r="K438" s="40"/>
      <c r="S438" s="25"/>
      <c r="T438" s="25" t="str">
        <f>IFERROR(IF(ISBLANK(S438),"",INDEX(Gen_Vessels!$A$3:$C$500,MATCH(InspectionSite!$S438,Gen_Vessels!$C$3:$C$500,0),1)),"")</f>
        <v/>
      </c>
      <c r="U438" s="25"/>
      <c r="V438" s="25"/>
      <c r="W438" s="25" t="str">
        <f>IFERROR(IF(ISBLANK(V438),"",INDEX(Gen_Vessels!$A$3:$C$500,MATCH(InspectionSite!$V438,Gen_Vessels!$C$3:$C$500,0),1)),"")</f>
        <v/>
      </c>
      <c r="X438" s="25"/>
      <c r="Y438" s="25"/>
      <c r="Z438" s="25"/>
      <c r="AA438" s="25"/>
      <c r="AB438" s="25"/>
      <c r="AC438" s="25"/>
      <c r="AE438" s="25"/>
      <c r="AF438" s="49"/>
      <c r="AG438" s="25"/>
      <c r="AH438" s="25"/>
      <c r="AI438" s="25"/>
      <c r="AJ438" s="25"/>
      <c r="AK438" s="25"/>
    </row>
    <row r="439" spans="1:37" x14ac:dyDescent="0.25">
      <c r="A439" s="18" t="str">
        <f t="shared" si="6"/>
        <v/>
      </c>
      <c r="B439" s="25"/>
      <c r="C439" s="25"/>
      <c r="D439" s="25"/>
      <c r="E439" s="25"/>
      <c r="F439" s="25"/>
      <c r="G439" s="25"/>
      <c r="H439" s="37"/>
      <c r="I439" s="25"/>
      <c r="J439" s="38"/>
      <c r="K439" s="40"/>
      <c r="S439" s="25"/>
      <c r="T439" s="25" t="str">
        <f>IFERROR(IF(ISBLANK(S439),"",INDEX(Gen_Vessels!$A$3:$C$500,MATCH(InspectionSite!$S439,Gen_Vessels!$C$3:$C$500,0),1)),"")</f>
        <v/>
      </c>
      <c r="U439" s="25"/>
      <c r="V439" s="25"/>
      <c r="W439" s="25" t="str">
        <f>IFERROR(IF(ISBLANK(V439),"",INDEX(Gen_Vessels!$A$3:$C$500,MATCH(InspectionSite!$V439,Gen_Vessels!$C$3:$C$500,0),1)),"")</f>
        <v/>
      </c>
      <c r="X439" s="25"/>
      <c r="Y439" s="25"/>
      <c r="Z439" s="25"/>
      <c r="AA439" s="25"/>
      <c r="AB439" s="25"/>
      <c r="AC439" s="25"/>
      <c r="AE439" s="25"/>
      <c r="AF439" s="49"/>
      <c r="AG439" s="25"/>
      <c r="AH439" s="25"/>
      <c r="AI439" s="25"/>
      <c r="AJ439" s="25"/>
      <c r="AK439" s="25"/>
    </row>
    <row r="440" spans="1:37" x14ac:dyDescent="0.25">
      <c r="A440" s="18" t="str">
        <f t="shared" si="6"/>
        <v/>
      </c>
      <c r="B440" s="25"/>
      <c r="C440" s="25"/>
      <c r="D440" s="25"/>
      <c r="E440" s="25"/>
      <c r="F440" s="25"/>
      <c r="G440" s="25"/>
      <c r="H440" s="37"/>
      <c r="I440" s="25"/>
      <c r="J440" s="38"/>
      <c r="K440" s="40"/>
      <c r="S440" s="25"/>
      <c r="T440" s="25" t="str">
        <f>IFERROR(IF(ISBLANK(S440),"",INDEX(Gen_Vessels!$A$3:$C$500,MATCH(InspectionSite!$S440,Gen_Vessels!$C$3:$C$500,0),1)),"")</f>
        <v/>
      </c>
      <c r="U440" s="25"/>
      <c r="V440" s="25"/>
      <c r="W440" s="25" t="str">
        <f>IFERROR(IF(ISBLANK(V440),"",INDEX(Gen_Vessels!$A$3:$C$500,MATCH(InspectionSite!$V440,Gen_Vessels!$C$3:$C$500,0),1)),"")</f>
        <v/>
      </c>
      <c r="X440" s="25"/>
      <c r="Y440" s="25"/>
      <c r="Z440" s="25"/>
      <c r="AA440" s="25"/>
      <c r="AB440" s="25"/>
      <c r="AC440" s="25"/>
      <c r="AE440" s="25"/>
      <c r="AF440" s="49"/>
      <c r="AG440" s="25"/>
      <c r="AH440" s="25"/>
      <c r="AI440" s="25"/>
      <c r="AJ440" s="25"/>
      <c r="AK440" s="25"/>
    </row>
    <row r="441" spans="1:37" x14ac:dyDescent="0.25">
      <c r="A441" s="18" t="str">
        <f t="shared" si="6"/>
        <v/>
      </c>
      <c r="B441" s="25"/>
      <c r="C441" s="25"/>
      <c r="D441" s="25"/>
      <c r="E441" s="25"/>
      <c r="F441" s="25"/>
      <c r="G441" s="25"/>
      <c r="H441" s="37"/>
      <c r="I441" s="25"/>
      <c r="J441" s="38"/>
      <c r="K441" s="40"/>
      <c r="S441" s="25"/>
      <c r="T441" s="25" t="str">
        <f>IFERROR(IF(ISBLANK(S441),"",INDEX(Gen_Vessels!$A$3:$C$500,MATCH(InspectionSite!$S441,Gen_Vessels!$C$3:$C$500,0),1)),"")</f>
        <v/>
      </c>
      <c r="U441" s="25"/>
      <c r="V441" s="25"/>
      <c r="W441" s="25" t="str">
        <f>IFERROR(IF(ISBLANK(V441),"",INDEX(Gen_Vessels!$A$3:$C$500,MATCH(InspectionSite!$V441,Gen_Vessels!$C$3:$C$500,0),1)),"")</f>
        <v/>
      </c>
      <c r="X441" s="25"/>
      <c r="Y441" s="25"/>
      <c r="Z441" s="25"/>
      <c r="AA441" s="25"/>
      <c r="AB441" s="25"/>
      <c r="AC441" s="25"/>
      <c r="AE441" s="25"/>
      <c r="AF441" s="49"/>
      <c r="AG441" s="25"/>
      <c r="AH441" s="25"/>
      <c r="AI441" s="25"/>
      <c r="AJ441" s="25"/>
      <c r="AK441" s="25"/>
    </row>
    <row r="442" spans="1:37" x14ac:dyDescent="0.25">
      <c r="A442" s="18" t="str">
        <f t="shared" si="6"/>
        <v/>
      </c>
      <c r="B442" s="25"/>
      <c r="C442" s="25"/>
      <c r="D442" s="25"/>
      <c r="E442" s="25"/>
      <c r="F442" s="25"/>
      <c r="G442" s="25"/>
      <c r="H442" s="37"/>
      <c r="I442" s="25"/>
      <c r="J442" s="38"/>
      <c r="K442" s="40"/>
      <c r="S442" s="25"/>
      <c r="T442" s="25" t="str">
        <f>IFERROR(IF(ISBLANK(S442),"",INDEX(Gen_Vessels!$A$3:$C$500,MATCH(InspectionSite!$S442,Gen_Vessels!$C$3:$C$500,0),1)),"")</f>
        <v/>
      </c>
      <c r="U442" s="25"/>
      <c r="V442" s="25"/>
      <c r="W442" s="25" t="str">
        <f>IFERROR(IF(ISBLANK(V442),"",INDEX(Gen_Vessels!$A$3:$C$500,MATCH(InspectionSite!$V442,Gen_Vessels!$C$3:$C$500,0),1)),"")</f>
        <v/>
      </c>
      <c r="X442" s="25"/>
      <c r="Y442" s="25"/>
      <c r="Z442" s="25"/>
      <c r="AA442" s="25"/>
      <c r="AB442" s="25"/>
      <c r="AC442" s="25"/>
      <c r="AE442" s="25"/>
      <c r="AF442" s="49"/>
      <c r="AG442" s="25"/>
      <c r="AH442" s="25"/>
      <c r="AI442" s="25"/>
      <c r="AJ442" s="25"/>
      <c r="AK442" s="25"/>
    </row>
    <row r="443" spans="1:37" x14ac:dyDescent="0.25">
      <c r="A443" s="18" t="str">
        <f t="shared" si="6"/>
        <v/>
      </c>
      <c r="B443" s="25"/>
      <c r="C443" s="25"/>
      <c r="D443" s="25"/>
      <c r="E443" s="25"/>
      <c r="F443" s="25"/>
      <c r="G443" s="25"/>
      <c r="H443" s="37"/>
      <c r="I443" s="25"/>
      <c r="J443" s="38"/>
      <c r="K443" s="40"/>
      <c r="S443" s="25"/>
      <c r="T443" s="25" t="str">
        <f>IFERROR(IF(ISBLANK(S443),"",INDEX(Gen_Vessels!$A$3:$C$500,MATCH(InspectionSite!$S443,Gen_Vessels!$C$3:$C$500,0),1)),"")</f>
        <v/>
      </c>
      <c r="U443" s="25"/>
      <c r="V443" s="25"/>
      <c r="W443" s="25" t="str">
        <f>IFERROR(IF(ISBLANK(V443),"",INDEX(Gen_Vessels!$A$3:$C$500,MATCH(InspectionSite!$V443,Gen_Vessels!$C$3:$C$500,0),1)),"")</f>
        <v/>
      </c>
      <c r="X443" s="25"/>
      <c r="Y443" s="25"/>
      <c r="Z443" s="25"/>
      <c r="AA443" s="25"/>
      <c r="AB443" s="25"/>
      <c r="AC443" s="25"/>
      <c r="AE443" s="25"/>
      <c r="AF443" s="49"/>
      <c r="AG443" s="25"/>
      <c r="AH443" s="25"/>
      <c r="AI443" s="25"/>
      <c r="AJ443" s="25"/>
      <c r="AK443" s="25"/>
    </row>
    <row r="444" spans="1:37" x14ac:dyDescent="0.25">
      <c r="A444" s="18" t="str">
        <f t="shared" si="6"/>
        <v/>
      </c>
      <c r="B444" s="25"/>
      <c r="C444" s="25"/>
      <c r="D444" s="25"/>
      <c r="E444" s="25"/>
      <c r="F444" s="25"/>
      <c r="G444" s="25"/>
      <c r="H444" s="37"/>
      <c r="I444" s="25"/>
      <c r="J444" s="38"/>
      <c r="K444" s="40"/>
      <c r="S444" s="25"/>
      <c r="T444" s="25" t="str">
        <f>IFERROR(IF(ISBLANK(S444),"",INDEX(Gen_Vessels!$A$3:$C$500,MATCH(InspectionSite!$S444,Gen_Vessels!$C$3:$C$500,0),1)),"")</f>
        <v/>
      </c>
      <c r="U444" s="25"/>
      <c r="V444" s="25"/>
      <c r="W444" s="25" t="str">
        <f>IFERROR(IF(ISBLANK(V444),"",INDEX(Gen_Vessels!$A$3:$C$500,MATCH(InspectionSite!$V444,Gen_Vessels!$C$3:$C$500,0),1)),"")</f>
        <v/>
      </c>
      <c r="X444" s="25"/>
      <c r="Y444" s="25"/>
      <c r="Z444" s="25"/>
      <c r="AA444" s="25"/>
      <c r="AB444" s="25"/>
      <c r="AC444" s="25"/>
      <c r="AE444" s="25"/>
      <c r="AF444" s="49"/>
      <c r="AG444" s="25"/>
      <c r="AH444" s="25"/>
      <c r="AI444" s="25"/>
      <c r="AJ444" s="25"/>
      <c r="AK444" s="25"/>
    </row>
    <row r="445" spans="1:37" x14ac:dyDescent="0.25">
      <c r="A445" s="18" t="str">
        <f t="shared" si="6"/>
        <v/>
      </c>
      <c r="B445" s="25"/>
      <c r="C445" s="25"/>
      <c r="D445" s="25"/>
      <c r="E445" s="25"/>
      <c r="F445" s="25"/>
      <c r="G445" s="25"/>
      <c r="H445" s="37"/>
      <c r="I445" s="25"/>
      <c r="J445" s="38"/>
      <c r="K445" s="40"/>
      <c r="S445" s="25"/>
      <c r="T445" s="25" t="str">
        <f>IFERROR(IF(ISBLANK(S445),"",INDEX(Gen_Vessels!$A$3:$C$500,MATCH(InspectionSite!$S445,Gen_Vessels!$C$3:$C$500,0),1)),"")</f>
        <v/>
      </c>
      <c r="U445" s="25"/>
      <c r="V445" s="25"/>
      <c r="W445" s="25" t="str">
        <f>IFERROR(IF(ISBLANK(V445),"",INDEX(Gen_Vessels!$A$3:$C$500,MATCH(InspectionSite!$V445,Gen_Vessels!$C$3:$C$500,0),1)),"")</f>
        <v/>
      </c>
      <c r="X445" s="25"/>
      <c r="Y445" s="25"/>
      <c r="Z445" s="25"/>
      <c r="AA445" s="25"/>
      <c r="AB445" s="25"/>
      <c r="AC445" s="25"/>
      <c r="AE445" s="25"/>
      <c r="AF445" s="49"/>
      <c r="AG445" s="25"/>
      <c r="AH445" s="25"/>
      <c r="AI445" s="25"/>
      <c r="AJ445" s="25"/>
      <c r="AK445" s="25"/>
    </row>
    <row r="446" spans="1:37" x14ac:dyDescent="0.25">
      <c r="A446" s="18" t="str">
        <f t="shared" si="6"/>
        <v/>
      </c>
      <c r="B446" s="25"/>
      <c r="C446" s="25"/>
      <c r="D446" s="25"/>
      <c r="E446" s="25"/>
      <c r="F446" s="25"/>
      <c r="G446" s="25"/>
      <c r="H446" s="37"/>
      <c r="I446" s="25"/>
      <c r="J446" s="38"/>
      <c r="K446" s="40"/>
      <c r="S446" s="25"/>
      <c r="T446" s="25" t="str">
        <f>IFERROR(IF(ISBLANK(S446),"",INDEX(Gen_Vessels!$A$3:$C$500,MATCH(InspectionSite!$S446,Gen_Vessels!$C$3:$C$500,0),1)),"")</f>
        <v/>
      </c>
      <c r="U446" s="25"/>
      <c r="V446" s="25"/>
      <c r="W446" s="25" t="str">
        <f>IFERROR(IF(ISBLANK(V446),"",INDEX(Gen_Vessels!$A$3:$C$500,MATCH(InspectionSite!$V446,Gen_Vessels!$C$3:$C$500,0),1)),"")</f>
        <v/>
      </c>
      <c r="X446" s="25"/>
      <c r="Y446" s="25"/>
      <c r="Z446" s="25"/>
      <c r="AA446" s="25"/>
      <c r="AB446" s="25"/>
      <c r="AC446" s="25"/>
      <c r="AE446" s="25"/>
      <c r="AF446" s="49"/>
      <c r="AG446" s="25"/>
      <c r="AH446" s="25"/>
      <c r="AI446" s="25"/>
      <c r="AJ446" s="25"/>
      <c r="AK446" s="25"/>
    </row>
    <row r="447" spans="1:37" x14ac:dyDescent="0.25">
      <c r="A447" s="18" t="str">
        <f t="shared" si="6"/>
        <v/>
      </c>
      <c r="B447" s="25"/>
      <c r="C447" s="25"/>
      <c r="D447" s="25"/>
      <c r="E447" s="25"/>
      <c r="F447" s="25"/>
      <c r="G447" s="25"/>
      <c r="H447" s="37"/>
      <c r="I447" s="25"/>
      <c r="J447" s="38"/>
      <c r="K447" s="40"/>
      <c r="S447" s="25"/>
      <c r="T447" s="25" t="str">
        <f>IFERROR(IF(ISBLANK(S447),"",INDEX(Gen_Vessels!$A$3:$C$500,MATCH(InspectionSite!$S447,Gen_Vessels!$C$3:$C$500,0),1)),"")</f>
        <v/>
      </c>
      <c r="U447" s="25"/>
      <c r="V447" s="25"/>
      <c r="W447" s="25" t="str">
        <f>IFERROR(IF(ISBLANK(V447),"",INDEX(Gen_Vessels!$A$3:$C$500,MATCH(InspectionSite!$V447,Gen_Vessels!$C$3:$C$500,0),1)),"")</f>
        <v/>
      </c>
      <c r="X447" s="25"/>
      <c r="Y447" s="25"/>
      <c r="Z447" s="25"/>
      <c r="AA447" s="25"/>
      <c r="AB447" s="25"/>
      <c r="AC447" s="25"/>
      <c r="AE447" s="25"/>
      <c r="AF447" s="49"/>
      <c r="AG447" s="25"/>
      <c r="AH447" s="25"/>
      <c r="AI447" s="25"/>
      <c r="AJ447" s="25"/>
      <c r="AK447" s="25"/>
    </row>
    <row r="448" spans="1:37" x14ac:dyDescent="0.25">
      <c r="A448" s="18" t="str">
        <f t="shared" si="6"/>
        <v/>
      </c>
      <c r="B448" s="25"/>
      <c r="C448" s="25"/>
      <c r="D448" s="25"/>
      <c r="E448" s="25"/>
      <c r="F448" s="25"/>
      <c r="G448" s="25"/>
      <c r="H448" s="37"/>
      <c r="I448" s="25"/>
      <c r="J448" s="38"/>
      <c r="K448" s="40"/>
      <c r="S448" s="25"/>
      <c r="T448" s="25" t="str">
        <f>IFERROR(IF(ISBLANK(S448),"",INDEX(Gen_Vessels!$A$3:$C$500,MATCH(InspectionSite!$S448,Gen_Vessels!$C$3:$C$500,0),1)),"")</f>
        <v/>
      </c>
      <c r="U448" s="25"/>
      <c r="V448" s="25"/>
      <c r="W448" s="25" t="str">
        <f>IFERROR(IF(ISBLANK(V448),"",INDEX(Gen_Vessels!$A$3:$C$500,MATCH(InspectionSite!$V448,Gen_Vessels!$C$3:$C$500,0),1)),"")</f>
        <v/>
      </c>
      <c r="X448" s="25"/>
      <c r="Y448" s="25"/>
      <c r="Z448" s="25"/>
      <c r="AA448" s="25"/>
      <c r="AB448" s="25"/>
      <c r="AC448" s="25"/>
      <c r="AE448" s="25"/>
      <c r="AF448" s="49"/>
      <c r="AG448" s="25"/>
      <c r="AH448" s="25"/>
      <c r="AI448" s="25"/>
      <c r="AJ448" s="25"/>
      <c r="AK448" s="25"/>
    </row>
    <row r="449" spans="1:37" x14ac:dyDescent="0.25">
      <c r="A449" s="18" t="str">
        <f t="shared" si="6"/>
        <v/>
      </c>
      <c r="B449" s="25"/>
      <c r="C449" s="25"/>
      <c r="D449" s="25"/>
      <c r="E449" s="25"/>
      <c r="F449" s="25"/>
      <c r="G449" s="25"/>
      <c r="H449" s="37"/>
      <c r="I449" s="25"/>
      <c r="J449" s="38"/>
      <c r="K449" s="40"/>
      <c r="S449" s="25"/>
      <c r="T449" s="25" t="str">
        <f>IFERROR(IF(ISBLANK(S449),"",INDEX(Gen_Vessels!$A$3:$C$500,MATCH(InspectionSite!$S449,Gen_Vessels!$C$3:$C$500,0),1)),"")</f>
        <v/>
      </c>
      <c r="U449" s="25"/>
      <c r="V449" s="25"/>
      <c r="W449" s="25" t="str">
        <f>IFERROR(IF(ISBLANK(V449),"",INDEX(Gen_Vessels!$A$3:$C$500,MATCH(InspectionSite!$V449,Gen_Vessels!$C$3:$C$500,0),1)),"")</f>
        <v/>
      </c>
      <c r="X449" s="25"/>
      <c r="Y449" s="25"/>
      <c r="Z449" s="25"/>
      <c r="AA449" s="25"/>
      <c r="AB449" s="25"/>
      <c r="AC449" s="25"/>
      <c r="AE449" s="25"/>
      <c r="AF449" s="49"/>
      <c r="AG449" s="25"/>
      <c r="AH449" s="25"/>
      <c r="AI449" s="25"/>
      <c r="AJ449" s="25"/>
      <c r="AK449" s="25"/>
    </row>
    <row r="450" spans="1:37" x14ac:dyDescent="0.25">
      <c r="A450" s="18" t="str">
        <f t="shared" si="6"/>
        <v/>
      </c>
      <c r="B450" s="25"/>
      <c r="C450" s="25"/>
      <c r="D450" s="25"/>
      <c r="E450" s="25"/>
      <c r="F450" s="25"/>
      <c r="G450" s="25"/>
      <c r="H450" s="37"/>
      <c r="I450" s="25"/>
      <c r="J450" s="38"/>
      <c r="K450" s="40"/>
      <c r="S450" s="25"/>
      <c r="T450" s="25" t="str">
        <f>IFERROR(IF(ISBLANK(S450),"",INDEX(Gen_Vessels!$A$3:$C$500,MATCH(InspectionSite!$S450,Gen_Vessels!$C$3:$C$500,0),1)),"")</f>
        <v/>
      </c>
      <c r="U450" s="25"/>
      <c r="V450" s="25"/>
      <c r="W450" s="25" t="str">
        <f>IFERROR(IF(ISBLANK(V450),"",INDEX(Gen_Vessels!$A$3:$C$500,MATCH(InspectionSite!$V450,Gen_Vessels!$C$3:$C$500,0),1)),"")</f>
        <v/>
      </c>
      <c r="X450" s="25"/>
      <c r="Y450" s="25"/>
      <c r="Z450" s="25"/>
      <c r="AA450" s="25"/>
      <c r="AB450" s="25"/>
      <c r="AC450" s="25"/>
      <c r="AE450" s="25"/>
      <c r="AF450" s="49"/>
      <c r="AG450" s="25"/>
      <c r="AH450" s="25"/>
      <c r="AI450" s="25"/>
      <c r="AJ450" s="25"/>
      <c r="AK450" s="25"/>
    </row>
    <row r="451" spans="1:37" x14ac:dyDescent="0.25">
      <c r="A451" s="18" t="str">
        <f t="shared" si="6"/>
        <v/>
      </c>
      <c r="B451" s="25"/>
      <c r="C451" s="25"/>
      <c r="D451" s="25"/>
      <c r="E451" s="25"/>
      <c r="F451" s="25"/>
      <c r="G451" s="25"/>
      <c r="H451" s="37"/>
      <c r="I451" s="25"/>
      <c r="J451" s="38"/>
      <c r="K451" s="40"/>
      <c r="S451" s="25"/>
      <c r="T451" s="25" t="str">
        <f>IFERROR(IF(ISBLANK(S451),"",INDEX(Gen_Vessels!$A$3:$C$500,MATCH(InspectionSite!$S451,Gen_Vessels!$C$3:$C$500,0),1)),"")</f>
        <v/>
      </c>
      <c r="U451" s="25"/>
      <c r="V451" s="25"/>
      <c r="W451" s="25" t="str">
        <f>IFERROR(IF(ISBLANK(V451),"",INDEX(Gen_Vessels!$A$3:$C$500,MATCH(InspectionSite!$V451,Gen_Vessels!$C$3:$C$500,0),1)),"")</f>
        <v/>
      </c>
      <c r="X451" s="25"/>
      <c r="Y451" s="25"/>
      <c r="Z451" s="25"/>
      <c r="AA451" s="25"/>
      <c r="AB451" s="25"/>
      <c r="AC451" s="25"/>
      <c r="AE451" s="25"/>
      <c r="AF451" s="49"/>
      <c r="AG451" s="25"/>
      <c r="AH451" s="25"/>
      <c r="AI451" s="25"/>
      <c r="AJ451" s="25"/>
      <c r="AK451" s="25"/>
    </row>
    <row r="452" spans="1:37" x14ac:dyDescent="0.25">
      <c r="A452" s="18" t="str">
        <f t="shared" si="6"/>
        <v/>
      </c>
      <c r="B452" s="25"/>
      <c r="C452" s="25"/>
      <c r="D452" s="25"/>
      <c r="E452" s="25"/>
      <c r="F452" s="25"/>
      <c r="G452" s="25"/>
      <c r="H452" s="37"/>
      <c r="I452" s="25"/>
      <c r="J452" s="38"/>
      <c r="K452" s="40"/>
      <c r="S452" s="25"/>
      <c r="T452" s="25" t="str">
        <f>IFERROR(IF(ISBLANK(S452),"",INDEX(Gen_Vessels!$A$3:$C$500,MATCH(InspectionSite!$S452,Gen_Vessels!$C$3:$C$500,0),1)),"")</f>
        <v/>
      </c>
      <c r="U452" s="25"/>
      <c r="V452" s="25"/>
      <c r="W452" s="25" t="str">
        <f>IFERROR(IF(ISBLANK(V452),"",INDEX(Gen_Vessels!$A$3:$C$500,MATCH(InspectionSite!$V452,Gen_Vessels!$C$3:$C$500,0),1)),"")</f>
        <v/>
      </c>
      <c r="X452" s="25"/>
      <c r="Y452" s="25"/>
      <c r="Z452" s="25"/>
      <c r="AA452" s="25"/>
      <c r="AB452" s="25"/>
      <c r="AC452" s="25"/>
      <c r="AE452" s="25"/>
      <c r="AF452" s="49"/>
      <c r="AG452" s="25"/>
      <c r="AH452" s="25"/>
      <c r="AI452" s="25"/>
      <c r="AJ452" s="25"/>
      <c r="AK452" s="25"/>
    </row>
    <row r="453" spans="1:37" x14ac:dyDescent="0.25">
      <c r="A453" s="18" t="str">
        <f t="shared" ref="A453:A490" si="7">IF(ISBLANK($B453)=FALSE,IF(AND($H453&gt;0,$I453&lt;=0,$J453&lt;=0),_xlfn.CONCAT("ofw_",$B453),IF(AND($H453&lt;=0,$I453&gt;0,$J453&lt;=0),_xlfn.CONCAT("owc_",$B453),IF(AND($H453&lt;=0,$I453&lt;=0,$J453&gt;0),_xlfn.CONCAT("opv_",$B453),_xlfn.CONCAT("oce_",$B453)))),"")</f>
        <v/>
      </c>
      <c r="B453" s="25"/>
      <c r="C453" s="25"/>
      <c r="D453" s="25"/>
      <c r="E453" s="25"/>
      <c r="F453" s="25"/>
      <c r="G453" s="25"/>
      <c r="H453" s="37"/>
      <c r="I453" s="25"/>
      <c r="J453" s="38"/>
      <c r="K453" s="40"/>
      <c r="S453" s="25"/>
      <c r="T453" s="25" t="str">
        <f>IFERROR(IF(ISBLANK(S453),"",INDEX(Gen_Vessels!$A$3:$C$500,MATCH(InspectionSite!$S453,Gen_Vessels!$C$3:$C$500,0),1)),"")</f>
        <v/>
      </c>
      <c r="U453" s="25"/>
      <c r="V453" s="25"/>
      <c r="W453" s="25" t="str">
        <f>IFERROR(IF(ISBLANK(V453),"",INDEX(Gen_Vessels!$A$3:$C$500,MATCH(InspectionSite!$V453,Gen_Vessels!$C$3:$C$500,0),1)),"")</f>
        <v/>
      </c>
      <c r="X453" s="25"/>
      <c r="Y453" s="25"/>
      <c r="Z453" s="25"/>
      <c r="AA453" s="25"/>
      <c r="AB453" s="25"/>
      <c r="AC453" s="25"/>
      <c r="AE453" s="25"/>
      <c r="AF453" s="49"/>
      <c r="AG453" s="25"/>
      <c r="AH453" s="25"/>
      <c r="AI453" s="25"/>
      <c r="AJ453" s="25"/>
      <c r="AK453" s="25"/>
    </row>
    <row r="454" spans="1:37" x14ac:dyDescent="0.25">
      <c r="A454" s="18" t="str">
        <f t="shared" si="7"/>
        <v/>
      </c>
      <c r="B454" s="25"/>
      <c r="C454" s="25"/>
      <c r="D454" s="25"/>
      <c r="E454" s="25"/>
      <c r="F454" s="25"/>
      <c r="G454" s="25"/>
      <c r="H454" s="37"/>
      <c r="I454" s="25"/>
      <c r="J454" s="38"/>
      <c r="K454" s="40"/>
      <c r="S454" s="25"/>
      <c r="T454" s="25" t="str">
        <f>IFERROR(IF(ISBLANK(S454),"",INDEX(Gen_Vessels!$A$3:$C$500,MATCH(InspectionSite!$S454,Gen_Vessels!$C$3:$C$500,0),1)),"")</f>
        <v/>
      </c>
      <c r="U454" s="25"/>
      <c r="V454" s="25"/>
      <c r="W454" s="25" t="str">
        <f>IFERROR(IF(ISBLANK(V454),"",INDEX(Gen_Vessels!$A$3:$C$500,MATCH(InspectionSite!$V454,Gen_Vessels!$C$3:$C$500,0),1)),"")</f>
        <v/>
      </c>
      <c r="X454" s="25"/>
      <c r="Y454" s="25"/>
      <c r="Z454" s="25"/>
      <c r="AA454" s="25"/>
      <c r="AB454" s="25"/>
      <c r="AC454" s="25"/>
      <c r="AE454" s="25"/>
      <c r="AF454" s="49"/>
      <c r="AG454" s="25"/>
      <c r="AH454" s="25"/>
      <c r="AI454" s="25"/>
      <c r="AJ454" s="25"/>
      <c r="AK454" s="25"/>
    </row>
    <row r="455" spans="1:37" x14ac:dyDescent="0.25">
      <c r="A455" s="18" t="str">
        <f t="shared" si="7"/>
        <v/>
      </c>
      <c r="B455" s="25"/>
      <c r="C455" s="25"/>
      <c r="D455" s="25"/>
      <c r="E455" s="25"/>
      <c r="F455" s="25"/>
      <c r="G455" s="25"/>
      <c r="H455" s="37"/>
      <c r="I455" s="25"/>
      <c r="J455" s="38"/>
      <c r="K455" s="40"/>
      <c r="S455" s="25"/>
      <c r="T455" s="25" t="str">
        <f>IFERROR(IF(ISBLANK(S455),"",INDEX(Gen_Vessels!$A$3:$C$500,MATCH(InspectionSite!$S455,Gen_Vessels!$C$3:$C$500,0),1)),"")</f>
        <v/>
      </c>
      <c r="U455" s="25"/>
      <c r="V455" s="25"/>
      <c r="W455" s="25" t="str">
        <f>IFERROR(IF(ISBLANK(V455),"",INDEX(Gen_Vessels!$A$3:$C$500,MATCH(InspectionSite!$V455,Gen_Vessels!$C$3:$C$500,0),1)),"")</f>
        <v/>
      </c>
      <c r="X455" s="25"/>
      <c r="Y455" s="25"/>
      <c r="Z455" s="25"/>
      <c r="AA455" s="25"/>
      <c r="AB455" s="25"/>
      <c r="AC455" s="25"/>
      <c r="AE455" s="25"/>
      <c r="AF455" s="49"/>
      <c r="AG455" s="25"/>
      <c r="AH455" s="25"/>
      <c r="AI455" s="25"/>
      <c r="AJ455" s="25"/>
      <c r="AK455" s="25"/>
    </row>
    <row r="456" spans="1:37" x14ac:dyDescent="0.25">
      <c r="A456" s="18" t="str">
        <f t="shared" si="7"/>
        <v/>
      </c>
      <c r="B456" s="25"/>
      <c r="C456" s="25"/>
      <c r="D456" s="25"/>
      <c r="E456" s="25"/>
      <c r="F456" s="25"/>
      <c r="G456" s="25"/>
      <c r="H456" s="37"/>
      <c r="I456" s="25"/>
      <c r="J456" s="38"/>
      <c r="K456" s="40"/>
      <c r="S456" s="25"/>
      <c r="T456" s="25" t="str">
        <f>IFERROR(IF(ISBLANK(S456),"",INDEX(Gen_Vessels!$A$3:$C$500,MATCH(InspectionSite!$S456,Gen_Vessels!$C$3:$C$500,0),1)),"")</f>
        <v/>
      </c>
      <c r="U456" s="25"/>
      <c r="V456" s="25"/>
      <c r="W456" s="25" t="str">
        <f>IFERROR(IF(ISBLANK(V456),"",INDEX(Gen_Vessels!$A$3:$C$500,MATCH(InspectionSite!$V456,Gen_Vessels!$C$3:$C$500,0),1)),"")</f>
        <v/>
      </c>
      <c r="X456" s="25"/>
      <c r="Y456" s="25"/>
      <c r="Z456" s="25"/>
      <c r="AA456" s="25"/>
      <c r="AB456" s="25"/>
      <c r="AC456" s="25"/>
      <c r="AE456" s="25"/>
      <c r="AF456" s="49"/>
      <c r="AG456" s="25"/>
      <c r="AH456" s="25"/>
      <c r="AI456" s="25"/>
      <c r="AJ456" s="25"/>
      <c r="AK456" s="25"/>
    </row>
    <row r="457" spans="1:37" x14ac:dyDescent="0.25">
      <c r="A457" s="18" t="str">
        <f t="shared" si="7"/>
        <v/>
      </c>
      <c r="B457" s="25"/>
      <c r="C457" s="25"/>
      <c r="D457" s="25"/>
      <c r="E457" s="25"/>
      <c r="F457" s="25"/>
      <c r="G457" s="25"/>
      <c r="H457" s="37"/>
      <c r="I457" s="25"/>
      <c r="J457" s="38"/>
      <c r="K457" s="40"/>
      <c r="S457" s="25"/>
      <c r="T457" s="25" t="str">
        <f>IFERROR(IF(ISBLANK(S457),"",INDEX(Gen_Vessels!$A$3:$C$500,MATCH(InspectionSite!$S457,Gen_Vessels!$C$3:$C$500,0),1)),"")</f>
        <v/>
      </c>
      <c r="U457" s="25"/>
      <c r="V457" s="25"/>
      <c r="W457" s="25" t="str">
        <f>IFERROR(IF(ISBLANK(V457),"",INDEX(Gen_Vessels!$A$3:$C$500,MATCH(InspectionSite!$V457,Gen_Vessels!$C$3:$C$500,0),1)),"")</f>
        <v/>
      </c>
      <c r="X457" s="25"/>
      <c r="Y457" s="25"/>
      <c r="Z457" s="25"/>
      <c r="AA457" s="25"/>
      <c r="AB457" s="25"/>
      <c r="AC457" s="25"/>
      <c r="AE457" s="25"/>
      <c r="AF457" s="49"/>
      <c r="AG457" s="25"/>
      <c r="AH457" s="25"/>
      <c r="AI457" s="25"/>
      <c r="AJ457" s="25"/>
      <c r="AK457" s="25"/>
    </row>
    <row r="458" spans="1:37" x14ac:dyDescent="0.25">
      <c r="A458" s="18" t="str">
        <f t="shared" si="7"/>
        <v/>
      </c>
      <c r="B458" s="25"/>
      <c r="C458" s="25"/>
      <c r="D458" s="25"/>
      <c r="E458" s="25"/>
      <c r="F458" s="25"/>
      <c r="G458" s="25"/>
      <c r="H458" s="37"/>
      <c r="I458" s="25"/>
      <c r="J458" s="38"/>
      <c r="K458" s="40"/>
      <c r="S458" s="25"/>
      <c r="T458" s="25" t="str">
        <f>IFERROR(IF(ISBLANK(S458),"",INDEX(Gen_Vessels!$A$3:$C$500,MATCH(InspectionSite!$S458,Gen_Vessels!$C$3:$C$500,0),1)),"")</f>
        <v/>
      </c>
      <c r="U458" s="25"/>
      <c r="V458" s="25"/>
      <c r="W458" s="25" t="str">
        <f>IFERROR(IF(ISBLANK(V458),"",INDEX(Gen_Vessels!$A$3:$C$500,MATCH(InspectionSite!$V458,Gen_Vessels!$C$3:$C$500,0),1)),"")</f>
        <v/>
      </c>
      <c r="X458" s="25"/>
      <c r="Y458" s="25"/>
      <c r="Z458" s="25"/>
      <c r="AA458" s="25"/>
      <c r="AB458" s="25"/>
      <c r="AC458" s="25"/>
      <c r="AE458" s="25"/>
      <c r="AF458" s="49"/>
      <c r="AG458" s="25"/>
      <c r="AH458" s="25"/>
      <c r="AI458" s="25"/>
      <c r="AJ458" s="25"/>
      <c r="AK458" s="25"/>
    </row>
    <row r="459" spans="1:37" x14ac:dyDescent="0.25">
      <c r="A459" s="18" t="str">
        <f t="shared" si="7"/>
        <v/>
      </c>
      <c r="B459" s="25"/>
      <c r="C459" s="25"/>
      <c r="D459" s="25"/>
      <c r="E459" s="25"/>
      <c r="F459" s="25"/>
      <c r="G459" s="25"/>
      <c r="H459" s="37"/>
      <c r="I459" s="25"/>
      <c r="J459" s="38"/>
      <c r="K459" s="40"/>
      <c r="S459" s="25"/>
      <c r="T459" s="25" t="str">
        <f>IFERROR(IF(ISBLANK(S459),"",INDEX(Gen_Vessels!$A$3:$C$500,MATCH(InspectionSite!$S459,Gen_Vessels!$C$3:$C$500,0),1)),"")</f>
        <v/>
      </c>
      <c r="U459" s="25"/>
      <c r="V459" s="25"/>
      <c r="W459" s="25" t="str">
        <f>IFERROR(IF(ISBLANK(V459),"",INDEX(Gen_Vessels!$A$3:$C$500,MATCH(InspectionSite!$V459,Gen_Vessels!$C$3:$C$500,0),1)),"")</f>
        <v/>
      </c>
      <c r="X459" s="25"/>
      <c r="Y459" s="25"/>
      <c r="Z459" s="25"/>
      <c r="AA459" s="25"/>
      <c r="AB459" s="25"/>
      <c r="AC459" s="25"/>
      <c r="AE459" s="25"/>
      <c r="AF459" s="49"/>
      <c r="AG459" s="25"/>
      <c r="AH459" s="25"/>
      <c r="AI459" s="25"/>
      <c r="AJ459" s="25"/>
      <c r="AK459" s="25"/>
    </row>
    <row r="460" spans="1:37" x14ac:dyDescent="0.25">
      <c r="A460" s="18" t="str">
        <f t="shared" si="7"/>
        <v/>
      </c>
      <c r="B460" s="25"/>
      <c r="C460" s="25"/>
      <c r="D460" s="25"/>
      <c r="E460" s="25"/>
      <c r="F460" s="25"/>
      <c r="G460" s="25"/>
      <c r="H460" s="37"/>
      <c r="I460" s="25"/>
      <c r="J460" s="38"/>
      <c r="K460" s="40"/>
      <c r="S460" s="25"/>
      <c r="T460" s="25" t="str">
        <f>IFERROR(IF(ISBLANK(S460),"",INDEX(Gen_Vessels!$A$3:$C$500,MATCH(InspectionSite!$S460,Gen_Vessels!$C$3:$C$500,0),1)),"")</f>
        <v/>
      </c>
      <c r="U460" s="25"/>
      <c r="V460" s="25"/>
      <c r="W460" s="25" t="str">
        <f>IFERROR(IF(ISBLANK(V460),"",INDEX(Gen_Vessels!$A$3:$C$500,MATCH(InspectionSite!$V460,Gen_Vessels!$C$3:$C$500,0),1)),"")</f>
        <v/>
      </c>
      <c r="X460" s="25"/>
      <c r="Y460" s="25"/>
      <c r="Z460" s="25"/>
      <c r="AA460" s="25"/>
      <c r="AB460" s="25"/>
      <c r="AC460" s="25"/>
      <c r="AE460" s="25"/>
      <c r="AF460" s="49"/>
      <c r="AG460" s="25"/>
      <c r="AH460" s="25"/>
      <c r="AI460" s="25"/>
      <c r="AJ460" s="25"/>
      <c r="AK460" s="25"/>
    </row>
    <row r="461" spans="1:37" x14ac:dyDescent="0.25">
      <c r="A461" s="18" t="str">
        <f t="shared" si="7"/>
        <v/>
      </c>
      <c r="B461" s="25"/>
      <c r="C461" s="25"/>
      <c r="D461" s="25"/>
      <c r="E461" s="25"/>
      <c r="F461" s="25"/>
      <c r="G461" s="25"/>
      <c r="H461" s="37"/>
      <c r="I461" s="25"/>
      <c r="J461" s="38"/>
      <c r="K461" s="40"/>
      <c r="S461" s="25"/>
      <c r="T461" s="25" t="str">
        <f>IFERROR(IF(ISBLANK(S461),"",INDEX(Gen_Vessels!$A$3:$C$500,MATCH(InspectionSite!$S461,Gen_Vessels!$C$3:$C$500,0),1)),"")</f>
        <v/>
      </c>
      <c r="U461" s="25"/>
      <c r="V461" s="25"/>
      <c r="W461" s="25" t="str">
        <f>IFERROR(IF(ISBLANK(V461),"",INDEX(Gen_Vessels!$A$3:$C$500,MATCH(InspectionSite!$V461,Gen_Vessels!$C$3:$C$500,0),1)),"")</f>
        <v/>
      </c>
      <c r="X461" s="25"/>
      <c r="Y461" s="25"/>
      <c r="Z461" s="25"/>
      <c r="AA461" s="25"/>
      <c r="AB461" s="25"/>
      <c r="AC461" s="25"/>
      <c r="AE461" s="25"/>
      <c r="AF461" s="49"/>
      <c r="AG461" s="25"/>
      <c r="AH461" s="25"/>
      <c r="AI461" s="25"/>
      <c r="AJ461" s="25"/>
      <c r="AK461" s="25"/>
    </row>
    <row r="462" spans="1:37" x14ac:dyDescent="0.25">
      <c r="A462" s="18" t="str">
        <f t="shared" si="7"/>
        <v/>
      </c>
      <c r="B462" s="25"/>
      <c r="C462" s="25"/>
      <c r="D462" s="25"/>
      <c r="E462" s="25"/>
      <c r="F462" s="25"/>
      <c r="G462" s="25"/>
      <c r="H462" s="37"/>
      <c r="I462" s="25"/>
      <c r="J462" s="38"/>
      <c r="K462" s="40"/>
      <c r="S462" s="25"/>
      <c r="T462" s="25" t="str">
        <f>IFERROR(IF(ISBLANK(S462),"",INDEX(Gen_Vessels!$A$3:$C$500,MATCH(InspectionSite!$S462,Gen_Vessels!$C$3:$C$500,0),1)),"")</f>
        <v/>
      </c>
      <c r="U462" s="25"/>
      <c r="V462" s="25"/>
      <c r="W462" s="25" t="str">
        <f>IFERROR(IF(ISBLANK(V462),"",INDEX(Gen_Vessels!$A$3:$C$500,MATCH(InspectionSite!$V462,Gen_Vessels!$C$3:$C$500,0),1)),"")</f>
        <v/>
      </c>
      <c r="X462" s="25"/>
      <c r="Y462" s="25"/>
      <c r="Z462" s="25"/>
      <c r="AA462" s="25"/>
      <c r="AB462" s="25"/>
      <c r="AC462" s="25"/>
      <c r="AE462" s="25"/>
      <c r="AF462" s="49"/>
      <c r="AG462" s="25"/>
      <c r="AH462" s="25"/>
      <c r="AI462" s="25"/>
      <c r="AJ462" s="25"/>
      <c r="AK462" s="25"/>
    </row>
    <row r="463" spans="1:37" x14ac:dyDescent="0.25">
      <c r="A463" s="18" t="str">
        <f t="shared" si="7"/>
        <v/>
      </c>
      <c r="B463" s="25"/>
      <c r="C463" s="25"/>
      <c r="D463" s="25"/>
      <c r="E463" s="25"/>
      <c r="F463" s="25"/>
      <c r="G463" s="25"/>
      <c r="H463" s="37"/>
      <c r="I463" s="25"/>
      <c r="J463" s="38"/>
      <c r="K463" s="40"/>
      <c r="S463" s="25"/>
      <c r="T463" s="25" t="str">
        <f>IFERROR(IF(ISBLANK(S463),"",INDEX(Gen_Vessels!$A$3:$C$500,MATCH(InspectionSite!$S463,Gen_Vessels!$C$3:$C$500,0),1)),"")</f>
        <v/>
      </c>
      <c r="U463" s="25"/>
      <c r="V463" s="25"/>
      <c r="W463" s="25" t="str">
        <f>IFERROR(IF(ISBLANK(V463),"",INDEX(Gen_Vessels!$A$3:$C$500,MATCH(InspectionSite!$V463,Gen_Vessels!$C$3:$C$500,0),1)),"")</f>
        <v/>
      </c>
      <c r="X463" s="25"/>
      <c r="Y463" s="25"/>
      <c r="Z463" s="25"/>
      <c r="AA463" s="25"/>
      <c r="AB463" s="25"/>
      <c r="AC463" s="25"/>
      <c r="AE463" s="25"/>
      <c r="AF463" s="49"/>
      <c r="AG463" s="25"/>
      <c r="AH463" s="25"/>
      <c r="AI463" s="25"/>
      <c r="AJ463" s="25"/>
      <c r="AK463" s="25"/>
    </row>
    <row r="464" spans="1:37" x14ac:dyDescent="0.25">
      <c r="A464" s="18" t="str">
        <f t="shared" si="7"/>
        <v/>
      </c>
      <c r="B464" s="25"/>
      <c r="C464" s="25"/>
      <c r="D464" s="25"/>
      <c r="E464" s="25"/>
      <c r="F464" s="25"/>
      <c r="G464" s="25"/>
      <c r="H464" s="37"/>
      <c r="I464" s="25"/>
      <c r="J464" s="38"/>
      <c r="K464" s="40"/>
      <c r="S464" s="25"/>
      <c r="T464" s="25" t="str">
        <f>IFERROR(IF(ISBLANK(S464),"",INDEX(Gen_Vessels!$A$3:$C$500,MATCH(InspectionSite!$S464,Gen_Vessels!$C$3:$C$500,0),1)),"")</f>
        <v/>
      </c>
      <c r="U464" s="25"/>
      <c r="V464" s="25"/>
      <c r="W464" s="25" t="str">
        <f>IFERROR(IF(ISBLANK(V464),"",INDEX(Gen_Vessels!$A$3:$C$500,MATCH(InspectionSite!$V464,Gen_Vessels!$C$3:$C$500,0),1)),"")</f>
        <v/>
      </c>
      <c r="X464" s="25"/>
      <c r="Y464" s="25"/>
      <c r="Z464" s="25"/>
      <c r="AA464" s="25"/>
      <c r="AB464" s="25"/>
      <c r="AC464" s="25"/>
      <c r="AE464" s="25"/>
      <c r="AF464" s="49"/>
      <c r="AG464" s="25"/>
      <c r="AH464" s="25"/>
      <c r="AI464" s="25"/>
      <c r="AJ464" s="25"/>
      <c r="AK464" s="25"/>
    </row>
    <row r="465" spans="1:37" x14ac:dyDescent="0.25">
      <c r="A465" s="18" t="str">
        <f t="shared" si="7"/>
        <v/>
      </c>
      <c r="B465" s="25"/>
      <c r="C465" s="25"/>
      <c r="D465" s="25"/>
      <c r="E465" s="25"/>
      <c r="F465" s="25"/>
      <c r="G465" s="25"/>
      <c r="H465" s="37"/>
      <c r="I465" s="25"/>
      <c r="J465" s="38"/>
      <c r="K465" s="40"/>
      <c r="S465" s="25"/>
      <c r="T465" s="25" t="str">
        <f>IFERROR(IF(ISBLANK(S465),"",INDEX(Gen_Vessels!$A$3:$C$500,MATCH(InspectionSite!$S465,Gen_Vessels!$C$3:$C$500,0),1)),"")</f>
        <v/>
      </c>
      <c r="U465" s="25"/>
      <c r="V465" s="25"/>
      <c r="W465" s="25" t="str">
        <f>IFERROR(IF(ISBLANK(V465),"",INDEX(Gen_Vessels!$A$3:$C$500,MATCH(InspectionSite!$V465,Gen_Vessels!$C$3:$C$500,0),1)),"")</f>
        <v/>
      </c>
      <c r="X465" s="25"/>
      <c r="Y465" s="25"/>
      <c r="Z465" s="25"/>
      <c r="AA465" s="25"/>
      <c r="AB465" s="25"/>
      <c r="AC465" s="25"/>
      <c r="AE465" s="25"/>
      <c r="AF465" s="49"/>
      <c r="AG465" s="25"/>
      <c r="AH465" s="25"/>
      <c r="AI465" s="25"/>
      <c r="AJ465" s="25"/>
      <c r="AK465" s="25"/>
    </row>
    <row r="466" spans="1:37" x14ac:dyDescent="0.25">
      <c r="A466" s="18" t="str">
        <f t="shared" si="7"/>
        <v/>
      </c>
      <c r="B466" s="25"/>
      <c r="C466" s="25"/>
      <c r="D466" s="25"/>
      <c r="E466" s="25"/>
      <c r="F466" s="25"/>
      <c r="G466" s="25"/>
      <c r="H466" s="37"/>
      <c r="I466" s="25"/>
      <c r="J466" s="38"/>
      <c r="K466" s="40"/>
      <c r="S466" s="25"/>
      <c r="T466" s="25" t="str">
        <f>IFERROR(IF(ISBLANK(S466),"",INDEX(Gen_Vessels!$A$3:$C$500,MATCH(InspectionSite!$S466,Gen_Vessels!$C$3:$C$500,0),1)),"")</f>
        <v/>
      </c>
      <c r="U466" s="25"/>
      <c r="V466" s="25"/>
      <c r="W466" s="25" t="str">
        <f>IFERROR(IF(ISBLANK(V466),"",INDEX(Gen_Vessels!$A$3:$C$500,MATCH(InspectionSite!$V466,Gen_Vessels!$C$3:$C$500,0),1)),"")</f>
        <v/>
      </c>
      <c r="X466" s="25"/>
      <c r="Y466" s="25"/>
      <c r="Z466" s="25"/>
      <c r="AA466" s="25"/>
      <c r="AB466" s="25"/>
      <c r="AC466" s="25"/>
      <c r="AE466" s="25"/>
      <c r="AF466" s="49"/>
      <c r="AG466" s="25"/>
      <c r="AH466" s="25"/>
      <c r="AI466" s="25"/>
      <c r="AJ466" s="25"/>
      <c r="AK466" s="25"/>
    </row>
    <row r="467" spans="1:37" x14ac:dyDescent="0.25">
      <c r="A467" s="18" t="str">
        <f t="shared" si="7"/>
        <v/>
      </c>
      <c r="B467" s="25"/>
      <c r="C467" s="25"/>
      <c r="D467" s="25"/>
      <c r="E467" s="25"/>
      <c r="F467" s="25"/>
      <c r="G467" s="25"/>
      <c r="H467" s="37"/>
      <c r="I467" s="25"/>
      <c r="J467" s="38"/>
      <c r="K467" s="40"/>
      <c r="S467" s="25"/>
      <c r="T467" s="25" t="str">
        <f>IFERROR(IF(ISBLANK(S467),"",INDEX(Gen_Vessels!$A$3:$C$500,MATCH(InspectionSite!$S467,Gen_Vessels!$C$3:$C$500,0),1)),"")</f>
        <v/>
      </c>
      <c r="U467" s="25"/>
      <c r="V467" s="25"/>
      <c r="W467" s="25" t="str">
        <f>IFERROR(IF(ISBLANK(V467),"",INDEX(Gen_Vessels!$A$3:$C$500,MATCH(InspectionSite!$V467,Gen_Vessels!$C$3:$C$500,0),1)),"")</f>
        <v/>
      </c>
      <c r="X467" s="25"/>
      <c r="Y467" s="25"/>
      <c r="Z467" s="25"/>
      <c r="AA467" s="25"/>
      <c r="AB467" s="25"/>
      <c r="AC467" s="25"/>
      <c r="AE467" s="25"/>
      <c r="AF467" s="49"/>
      <c r="AG467" s="25"/>
      <c r="AH467" s="25"/>
      <c r="AI467" s="25"/>
      <c r="AJ467" s="25"/>
      <c r="AK467" s="25"/>
    </row>
    <row r="468" spans="1:37" x14ac:dyDescent="0.25">
      <c r="A468" s="18" t="str">
        <f t="shared" si="7"/>
        <v/>
      </c>
      <c r="B468" s="25"/>
      <c r="C468" s="25"/>
      <c r="D468" s="25"/>
      <c r="E468" s="25"/>
      <c r="F468" s="25"/>
      <c r="G468" s="25"/>
      <c r="H468" s="37"/>
      <c r="I468" s="25"/>
      <c r="J468" s="38"/>
      <c r="K468" s="40"/>
      <c r="S468" s="25"/>
      <c r="T468" s="25" t="str">
        <f>IFERROR(IF(ISBLANK(S468),"",INDEX(Gen_Vessels!$A$3:$C$500,MATCH(InspectionSite!$S468,Gen_Vessels!$C$3:$C$500,0),1)),"")</f>
        <v/>
      </c>
      <c r="U468" s="25"/>
      <c r="V468" s="25"/>
      <c r="W468" s="25" t="str">
        <f>IFERROR(IF(ISBLANK(V468),"",INDEX(Gen_Vessels!$A$3:$C$500,MATCH(InspectionSite!$V468,Gen_Vessels!$C$3:$C$500,0),1)),"")</f>
        <v/>
      </c>
      <c r="X468" s="25"/>
      <c r="Y468" s="25"/>
      <c r="Z468" s="25"/>
      <c r="AA468" s="25"/>
      <c r="AB468" s="25"/>
      <c r="AC468" s="25"/>
      <c r="AE468" s="25"/>
      <c r="AF468" s="49"/>
      <c r="AG468" s="25"/>
      <c r="AH468" s="25"/>
      <c r="AI468" s="25"/>
      <c r="AJ468" s="25"/>
      <c r="AK468" s="25"/>
    </row>
    <row r="469" spans="1:37" x14ac:dyDescent="0.25">
      <c r="A469" s="18" t="str">
        <f t="shared" si="7"/>
        <v/>
      </c>
      <c r="B469" s="25"/>
      <c r="C469" s="25"/>
      <c r="D469" s="25"/>
      <c r="E469" s="25"/>
      <c r="F469" s="25"/>
      <c r="G469" s="25"/>
      <c r="H469" s="37"/>
      <c r="I469" s="25"/>
      <c r="J469" s="38"/>
      <c r="K469" s="40"/>
      <c r="S469" s="25"/>
      <c r="T469" s="25" t="str">
        <f>IFERROR(IF(ISBLANK(S469),"",INDEX(Gen_Vessels!$A$3:$C$500,MATCH(InspectionSite!$S469,Gen_Vessels!$C$3:$C$500,0),1)),"")</f>
        <v/>
      </c>
      <c r="U469" s="25"/>
      <c r="V469" s="25"/>
      <c r="W469" s="25" t="str">
        <f>IFERROR(IF(ISBLANK(V469),"",INDEX(Gen_Vessels!$A$3:$C$500,MATCH(InspectionSite!$V469,Gen_Vessels!$C$3:$C$500,0),1)),"")</f>
        <v/>
      </c>
      <c r="X469" s="25"/>
      <c r="Y469" s="25"/>
      <c r="Z469" s="25"/>
      <c r="AA469" s="25"/>
      <c r="AB469" s="25"/>
      <c r="AC469" s="25"/>
      <c r="AE469" s="25"/>
      <c r="AF469" s="49"/>
      <c r="AG469" s="25"/>
      <c r="AH469" s="25"/>
      <c r="AI469" s="25"/>
      <c r="AJ469" s="25"/>
      <c r="AK469" s="25"/>
    </row>
    <row r="470" spans="1:37" x14ac:dyDescent="0.25">
      <c r="A470" s="18" t="str">
        <f t="shared" si="7"/>
        <v/>
      </c>
      <c r="B470" s="25"/>
      <c r="C470" s="25"/>
      <c r="D470" s="25"/>
      <c r="E470" s="25"/>
      <c r="F470" s="25"/>
      <c r="G470" s="25"/>
      <c r="H470" s="37"/>
      <c r="I470" s="25"/>
      <c r="J470" s="38"/>
      <c r="K470" s="40"/>
      <c r="S470" s="25"/>
      <c r="T470" s="25" t="str">
        <f>IFERROR(IF(ISBLANK(S470),"",INDEX(Gen_Vessels!$A$3:$C$500,MATCH(InspectionSite!$S470,Gen_Vessels!$C$3:$C$500,0),1)),"")</f>
        <v/>
      </c>
      <c r="U470" s="25"/>
      <c r="V470" s="25"/>
      <c r="W470" s="25" t="str">
        <f>IFERROR(IF(ISBLANK(V470),"",INDEX(Gen_Vessels!$A$3:$C$500,MATCH(InspectionSite!$V470,Gen_Vessels!$C$3:$C$500,0),1)),"")</f>
        <v/>
      </c>
      <c r="X470" s="25"/>
      <c r="Y470" s="25"/>
      <c r="Z470" s="25"/>
      <c r="AA470" s="25"/>
      <c r="AB470" s="25"/>
      <c r="AC470" s="25"/>
      <c r="AE470" s="25"/>
      <c r="AF470" s="49"/>
      <c r="AG470" s="25"/>
      <c r="AH470" s="25"/>
      <c r="AI470" s="25"/>
      <c r="AJ470" s="25"/>
      <c r="AK470" s="25"/>
    </row>
    <row r="471" spans="1:37" x14ac:dyDescent="0.25">
      <c r="A471" s="18" t="str">
        <f t="shared" si="7"/>
        <v/>
      </c>
      <c r="B471" s="25"/>
      <c r="C471" s="25"/>
      <c r="D471" s="25"/>
      <c r="E471" s="25"/>
      <c r="F471" s="25"/>
      <c r="G471" s="25"/>
      <c r="H471" s="37"/>
      <c r="I471" s="25"/>
      <c r="J471" s="38"/>
      <c r="K471" s="40"/>
      <c r="S471" s="25"/>
      <c r="T471" s="25" t="str">
        <f>IFERROR(IF(ISBLANK(S471),"",INDEX(Gen_Vessels!$A$3:$C$500,MATCH(InspectionSite!$S471,Gen_Vessels!$C$3:$C$500,0),1)),"")</f>
        <v/>
      </c>
      <c r="U471" s="25"/>
      <c r="V471" s="25"/>
      <c r="W471" s="25" t="str">
        <f>IFERROR(IF(ISBLANK(V471),"",INDEX(Gen_Vessels!$A$3:$C$500,MATCH(InspectionSite!$V471,Gen_Vessels!$C$3:$C$500,0),1)),"")</f>
        <v/>
      </c>
      <c r="X471" s="25"/>
      <c r="Y471" s="25"/>
      <c r="Z471" s="25"/>
      <c r="AA471" s="25"/>
      <c r="AB471" s="25"/>
      <c r="AC471" s="25"/>
      <c r="AE471" s="25"/>
      <c r="AF471" s="49"/>
      <c r="AG471" s="25"/>
      <c r="AH471" s="25"/>
      <c r="AI471" s="25"/>
      <c r="AJ471" s="25"/>
      <c r="AK471" s="25"/>
    </row>
    <row r="472" spans="1:37" x14ac:dyDescent="0.25">
      <c r="A472" s="18" t="str">
        <f t="shared" si="7"/>
        <v/>
      </c>
      <c r="B472" s="25"/>
      <c r="C472" s="25"/>
      <c r="D472" s="25"/>
      <c r="E472" s="25"/>
      <c r="F472" s="25"/>
      <c r="G472" s="25"/>
      <c r="H472" s="37"/>
      <c r="I472" s="25"/>
      <c r="J472" s="38"/>
      <c r="K472" s="40"/>
      <c r="S472" s="25"/>
      <c r="T472" s="25" t="str">
        <f>IFERROR(IF(ISBLANK(S472),"",INDEX(Gen_Vessels!$A$3:$C$500,MATCH(InspectionSite!$S472,Gen_Vessels!$C$3:$C$500,0),1)),"")</f>
        <v/>
      </c>
      <c r="U472" s="25"/>
      <c r="V472" s="25"/>
      <c r="W472" s="25" t="str">
        <f>IFERROR(IF(ISBLANK(V472),"",INDEX(Gen_Vessels!$A$3:$C$500,MATCH(InspectionSite!$V472,Gen_Vessels!$C$3:$C$500,0),1)),"")</f>
        <v/>
      </c>
      <c r="X472" s="25"/>
      <c r="Y472" s="25"/>
      <c r="Z472" s="25"/>
      <c r="AA472" s="25"/>
      <c r="AB472" s="25"/>
      <c r="AC472" s="25"/>
      <c r="AE472" s="25"/>
      <c r="AF472" s="49"/>
      <c r="AG472" s="25"/>
      <c r="AH472" s="25"/>
      <c r="AI472" s="25"/>
      <c r="AJ472" s="25"/>
      <c r="AK472" s="25"/>
    </row>
    <row r="473" spans="1:37" x14ac:dyDescent="0.25">
      <c r="A473" s="18" t="str">
        <f t="shared" si="7"/>
        <v/>
      </c>
      <c r="B473" s="25"/>
      <c r="C473" s="25"/>
      <c r="D473" s="25"/>
      <c r="E473" s="25"/>
      <c r="F473" s="25"/>
      <c r="G473" s="25"/>
      <c r="H473" s="37"/>
      <c r="I473" s="25"/>
      <c r="J473" s="38"/>
      <c r="K473" s="40"/>
      <c r="S473" s="25"/>
      <c r="T473" s="25" t="str">
        <f>IFERROR(IF(ISBLANK(S473),"",INDEX(Gen_Vessels!$A$3:$C$500,MATCH(InspectionSite!$S473,Gen_Vessels!$C$3:$C$500,0),1)),"")</f>
        <v/>
      </c>
      <c r="U473" s="25"/>
      <c r="V473" s="25"/>
      <c r="W473" s="25" t="str">
        <f>IFERROR(IF(ISBLANK(V473),"",INDEX(Gen_Vessels!$A$3:$C$500,MATCH(InspectionSite!$V473,Gen_Vessels!$C$3:$C$500,0),1)),"")</f>
        <v/>
      </c>
      <c r="X473" s="25"/>
      <c r="Y473" s="25"/>
      <c r="Z473" s="25"/>
      <c r="AA473" s="25"/>
      <c r="AB473" s="25"/>
      <c r="AC473" s="25"/>
      <c r="AE473" s="25"/>
      <c r="AF473" s="49"/>
      <c r="AG473" s="25"/>
      <c r="AH473" s="25"/>
      <c r="AI473" s="25"/>
      <c r="AJ473" s="25"/>
      <c r="AK473" s="25"/>
    </row>
    <row r="474" spans="1:37" x14ac:dyDescent="0.25">
      <c r="A474" s="18" t="str">
        <f t="shared" si="7"/>
        <v/>
      </c>
      <c r="B474" s="25"/>
      <c r="C474" s="25"/>
      <c r="D474" s="25"/>
      <c r="E474" s="25"/>
      <c r="F474" s="25"/>
      <c r="G474" s="25"/>
      <c r="H474" s="37"/>
      <c r="I474" s="25"/>
      <c r="J474" s="38"/>
      <c r="K474" s="40"/>
      <c r="S474" s="25"/>
      <c r="T474" s="25" t="str">
        <f>IFERROR(IF(ISBLANK(S474),"",INDEX(Gen_Vessels!$A$3:$C$500,MATCH(InspectionSite!$S474,Gen_Vessels!$C$3:$C$500,0),1)),"")</f>
        <v/>
      </c>
      <c r="U474" s="25"/>
      <c r="V474" s="25"/>
      <c r="W474" s="25" t="str">
        <f>IFERROR(IF(ISBLANK(V474),"",INDEX(Gen_Vessels!$A$3:$C$500,MATCH(InspectionSite!$V474,Gen_Vessels!$C$3:$C$500,0),1)),"")</f>
        <v/>
      </c>
      <c r="X474" s="25"/>
      <c r="Y474" s="25"/>
      <c r="Z474" s="25"/>
      <c r="AA474" s="25"/>
      <c r="AB474" s="25"/>
      <c r="AC474" s="25"/>
      <c r="AE474" s="25"/>
      <c r="AF474" s="49"/>
      <c r="AG474" s="25"/>
      <c r="AH474" s="25"/>
      <c r="AI474" s="25"/>
      <c r="AJ474" s="25"/>
      <c r="AK474" s="25"/>
    </row>
    <row r="475" spans="1:37" x14ac:dyDescent="0.25">
      <c r="A475" s="18" t="str">
        <f t="shared" si="7"/>
        <v/>
      </c>
      <c r="B475" s="25"/>
      <c r="C475" s="25"/>
      <c r="D475" s="25"/>
      <c r="E475" s="25"/>
      <c r="F475" s="25"/>
      <c r="G475" s="25"/>
      <c r="H475" s="37"/>
      <c r="I475" s="25"/>
      <c r="J475" s="38"/>
      <c r="K475" s="40"/>
      <c r="S475" s="25"/>
      <c r="T475" s="25" t="str">
        <f>IFERROR(IF(ISBLANK(S475),"",INDEX(Gen_Vessels!$A$3:$C$500,MATCH(InspectionSite!$S475,Gen_Vessels!$C$3:$C$500,0),1)),"")</f>
        <v/>
      </c>
      <c r="U475" s="25"/>
      <c r="V475" s="25"/>
      <c r="W475" s="25" t="str">
        <f>IFERROR(IF(ISBLANK(V475),"",INDEX(Gen_Vessels!$A$3:$C$500,MATCH(InspectionSite!$V475,Gen_Vessels!$C$3:$C$500,0),1)),"")</f>
        <v/>
      </c>
      <c r="X475" s="25"/>
      <c r="Y475" s="25"/>
      <c r="Z475" s="25"/>
      <c r="AA475" s="25"/>
      <c r="AB475" s="25"/>
      <c r="AC475" s="25"/>
      <c r="AE475" s="25"/>
      <c r="AF475" s="49"/>
      <c r="AG475" s="25"/>
      <c r="AH475" s="25"/>
      <c r="AI475" s="25"/>
      <c r="AJ475" s="25"/>
      <c r="AK475" s="25"/>
    </row>
    <row r="476" spans="1:37" x14ac:dyDescent="0.25">
      <c r="A476" s="18" t="str">
        <f t="shared" si="7"/>
        <v/>
      </c>
      <c r="B476" s="25"/>
      <c r="C476" s="25"/>
      <c r="D476" s="25"/>
      <c r="E476" s="25"/>
      <c r="F476" s="25"/>
      <c r="G476" s="25"/>
      <c r="H476" s="37"/>
      <c r="I476" s="25"/>
      <c r="J476" s="38"/>
      <c r="K476" s="40"/>
      <c r="S476" s="25"/>
      <c r="T476" s="25" t="str">
        <f>IFERROR(IF(ISBLANK(S476),"",INDEX(Gen_Vessels!$A$3:$C$500,MATCH(InspectionSite!$S476,Gen_Vessels!$C$3:$C$500,0),1)),"")</f>
        <v/>
      </c>
      <c r="U476" s="25"/>
      <c r="V476" s="25"/>
      <c r="W476" s="25" t="str">
        <f>IFERROR(IF(ISBLANK(V476),"",INDEX(Gen_Vessels!$A$3:$C$500,MATCH(InspectionSite!$V476,Gen_Vessels!$C$3:$C$500,0),1)),"")</f>
        <v/>
      </c>
      <c r="X476" s="25"/>
      <c r="Y476" s="25"/>
      <c r="Z476" s="25"/>
      <c r="AA476" s="25"/>
      <c r="AB476" s="25"/>
      <c r="AC476" s="25"/>
      <c r="AE476" s="25"/>
      <c r="AF476" s="49"/>
      <c r="AG476" s="25"/>
      <c r="AH476" s="25"/>
      <c r="AI476" s="25"/>
      <c r="AJ476" s="25"/>
      <c r="AK476" s="25"/>
    </row>
    <row r="477" spans="1:37" x14ac:dyDescent="0.25">
      <c r="A477" s="18" t="str">
        <f t="shared" si="7"/>
        <v/>
      </c>
      <c r="B477" s="25"/>
      <c r="C477" s="25"/>
      <c r="D477" s="25"/>
      <c r="E477" s="25"/>
      <c r="F477" s="25"/>
      <c r="G477" s="25"/>
      <c r="H477" s="37"/>
      <c r="I477" s="25"/>
      <c r="J477" s="38"/>
      <c r="K477" s="40"/>
      <c r="S477" s="25"/>
      <c r="T477" s="25" t="str">
        <f>IFERROR(IF(ISBLANK(S477),"",INDEX(Gen_Vessels!$A$3:$C$500,MATCH(InspectionSite!$S477,Gen_Vessels!$C$3:$C$500,0),1)),"")</f>
        <v/>
      </c>
      <c r="U477" s="25"/>
      <c r="V477" s="25"/>
      <c r="W477" s="25" t="str">
        <f>IFERROR(IF(ISBLANK(V477),"",INDEX(Gen_Vessels!$A$3:$C$500,MATCH(InspectionSite!$V477,Gen_Vessels!$C$3:$C$500,0),1)),"")</f>
        <v/>
      </c>
      <c r="X477" s="25"/>
      <c r="Y477" s="25"/>
      <c r="Z477" s="25"/>
      <c r="AA477" s="25"/>
      <c r="AB477" s="25"/>
      <c r="AC477" s="25"/>
      <c r="AE477" s="25"/>
      <c r="AF477" s="49"/>
      <c r="AG477" s="25"/>
      <c r="AH477" s="25"/>
      <c r="AI477" s="25"/>
      <c r="AJ477" s="25"/>
      <c r="AK477" s="25"/>
    </row>
    <row r="478" spans="1:37" x14ac:dyDescent="0.25">
      <c r="A478" s="18" t="str">
        <f t="shared" si="7"/>
        <v/>
      </c>
      <c r="B478" s="25"/>
      <c r="C478" s="25"/>
      <c r="D478" s="25"/>
      <c r="E478" s="25"/>
      <c r="F478" s="25"/>
      <c r="G478" s="25"/>
      <c r="H478" s="37"/>
      <c r="I478" s="25"/>
      <c r="J478" s="38"/>
      <c r="K478" s="40"/>
      <c r="S478" s="25"/>
      <c r="T478" s="25" t="str">
        <f>IFERROR(IF(ISBLANK(S478),"",INDEX(Gen_Vessels!$A$3:$C$500,MATCH(InspectionSite!$S478,Gen_Vessels!$C$3:$C$500,0),1)),"")</f>
        <v/>
      </c>
      <c r="U478" s="25"/>
      <c r="V478" s="25"/>
      <c r="W478" s="25" t="str">
        <f>IFERROR(IF(ISBLANK(V478),"",INDEX(Gen_Vessels!$A$3:$C$500,MATCH(InspectionSite!$V478,Gen_Vessels!$C$3:$C$500,0),1)),"")</f>
        <v/>
      </c>
      <c r="X478" s="25"/>
      <c r="Y478" s="25"/>
      <c r="Z478" s="25"/>
      <c r="AA478" s="25"/>
      <c r="AB478" s="25"/>
      <c r="AC478" s="25"/>
      <c r="AE478" s="25"/>
      <c r="AF478" s="49"/>
      <c r="AG478" s="25"/>
      <c r="AH478" s="25"/>
      <c r="AI478" s="25"/>
      <c r="AJ478" s="25"/>
      <c r="AK478" s="25"/>
    </row>
    <row r="479" spans="1:37" x14ac:dyDescent="0.25">
      <c r="A479" s="18" t="str">
        <f t="shared" si="7"/>
        <v/>
      </c>
      <c r="B479" s="25"/>
      <c r="C479" s="25"/>
      <c r="D479" s="25"/>
      <c r="E479" s="25"/>
      <c r="F479" s="25"/>
      <c r="G479" s="25"/>
      <c r="H479" s="37"/>
      <c r="I479" s="25"/>
      <c r="J479" s="38"/>
      <c r="K479" s="40"/>
      <c r="S479" s="25"/>
      <c r="T479" s="25" t="str">
        <f>IFERROR(IF(ISBLANK(S479),"",INDEX(Gen_Vessels!$A$3:$C$500,MATCH(InspectionSite!$S479,Gen_Vessels!$C$3:$C$500,0),1)),"")</f>
        <v/>
      </c>
      <c r="U479" s="25"/>
      <c r="V479" s="25"/>
      <c r="W479" s="25" t="str">
        <f>IFERROR(IF(ISBLANK(V479),"",INDEX(Gen_Vessels!$A$3:$C$500,MATCH(InspectionSite!$V479,Gen_Vessels!$C$3:$C$500,0),1)),"")</f>
        <v/>
      </c>
      <c r="X479" s="25"/>
      <c r="Y479" s="25"/>
      <c r="Z479" s="25"/>
      <c r="AA479" s="25"/>
      <c r="AB479" s="25"/>
      <c r="AC479" s="25"/>
      <c r="AE479" s="25"/>
      <c r="AF479" s="49"/>
      <c r="AG479" s="25"/>
      <c r="AH479" s="25"/>
      <c r="AI479" s="25"/>
      <c r="AJ479" s="25"/>
      <c r="AK479" s="25"/>
    </row>
    <row r="480" spans="1:37" x14ac:dyDescent="0.25">
      <c r="A480" s="18" t="str">
        <f t="shared" si="7"/>
        <v/>
      </c>
      <c r="B480" s="25"/>
      <c r="C480" s="25"/>
      <c r="D480" s="25"/>
      <c r="E480" s="25"/>
      <c r="F480" s="25"/>
      <c r="G480" s="25"/>
      <c r="H480" s="37"/>
      <c r="I480" s="25"/>
      <c r="J480" s="38"/>
      <c r="K480" s="40"/>
      <c r="S480" s="25"/>
      <c r="T480" s="25" t="str">
        <f>IFERROR(IF(ISBLANK(S480),"",INDEX(Gen_Vessels!$A$3:$C$500,MATCH(InspectionSite!$S480,Gen_Vessels!$C$3:$C$500,0),1)),"")</f>
        <v/>
      </c>
      <c r="U480" s="25"/>
      <c r="V480" s="25"/>
      <c r="W480" s="25" t="str">
        <f>IFERROR(IF(ISBLANK(V480),"",INDEX(Gen_Vessels!$A$3:$C$500,MATCH(InspectionSite!$V480,Gen_Vessels!$C$3:$C$500,0),1)),"")</f>
        <v/>
      </c>
      <c r="X480" s="25"/>
      <c r="Y480" s="25"/>
      <c r="Z480" s="25"/>
      <c r="AA480" s="25"/>
      <c r="AB480" s="25"/>
      <c r="AC480" s="25"/>
      <c r="AE480" s="25"/>
      <c r="AF480" s="49"/>
      <c r="AG480" s="25"/>
      <c r="AH480" s="25"/>
      <c r="AI480" s="25"/>
      <c r="AJ480" s="25"/>
      <c r="AK480" s="25"/>
    </row>
    <row r="481" spans="1:37" x14ac:dyDescent="0.25">
      <c r="A481" s="18" t="str">
        <f t="shared" si="7"/>
        <v/>
      </c>
      <c r="B481" s="25"/>
      <c r="C481" s="25"/>
      <c r="D481" s="25"/>
      <c r="E481" s="25"/>
      <c r="F481" s="25"/>
      <c r="G481" s="25"/>
      <c r="H481" s="37"/>
      <c r="I481" s="25"/>
      <c r="J481" s="38"/>
      <c r="K481" s="40"/>
      <c r="S481" s="25"/>
      <c r="T481" s="25" t="str">
        <f>IFERROR(IF(ISBLANK(S481),"",INDEX(Gen_Vessels!$A$3:$C$500,MATCH(InspectionSite!$S481,Gen_Vessels!$C$3:$C$500,0),1)),"")</f>
        <v/>
      </c>
      <c r="U481" s="25"/>
      <c r="V481" s="25"/>
      <c r="W481" s="25" t="str">
        <f>IFERROR(IF(ISBLANK(V481),"",INDEX(Gen_Vessels!$A$3:$C$500,MATCH(InspectionSite!$V481,Gen_Vessels!$C$3:$C$500,0),1)),"")</f>
        <v/>
      </c>
      <c r="X481" s="25"/>
      <c r="Y481" s="25"/>
      <c r="Z481" s="25"/>
      <c r="AA481" s="25"/>
      <c r="AB481" s="25"/>
      <c r="AC481" s="25"/>
      <c r="AE481" s="25"/>
      <c r="AF481" s="49"/>
      <c r="AG481" s="25"/>
      <c r="AH481" s="25"/>
      <c r="AI481" s="25"/>
      <c r="AJ481" s="25"/>
      <c r="AK481" s="25"/>
    </row>
    <row r="482" spans="1:37" x14ac:dyDescent="0.25">
      <c r="A482" s="18" t="str">
        <f t="shared" si="7"/>
        <v/>
      </c>
      <c r="B482" s="25"/>
      <c r="C482" s="25"/>
      <c r="D482" s="25"/>
      <c r="E482" s="25"/>
      <c r="F482" s="25"/>
      <c r="G482" s="25"/>
      <c r="H482" s="37"/>
      <c r="I482" s="25"/>
      <c r="J482" s="38"/>
      <c r="K482" s="40"/>
      <c r="S482" s="25"/>
      <c r="T482" s="25" t="str">
        <f>IFERROR(IF(ISBLANK(S482),"",INDEX(Gen_Vessels!$A$3:$C$500,MATCH(InspectionSite!$S482,Gen_Vessels!$C$3:$C$500,0),1)),"")</f>
        <v/>
      </c>
      <c r="U482" s="25"/>
      <c r="V482" s="25"/>
      <c r="W482" s="25" t="str">
        <f>IFERROR(IF(ISBLANK(V482),"",INDEX(Gen_Vessels!$A$3:$C$500,MATCH(InspectionSite!$V482,Gen_Vessels!$C$3:$C$500,0),1)),"")</f>
        <v/>
      </c>
      <c r="X482" s="25"/>
      <c r="Y482" s="25"/>
      <c r="Z482" s="25"/>
      <c r="AA482" s="25"/>
      <c r="AB482" s="25"/>
      <c r="AC482" s="25"/>
      <c r="AE482" s="25"/>
      <c r="AF482" s="49"/>
      <c r="AG482" s="25"/>
      <c r="AH482" s="25"/>
      <c r="AI482" s="25"/>
      <c r="AJ482" s="25"/>
      <c r="AK482" s="25"/>
    </row>
    <row r="483" spans="1:37" x14ac:dyDescent="0.25">
      <c r="A483" s="18" t="str">
        <f t="shared" si="7"/>
        <v/>
      </c>
      <c r="B483" s="25"/>
      <c r="C483" s="25"/>
      <c r="D483" s="25"/>
      <c r="E483" s="25"/>
      <c r="F483" s="25"/>
      <c r="G483" s="25"/>
      <c r="H483" s="37"/>
      <c r="I483" s="25"/>
      <c r="J483" s="38"/>
      <c r="K483" s="40"/>
      <c r="S483" s="25"/>
      <c r="T483" s="25" t="str">
        <f>IFERROR(IF(ISBLANK(S483),"",INDEX(Gen_Vessels!$A$3:$C$500,MATCH(InspectionSite!$S483,Gen_Vessels!$C$3:$C$500,0),1)),"")</f>
        <v/>
      </c>
      <c r="U483" s="25"/>
      <c r="V483" s="25"/>
      <c r="W483" s="25" t="str">
        <f>IFERROR(IF(ISBLANK(V483),"",INDEX(Gen_Vessels!$A$3:$C$500,MATCH(InspectionSite!$V483,Gen_Vessels!$C$3:$C$500,0),1)),"")</f>
        <v/>
      </c>
      <c r="X483" s="25"/>
      <c r="Y483" s="25"/>
      <c r="Z483" s="25"/>
      <c r="AA483" s="25"/>
      <c r="AB483" s="25"/>
      <c r="AC483" s="25"/>
      <c r="AE483" s="25"/>
      <c r="AF483" s="49"/>
      <c r="AG483" s="25"/>
      <c r="AH483" s="25"/>
      <c r="AI483" s="25"/>
      <c r="AJ483" s="25"/>
      <c r="AK483" s="25"/>
    </row>
    <row r="484" spans="1:37" x14ac:dyDescent="0.25">
      <c r="A484" s="18" t="str">
        <f t="shared" si="7"/>
        <v/>
      </c>
      <c r="B484" s="25"/>
      <c r="C484" s="25"/>
      <c r="D484" s="25"/>
      <c r="E484" s="25"/>
      <c r="F484" s="25"/>
      <c r="G484" s="25"/>
      <c r="H484" s="37"/>
      <c r="I484" s="25"/>
      <c r="J484" s="38"/>
      <c r="K484" s="40"/>
      <c r="S484" s="25"/>
      <c r="T484" s="25" t="str">
        <f>IFERROR(IF(ISBLANK(S484),"",INDEX(Gen_Vessels!$A$3:$C$500,MATCH(InspectionSite!$S484,Gen_Vessels!$C$3:$C$500,0),1)),"")</f>
        <v/>
      </c>
      <c r="U484" s="25"/>
      <c r="V484" s="25"/>
      <c r="W484" s="25" t="str">
        <f>IFERROR(IF(ISBLANK(V484),"",INDEX(Gen_Vessels!$A$3:$C$500,MATCH(InspectionSite!$V484,Gen_Vessels!$C$3:$C$500,0),1)),"")</f>
        <v/>
      </c>
      <c r="X484" s="25"/>
      <c r="Y484" s="25"/>
      <c r="Z484" s="25"/>
      <c r="AA484" s="25"/>
      <c r="AB484" s="25"/>
      <c r="AC484" s="25"/>
      <c r="AE484" s="25"/>
      <c r="AF484" s="49"/>
      <c r="AG484" s="25"/>
      <c r="AH484" s="25"/>
      <c r="AI484" s="25"/>
      <c r="AJ484" s="25"/>
      <c r="AK484" s="25"/>
    </row>
    <row r="485" spans="1:37" x14ac:dyDescent="0.25">
      <c r="A485" s="18" t="str">
        <f t="shared" si="7"/>
        <v/>
      </c>
      <c r="B485" s="25"/>
      <c r="C485" s="25"/>
      <c r="D485" s="25"/>
      <c r="E485" s="25"/>
      <c r="F485" s="25"/>
      <c r="G485" s="25"/>
      <c r="H485" s="37"/>
      <c r="I485" s="25"/>
      <c r="J485" s="38"/>
      <c r="K485" s="40"/>
      <c r="S485" s="25"/>
      <c r="T485" s="25" t="str">
        <f>IFERROR(IF(ISBLANK(S485),"",INDEX(Gen_Vessels!$A$3:$C$500,MATCH(InspectionSite!$S485,Gen_Vessels!$C$3:$C$500,0),1)),"")</f>
        <v/>
      </c>
      <c r="U485" s="25"/>
      <c r="V485" s="25"/>
      <c r="W485" s="25" t="str">
        <f>IFERROR(IF(ISBLANK(V485),"",INDEX(Gen_Vessels!$A$3:$C$500,MATCH(InspectionSite!$V485,Gen_Vessels!$C$3:$C$500,0),1)),"")</f>
        <v/>
      </c>
      <c r="X485" s="25"/>
      <c r="Y485" s="25"/>
      <c r="Z485" s="25"/>
      <c r="AA485" s="25"/>
      <c r="AB485" s="25"/>
      <c r="AC485" s="25"/>
      <c r="AE485" s="25"/>
      <c r="AF485" s="49"/>
      <c r="AG485" s="25"/>
      <c r="AH485" s="25"/>
      <c r="AI485" s="25"/>
      <c r="AJ485" s="25"/>
      <c r="AK485" s="25"/>
    </row>
    <row r="486" spans="1:37" x14ac:dyDescent="0.25">
      <c r="A486" s="18" t="str">
        <f t="shared" si="7"/>
        <v/>
      </c>
      <c r="B486" s="25"/>
      <c r="C486" s="25"/>
      <c r="D486" s="25"/>
      <c r="E486" s="25"/>
      <c r="F486" s="25"/>
      <c r="G486" s="25"/>
      <c r="H486" s="37"/>
      <c r="I486" s="25"/>
      <c r="J486" s="38"/>
      <c r="K486" s="40"/>
      <c r="S486" s="25"/>
      <c r="T486" s="25" t="str">
        <f>IFERROR(IF(ISBLANK(S486),"",INDEX(Gen_Vessels!$A$3:$C$500,MATCH(InspectionSite!$S486,Gen_Vessels!$C$3:$C$500,0),1)),"")</f>
        <v/>
      </c>
      <c r="U486" s="25"/>
      <c r="V486" s="25"/>
      <c r="W486" s="25" t="str">
        <f>IFERROR(IF(ISBLANK(V486),"",INDEX(Gen_Vessels!$A$3:$C$500,MATCH(InspectionSite!$V486,Gen_Vessels!$C$3:$C$500,0),1)),"")</f>
        <v/>
      </c>
      <c r="X486" s="25"/>
      <c r="Y486" s="25"/>
      <c r="Z486" s="25"/>
      <c r="AA486" s="25"/>
      <c r="AB486" s="25"/>
      <c r="AC486" s="25"/>
      <c r="AE486" s="25"/>
      <c r="AF486" s="49"/>
      <c r="AG486" s="25"/>
      <c r="AH486" s="25"/>
      <c r="AI486" s="25"/>
      <c r="AJ486" s="25"/>
      <c r="AK486" s="25"/>
    </row>
    <row r="487" spans="1:37" x14ac:dyDescent="0.25">
      <c r="A487" s="18" t="str">
        <f t="shared" si="7"/>
        <v/>
      </c>
      <c r="B487" s="25"/>
      <c r="C487" s="25"/>
      <c r="D487" s="25"/>
      <c r="E487" s="25"/>
      <c r="F487" s="25"/>
      <c r="H487" s="37"/>
      <c r="I487" s="25"/>
      <c r="J487" s="38"/>
      <c r="K487" s="40"/>
      <c r="S487" s="25"/>
      <c r="T487" s="25" t="str">
        <f>IFERROR(IF(ISBLANK(S487),"",INDEX(Gen_Vessels!$A$3:$C$500,MATCH(InspectionSite!$S487,Gen_Vessels!$C$3:$C$500,0),1)),"")</f>
        <v/>
      </c>
      <c r="U487" s="25"/>
      <c r="V487" s="25"/>
      <c r="W487" s="25" t="str">
        <f>IFERROR(IF(ISBLANK(V487),"",INDEX(Gen_Vessels!$A$3:$C$500,MATCH(InspectionSite!$V487,Gen_Vessels!$C$3:$C$500,0),1)),"")</f>
        <v/>
      </c>
      <c r="X487" s="25"/>
      <c r="Y487" s="25"/>
      <c r="Z487" s="25"/>
      <c r="AA487" s="25"/>
      <c r="AB487" s="25"/>
      <c r="AC487" s="25"/>
      <c r="AE487" s="25"/>
      <c r="AF487" s="49"/>
      <c r="AG487" s="25"/>
      <c r="AH487" s="25"/>
      <c r="AI487" s="25"/>
      <c r="AJ487" s="25"/>
      <c r="AK487" s="25"/>
    </row>
    <row r="488" spans="1:37" x14ac:dyDescent="0.25">
      <c r="A488" s="18" t="str">
        <f t="shared" si="7"/>
        <v/>
      </c>
      <c r="B488" s="25"/>
      <c r="C488" s="25"/>
      <c r="D488" s="25"/>
      <c r="E488" s="25"/>
      <c r="F488" s="25"/>
      <c r="H488" s="37"/>
      <c r="I488" s="25"/>
      <c r="J488" s="38"/>
      <c r="K488" s="40"/>
      <c r="S488" s="25"/>
      <c r="T488" s="25" t="str">
        <f>IFERROR(IF(ISBLANK(S488),"",INDEX(Gen_Vessels!$A$3:$C$500,MATCH(InspectionSite!$S488,Gen_Vessels!$C$3:$C$500,0),1)),"")</f>
        <v/>
      </c>
      <c r="U488" s="25"/>
      <c r="V488" s="25"/>
      <c r="W488" s="25" t="str">
        <f>IFERROR(IF(ISBLANK(V488),"",INDEX(Gen_Vessels!$A$3:$C$500,MATCH(InspectionSite!$V488,Gen_Vessels!$C$3:$C$500,0),1)),"")</f>
        <v/>
      </c>
      <c r="X488" s="25"/>
      <c r="Y488" s="25"/>
      <c r="Z488" s="25"/>
      <c r="AA488" s="25"/>
      <c r="AB488" s="25"/>
      <c r="AC488" s="25"/>
      <c r="AE488" s="25"/>
      <c r="AF488" s="49"/>
      <c r="AG488" s="25"/>
      <c r="AH488" s="25"/>
      <c r="AI488" s="25"/>
      <c r="AJ488" s="25"/>
      <c r="AK488" s="25"/>
    </row>
    <row r="489" spans="1:37" x14ac:dyDescent="0.25">
      <c r="A489" s="18" t="str">
        <f t="shared" si="7"/>
        <v/>
      </c>
      <c r="B489" s="25"/>
      <c r="C489" s="25"/>
      <c r="D489" s="25"/>
      <c r="E489" s="25"/>
      <c r="F489" s="25"/>
      <c r="H489" s="37"/>
      <c r="I489" s="25"/>
      <c r="J489" s="38"/>
      <c r="K489" s="40"/>
      <c r="S489" s="25"/>
      <c r="T489" s="25" t="str">
        <f>IFERROR(IF(ISBLANK(S489),"",INDEX(Gen_Vessels!$A$3:$C$500,MATCH(InspectionSite!$S489,Gen_Vessels!$C$3:$C$500,0),1)),"")</f>
        <v/>
      </c>
      <c r="U489" s="25"/>
      <c r="V489" s="25"/>
      <c r="W489" s="25" t="str">
        <f>IFERROR(IF(ISBLANK(V489),"",INDEX(Gen_Vessels!$A$3:$C$500,MATCH(InspectionSite!$V489,Gen_Vessels!$C$3:$C$500,0),1)),"")</f>
        <v/>
      </c>
      <c r="X489" s="25"/>
      <c r="Y489" s="25"/>
      <c r="Z489" s="25"/>
      <c r="AA489" s="25"/>
      <c r="AB489" s="25"/>
      <c r="AC489" s="25"/>
      <c r="AE489" s="25"/>
      <c r="AF489" s="49"/>
      <c r="AG489" s="25"/>
      <c r="AH489" s="25"/>
      <c r="AI489" s="25"/>
      <c r="AJ489" s="25"/>
      <c r="AK489" s="25"/>
    </row>
    <row r="490" spans="1:37" x14ac:dyDescent="0.25">
      <c r="A490" s="18" t="str">
        <f t="shared" si="7"/>
        <v/>
      </c>
      <c r="B490" s="25"/>
      <c r="C490" s="25"/>
      <c r="D490" s="25"/>
      <c r="E490" s="25"/>
      <c r="F490" s="25"/>
      <c r="H490" s="37"/>
      <c r="I490" s="25"/>
      <c r="J490" s="38"/>
      <c r="K490" s="40"/>
      <c r="S490" s="25"/>
      <c r="T490" s="25" t="str">
        <f>IFERROR(IF(ISBLANK(S490),"",INDEX(Gen_Vessels!$A$3:$C$500,MATCH(InspectionSite!$S490,Gen_Vessels!$C$3:$C$500,0),1)),"")</f>
        <v/>
      </c>
      <c r="U490" s="25"/>
      <c r="V490" s="25"/>
      <c r="W490" s="25" t="str">
        <f>IFERROR(IF(ISBLANK(V490),"",INDEX(Gen_Vessels!$A$3:$C$500,MATCH(InspectionSite!$V490,Gen_Vessels!$C$3:$C$500,0),1)),"")</f>
        <v/>
      </c>
      <c r="X490" s="25"/>
      <c r="Y490" s="25"/>
      <c r="Z490" s="25"/>
      <c r="AA490" s="25"/>
      <c r="AB490" s="25"/>
      <c r="AC490" s="25"/>
      <c r="AE490" s="25"/>
      <c r="AF490" s="49"/>
      <c r="AG490" s="25"/>
      <c r="AH490" s="25"/>
      <c r="AI490" s="25"/>
      <c r="AJ490" s="25"/>
      <c r="AK490" s="25"/>
    </row>
    <row r="491" spans="1:37" x14ac:dyDescent="0.25">
      <c r="T491" s="25" t="str">
        <f>IFERROR(IF(ISBLANK(S491),"",INDEX(Gen_Vessels!$A$3:$C$500,MATCH(InspectionSite!$S491,Gen_Vessels!$C$3:$C$500,0),1)),"")</f>
        <v/>
      </c>
      <c r="U491" s="25"/>
      <c r="W491" s="25" t="str">
        <f>IFERROR(IF(ISBLANK(V491),"",INDEX(Gen_Vessels!$A$3:$C$500,MATCH(InspectionSite!$V491,Gen_Vessels!$C$3:$C$500,0),1)),"")</f>
        <v/>
      </c>
      <c r="X491" s="25"/>
      <c r="AF491" s="49"/>
    </row>
    <row r="492" spans="1:37" x14ac:dyDescent="0.25">
      <c r="T492" s="25" t="str">
        <f>IFERROR(IF(ISBLANK(S492),"",INDEX(Gen_Vessels!$A$3:$C$500,MATCH(InspectionSite!$S492,Gen_Vessels!$C$3:$C$500,0),1)),"")</f>
        <v/>
      </c>
      <c r="U492" s="25"/>
      <c r="W492" s="25" t="str">
        <f>IFERROR(IF(ISBLANK(V492),"",INDEX(Gen_Vessels!$A$3:$C$500,MATCH(InspectionSite!$V492,Gen_Vessels!$C$3:$C$500,0),1)),"")</f>
        <v/>
      </c>
      <c r="X492" s="25"/>
      <c r="AF492" s="49"/>
    </row>
    <row r="493" spans="1:37" x14ac:dyDescent="0.25">
      <c r="T493" s="25" t="str">
        <f>IFERROR(IF(ISBLANK(S493),"",INDEX(Gen_Vessels!$A$3:$C$500,MATCH(InspectionSite!$S493,Gen_Vessels!$C$3:$C$500,0),1)),"")</f>
        <v/>
      </c>
      <c r="U493" s="25"/>
      <c r="W493" s="25" t="str">
        <f>IFERROR(IF(ISBLANK(V493),"",INDEX(Gen_Vessels!$A$3:$C$500,MATCH(InspectionSite!$V493,Gen_Vessels!$C$3:$C$500,0),1)),"")</f>
        <v/>
      </c>
      <c r="X493" s="25"/>
      <c r="AF493" s="49"/>
    </row>
    <row r="494" spans="1:37" x14ac:dyDescent="0.25">
      <c r="T494" s="25" t="str">
        <f>IFERROR(IF(ISBLANK(S494),"",INDEX(Gen_Vessels!$A$3:$C$500,MATCH(InspectionSite!$S494,Gen_Vessels!$C$3:$C$500,0),1)),"")</f>
        <v/>
      </c>
      <c r="U494" s="25"/>
      <c r="W494" s="25" t="str">
        <f>IFERROR(IF(ISBLANK(V494),"",INDEX(Gen_Vessels!$A$3:$C$500,MATCH(InspectionSite!$V494,Gen_Vessels!$C$3:$C$500,0),1)),"")</f>
        <v/>
      </c>
      <c r="X494" s="25"/>
      <c r="AF494" s="49"/>
    </row>
    <row r="495" spans="1:37" x14ac:dyDescent="0.25">
      <c r="T495" s="25" t="str">
        <f>IFERROR(IF(ISBLANK(S495),"",INDEX(Gen_Vessels!$A$3:$C$500,MATCH(InspectionSite!$S495,Gen_Vessels!$C$3:$C$500,0),1)),"")</f>
        <v/>
      </c>
      <c r="U495" s="25"/>
      <c r="W495" s="25" t="str">
        <f>IFERROR(IF(ISBLANK(V495),"",INDEX(Gen_Vessels!$A$3:$C$500,MATCH(InspectionSite!$V495,Gen_Vessels!$C$3:$C$500,0),1)),"")</f>
        <v/>
      </c>
      <c r="X495" s="25"/>
      <c r="AF495" s="49"/>
    </row>
    <row r="496" spans="1:37" x14ac:dyDescent="0.25">
      <c r="T496" s="25" t="str">
        <f>IFERROR(IF(ISBLANK(S496),"",INDEX(Gen_Vessels!$A$3:$C$500,MATCH(InspectionSite!$S496,Gen_Vessels!$C$3:$C$500,0),1)),"")</f>
        <v/>
      </c>
      <c r="U496" s="25"/>
      <c r="W496" s="25" t="str">
        <f>IFERROR(IF(ISBLANK(V496),"",INDEX(Gen_Vessels!$A$3:$C$500,MATCH(InspectionSite!$V496,Gen_Vessels!$C$3:$C$500,0),1)),"")</f>
        <v/>
      </c>
      <c r="X496" s="25"/>
      <c r="AF496" s="49"/>
    </row>
    <row r="497" spans="20:32" x14ac:dyDescent="0.25">
      <c r="T497" s="25" t="str">
        <f>IFERROR(IF(ISBLANK(S497),"",INDEX(Gen_Vessels!$A$3:$C$500,MATCH(InspectionSite!$S497,Gen_Vessels!$C$3:$C$500,0),1)),"")</f>
        <v/>
      </c>
      <c r="U497" s="25"/>
      <c r="W497" s="25" t="str">
        <f>IFERROR(IF(ISBLANK(V497),"",INDEX(Gen_Vessels!$A$3:$C$500,MATCH(InspectionSite!$V497,Gen_Vessels!$C$3:$C$500,0),1)),"")</f>
        <v/>
      </c>
      <c r="X497" s="25"/>
      <c r="AF497" s="49"/>
    </row>
    <row r="498" spans="20:32" x14ac:dyDescent="0.25">
      <c r="T498" s="25" t="str">
        <f>IFERROR(IF(ISBLANK(S498),"",INDEX(Gen_Vessels!$A$3:$C$500,MATCH(InspectionSite!$S498,Gen_Vessels!$C$3:$C$500,0),1)),"")</f>
        <v/>
      </c>
      <c r="U498" s="25"/>
      <c r="W498" s="25" t="str">
        <f>IFERROR(IF(ISBLANK(V498),"",INDEX(Gen_Vessels!$A$3:$C$500,MATCH(InspectionSite!$V498,Gen_Vessels!$C$3:$C$500,0),1)),"")</f>
        <v/>
      </c>
      <c r="X498" s="25"/>
      <c r="AF498" s="49"/>
    </row>
    <row r="499" spans="20:32" x14ac:dyDescent="0.25">
      <c r="U499" s="25"/>
    </row>
    <row r="500" spans="20:32" x14ac:dyDescent="0.25">
      <c r="U500" s="25"/>
    </row>
    <row r="1048575" spans="24:24" x14ac:dyDescent="0.25">
      <c r="X1048575" s="25"/>
    </row>
    <row r="1048576" spans="24:24" x14ac:dyDescent="0.25">
      <c r="X1048576" s="25"/>
    </row>
  </sheetData>
  <conditionalFormatting sqref="A1:B1048576">
    <cfRule type="expression" dxfId="79" priority="5">
      <formula>AND(COUNTIF(A:A,$A1)&gt;1,$A1&lt;&gt;"")</formula>
    </cfRule>
  </conditionalFormatting>
  <conditionalFormatting sqref="D3:D500 L3:L500">
    <cfRule type="expression" dxfId="78" priority="15">
      <formula>AND(NOT(ISBLANK(D3)),D3=$A3)</formula>
    </cfRule>
  </conditionalFormatting>
  <conditionalFormatting sqref="H3:J500">
    <cfRule type="expression" dxfId="77" priority="83">
      <formula>AND(NOT(ISBLANK($B3)),$H3=0,$I3=0,$J3=0)</formula>
    </cfRule>
  </conditionalFormatting>
  <conditionalFormatting sqref="O3:Q500">
    <cfRule type="expression" dxfId="76" priority="16">
      <formula>AND(NOT(ISBLANK($O3)),NOT(ISBLANK($Q3)))</formula>
    </cfRule>
  </conditionalFormatting>
  <conditionalFormatting sqref="R3:R48">
    <cfRule type="expression" dxfId="75" priority="9">
      <formula>AND(NOT(ISBLANK(R3)),R3=$A3)</formula>
    </cfRule>
  </conditionalFormatting>
  <conditionalFormatting sqref="U3:U1048576">
    <cfRule type="expression" dxfId="74" priority="3">
      <formula>NOT(U3=INT(U3))</formula>
    </cfRule>
    <cfRule type="expression" dxfId="73" priority="4">
      <formula>U3&lt;0</formula>
    </cfRule>
  </conditionalFormatting>
  <conditionalFormatting sqref="X1:X1048576">
    <cfRule type="expression" dxfId="72" priority="1">
      <formula>NOT(X1=INT(X1))</formula>
    </cfRule>
    <cfRule type="expression" dxfId="71" priority="2">
      <formula>X1&lt;0</formula>
    </cfRule>
  </conditionalFormatting>
  <conditionalFormatting sqref="AD1:AD1048576">
    <cfRule type="expression" dxfId="70" priority="11">
      <formula>AND(NOT(ISBLANK($B1)),IF(AND(NOT(ISBLANK($A1)),ISBLANK(AD1)),TRUE,FALSE))</formula>
    </cfRule>
  </conditionalFormatting>
  <conditionalFormatting sqref="AE3:AE7">
    <cfRule type="expression" dxfId="69" priority="13">
      <formula>AND(COUNTIF(AE:AE,$A3)&gt;1,$A3&lt;&gt;"")</formula>
    </cfRule>
  </conditionalFormatting>
  <dataValidations count="12">
    <dataValidation operator="greaterThan" allowBlank="1" showInputMessage="1" showErrorMessage="1" sqref="H2:L2" xr:uid="{6A4B9D0B-3F38-4442-90FF-BAAD08D68331}"/>
    <dataValidation type="decimal" operator="greaterThan" allowBlank="1" showInputMessage="1" showErrorMessage="1" errorTitle="Wrong input" error="Leave it empy or it must be a decimal greater than 0.0." sqref="M19:Q513 R49:R513" xr:uid="{CBA8E0A1-E2BC-4C00-8F6D-727916E2D97C}">
      <formula1>0</formula1>
    </dataValidation>
    <dataValidation type="whole" operator="greaterThanOrEqual" allowBlank="1" showInputMessage="1" showErrorMessage="1" sqref="Z3:Z486 U3:U1048576 X3:X1048576 G3:G1048576" xr:uid="{9E1BCBDF-B9C1-46B7-840B-268AB308A197}">
      <formula1>1</formula1>
    </dataValidation>
    <dataValidation type="decimal" operator="greaterThan" allowBlank="1" showInputMessage="1" showErrorMessage="1" sqref="K3:K490 E3:E1048576" xr:uid="{75061FFF-D88A-4702-B965-F977B6073D43}">
      <formula1>0</formula1>
    </dataValidation>
    <dataValidation type="decimal" operator="greaterThanOrEqual" allowBlank="1" showInputMessage="1" showErrorMessage="1" sqref="AA3:AC486" xr:uid="{F6E3778A-B097-46F8-AC80-13E0347033D0}">
      <formula1>0</formula1>
    </dataValidation>
    <dataValidation type="list" allowBlank="1" showInputMessage="1" showErrorMessage="1" sqref="D3:D15 L3:L1048576 R3:R48 AG3:AG1048576" xr:uid="{B0574368-5A04-40A6-A5D7-7104AF622E03}">
      <formula1>"False,True"</formula1>
    </dataValidation>
    <dataValidation type="custom" operator="greaterThan" allowBlank="1" showInputMessage="1" showErrorMessage="1" errorTitle="Wrong input" error="If location is &quot;transit&quot;, leave this cell empty. If not, it must be decimal greater than 0.0." sqref="M3:Q18" xr:uid="{BABC8361-BF53-4692-B7B9-2167E5294927}">
      <formula1>AND(ISNUMBER(M3),M3&gt;0)</formula1>
    </dataValidation>
    <dataValidation type="custom" operator="greaterThanOrEqual" allowBlank="1" showInputMessage="1" showErrorMessage="1" sqref="I3:I500" xr:uid="{84903C60-017A-41EE-B087-493EFE085716}">
      <formula1>AND(ISNUMBER(I3),MOD(I3,1)=0,I3&gt;=0,I3&lt;=wec_devices)</formula1>
    </dataValidation>
    <dataValidation type="custom" operator="greaterThanOrEqual" allowBlank="1" showInputMessage="1" showErrorMessage="1" sqref="J3:J500" xr:uid="{A43FA79B-AFC0-4405-90E8-E8CB90AEEBE8}">
      <formula1>AND(ISNUMBER(J3),MOD(J3,1)=0,J3&gt;=0,J3&lt;=pv_devices)</formula1>
    </dataValidation>
    <dataValidation type="custom" operator="greaterThanOrEqual" allowBlank="1" showInputMessage="1" showErrorMessage="1" sqref="H3:H500" xr:uid="{1FF21096-E085-43C0-9ADD-DFEB65C2A9B7}">
      <formula1>AND(ISNUMBER(H3),MOD(H3,1)=0,H3&gt;=0,H3&lt;=wtg_devices)</formula1>
    </dataValidation>
    <dataValidation type="list" allowBlank="1" showInputMessage="1" showErrorMessage="1" sqref="AD3:AD1048576" xr:uid="{5A807735-30A8-4AD1-8A82-296D082361AC}">
      <formula1>"exp_cable, exp_cable_iexp_cable, exp_cable_island, dyn_cable-sub, array_cable, cable_cb, cable_transf, cable_switch,     cable_inv, string_cable, substation, mv_transformer, circuit_braker, switcher, inverter, device, hub, shore"</formula1>
    </dataValidation>
    <dataValidation type="whole" allowBlank="1" showInputMessage="1" showErrorMessage="1" sqref="F3:F1048576" xr:uid="{7BDE421F-8D0D-49AC-BE5E-C4B24A4B4467}">
      <formula1>1</formula1>
      <formula2>12</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90A8CA11-FBB1-4CC3-9DBD-7FC1DE54C565}">
          <x14:formula1>
            <xm:f>Gen_ROVs!$D$3:$D$194</xm:f>
          </x14:formula1>
          <xm:sqref>Y16:Y486</xm:sqref>
        </x14:dataValidation>
        <x14:dataValidation type="list" allowBlank="1" showInputMessage="1" showErrorMessage="1" xr:uid="{6D76E848-B214-4448-916F-D78B68DFDE63}">
          <x14:formula1>
            <xm:f>Gen_Vessels!$C$3:$C$500</xm:f>
          </x14:formula1>
          <xm:sqref>V3:V498 S3:S498</xm:sqref>
        </x14:dataValidation>
        <x14:dataValidation type="list" allowBlank="1" showInputMessage="1" showErrorMessage="1" xr:uid="{85DE0E9A-DCAE-40AC-A736-43C60F6561A4}">
          <x14:formula1>
            <xm:f>Gen_ROVs!$A$3:$A$8</xm:f>
          </x14:formula1>
          <xm:sqref>Y3:Y15</xm:sqref>
        </x14:dataValidation>
        <x14:dataValidation type="custom" operator="greaterThanOrEqual" allowBlank="1" showInputMessage="1" showErrorMessage="1" xr:uid="{1842B795-3DDA-4467-928A-6C33892B216A}">
          <x14:formula1>
            <xm:f>AND(ISNUMBER(H1048566),MOD(H1048566,1)=0,H1048566&gt;=0,H1048566&lt;=Gen_WTG!G1048569)</xm:f>
          </x14:formula1>
          <xm:sqref>H1048566:H1048576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219D-1D75-49E2-AE08-A71EC44DB98D}">
  <sheetPr>
    <tabColor theme="4" tint="0.39997558519241921"/>
  </sheetPr>
  <dimension ref="A1:AD494"/>
  <sheetViews>
    <sheetView zoomScaleNormal="100" workbookViewId="0">
      <pane xSplit="3" ySplit="2" topLeftCell="D3" activePane="bottomRight" state="frozen"/>
      <selection pane="topRight" activeCell="C1" sqref="C1"/>
      <selection pane="bottomLeft" activeCell="A3" sqref="A3"/>
      <selection pane="bottomRight" activeCell="A3" sqref="A3"/>
    </sheetView>
  </sheetViews>
  <sheetFormatPr defaultColWidth="9.28515625" defaultRowHeight="15" x14ac:dyDescent="0.25"/>
  <cols>
    <col min="1" max="1" width="18.7109375" style="18" customWidth="1"/>
    <col min="2" max="2" width="16.7109375" style="18" customWidth="1"/>
    <col min="3" max="3" width="40.7109375" style="18" customWidth="1"/>
    <col min="4" max="4" width="13.85546875" style="35" bestFit="1" customWidth="1"/>
    <col min="5" max="5" width="13.85546875" style="18" bestFit="1" customWidth="1"/>
    <col min="6" max="6" width="12.7109375" style="18" customWidth="1"/>
    <col min="7" max="7" width="19.42578125" style="36" customWidth="1"/>
    <col min="8" max="8" width="18.7109375" style="35" customWidth="1"/>
    <col min="9" max="9" width="18.7109375" style="18" customWidth="1"/>
    <col min="10" max="10" width="18.7109375" style="36" customWidth="1"/>
    <col min="11" max="14" width="6.7109375" style="18" customWidth="1"/>
    <col min="15" max="15" width="15.5703125" style="35" customWidth="1"/>
    <col min="16" max="16" width="15.5703125" style="18" customWidth="1"/>
    <col min="17" max="17" width="15.5703125" style="36" customWidth="1"/>
    <col min="18" max="18" width="21.42578125" style="35" customWidth="1"/>
    <col min="19" max="19" width="21.42578125" style="18" customWidth="1"/>
    <col min="20" max="20" width="13.5703125" style="18" customWidth="1"/>
    <col min="21" max="21" width="12.7109375" style="36" customWidth="1"/>
    <col min="22" max="22" width="17.28515625" bestFit="1" customWidth="1"/>
    <col min="23" max="16384" width="9.28515625" style="18"/>
  </cols>
  <sheetData>
    <row r="1" spans="1:30" x14ac:dyDescent="0.25">
      <c r="A1" s="18" t="s">
        <v>66</v>
      </c>
      <c r="B1" s="18" t="s">
        <v>149</v>
      </c>
      <c r="C1" s="18" t="s">
        <v>150</v>
      </c>
      <c r="D1" s="35" t="s">
        <v>194</v>
      </c>
      <c r="E1" s="18" t="s">
        <v>195</v>
      </c>
      <c r="F1" s="18" t="s">
        <v>152</v>
      </c>
      <c r="G1" s="36" t="s">
        <v>153</v>
      </c>
      <c r="H1" s="35" t="s">
        <v>155</v>
      </c>
      <c r="I1" s="18" t="s">
        <v>156</v>
      </c>
      <c r="J1" s="36" t="s">
        <v>157</v>
      </c>
      <c r="K1" s="18" t="s">
        <v>160</v>
      </c>
      <c r="L1" s="18" t="s">
        <v>161</v>
      </c>
      <c r="M1" s="18" t="s">
        <v>162</v>
      </c>
      <c r="N1" s="18" t="s">
        <v>164</v>
      </c>
      <c r="O1" s="35" t="s">
        <v>166</v>
      </c>
      <c r="P1" s="18" t="s">
        <v>168</v>
      </c>
      <c r="Q1" s="36" t="s">
        <v>170</v>
      </c>
      <c r="R1" s="35" t="s">
        <v>171</v>
      </c>
      <c r="S1" s="18" t="s">
        <v>172</v>
      </c>
      <c r="T1" s="18" t="s">
        <v>173</v>
      </c>
      <c r="U1" s="36" t="s">
        <v>174</v>
      </c>
    </row>
    <row r="2" spans="1:30" x14ac:dyDescent="0.25">
      <c r="A2" s="18" t="s">
        <v>13</v>
      </c>
      <c r="B2" s="18" t="s">
        <v>13</v>
      </c>
      <c r="C2" s="18" t="s">
        <v>13</v>
      </c>
      <c r="D2" s="35" t="s">
        <v>13</v>
      </c>
      <c r="E2" s="18" t="s">
        <v>13</v>
      </c>
      <c r="F2" s="18" t="s">
        <v>179</v>
      </c>
      <c r="G2" s="36" t="s">
        <v>13</v>
      </c>
      <c r="H2" s="35" t="s">
        <v>13</v>
      </c>
      <c r="I2" s="18" t="s">
        <v>13</v>
      </c>
      <c r="J2" s="36" t="s">
        <v>13</v>
      </c>
      <c r="K2" s="18" t="s">
        <v>30</v>
      </c>
      <c r="L2" s="18" t="s">
        <v>180</v>
      </c>
      <c r="M2" s="18" t="s">
        <v>27</v>
      </c>
      <c r="N2" s="18" t="s">
        <v>27</v>
      </c>
      <c r="O2" s="35" t="s">
        <v>13</v>
      </c>
      <c r="P2" s="18" t="s">
        <v>13</v>
      </c>
      <c r="Q2" s="36" t="s">
        <v>13</v>
      </c>
      <c r="R2" s="35" t="s">
        <v>13</v>
      </c>
      <c r="S2" s="18" t="s">
        <v>181</v>
      </c>
      <c r="T2" s="18" t="s">
        <v>90</v>
      </c>
      <c r="U2" s="36" t="s">
        <v>90</v>
      </c>
    </row>
    <row r="3" spans="1:30" x14ac:dyDescent="0.25">
      <c r="A3" s="18" t="str">
        <f t="shared" ref="A3:A61" si="0">IF(ISBLANK($B3)=FALSE,IF(AND($H3&gt;0,$I3&lt;=0,$J3&lt;=0),_xlfn.CONCAT("ofw_",$B3),IF(AND($H3&lt;=0,$I3&gt;0,$J3&lt;=0),_xlfn.CONCAT("owc_",$B3),IF(AND($H3&lt;=0,$I3&lt;=0,$J3&gt;0),_xlfn.CONCAT("opv_",$B3),_xlfn.CONCAT("oce_",$B3)))),"")</f>
        <v>owc_CPO_A1</v>
      </c>
      <c r="B3" s="25" t="s">
        <v>182</v>
      </c>
      <c r="C3" s="25" t="s">
        <v>196</v>
      </c>
      <c r="D3" s="37"/>
      <c r="E3" s="25"/>
      <c r="F3" s="25">
        <v>0.5</v>
      </c>
      <c r="G3" s="38" t="s">
        <v>197</v>
      </c>
      <c r="H3" s="37">
        <v>0</v>
      </c>
      <c r="I3" s="25">
        <f t="shared" ref="I3:I8" si="1">wec_devices</f>
        <v>1</v>
      </c>
      <c r="J3" s="38">
        <v>0</v>
      </c>
      <c r="N3" s="29"/>
      <c r="O3" s="37" t="s">
        <v>198</v>
      </c>
      <c r="P3" s="25"/>
      <c r="Q3" s="38"/>
      <c r="R3" s="37">
        <v>2</v>
      </c>
      <c r="S3" s="27">
        <v>300</v>
      </c>
      <c r="T3" s="25">
        <f>1830*I3</f>
        <v>1830</v>
      </c>
      <c r="U3" s="38"/>
      <c r="V3" s="25"/>
      <c r="W3" s="25"/>
      <c r="X3" s="25"/>
      <c r="Y3" s="25"/>
      <c r="Z3" s="25"/>
      <c r="AA3" s="25"/>
      <c r="AB3" s="25"/>
      <c r="AC3" s="25"/>
      <c r="AD3" s="25"/>
    </row>
    <row r="4" spans="1:30" x14ac:dyDescent="0.25">
      <c r="A4" s="18" t="str">
        <f t="shared" si="0"/>
        <v>owc_CPO_A2</v>
      </c>
      <c r="B4" s="25" t="s">
        <v>186</v>
      </c>
      <c r="C4" s="25" t="s">
        <v>199</v>
      </c>
      <c r="D4" s="37"/>
      <c r="E4" s="25"/>
      <c r="F4" s="25">
        <v>1</v>
      </c>
      <c r="G4" s="38" t="s">
        <v>200</v>
      </c>
      <c r="H4" s="37">
        <v>0</v>
      </c>
      <c r="I4" s="25">
        <f t="shared" si="1"/>
        <v>1</v>
      </c>
      <c r="J4" s="38">
        <v>0</v>
      </c>
      <c r="N4" s="29"/>
      <c r="O4" s="37" t="s">
        <v>198</v>
      </c>
      <c r="P4" s="25"/>
      <c r="Q4" s="38"/>
      <c r="R4" s="37">
        <v>2</v>
      </c>
      <c r="S4" s="27">
        <v>300</v>
      </c>
      <c r="T4" s="25">
        <f>5175*I4</f>
        <v>5175</v>
      </c>
      <c r="U4" s="38"/>
      <c r="V4" s="25"/>
      <c r="W4" s="25"/>
      <c r="X4" s="25"/>
      <c r="Y4" s="25"/>
      <c r="Z4" s="25"/>
      <c r="AA4" s="25"/>
      <c r="AB4" s="25"/>
      <c r="AC4" s="25"/>
      <c r="AD4" s="25"/>
    </row>
    <row r="5" spans="1:30" x14ac:dyDescent="0.25">
      <c r="A5" s="18" t="str">
        <f t="shared" si="0"/>
        <v>owc_CPO_A3_0</v>
      </c>
      <c r="B5" s="25" t="s">
        <v>201</v>
      </c>
      <c r="C5" s="25" t="s">
        <v>202</v>
      </c>
      <c r="D5" s="37"/>
      <c r="E5" s="25"/>
      <c r="F5" s="25"/>
      <c r="G5" s="38"/>
      <c r="H5" s="37">
        <v>0</v>
      </c>
      <c r="I5" s="25">
        <f t="shared" si="1"/>
        <v>1</v>
      </c>
      <c r="J5" s="38">
        <v>0</v>
      </c>
      <c r="N5" s="29"/>
      <c r="O5" s="37" t="s">
        <v>203</v>
      </c>
      <c r="P5" s="25"/>
      <c r="Q5" s="38"/>
      <c r="R5" s="39">
        <v>1</v>
      </c>
      <c r="S5" s="27">
        <v>200</v>
      </c>
      <c r="T5" s="25"/>
      <c r="U5" s="38"/>
      <c r="V5" s="25"/>
      <c r="W5" s="25"/>
      <c r="X5" s="25"/>
      <c r="Y5" s="25"/>
      <c r="Z5" s="25"/>
      <c r="AA5" s="25"/>
      <c r="AB5" s="25"/>
      <c r="AC5" s="25"/>
      <c r="AD5" s="25"/>
    </row>
    <row r="6" spans="1:30" x14ac:dyDescent="0.25">
      <c r="A6" s="18" t="str">
        <f t="shared" si="0"/>
        <v>owc_CPO_A3_1</v>
      </c>
      <c r="B6" s="25" t="s">
        <v>204</v>
      </c>
      <c r="C6" s="25" t="s">
        <v>205</v>
      </c>
      <c r="D6" s="37" t="s">
        <v>206</v>
      </c>
      <c r="E6" s="25" t="s">
        <v>207</v>
      </c>
      <c r="F6" s="25">
        <v>5</v>
      </c>
      <c r="G6" s="38" t="s">
        <v>200</v>
      </c>
      <c r="H6" s="37">
        <v>0</v>
      </c>
      <c r="I6" s="25">
        <f>wec_devices/2</f>
        <v>0.5</v>
      </c>
      <c r="J6" s="38">
        <v>0</v>
      </c>
      <c r="N6" s="29"/>
      <c r="O6" s="37"/>
      <c r="P6" s="25"/>
      <c r="Q6" s="38"/>
      <c r="R6" s="37">
        <v>3</v>
      </c>
      <c r="S6" s="27">
        <v>300</v>
      </c>
      <c r="T6" s="25">
        <f>9962.5*I6</f>
        <v>4981.25</v>
      </c>
      <c r="U6" s="38"/>
      <c r="V6" s="25"/>
      <c r="W6" s="25"/>
      <c r="X6" s="25"/>
      <c r="Y6" s="25"/>
      <c r="Z6" s="25"/>
      <c r="AA6" s="25"/>
      <c r="AB6" s="25"/>
      <c r="AC6" s="25"/>
      <c r="AD6" s="25"/>
    </row>
    <row r="7" spans="1:30" x14ac:dyDescent="0.25">
      <c r="A7" s="18" t="str">
        <f t="shared" si="0"/>
        <v>owc_CPO_A3_2</v>
      </c>
      <c r="B7" s="25" t="s">
        <v>208</v>
      </c>
      <c r="C7" s="25" t="s">
        <v>209</v>
      </c>
      <c r="D7" s="37" t="s">
        <v>206</v>
      </c>
      <c r="E7" s="25" t="s">
        <v>207</v>
      </c>
      <c r="F7" s="25">
        <v>5</v>
      </c>
      <c r="G7" s="38" t="s">
        <v>200</v>
      </c>
      <c r="H7" s="37">
        <v>0</v>
      </c>
      <c r="I7" s="25">
        <f>wec_devices/2</f>
        <v>0.5</v>
      </c>
      <c r="J7" s="38">
        <v>0</v>
      </c>
      <c r="N7" s="29"/>
      <c r="O7" s="37"/>
      <c r="P7" s="25"/>
      <c r="Q7" s="38"/>
      <c r="R7" s="37">
        <v>3</v>
      </c>
      <c r="S7" s="27">
        <v>300</v>
      </c>
      <c r="T7" s="25">
        <f>9962.5*I7</f>
        <v>4981.25</v>
      </c>
      <c r="U7" s="38"/>
      <c r="V7" s="25"/>
      <c r="W7" s="25"/>
      <c r="X7" s="25"/>
      <c r="Y7" s="25"/>
      <c r="Z7" s="25"/>
      <c r="AA7" s="25"/>
      <c r="AB7" s="25"/>
      <c r="AC7" s="25"/>
      <c r="AD7" s="25"/>
    </row>
    <row r="8" spans="1:30" x14ac:dyDescent="0.25">
      <c r="A8" s="18" t="str">
        <f t="shared" si="0"/>
        <v>owc_CPO_A3_3</v>
      </c>
      <c r="B8" s="25" t="s">
        <v>210</v>
      </c>
      <c r="C8" s="25" t="s">
        <v>211</v>
      </c>
      <c r="D8" s="37"/>
      <c r="E8" s="25"/>
      <c r="F8" s="25"/>
      <c r="G8" s="38"/>
      <c r="H8" s="37">
        <v>0</v>
      </c>
      <c r="I8" s="25">
        <f t="shared" si="1"/>
        <v>1</v>
      </c>
      <c r="J8" s="38">
        <v>0</v>
      </c>
      <c r="N8" s="29"/>
      <c r="O8" s="37" t="s">
        <v>203</v>
      </c>
      <c r="P8" s="25"/>
      <c r="Q8" s="38"/>
      <c r="R8" s="39">
        <v>1</v>
      </c>
      <c r="S8" s="27">
        <v>200</v>
      </c>
      <c r="T8" s="25"/>
      <c r="U8" s="38"/>
      <c r="V8" s="25"/>
      <c r="W8" s="25"/>
      <c r="X8" s="25"/>
      <c r="Y8" s="25"/>
      <c r="Z8" s="25"/>
      <c r="AA8" s="25"/>
      <c r="AB8" s="25"/>
      <c r="AC8" s="25"/>
      <c r="AD8" s="25"/>
    </row>
    <row r="9" spans="1:30" x14ac:dyDescent="0.25">
      <c r="A9" s="18" t="str">
        <f t="shared" si="0"/>
        <v>oce_SuAB_1</v>
      </c>
      <c r="B9" s="25" t="s">
        <v>212</v>
      </c>
      <c r="C9" s="25" t="s">
        <v>213</v>
      </c>
      <c r="D9" s="37"/>
      <c r="E9" s="25"/>
      <c r="F9" s="25">
        <v>1</v>
      </c>
      <c r="G9" s="38" t="s">
        <v>214</v>
      </c>
      <c r="H9" s="37">
        <f t="shared" ref="H9:H14" si="2">wtg_devices</f>
        <v>0</v>
      </c>
      <c r="I9" s="25">
        <v>0</v>
      </c>
      <c r="J9" s="38">
        <v>0</v>
      </c>
      <c r="O9" s="37" t="s">
        <v>215</v>
      </c>
      <c r="P9" s="25"/>
      <c r="Q9" s="38" t="s">
        <v>216</v>
      </c>
      <c r="R9" s="37">
        <v>3</v>
      </c>
      <c r="S9" s="25">
        <v>300</v>
      </c>
      <c r="T9" s="25"/>
      <c r="U9" s="38"/>
      <c r="V9" s="26"/>
      <c r="W9" s="25"/>
      <c r="X9" s="25"/>
      <c r="Y9" s="25"/>
      <c r="Z9" s="25"/>
      <c r="AA9" s="25"/>
      <c r="AB9" s="25"/>
      <c r="AC9" s="25"/>
      <c r="AD9" s="25"/>
    </row>
    <row r="10" spans="1:30" x14ac:dyDescent="0.25">
      <c r="A10" s="18" t="str">
        <f t="shared" si="0"/>
        <v>oce_SuAB_2</v>
      </c>
      <c r="B10" s="25" t="s">
        <v>217</v>
      </c>
      <c r="C10" s="25" t="s">
        <v>218</v>
      </c>
      <c r="D10" s="37"/>
      <c r="E10" s="25"/>
      <c r="F10" s="25">
        <v>1</v>
      </c>
      <c r="G10" s="38" t="s">
        <v>214</v>
      </c>
      <c r="H10" s="37">
        <f t="shared" si="2"/>
        <v>0</v>
      </c>
      <c r="I10" s="25">
        <v>0</v>
      </c>
      <c r="J10" s="38">
        <v>0</v>
      </c>
      <c r="O10" s="37" t="s">
        <v>198</v>
      </c>
      <c r="P10" s="25"/>
      <c r="Q10" s="38"/>
      <c r="R10" s="37">
        <v>3</v>
      </c>
      <c r="S10" s="25">
        <v>200</v>
      </c>
      <c r="T10" s="25"/>
      <c r="U10" s="38"/>
      <c r="V10" s="26"/>
      <c r="W10" s="25"/>
      <c r="X10" s="25"/>
      <c r="Y10" s="25"/>
      <c r="Z10" s="25"/>
      <c r="AA10" s="25"/>
      <c r="AB10" s="25"/>
      <c r="AC10" s="25"/>
      <c r="AD10" s="25"/>
    </row>
    <row r="11" spans="1:30" x14ac:dyDescent="0.25">
      <c r="A11" s="18" t="str">
        <f t="shared" si="0"/>
        <v>oce_SuAB_3</v>
      </c>
      <c r="B11" s="25" t="s">
        <v>219</v>
      </c>
      <c r="C11" s="25" t="s">
        <v>220</v>
      </c>
      <c r="D11" s="37"/>
      <c r="E11" s="25"/>
      <c r="F11" s="25">
        <v>1</v>
      </c>
      <c r="G11" s="38" t="s">
        <v>214</v>
      </c>
      <c r="H11" s="37">
        <f t="shared" si="2"/>
        <v>0</v>
      </c>
      <c r="I11" s="25">
        <v>0</v>
      </c>
      <c r="J11" s="38">
        <v>0</v>
      </c>
      <c r="O11" s="37" t="s">
        <v>215</v>
      </c>
      <c r="P11" s="25"/>
      <c r="Q11" s="38"/>
      <c r="R11" s="37">
        <v>3</v>
      </c>
      <c r="S11" s="25">
        <v>200</v>
      </c>
      <c r="T11" s="25"/>
      <c r="U11" s="38"/>
      <c r="V11" s="26"/>
      <c r="W11" s="25"/>
      <c r="X11" s="25"/>
      <c r="Y11" s="25"/>
      <c r="Z11" s="25"/>
      <c r="AA11" s="25"/>
      <c r="AB11" s="25"/>
      <c r="AC11" s="25"/>
      <c r="AD11" s="25"/>
    </row>
    <row r="12" spans="1:30" x14ac:dyDescent="0.25">
      <c r="A12" s="18" t="str">
        <f t="shared" si="0"/>
        <v>oce_SuAB_4</v>
      </c>
      <c r="B12" s="25" t="s">
        <v>221</v>
      </c>
      <c r="C12" s="25" t="s">
        <v>222</v>
      </c>
      <c r="D12" s="37"/>
      <c r="E12" s="25"/>
      <c r="F12" s="25">
        <v>1</v>
      </c>
      <c r="G12" s="38" t="s">
        <v>214</v>
      </c>
      <c r="H12" s="37">
        <f t="shared" si="2"/>
        <v>0</v>
      </c>
      <c r="I12" s="25">
        <v>0</v>
      </c>
      <c r="J12" s="38">
        <v>0</v>
      </c>
      <c r="O12" s="37" t="s">
        <v>215</v>
      </c>
      <c r="P12" s="25"/>
      <c r="Q12" s="38"/>
      <c r="R12" s="37">
        <v>3</v>
      </c>
      <c r="S12" s="25">
        <v>200</v>
      </c>
      <c r="T12" s="25"/>
      <c r="U12" s="38"/>
      <c r="V12" s="26"/>
      <c r="W12" s="25"/>
      <c r="X12" s="25"/>
      <c r="Y12" s="25"/>
      <c r="Z12" s="25"/>
      <c r="AA12" s="25"/>
      <c r="AB12" s="25"/>
      <c r="AC12" s="25"/>
      <c r="AD12" s="25"/>
    </row>
    <row r="13" spans="1:30" x14ac:dyDescent="0.25">
      <c r="A13" s="18" t="str">
        <f t="shared" si="0"/>
        <v>oce_SuAB_5</v>
      </c>
      <c r="B13" s="25" t="s">
        <v>223</v>
      </c>
      <c r="C13" s="25" t="s">
        <v>224</v>
      </c>
      <c r="D13" s="37"/>
      <c r="E13" s="25"/>
      <c r="F13" s="25">
        <v>1</v>
      </c>
      <c r="G13" s="38" t="s">
        <v>214</v>
      </c>
      <c r="H13" s="37">
        <f t="shared" si="2"/>
        <v>0</v>
      </c>
      <c r="I13" s="25">
        <v>0</v>
      </c>
      <c r="J13" s="38">
        <v>0</v>
      </c>
      <c r="O13" s="37" t="s">
        <v>215</v>
      </c>
      <c r="P13" s="25"/>
      <c r="Q13" s="38"/>
      <c r="R13" s="37">
        <v>2</v>
      </c>
      <c r="S13" s="25">
        <v>300</v>
      </c>
      <c r="T13" s="25"/>
      <c r="U13" s="38"/>
      <c r="V13" s="26"/>
      <c r="W13" s="25"/>
      <c r="X13" s="25"/>
      <c r="Y13" s="25"/>
      <c r="Z13" s="25"/>
      <c r="AA13" s="25"/>
      <c r="AB13" s="25"/>
      <c r="AC13" s="25"/>
      <c r="AD13" s="25"/>
    </row>
    <row r="14" spans="1:30" x14ac:dyDescent="0.25">
      <c r="A14" s="18" t="str">
        <f t="shared" si="0"/>
        <v>oce_SuAB_6</v>
      </c>
      <c r="B14" s="25" t="s">
        <v>225</v>
      </c>
      <c r="C14" s="25" t="s">
        <v>226</v>
      </c>
      <c r="D14" s="37"/>
      <c r="E14" s="25"/>
      <c r="F14" s="25">
        <v>1</v>
      </c>
      <c r="G14" s="38" t="s">
        <v>214</v>
      </c>
      <c r="H14" s="37">
        <f t="shared" si="2"/>
        <v>0</v>
      </c>
      <c r="I14" s="25">
        <v>0</v>
      </c>
      <c r="J14" s="38">
        <v>0</v>
      </c>
      <c r="O14" s="37" t="s">
        <v>227</v>
      </c>
      <c r="P14" s="25"/>
      <c r="Q14" s="38"/>
      <c r="R14" s="37">
        <v>6</v>
      </c>
      <c r="S14" s="25">
        <v>600</v>
      </c>
      <c r="T14" s="25"/>
      <c r="U14" s="38"/>
      <c r="V14" s="26"/>
      <c r="W14" s="25"/>
      <c r="X14" s="25"/>
      <c r="Y14" s="25"/>
      <c r="Z14" s="25"/>
      <c r="AA14" s="25"/>
      <c r="AB14" s="25"/>
      <c r="AC14" s="25"/>
      <c r="AD14" s="25"/>
    </row>
    <row r="15" spans="1:30" x14ac:dyDescent="0.25">
      <c r="A15" s="18" t="str">
        <f t="shared" si="0"/>
        <v>oce_SuAB_cable_1</v>
      </c>
      <c r="B15" s="25" t="s">
        <v>228</v>
      </c>
      <c r="C15" s="25" t="s">
        <v>229</v>
      </c>
      <c r="D15" s="37"/>
      <c r="E15" s="25"/>
      <c r="F15" s="25">
        <v>2</v>
      </c>
      <c r="G15" s="38" t="s">
        <v>214</v>
      </c>
      <c r="H15" s="37">
        <f>wtg_devices</f>
        <v>0</v>
      </c>
      <c r="I15" s="25">
        <v>0</v>
      </c>
      <c r="J15" s="38">
        <v>0</v>
      </c>
      <c r="O15" s="37" t="s">
        <v>227</v>
      </c>
      <c r="P15" s="25"/>
      <c r="Q15" s="38"/>
      <c r="R15" s="37">
        <v>6</v>
      </c>
      <c r="S15" s="25">
        <v>600</v>
      </c>
      <c r="T15" s="25"/>
      <c r="U15" s="38"/>
      <c r="V15" s="26"/>
      <c r="W15" s="25"/>
      <c r="X15" s="25"/>
      <c r="Y15" s="25"/>
      <c r="Z15" s="25"/>
      <c r="AA15" s="25"/>
      <c r="AB15" s="25"/>
      <c r="AC15" s="25"/>
      <c r="AD15" s="25"/>
    </row>
    <row r="16" spans="1:30" x14ac:dyDescent="0.25">
      <c r="A16" s="18" t="str">
        <f t="shared" si="0"/>
        <v>oce_SuAB_cable_2</v>
      </c>
      <c r="B16" s="25" t="s">
        <v>230</v>
      </c>
      <c r="C16" s="25" t="s">
        <v>231</v>
      </c>
      <c r="D16" s="37"/>
      <c r="E16" s="25"/>
      <c r="F16" s="25">
        <v>2</v>
      </c>
      <c r="G16" s="38" t="s">
        <v>214</v>
      </c>
      <c r="H16" s="37">
        <v>0</v>
      </c>
      <c r="I16" s="25">
        <v>0</v>
      </c>
      <c r="J16" s="38">
        <v>0</v>
      </c>
      <c r="O16" s="37" t="s">
        <v>227</v>
      </c>
      <c r="P16" s="25"/>
      <c r="Q16" s="38"/>
      <c r="R16" s="37">
        <v>6</v>
      </c>
      <c r="S16" s="25">
        <v>600</v>
      </c>
      <c r="T16" s="25"/>
      <c r="U16" s="38"/>
      <c r="V16" s="26"/>
      <c r="W16" s="25"/>
      <c r="X16" s="25"/>
      <c r="Y16" s="25"/>
      <c r="Z16" s="25"/>
      <c r="AA16" s="25"/>
      <c r="AB16" s="25"/>
      <c r="AC16" s="25"/>
      <c r="AD16" s="25"/>
    </row>
    <row r="17" spans="1:30" x14ac:dyDescent="0.25">
      <c r="A17" s="18" t="str">
        <f t="shared" si="0"/>
        <v>owc_OP001</v>
      </c>
      <c r="B17" s="25" t="s">
        <v>232</v>
      </c>
      <c r="C17" s="25" t="s">
        <v>233</v>
      </c>
      <c r="D17" s="37"/>
      <c r="E17" s="25"/>
      <c r="F17" s="25">
        <v>1</v>
      </c>
      <c r="G17" s="38" t="s">
        <v>200</v>
      </c>
      <c r="H17" s="37">
        <f>ROUND(wtg_devices*2/3,0)</f>
        <v>0</v>
      </c>
      <c r="I17" s="25">
        <f>ROUND(wec_devices*2/3,0)</f>
        <v>1</v>
      </c>
      <c r="J17" s="38">
        <v>0</v>
      </c>
      <c r="O17" s="37" t="s">
        <v>198</v>
      </c>
      <c r="P17" s="25"/>
      <c r="Q17" s="38"/>
      <c r="R17" s="37">
        <v>3</v>
      </c>
      <c r="S17" s="25">
        <v>200</v>
      </c>
      <c r="T17" s="25"/>
      <c r="U17" s="38">
        <v>10000</v>
      </c>
      <c r="V17" s="26"/>
      <c r="W17" s="25"/>
      <c r="X17" s="25"/>
      <c r="Y17" s="25"/>
      <c r="Z17" s="25"/>
      <c r="AA17" s="25"/>
      <c r="AB17" s="25"/>
      <c r="AC17" s="25"/>
      <c r="AD17" s="25"/>
    </row>
    <row r="18" spans="1:30" x14ac:dyDescent="0.25">
      <c r="A18" s="18" t="str">
        <f t="shared" si="0"/>
        <v>owc_OP002</v>
      </c>
      <c r="B18" s="25" t="s">
        <v>234</v>
      </c>
      <c r="C18" s="25" t="s">
        <v>235</v>
      </c>
      <c r="D18" s="37"/>
      <c r="E18" s="25"/>
      <c r="F18" s="25">
        <v>2</v>
      </c>
      <c r="G18" s="38"/>
      <c r="H18" s="37">
        <f>ROUND(wtg_devices*2/3,0)</f>
        <v>0</v>
      </c>
      <c r="I18" s="25">
        <f>ROUND(wec_devices*2/3,0)</f>
        <v>1</v>
      </c>
      <c r="J18" s="38">
        <v>0</v>
      </c>
      <c r="O18" s="37" t="s">
        <v>227</v>
      </c>
      <c r="P18" s="25"/>
      <c r="Q18" s="38"/>
      <c r="R18" s="37">
        <v>6</v>
      </c>
      <c r="S18" s="25">
        <v>600</v>
      </c>
      <c r="T18" s="25"/>
      <c r="U18" s="38">
        <v>10000</v>
      </c>
      <c r="V18" s="26"/>
      <c r="W18" s="25"/>
      <c r="X18" s="25"/>
      <c r="Y18" s="25"/>
      <c r="Z18" s="25"/>
      <c r="AA18" s="25"/>
      <c r="AB18" s="25"/>
      <c r="AC18" s="25"/>
      <c r="AD18" s="25"/>
    </row>
    <row r="19" spans="1:30" x14ac:dyDescent="0.25">
      <c r="A19" s="18" t="str">
        <f t="shared" si="0"/>
        <v>oce_OP003</v>
      </c>
      <c r="B19" s="25" t="s">
        <v>236</v>
      </c>
      <c r="C19" s="25" t="s">
        <v>237</v>
      </c>
      <c r="D19" s="37"/>
      <c r="E19" s="25"/>
      <c r="F19" s="25">
        <v>1</v>
      </c>
      <c r="G19" s="38" t="s">
        <v>200</v>
      </c>
      <c r="H19" s="37">
        <f>wtg_devices</f>
        <v>0</v>
      </c>
      <c r="I19" s="25"/>
      <c r="J19" s="38">
        <f>pv_islands</f>
        <v>0</v>
      </c>
      <c r="O19" s="37" t="s">
        <v>198</v>
      </c>
      <c r="P19" s="25"/>
      <c r="Q19" s="38" t="s">
        <v>216</v>
      </c>
      <c r="R19" s="37">
        <v>3</v>
      </c>
      <c r="S19" s="25">
        <v>400</v>
      </c>
      <c r="T19" s="25"/>
      <c r="U19" s="38">
        <v>3000</v>
      </c>
      <c r="V19" s="26"/>
      <c r="W19" s="25"/>
      <c r="X19" s="25"/>
      <c r="Y19" s="25"/>
      <c r="Z19" s="25"/>
      <c r="AA19" s="25"/>
      <c r="AB19" s="25"/>
      <c r="AC19" s="25"/>
      <c r="AD19" s="25"/>
    </row>
    <row r="20" spans="1:30" x14ac:dyDescent="0.25">
      <c r="A20" s="18" t="str">
        <f t="shared" si="0"/>
        <v/>
      </c>
      <c r="B20" s="25"/>
      <c r="C20" s="25"/>
      <c r="D20" s="37"/>
      <c r="E20" s="25"/>
      <c r="F20" s="25"/>
      <c r="G20" s="38"/>
      <c r="H20" s="37"/>
      <c r="I20" s="25"/>
      <c r="J20" s="38"/>
      <c r="O20" s="37"/>
      <c r="P20" s="25"/>
      <c r="Q20" s="38"/>
      <c r="R20" s="37"/>
      <c r="S20" s="25"/>
      <c r="T20" s="25"/>
      <c r="U20" s="38"/>
      <c r="V20" s="26"/>
      <c r="W20" s="25"/>
      <c r="X20" s="25"/>
      <c r="Y20" s="25"/>
      <c r="Z20" s="25"/>
      <c r="AA20" s="25"/>
      <c r="AB20" s="25"/>
      <c r="AC20" s="25"/>
      <c r="AD20" s="25"/>
    </row>
    <row r="21" spans="1:30" x14ac:dyDescent="0.25">
      <c r="A21" s="18" t="str">
        <f t="shared" si="0"/>
        <v/>
      </c>
      <c r="B21" s="25"/>
      <c r="C21" s="25"/>
      <c r="D21" s="37"/>
      <c r="E21" s="25"/>
      <c r="F21" s="25"/>
      <c r="G21" s="38"/>
      <c r="H21" s="37"/>
      <c r="I21" s="25"/>
      <c r="J21" s="38"/>
      <c r="O21" s="37"/>
      <c r="P21" s="25"/>
      <c r="Q21" s="38"/>
      <c r="R21" s="37"/>
      <c r="S21" s="25"/>
      <c r="T21" s="25"/>
      <c r="U21" s="38"/>
      <c r="V21" s="26"/>
      <c r="W21" s="25"/>
      <c r="X21" s="25"/>
      <c r="Y21" s="25"/>
      <c r="Z21" s="25"/>
      <c r="AA21" s="25"/>
      <c r="AB21" s="25"/>
      <c r="AC21" s="25"/>
      <c r="AD21" s="25"/>
    </row>
    <row r="22" spans="1:30" x14ac:dyDescent="0.25">
      <c r="A22" s="18" t="str">
        <f t="shared" si="0"/>
        <v/>
      </c>
      <c r="B22" s="25"/>
      <c r="C22" s="25"/>
      <c r="D22" s="37"/>
      <c r="E22" s="25"/>
      <c r="F22" s="25"/>
      <c r="G22" s="38"/>
      <c r="H22" s="37"/>
      <c r="I22" s="25"/>
      <c r="J22" s="38"/>
      <c r="O22" s="37"/>
      <c r="P22" s="25"/>
      <c r="Q22" s="38"/>
      <c r="R22" s="37"/>
      <c r="S22" s="25"/>
      <c r="T22" s="25"/>
      <c r="U22" s="38"/>
      <c r="V22" s="26"/>
      <c r="W22" s="25"/>
      <c r="X22" s="25"/>
      <c r="Y22" s="25"/>
      <c r="Z22" s="25"/>
      <c r="AA22" s="25"/>
      <c r="AB22" s="25"/>
      <c r="AC22" s="25"/>
      <c r="AD22" s="25"/>
    </row>
    <row r="23" spans="1:30" x14ac:dyDescent="0.25">
      <c r="A23" s="18" t="str">
        <f t="shared" si="0"/>
        <v/>
      </c>
      <c r="B23" s="25"/>
      <c r="C23" s="25"/>
      <c r="D23" s="37"/>
      <c r="E23" s="25"/>
      <c r="F23" s="25"/>
      <c r="G23" s="38"/>
      <c r="H23" s="37"/>
      <c r="I23" s="25"/>
      <c r="J23" s="38"/>
      <c r="O23" s="37"/>
      <c r="P23" s="25"/>
      <c r="Q23" s="38"/>
      <c r="R23" s="37"/>
      <c r="S23" s="25"/>
      <c r="T23" s="25"/>
      <c r="U23" s="38"/>
      <c r="V23" s="26"/>
      <c r="W23" s="25"/>
      <c r="X23" s="25"/>
      <c r="Y23" s="25"/>
      <c r="Z23" s="25"/>
      <c r="AA23" s="25"/>
      <c r="AB23" s="25"/>
      <c r="AC23" s="25"/>
      <c r="AD23" s="25"/>
    </row>
    <row r="24" spans="1:30" x14ac:dyDescent="0.25">
      <c r="A24" s="18" t="str">
        <f t="shared" si="0"/>
        <v/>
      </c>
      <c r="B24" s="25"/>
      <c r="C24" s="25"/>
      <c r="D24" s="37"/>
      <c r="E24" s="25"/>
      <c r="F24" s="25"/>
      <c r="G24" s="38"/>
      <c r="H24" s="37"/>
      <c r="I24" s="25"/>
      <c r="J24" s="38"/>
      <c r="O24" s="37"/>
      <c r="P24" s="25"/>
      <c r="Q24" s="38"/>
      <c r="R24" s="37"/>
      <c r="S24" s="25"/>
      <c r="T24" s="25"/>
      <c r="U24" s="38"/>
      <c r="V24" s="26"/>
      <c r="W24" s="25"/>
      <c r="X24" s="25"/>
      <c r="Y24" s="25"/>
      <c r="Z24" s="25"/>
      <c r="AA24" s="25"/>
      <c r="AB24" s="25"/>
      <c r="AC24" s="25"/>
      <c r="AD24" s="25"/>
    </row>
    <row r="25" spans="1:30" x14ac:dyDescent="0.25">
      <c r="A25" s="18" t="str">
        <f t="shared" si="0"/>
        <v/>
      </c>
      <c r="B25" s="25"/>
      <c r="C25" s="25"/>
      <c r="D25" s="37"/>
      <c r="E25" s="25"/>
      <c r="F25" s="25"/>
      <c r="G25" s="38"/>
      <c r="H25" s="37"/>
      <c r="I25" s="25"/>
      <c r="J25" s="38"/>
      <c r="O25" s="37"/>
      <c r="P25" s="25"/>
      <c r="Q25" s="38"/>
      <c r="R25" s="37"/>
      <c r="S25" s="25"/>
      <c r="T25" s="25"/>
      <c r="U25" s="38"/>
      <c r="V25" s="26"/>
      <c r="W25" s="25"/>
      <c r="X25" s="25"/>
      <c r="Y25" s="25"/>
      <c r="Z25" s="25"/>
      <c r="AA25" s="25"/>
      <c r="AB25" s="25"/>
      <c r="AC25" s="25"/>
      <c r="AD25" s="25"/>
    </row>
    <row r="26" spans="1:30" x14ac:dyDescent="0.25">
      <c r="A26" s="18" t="str">
        <f t="shared" si="0"/>
        <v/>
      </c>
      <c r="B26" s="25"/>
      <c r="C26" s="25"/>
      <c r="D26" s="37"/>
      <c r="E26" s="25"/>
      <c r="F26" s="25"/>
      <c r="G26" s="38"/>
      <c r="H26" s="37"/>
      <c r="I26" s="25"/>
      <c r="J26" s="38"/>
      <c r="O26" s="37"/>
      <c r="P26" s="25"/>
      <c r="Q26" s="38"/>
      <c r="R26" s="37"/>
      <c r="S26" s="25"/>
      <c r="T26" s="25"/>
      <c r="U26" s="38"/>
      <c r="V26" s="26"/>
      <c r="W26" s="25"/>
      <c r="X26" s="25"/>
      <c r="Y26" s="25"/>
      <c r="Z26" s="25"/>
      <c r="AA26" s="25"/>
      <c r="AB26" s="25"/>
      <c r="AC26" s="25"/>
      <c r="AD26" s="25"/>
    </row>
    <row r="27" spans="1:30" x14ac:dyDescent="0.25">
      <c r="A27" s="18" t="str">
        <f t="shared" si="0"/>
        <v/>
      </c>
      <c r="B27" s="25"/>
      <c r="C27" s="25"/>
      <c r="D27" s="37"/>
      <c r="E27" s="25"/>
      <c r="F27" s="25"/>
      <c r="G27" s="38"/>
      <c r="H27" s="37"/>
      <c r="I27" s="25"/>
      <c r="J27" s="38"/>
      <c r="O27" s="37"/>
      <c r="P27" s="25"/>
      <c r="Q27" s="38"/>
      <c r="R27" s="37"/>
      <c r="S27" s="25"/>
      <c r="T27" s="25"/>
      <c r="U27" s="38"/>
      <c r="V27" s="26"/>
      <c r="W27" s="25"/>
      <c r="X27" s="25"/>
      <c r="Y27" s="25"/>
      <c r="Z27" s="25"/>
      <c r="AA27" s="25"/>
      <c r="AB27" s="25"/>
      <c r="AC27" s="25"/>
      <c r="AD27" s="25"/>
    </row>
    <row r="28" spans="1:30" x14ac:dyDescent="0.25">
      <c r="A28" s="18" t="str">
        <f t="shared" si="0"/>
        <v/>
      </c>
      <c r="B28" s="25"/>
      <c r="C28" s="25"/>
      <c r="D28" s="37"/>
      <c r="E28" s="25"/>
      <c r="F28" s="25"/>
      <c r="G28" s="38"/>
      <c r="H28" s="37"/>
      <c r="I28" s="25"/>
      <c r="J28" s="38"/>
      <c r="O28" s="37"/>
      <c r="P28" s="25"/>
      <c r="Q28" s="38"/>
      <c r="R28" s="37"/>
      <c r="S28" s="25"/>
      <c r="T28" s="25"/>
      <c r="U28" s="38"/>
      <c r="V28" s="26"/>
      <c r="W28" s="25"/>
      <c r="X28" s="25"/>
      <c r="Y28" s="25"/>
      <c r="Z28" s="25"/>
      <c r="AA28" s="25"/>
      <c r="AB28" s="25"/>
      <c r="AC28" s="25"/>
      <c r="AD28" s="25"/>
    </row>
    <row r="29" spans="1:30" x14ac:dyDescent="0.25">
      <c r="A29" s="18" t="str">
        <f t="shared" si="0"/>
        <v/>
      </c>
      <c r="B29" s="25"/>
      <c r="C29" s="25"/>
      <c r="D29" s="37"/>
      <c r="E29" s="25"/>
      <c r="F29" s="25"/>
      <c r="G29" s="38"/>
      <c r="H29" s="37"/>
      <c r="I29" s="25"/>
      <c r="J29" s="38"/>
      <c r="O29" s="37"/>
      <c r="P29" s="25"/>
      <c r="Q29" s="38"/>
      <c r="R29" s="37"/>
      <c r="S29" s="25"/>
      <c r="T29" s="25"/>
      <c r="U29" s="38"/>
      <c r="V29" s="26"/>
      <c r="W29" s="25"/>
      <c r="X29" s="25"/>
      <c r="Y29" s="25"/>
      <c r="Z29" s="25"/>
      <c r="AA29" s="25"/>
      <c r="AB29" s="25"/>
      <c r="AC29" s="25"/>
      <c r="AD29" s="25"/>
    </row>
    <row r="30" spans="1:30" x14ac:dyDescent="0.25">
      <c r="A30" s="18" t="str">
        <f t="shared" si="0"/>
        <v/>
      </c>
      <c r="B30" s="25"/>
      <c r="C30" s="25"/>
      <c r="D30" s="37"/>
      <c r="E30" s="25"/>
      <c r="F30" s="25"/>
      <c r="G30" s="38"/>
      <c r="H30" s="37"/>
      <c r="I30" s="25"/>
      <c r="J30" s="38"/>
      <c r="O30" s="37"/>
      <c r="P30" s="25"/>
      <c r="Q30" s="38"/>
      <c r="R30" s="37"/>
      <c r="S30" s="25"/>
      <c r="T30" s="25"/>
      <c r="U30" s="38"/>
      <c r="V30" s="26"/>
      <c r="W30" s="25"/>
      <c r="X30" s="25"/>
      <c r="Y30" s="25"/>
      <c r="Z30" s="25"/>
      <c r="AA30" s="25"/>
      <c r="AB30" s="25"/>
      <c r="AC30" s="25"/>
      <c r="AD30" s="25"/>
    </row>
    <row r="31" spans="1:30" x14ac:dyDescent="0.25">
      <c r="A31" s="18" t="str">
        <f t="shared" si="0"/>
        <v/>
      </c>
      <c r="B31" s="25"/>
      <c r="C31" s="25"/>
      <c r="D31" s="37"/>
      <c r="E31" s="25"/>
      <c r="F31" s="25"/>
      <c r="G31" s="38"/>
      <c r="H31" s="37"/>
      <c r="I31" s="25"/>
      <c r="J31" s="38"/>
      <c r="O31" s="37"/>
      <c r="P31" s="25"/>
      <c r="Q31" s="38"/>
      <c r="R31" s="37"/>
      <c r="S31" s="25"/>
      <c r="T31" s="25"/>
      <c r="U31" s="38"/>
      <c r="V31" s="26"/>
      <c r="W31" s="25"/>
      <c r="X31" s="25"/>
      <c r="Y31" s="25"/>
      <c r="Z31" s="25"/>
      <c r="AA31" s="25"/>
      <c r="AB31" s="25"/>
      <c r="AC31" s="25"/>
      <c r="AD31" s="25"/>
    </row>
    <row r="32" spans="1:30" x14ac:dyDescent="0.25">
      <c r="A32" s="18" t="str">
        <f t="shared" si="0"/>
        <v/>
      </c>
      <c r="B32" s="25"/>
      <c r="C32" s="25"/>
      <c r="D32" s="37"/>
      <c r="E32" s="25"/>
      <c r="F32" s="25"/>
      <c r="G32" s="38"/>
      <c r="H32" s="37"/>
      <c r="I32" s="25"/>
      <c r="J32" s="38"/>
      <c r="O32" s="37"/>
      <c r="P32" s="25"/>
      <c r="Q32" s="38"/>
      <c r="R32" s="37"/>
      <c r="S32" s="25"/>
      <c r="T32" s="25"/>
      <c r="U32" s="38"/>
      <c r="V32" s="26"/>
      <c r="W32" s="25"/>
      <c r="X32" s="25"/>
      <c r="Y32" s="25"/>
      <c r="Z32" s="25"/>
      <c r="AA32" s="25"/>
      <c r="AB32" s="25"/>
      <c r="AC32" s="25"/>
      <c r="AD32" s="25"/>
    </row>
    <row r="33" spans="1:30" x14ac:dyDescent="0.25">
      <c r="A33" s="18" t="str">
        <f t="shared" si="0"/>
        <v/>
      </c>
      <c r="B33" s="25"/>
      <c r="C33" s="25"/>
      <c r="D33" s="37"/>
      <c r="E33" s="25"/>
      <c r="F33" s="25"/>
      <c r="G33" s="38"/>
      <c r="H33" s="37"/>
      <c r="I33" s="25"/>
      <c r="J33" s="38"/>
      <c r="O33" s="37"/>
      <c r="P33" s="25"/>
      <c r="Q33" s="38"/>
      <c r="R33" s="37"/>
      <c r="S33" s="25"/>
      <c r="T33" s="25"/>
      <c r="U33" s="38"/>
      <c r="V33" s="26"/>
      <c r="W33" s="25"/>
      <c r="X33" s="25"/>
      <c r="Y33" s="25"/>
      <c r="Z33" s="25"/>
      <c r="AA33" s="25"/>
      <c r="AB33" s="25"/>
      <c r="AC33" s="25"/>
      <c r="AD33" s="25"/>
    </row>
    <row r="34" spans="1:30" x14ac:dyDescent="0.25">
      <c r="A34" s="18" t="str">
        <f t="shared" si="0"/>
        <v/>
      </c>
      <c r="B34" s="25"/>
      <c r="C34" s="25"/>
      <c r="D34" s="37"/>
      <c r="E34" s="25"/>
      <c r="F34" s="25"/>
      <c r="G34" s="38"/>
      <c r="H34" s="37"/>
      <c r="I34" s="25"/>
      <c r="J34" s="38"/>
      <c r="O34" s="37"/>
      <c r="P34" s="25"/>
      <c r="Q34" s="38"/>
      <c r="R34" s="37"/>
      <c r="S34" s="25"/>
      <c r="T34" s="25"/>
      <c r="U34" s="38"/>
      <c r="V34" s="26"/>
      <c r="W34" s="25"/>
      <c r="X34" s="25"/>
      <c r="Y34" s="25"/>
      <c r="Z34" s="25"/>
      <c r="AA34" s="25"/>
      <c r="AB34" s="25"/>
      <c r="AC34" s="25"/>
      <c r="AD34" s="25"/>
    </row>
    <row r="35" spans="1:30" x14ac:dyDescent="0.25">
      <c r="A35" s="18" t="str">
        <f t="shared" si="0"/>
        <v/>
      </c>
      <c r="B35" s="25"/>
      <c r="C35" s="25"/>
      <c r="D35" s="37"/>
      <c r="E35" s="25"/>
      <c r="F35" s="25"/>
      <c r="G35" s="38"/>
      <c r="H35" s="37"/>
      <c r="I35" s="25"/>
      <c r="J35" s="38"/>
      <c r="O35" s="37"/>
      <c r="P35" s="25"/>
      <c r="Q35" s="38"/>
      <c r="R35" s="37"/>
      <c r="S35" s="25"/>
      <c r="T35" s="25"/>
      <c r="U35" s="38"/>
      <c r="V35" s="26"/>
      <c r="W35" s="25"/>
      <c r="X35" s="25"/>
      <c r="Y35" s="25"/>
      <c r="Z35" s="25"/>
      <c r="AA35" s="25"/>
      <c r="AB35" s="25"/>
      <c r="AC35" s="25"/>
      <c r="AD35" s="25"/>
    </row>
    <row r="36" spans="1:30" x14ac:dyDescent="0.25">
      <c r="A36" s="18" t="str">
        <f t="shared" si="0"/>
        <v/>
      </c>
      <c r="B36" s="25"/>
      <c r="C36" s="25"/>
      <c r="D36" s="37"/>
      <c r="E36" s="25"/>
      <c r="F36" s="25"/>
      <c r="G36" s="38"/>
      <c r="H36" s="37"/>
      <c r="I36" s="25"/>
      <c r="J36" s="38"/>
      <c r="O36" s="37"/>
      <c r="P36" s="25"/>
      <c r="Q36" s="38"/>
      <c r="R36" s="37"/>
      <c r="S36" s="25"/>
      <c r="T36" s="25"/>
      <c r="U36" s="38"/>
      <c r="V36" s="26"/>
      <c r="W36" s="25"/>
      <c r="X36" s="25"/>
      <c r="Y36" s="25"/>
      <c r="Z36" s="25"/>
      <c r="AA36" s="25"/>
      <c r="AB36" s="25"/>
      <c r="AC36" s="25"/>
      <c r="AD36" s="25"/>
    </row>
    <row r="37" spans="1:30" x14ac:dyDescent="0.25">
      <c r="A37" s="18" t="str">
        <f t="shared" si="0"/>
        <v/>
      </c>
      <c r="B37" s="25"/>
      <c r="C37" s="25"/>
      <c r="D37" s="37"/>
      <c r="E37" s="25"/>
      <c r="F37" s="25"/>
      <c r="G37" s="38"/>
      <c r="H37" s="37"/>
      <c r="I37" s="25"/>
      <c r="J37" s="38"/>
      <c r="O37" s="37"/>
      <c r="P37" s="25"/>
      <c r="Q37" s="38"/>
      <c r="R37" s="37"/>
      <c r="S37" s="25"/>
      <c r="T37" s="25"/>
      <c r="U37" s="38"/>
      <c r="V37" s="26"/>
      <c r="W37" s="25"/>
      <c r="X37" s="25"/>
      <c r="Y37" s="25"/>
      <c r="Z37" s="25"/>
      <c r="AA37" s="25"/>
      <c r="AB37" s="25"/>
      <c r="AC37" s="25"/>
      <c r="AD37" s="25"/>
    </row>
    <row r="38" spans="1:30" x14ac:dyDescent="0.25">
      <c r="A38" s="18" t="str">
        <f t="shared" si="0"/>
        <v/>
      </c>
      <c r="B38" s="25"/>
      <c r="C38" s="25"/>
      <c r="D38" s="37"/>
      <c r="E38" s="25"/>
      <c r="F38" s="25"/>
      <c r="G38" s="38"/>
      <c r="H38" s="37"/>
      <c r="I38" s="25"/>
      <c r="J38" s="38"/>
      <c r="O38" s="37"/>
      <c r="P38" s="25"/>
      <c r="Q38" s="38"/>
      <c r="R38" s="37"/>
      <c r="S38" s="25"/>
      <c r="T38" s="25"/>
      <c r="U38" s="38"/>
      <c r="V38" s="26"/>
      <c r="W38" s="25"/>
      <c r="X38" s="25"/>
      <c r="Y38" s="25"/>
      <c r="Z38" s="25"/>
      <c r="AA38" s="25"/>
      <c r="AB38" s="25"/>
      <c r="AC38" s="25"/>
      <c r="AD38" s="25"/>
    </row>
    <row r="39" spans="1:30" x14ac:dyDescent="0.25">
      <c r="A39" s="18" t="str">
        <f t="shared" si="0"/>
        <v/>
      </c>
      <c r="B39" s="25"/>
      <c r="C39" s="25"/>
      <c r="D39" s="37"/>
      <c r="E39" s="25"/>
      <c r="F39" s="25"/>
      <c r="G39" s="38"/>
      <c r="H39" s="37"/>
      <c r="I39" s="25"/>
      <c r="J39" s="38"/>
      <c r="O39" s="37"/>
      <c r="P39" s="25"/>
      <c r="Q39" s="38"/>
      <c r="R39" s="37"/>
      <c r="S39" s="25"/>
      <c r="T39" s="25"/>
      <c r="U39" s="38"/>
      <c r="V39" s="26"/>
      <c r="W39" s="25"/>
      <c r="X39" s="25"/>
      <c r="Y39" s="25"/>
      <c r="Z39" s="25"/>
      <c r="AA39" s="25"/>
      <c r="AB39" s="25"/>
      <c r="AC39" s="25"/>
      <c r="AD39" s="25"/>
    </row>
    <row r="40" spans="1:30" x14ac:dyDescent="0.25">
      <c r="A40" s="18" t="str">
        <f t="shared" si="0"/>
        <v/>
      </c>
      <c r="B40" s="25"/>
      <c r="C40" s="25"/>
      <c r="D40" s="37"/>
      <c r="E40" s="25"/>
      <c r="F40" s="25"/>
      <c r="G40" s="38"/>
      <c r="H40" s="37"/>
      <c r="I40" s="25"/>
      <c r="J40" s="38"/>
      <c r="O40" s="37"/>
      <c r="P40" s="25"/>
      <c r="Q40" s="38"/>
      <c r="R40" s="37"/>
      <c r="S40" s="25"/>
      <c r="T40" s="25"/>
      <c r="U40" s="38"/>
      <c r="V40" s="26"/>
      <c r="W40" s="25"/>
      <c r="X40" s="25"/>
      <c r="Y40" s="25"/>
      <c r="Z40" s="25"/>
      <c r="AA40" s="25"/>
      <c r="AB40" s="25"/>
      <c r="AC40" s="25"/>
      <c r="AD40" s="25"/>
    </row>
    <row r="41" spans="1:30" x14ac:dyDescent="0.25">
      <c r="A41" s="18" t="str">
        <f t="shared" si="0"/>
        <v/>
      </c>
      <c r="B41" s="25"/>
      <c r="C41" s="25"/>
      <c r="D41" s="37"/>
      <c r="E41" s="25"/>
      <c r="F41" s="25"/>
      <c r="G41" s="38"/>
      <c r="H41" s="37"/>
      <c r="I41" s="25"/>
      <c r="J41" s="38"/>
      <c r="O41" s="37"/>
      <c r="P41" s="25"/>
      <c r="Q41" s="38"/>
      <c r="R41" s="37"/>
      <c r="S41" s="25"/>
      <c r="T41" s="25"/>
      <c r="U41" s="38"/>
      <c r="V41" s="26"/>
      <c r="W41" s="25"/>
      <c r="X41" s="25"/>
      <c r="Y41" s="25"/>
      <c r="Z41" s="25"/>
      <c r="AA41" s="25"/>
      <c r="AB41" s="25"/>
      <c r="AC41" s="25"/>
      <c r="AD41" s="25"/>
    </row>
    <row r="42" spans="1:30" x14ac:dyDescent="0.25">
      <c r="A42" s="18" t="str">
        <f t="shared" si="0"/>
        <v/>
      </c>
      <c r="B42" s="25"/>
      <c r="C42" s="25"/>
      <c r="D42" s="37"/>
      <c r="E42" s="25"/>
      <c r="F42" s="25"/>
      <c r="G42" s="38"/>
      <c r="H42" s="37"/>
      <c r="I42" s="25"/>
      <c r="J42" s="38"/>
      <c r="O42" s="37"/>
      <c r="P42" s="25"/>
      <c r="Q42" s="38"/>
      <c r="R42" s="37"/>
      <c r="S42" s="25"/>
      <c r="T42" s="25"/>
      <c r="U42" s="38"/>
      <c r="V42" s="26"/>
      <c r="W42" s="25"/>
      <c r="X42" s="25"/>
      <c r="Y42" s="25"/>
      <c r="Z42" s="25"/>
      <c r="AA42" s="25"/>
      <c r="AB42" s="25"/>
      <c r="AC42" s="25"/>
      <c r="AD42" s="25"/>
    </row>
    <row r="43" spans="1:30" x14ac:dyDescent="0.25">
      <c r="A43" s="18" t="str">
        <f t="shared" si="0"/>
        <v/>
      </c>
      <c r="B43" s="25"/>
      <c r="C43" s="25"/>
      <c r="D43" s="37"/>
      <c r="E43" s="25"/>
      <c r="F43" s="25"/>
      <c r="G43" s="38"/>
      <c r="H43" s="37"/>
      <c r="I43" s="25"/>
      <c r="J43" s="38"/>
      <c r="O43" s="37"/>
      <c r="P43" s="25"/>
      <c r="Q43" s="38"/>
      <c r="R43" s="37"/>
      <c r="S43" s="25"/>
      <c r="T43" s="25"/>
      <c r="U43" s="38"/>
      <c r="V43" s="26"/>
      <c r="W43" s="25"/>
      <c r="X43" s="25"/>
      <c r="Y43" s="25"/>
      <c r="Z43" s="25"/>
      <c r="AA43" s="25"/>
      <c r="AB43" s="25"/>
      <c r="AC43" s="25"/>
      <c r="AD43" s="25"/>
    </row>
    <row r="44" spans="1:30" x14ac:dyDescent="0.25">
      <c r="A44" s="18" t="str">
        <f t="shared" si="0"/>
        <v/>
      </c>
      <c r="B44" s="25"/>
      <c r="C44" s="25"/>
      <c r="D44" s="37"/>
      <c r="E44" s="25"/>
      <c r="F44" s="25"/>
      <c r="G44" s="38"/>
      <c r="H44" s="37"/>
      <c r="I44" s="25"/>
      <c r="J44" s="38"/>
      <c r="O44" s="37"/>
      <c r="P44" s="25"/>
      <c r="Q44" s="38"/>
      <c r="R44" s="37"/>
      <c r="S44" s="25"/>
      <c r="T44" s="25"/>
      <c r="U44" s="38"/>
      <c r="V44" s="26"/>
      <c r="W44" s="25"/>
      <c r="X44" s="25"/>
      <c r="Y44" s="25"/>
      <c r="Z44" s="25"/>
      <c r="AA44" s="25"/>
      <c r="AB44" s="25"/>
      <c r="AC44" s="25"/>
      <c r="AD44" s="25"/>
    </row>
    <row r="45" spans="1:30" x14ac:dyDescent="0.25">
      <c r="A45" s="18" t="str">
        <f t="shared" si="0"/>
        <v/>
      </c>
      <c r="B45" s="25"/>
      <c r="C45" s="25"/>
      <c r="D45" s="37"/>
      <c r="E45" s="25"/>
      <c r="F45" s="25"/>
      <c r="G45" s="38"/>
      <c r="H45" s="37"/>
      <c r="I45" s="25"/>
      <c r="J45" s="38"/>
      <c r="O45" s="37"/>
      <c r="P45" s="25"/>
      <c r="Q45" s="38"/>
      <c r="R45" s="37"/>
      <c r="S45" s="25"/>
      <c r="T45" s="25"/>
      <c r="U45" s="38"/>
      <c r="V45" s="26"/>
      <c r="W45" s="25"/>
      <c r="X45" s="25"/>
      <c r="Y45" s="25"/>
      <c r="Z45" s="25"/>
      <c r="AA45" s="25"/>
      <c r="AB45" s="25"/>
      <c r="AC45" s="25"/>
      <c r="AD45" s="25"/>
    </row>
    <row r="46" spans="1:30" x14ac:dyDescent="0.25">
      <c r="A46" s="18" t="str">
        <f t="shared" si="0"/>
        <v/>
      </c>
      <c r="B46" s="25"/>
      <c r="C46" s="25"/>
      <c r="D46" s="37"/>
      <c r="E46" s="25"/>
      <c r="F46" s="25"/>
      <c r="G46" s="38"/>
      <c r="H46" s="37"/>
      <c r="I46" s="25"/>
      <c r="J46" s="38"/>
      <c r="O46" s="37"/>
      <c r="P46" s="25"/>
      <c r="Q46" s="38"/>
      <c r="R46" s="37"/>
      <c r="S46" s="25"/>
      <c r="T46" s="25"/>
      <c r="U46" s="38"/>
      <c r="V46" s="26"/>
      <c r="W46" s="25"/>
      <c r="X46" s="25"/>
      <c r="Y46" s="25"/>
      <c r="Z46" s="25"/>
      <c r="AA46" s="25"/>
      <c r="AB46" s="25"/>
      <c r="AC46" s="25"/>
      <c r="AD46" s="25"/>
    </row>
    <row r="47" spans="1:30" x14ac:dyDescent="0.25">
      <c r="A47" s="18" t="str">
        <f t="shared" si="0"/>
        <v/>
      </c>
      <c r="B47" s="25"/>
      <c r="C47" s="25"/>
      <c r="D47" s="37"/>
      <c r="E47" s="25"/>
      <c r="F47" s="25"/>
      <c r="G47" s="38"/>
      <c r="H47" s="37"/>
      <c r="I47" s="25"/>
      <c r="J47" s="38"/>
      <c r="O47" s="37"/>
      <c r="P47" s="25"/>
      <c r="Q47" s="38"/>
      <c r="R47" s="37"/>
      <c r="S47" s="25"/>
      <c r="T47" s="25"/>
      <c r="U47" s="38"/>
      <c r="V47" s="26"/>
      <c r="W47" s="25"/>
      <c r="X47" s="25"/>
      <c r="Y47" s="25"/>
      <c r="Z47" s="25"/>
      <c r="AA47" s="25"/>
      <c r="AB47" s="25"/>
      <c r="AC47" s="25"/>
      <c r="AD47" s="25"/>
    </row>
    <row r="48" spans="1:30" x14ac:dyDescent="0.25">
      <c r="A48" s="18" t="str">
        <f t="shared" si="0"/>
        <v/>
      </c>
      <c r="B48" s="25"/>
      <c r="C48" s="25"/>
      <c r="D48" s="37"/>
      <c r="E48" s="25"/>
      <c r="F48" s="25"/>
      <c r="G48" s="38"/>
      <c r="H48" s="37"/>
      <c r="I48" s="25"/>
      <c r="J48" s="38"/>
      <c r="O48" s="37"/>
      <c r="P48" s="25"/>
      <c r="Q48" s="38"/>
      <c r="R48" s="37"/>
      <c r="S48" s="25"/>
      <c r="T48" s="25"/>
      <c r="U48" s="38"/>
      <c r="V48" s="26"/>
      <c r="W48" s="25"/>
      <c r="X48" s="25"/>
      <c r="Y48" s="25"/>
      <c r="Z48" s="25"/>
      <c r="AA48" s="25"/>
      <c r="AB48" s="25"/>
      <c r="AC48" s="25"/>
      <c r="AD48" s="25"/>
    </row>
    <row r="49" spans="1:30" x14ac:dyDescent="0.25">
      <c r="A49" s="18" t="str">
        <f t="shared" si="0"/>
        <v/>
      </c>
      <c r="B49" s="25"/>
      <c r="C49" s="25"/>
      <c r="D49" s="37"/>
      <c r="E49" s="25"/>
      <c r="F49" s="25"/>
      <c r="G49" s="38"/>
      <c r="H49" s="37"/>
      <c r="I49" s="25"/>
      <c r="J49" s="38"/>
      <c r="O49" s="37"/>
      <c r="P49" s="25"/>
      <c r="Q49" s="38"/>
      <c r="R49" s="37"/>
      <c r="S49" s="25"/>
      <c r="T49" s="25"/>
      <c r="U49" s="38"/>
      <c r="V49" s="26"/>
      <c r="W49" s="25"/>
      <c r="X49" s="25"/>
      <c r="Y49" s="25"/>
      <c r="Z49" s="25"/>
      <c r="AA49" s="25"/>
      <c r="AB49" s="25"/>
      <c r="AC49" s="25"/>
      <c r="AD49" s="25"/>
    </row>
    <row r="50" spans="1:30" x14ac:dyDescent="0.25">
      <c r="A50" s="18" t="str">
        <f t="shared" si="0"/>
        <v/>
      </c>
      <c r="B50" s="25"/>
      <c r="C50" s="25"/>
      <c r="D50" s="37"/>
      <c r="E50" s="25"/>
      <c r="F50" s="25"/>
      <c r="G50" s="38"/>
      <c r="H50" s="37"/>
      <c r="I50" s="25"/>
      <c r="J50" s="38"/>
      <c r="O50" s="37"/>
      <c r="P50" s="25"/>
      <c r="Q50" s="38"/>
      <c r="R50" s="37"/>
      <c r="S50" s="25"/>
      <c r="T50" s="25"/>
      <c r="U50" s="38"/>
      <c r="V50" s="26"/>
      <c r="W50" s="25"/>
      <c r="X50" s="25"/>
      <c r="Y50" s="25"/>
      <c r="Z50" s="25"/>
      <c r="AA50" s="25"/>
      <c r="AB50" s="25"/>
      <c r="AC50" s="25"/>
      <c r="AD50" s="25"/>
    </row>
    <row r="51" spans="1:30" x14ac:dyDescent="0.25">
      <c r="A51" s="18" t="str">
        <f t="shared" si="0"/>
        <v/>
      </c>
      <c r="B51" s="25"/>
      <c r="C51" s="25"/>
      <c r="D51" s="37"/>
      <c r="E51" s="25"/>
      <c r="F51" s="25"/>
      <c r="G51" s="38"/>
      <c r="H51" s="37"/>
      <c r="I51" s="25"/>
      <c r="J51" s="38"/>
      <c r="O51" s="37"/>
      <c r="P51" s="25"/>
      <c r="Q51" s="38"/>
      <c r="R51" s="37"/>
      <c r="S51" s="25"/>
      <c r="T51" s="25"/>
      <c r="U51" s="38"/>
      <c r="V51" s="26"/>
      <c r="W51" s="25"/>
      <c r="X51" s="25"/>
      <c r="Y51" s="25"/>
      <c r="Z51" s="25"/>
      <c r="AA51" s="25"/>
      <c r="AB51" s="25"/>
      <c r="AC51" s="25"/>
      <c r="AD51" s="25"/>
    </row>
    <row r="52" spans="1:30" x14ac:dyDescent="0.25">
      <c r="A52" s="18" t="str">
        <f t="shared" si="0"/>
        <v/>
      </c>
      <c r="B52" s="25"/>
      <c r="C52" s="25"/>
      <c r="D52" s="37"/>
      <c r="E52" s="25"/>
      <c r="F52" s="25"/>
      <c r="G52" s="38"/>
      <c r="H52" s="37"/>
      <c r="I52" s="25"/>
      <c r="J52" s="38"/>
      <c r="O52" s="37"/>
      <c r="P52" s="25"/>
      <c r="Q52" s="38"/>
      <c r="R52" s="37"/>
      <c r="S52" s="25"/>
      <c r="T52" s="25"/>
      <c r="U52" s="38"/>
      <c r="V52" s="26"/>
      <c r="W52" s="25"/>
      <c r="X52" s="25"/>
      <c r="Y52" s="25"/>
      <c r="Z52" s="25"/>
      <c r="AA52" s="25"/>
      <c r="AB52" s="25"/>
      <c r="AC52" s="25"/>
      <c r="AD52" s="25"/>
    </row>
    <row r="53" spans="1:30" x14ac:dyDescent="0.25">
      <c r="A53" s="18" t="str">
        <f t="shared" si="0"/>
        <v/>
      </c>
      <c r="B53" s="25"/>
      <c r="C53" s="25"/>
      <c r="D53" s="37"/>
      <c r="E53" s="25"/>
      <c r="F53" s="25"/>
      <c r="G53" s="38"/>
      <c r="H53" s="37"/>
      <c r="I53" s="25"/>
      <c r="J53" s="38"/>
      <c r="O53" s="37"/>
      <c r="P53" s="25"/>
      <c r="Q53" s="38"/>
      <c r="R53" s="37"/>
      <c r="S53" s="25"/>
      <c r="T53" s="25"/>
      <c r="U53" s="38"/>
      <c r="V53" s="26"/>
      <c r="W53" s="25"/>
      <c r="X53" s="25"/>
      <c r="Y53" s="25"/>
      <c r="Z53" s="25"/>
      <c r="AA53" s="25"/>
      <c r="AB53" s="25"/>
      <c r="AC53" s="25"/>
      <c r="AD53" s="25"/>
    </row>
    <row r="54" spans="1:30" x14ac:dyDescent="0.25">
      <c r="A54" s="18" t="str">
        <f t="shared" si="0"/>
        <v/>
      </c>
      <c r="B54" s="25"/>
      <c r="C54" s="25"/>
      <c r="D54" s="37"/>
      <c r="E54" s="25"/>
      <c r="F54" s="25"/>
      <c r="G54" s="38"/>
      <c r="H54" s="37"/>
      <c r="I54" s="25"/>
      <c r="J54" s="38"/>
      <c r="O54" s="37"/>
      <c r="P54" s="25"/>
      <c r="Q54" s="38"/>
      <c r="R54" s="37"/>
      <c r="S54" s="25"/>
      <c r="T54" s="25"/>
      <c r="U54" s="38"/>
      <c r="V54" s="26"/>
      <c r="W54" s="25"/>
      <c r="X54" s="25"/>
      <c r="Y54" s="25"/>
      <c r="Z54" s="25"/>
      <c r="AA54" s="25"/>
      <c r="AB54" s="25"/>
      <c r="AC54" s="25"/>
      <c r="AD54" s="25"/>
    </row>
    <row r="55" spans="1:30" x14ac:dyDescent="0.25">
      <c r="A55" s="18" t="str">
        <f t="shared" si="0"/>
        <v/>
      </c>
      <c r="B55" s="25"/>
      <c r="C55" s="25"/>
      <c r="D55" s="37"/>
      <c r="E55" s="25"/>
      <c r="F55" s="25"/>
      <c r="G55" s="38"/>
      <c r="H55" s="37"/>
      <c r="I55" s="25"/>
      <c r="J55" s="38"/>
      <c r="O55" s="37"/>
      <c r="P55" s="25"/>
      <c r="Q55" s="38"/>
      <c r="R55" s="37"/>
      <c r="S55" s="25"/>
      <c r="T55" s="25"/>
      <c r="U55" s="38"/>
      <c r="V55" s="26"/>
      <c r="W55" s="25"/>
      <c r="X55" s="25"/>
      <c r="Y55" s="25"/>
      <c r="Z55" s="25"/>
      <c r="AA55" s="25"/>
      <c r="AB55" s="25"/>
      <c r="AC55" s="25"/>
      <c r="AD55" s="25"/>
    </row>
    <row r="56" spans="1:30" x14ac:dyDescent="0.25">
      <c r="A56" s="18" t="str">
        <f t="shared" si="0"/>
        <v/>
      </c>
      <c r="B56" s="25"/>
      <c r="C56" s="25"/>
      <c r="D56" s="37"/>
      <c r="E56" s="25"/>
      <c r="F56" s="25"/>
      <c r="G56" s="38"/>
      <c r="H56" s="37"/>
      <c r="I56" s="25"/>
      <c r="J56" s="38"/>
      <c r="O56" s="37"/>
      <c r="P56" s="25"/>
      <c r="Q56" s="38"/>
      <c r="R56" s="37"/>
      <c r="S56" s="25"/>
      <c r="T56" s="25"/>
      <c r="U56" s="38"/>
      <c r="V56" s="26"/>
      <c r="W56" s="25"/>
      <c r="X56" s="25"/>
      <c r="Y56" s="25"/>
      <c r="Z56" s="25"/>
      <c r="AA56" s="25"/>
      <c r="AB56" s="25"/>
      <c r="AC56" s="25"/>
      <c r="AD56" s="25"/>
    </row>
    <row r="57" spans="1:30" x14ac:dyDescent="0.25">
      <c r="A57" s="18" t="str">
        <f t="shared" si="0"/>
        <v/>
      </c>
      <c r="B57" s="25"/>
      <c r="C57" s="25"/>
      <c r="D57" s="37"/>
      <c r="E57" s="25"/>
      <c r="F57" s="25"/>
      <c r="G57" s="38"/>
      <c r="H57" s="37"/>
      <c r="I57" s="25"/>
      <c r="J57" s="38"/>
      <c r="O57" s="37"/>
      <c r="P57" s="25"/>
      <c r="Q57" s="38"/>
      <c r="R57" s="37"/>
      <c r="S57" s="25"/>
      <c r="T57" s="25"/>
      <c r="U57" s="38"/>
      <c r="V57" s="26"/>
      <c r="W57" s="25"/>
      <c r="X57" s="25"/>
      <c r="Y57" s="25"/>
      <c r="Z57" s="25"/>
      <c r="AA57" s="25"/>
      <c r="AB57" s="25"/>
      <c r="AC57" s="25"/>
      <c r="AD57" s="25"/>
    </row>
    <row r="58" spans="1:30" x14ac:dyDescent="0.25">
      <c r="A58" s="18" t="str">
        <f t="shared" si="0"/>
        <v/>
      </c>
      <c r="B58" s="25"/>
      <c r="C58" s="25"/>
      <c r="D58" s="37"/>
      <c r="E58" s="25"/>
      <c r="F58" s="25"/>
      <c r="G58" s="38"/>
      <c r="H58" s="37"/>
      <c r="I58" s="25"/>
      <c r="J58" s="38"/>
      <c r="O58" s="37"/>
      <c r="P58" s="25"/>
      <c r="Q58" s="38"/>
      <c r="R58" s="37"/>
      <c r="S58" s="25"/>
      <c r="T58" s="25"/>
      <c r="U58" s="38"/>
      <c r="V58" s="26"/>
      <c r="W58" s="25"/>
      <c r="X58" s="25"/>
      <c r="Y58" s="25"/>
      <c r="Z58" s="25"/>
      <c r="AA58" s="25"/>
      <c r="AB58" s="25"/>
      <c r="AC58" s="25"/>
      <c r="AD58" s="25"/>
    </row>
    <row r="59" spans="1:30" x14ac:dyDescent="0.25">
      <c r="A59" s="18" t="str">
        <f t="shared" si="0"/>
        <v/>
      </c>
      <c r="B59" s="25"/>
      <c r="C59" s="25"/>
      <c r="D59" s="37"/>
      <c r="E59" s="25"/>
      <c r="F59" s="25"/>
      <c r="G59" s="38"/>
      <c r="H59" s="37"/>
      <c r="I59" s="25"/>
      <c r="J59" s="38"/>
      <c r="O59" s="37"/>
      <c r="P59" s="25"/>
      <c r="Q59" s="38"/>
      <c r="R59" s="37"/>
      <c r="S59" s="25"/>
      <c r="T59" s="25"/>
      <c r="U59" s="38"/>
      <c r="V59" s="26"/>
      <c r="W59" s="25"/>
      <c r="X59" s="25"/>
      <c r="Y59" s="25"/>
      <c r="Z59" s="25"/>
      <c r="AA59" s="25"/>
      <c r="AB59" s="25"/>
      <c r="AC59" s="25"/>
      <c r="AD59" s="25"/>
    </row>
    <row r="60" spans="1:30" x14ac:dyDescent="0.25">
      <c r="A60" s="18" t="str">
        <f t="shared" si="0"/>
        <v/>
      </c>
      <c r="B60" s="25"/>
      <c r="C60" s="25"/>
      <c r="D60" s="37"/>
      <c r="E60" s="25"/>
      <c r="F60" s="25"/>
      <c r="G60" s="38"/>
      <c r="H60" s="37"/>
      <c r="I60" s="25"/>
      <c r="J60" s="38"/>
      <c r="O60" s="37"/>
      <c r="P60" s="25"/>
      <c r="Q60" s="38"/>
      <c r="R60" s="37"/>
      <c r="S60" s="25"/>
      <c r="T60" s="25"/>
      <c r="U60" s="38"/>
      <c r="V60" s="26"/>
      <c r="W60" s="25"/>
      <c r="X60" s="25"/>
      <c r="Y60" s="25"/>
      <c r="Z60" s="25"/>
      <c r="AA60" s="25"/>
      <c r="AB60" s="25"/>
      <c r="AC60" s="25"/>
      <c r="AD60" s="25"/>
    </row>
    <row r="61" spans="1:30" x14ac:dyDescent="0.25">
      <c r="A61" s="18" t="str">
        <f t="shared" si="0"/>
        <v/>
      </c>
      <c r="B61" s="25"/>
      <c r="C61" s="25"/>
      <c r="D61" s="37"/>
      <c r="E61" s="25"/>
      <c r="F61" s="25"/>
      <c r="G61" s="38"/>
      <c r="H61" s="37"/>
      <c r="I61" s="25"/>
      <c r="J61" s="38"/>
      <c r="O61" s="37"/>
      <c r="P61" s="25"/>
      <c r="Q61" s="38"/>
      <c r="R61" s="37"/>
      <c r="S61" s="25"/>
      <c r="T61" s="25"/>
      <c r="U61" s="38"/>
      <c r="V61" s="26"/>
      <c r="W61" s="25"/>
      <c r="X61" s="25"/>
      <c r="Y61" s="25"/>
      <c r="Z61" s="25"/>
      <c r="AA61" s="25"/>
      <c r="AB61" s="25"/>
      <c r="AC61" s="25"/>
      <c r="AD61" s="25"/>
    </row>
    <row r="62" spans="1:30" x14ac:dyDescent="0.25">
      <c r="A62" s="18" t="str">
        <f t="shared" ref="A62:A125" si="3">IF(ISBLANK($B62)=FALSE,IF(AND($H62&gt;0,$I62&lt;=0,$J62&lt;=0),_xlfn.CONCAT("ofw_",$B62),IF(AND($H62&lt;=0,$I62&gt;0,$J62&lt;=0),_xlfn.CONCAT("owc_",$B62),IF(AND($H62&lt;=0,$I62&lt;=0,$J62&gt;0),_xlfn.CONCAT("opv_",$B62),_xlfn.CONCAT("oce_",$B62)))),"")</f>
        <v/>
      </c>
      <c r="B62" s="25"/>
      <c r="C62" s="25"/>
      <c r="D62" s="37"/>
      <c r="E62" s="25"/>
      <c r="F62" s="25"/>
      <c r="G62" s="38"/>
      <c r="H62" s="37"/>
      <c r="I62" s="25"/>
      <c r="J62" s="38"/>
      <c r="O62" s="37"/>
      <c r="P62" s="25"/>
      <c r="Q62" s="38"/>
      <c r="R62" s="37"/>
      <c r="S62" s="25"/>
      <c r="T62" s="25"/>
      <c r="U62" s="38"/>
      <c r="V62" s="26"/>
      <c r="W62" s="25"/>
      <c r="X62" s="25"/>
      <c r="Y62" s="25"/>
      <c r="Z62" s="25"/>
      <c r="AA62" s="25"/>
      <c r="AB62" s="25"/>
      <c r="AC62" s="25"/>
      <c r="AD62" s="25"/>
    </row>
    <row r="63" spans="1:30" x14ac:dyDescent="0.25">
      <c r="A63" s="18" t="str">
        <f t="shared" si="3"/>
        <v/>
      </c>
      <c r="B63" s="25"/>
      <c r="C63" s="25"/>
      <c r="D63" s="37"/>
      <c r="E63" s="25"/>
      <c r="F63" s="25"/>
      <c r="G63" s="38"/>
      <c r="H63" s="37"/>
      <c r="I63" s="25"/>
      <c r="J63" s="38"/>
      <c r="O63" s="37"/>
      <c r="P63" s="25"/>
      <c r="Q63" s="38"/>
      <c r="R63" s="37"/>
      <c r="S63" s="25"/>
      <c r="T63" s="25"/>
      <c r="U63" s="38"/>
      <c r="V63" s="26"/>
      <c r="W63" s="25"/>
      <c r="X63" s="25"/>
      <c r="Y63" s="25"/>
      <c r="Z63" s="25"/>
      <c r="AA63" s="25"/>
      <c r="AB63" s="25"/>
      <c r="AC63" s="25"/>
      <c r="AD63" s="25"/>
    </row>
    <row r="64" spans="1:30" x14ac:dyDescent="0.25">
      <c r="A64" s="18" t="str">
        <f t="shared" si="3"/>
        <v/>
      </c>
      <c r="B64" s="25"/>
      <c r="C64" s="25"/>
      <c r="D64" s="37"/>
      <c r="E64" s="25"/>
      <c r="F64" s="25"/>
      <c r="G64" s="38"/>
      <c r="H64" s="37"/>
      <c r="I64" s="25"/>
      <c r="J64" s="38"/>
      <c r="O64" s="37"/>
      <c r="P64" s="25"/>
      <c r="Q64" s="38"/>
      <c r="R64" s="37"/>
      <c r="S64" s="25"/>
      <c r="T64" s="25"/>
      <c r="U64" s="38"/>
      <c r="V64" s="26"/>
      <c r="W64" s="25"/>
      <c r="X64" s="25"/>
      <c r="Y64" s="25"/>
      <c r="Z64" s="25"/>
      <c r="AA64" s="25"/>
      <c r="AB64" s="25"/>
      <c r="AC64" s="25"/>
      <c r="AD64" s="25"/>
    </row>
    <row r="65" spans="1:30" x14ac:dyDescent="0.25">
      <c r="A65" s="18" t="str">
        <f t="shared" si="3"/>
        <v/>
      </c>
      <c r="B65" s="25"/>
      <c r="C65" s="25"/>
      <c r="D65" s="37"/>
      <c r="E65" s="25"/>
      <c r="F65" s="25"/>
      <c r="G65" s="38"/>
      <c r="H65" s="37"/>
      <c r="I65" s="25"/>
      <c r="J65" s="38"/>
      <c r="O65" s="37"/>
      <c r="P65" s="25"/>
      <c r="Q65" s="38"/>
      <c r="R65" s="37"/>
      <c r="S65" s="25"/>
      <c r="T65" s="25"/>
      <c r="U65" s="38"/>
      <c r="V65" s="26"/>
      <c r="W65" s="25"/>
      <c r="X65" s="25"/>
      <c r="Y65" s="25"/>
      <c r="Z65" s="25"/>
      <c r="AA65" s="25"/>
      <c r="AB65" s="25"/>
      <c r="AC65" s="25"/>
      <c r="AD65" s="25"/>
    </row>
    <row r="66" spans="1:30" x14ac:dyDescent="0.25">
      <c r="A66" s="18" t="str">
        <f t="shared" si="3"/>
        <v/>
      </c>
      <c r="B66" s="25"/>
      <c r="C66" s="25"/>
      <c r="D66" s="37"/>
      <c r="E66" s="25"/>
      <c r="F66" s="25"/>
      <c r="G66" s="38"/>
      <c r="H66" s="37"/>
      <c r="I66" s="25"/>
      <c r="J66" s="38"/>
      <c r="O66" s="37"/>
      <c r="P66" s="25"/>
      <c r="Q66" s="38"/>
      <c r="R66" s="37"/>
      <c r="S66" s="25"/>
      <c r="T66" s="25"/>
      <c r="U66" s="38"/>
      <c r="V66" s="26"/>
      <c r="W66" s="25"/>
      <c r="X66" s="25"/>
      <c r="Y66" s="25"/>
      <c r="Z66" s="25"/>
      <c r="AA66" s="25"/>
      <c r="AB66" s="25"/>
      <c r="AC66" s="25"/>
      <c r="AD66" s="25"/>
    </row>
    <row r="67" spans="1:30" x14ac:dyDescent="0.25">
      <c r="A67" s="18" t="str">
        <f t="shared" si="3"/>
        <v/>
      </c>
      <c r="B67" s="25"/>
      <c r="C67" s="25"/>
      <c r="D67" s="37"/>
      <c r="E67" s="25"/>
      <c r="F67" s="25"/>
      <c r="G67" s="38"/>
      <c r="H67" s="37"/>
      <c r="I67" s="25"/>
      <c r="J67" s="38"/>
      <c r="O67" s="37"/>
      <c r="P67" s="25"/>
      <c r="Q67" s="38"/>
      <c r="R67" s="37"/>
      <c r="S67" s="25"/>
      <c r="T67" s="25"/>
      <c r="U67" s="38"/>
      <c r="V67" s="26"/>
      <c r="W67" s="25"/>
      <c r="X67" s="25"/>
      <c r="Y67" s="25"/>
      <c r="Z67" s="25"/>
      <c r="AA67" s="25"/>
      <c r="AB67" s="25"/>
      <c r="AC67" s="25"/>
      <c r="AD67" s="25"/>
    </row>
    <row r="68" spans="1:30" x14ac:dyDescent="0.25">
      <c r="A68" s="18" t="str">
        <f t="shared" si="3"/>
        <v/>
      </c>
      <c r="B68" s="25"/>
      <c r="C68" s="25"/>
      <c r="D68" s="37"/>
      <c r="E68" s="25"/>
      <c r="F68" s="25"/>
      <c r="G68" s="38"/>
      <c r="H68" s="37"/>
      <c r="I68" s="25"/>
      <c r="J68" s="38"/>
      <c r="O68" s="37"/>
      <c r="P68" s="25"/>
      <c r="Q68" s="38"/>
      <c r="R68" s="37"/>
      <c r="S68" s="25"/>
      <c r="T68" s="25"/>
      <c r="U68" s="38"/>
      <c r="V68" s="26"/>
      <c r="W68" s="25"/>
      <c r="X68" s="25"/>
      <c r="Y68" s="25"/>
      <c r="Z68" s="25"/>
      <c r="AA68" s="25"/>
      <c r="AB68" s="25"/>
      <c r="AC68" s="25"/>
      <c r="AD68" s="25"/>
    </row>
    <row r="69" spans="1:30" x14ac:dyDescent="0.25">
      <c r="A69" s="18" t="str">
        <f t="shared" si="3"/>
        <v/>
      </c>
      <c r="B69" s="25"/>
      <c r="C69" s="25"/>
      <c r="D69" s="37"/>
      <c r="E69" s="25"/>
      <c r="F69" s="25"/>
      <c r="G69" s="38"/>
      <c r="H69" s="37"/>
      <c r="I69" s="25"/>
      <c r="J69" s="38"/>
      <c r="O69" s="37"/>
      <c r="P69" s="25"/>
      <c r="Q69" s="38"/>
      <c r="R69" s="37"/>
      <c r="S69" s="25"/>
      <c r="T69" s="25"/>
      <c r="U69" s="38"/>
      <c r="V69" s="26"/>
      <c r="W69" s="25"/>
      <c r="X69" s="25"/>
      <c r="Y69" s="25"/>
      <c r="Z69" s="25"/>
      <c r="AA69" s="25"/>
      <c r="AB69" s="25"/>
      <c r="AC69" s="25"/>
      <c r="AD69" s="25"/>
    </row>
    <row r="70" spans="1:30" x14ac:dyDescent="0.25">
      <c r="A70" s="18" t="str">
        <f t="shared" si="3"/>
        <v/>
      </c>
      <c r="B70" s="25"/>
      <c r="C70" s="25"/>
      <c r="D70" s="37"/>
      <c r="E70" s="25"/>
      <c r="F70" s="25"/>
      <c r="G70" s="38"/>
      <c r="H70" s="37"/>
      <c r="I70" s="25"/>
      <c r="J70" s="38"/>
      <c r="O70" s="37"/>
      <c r="P70" s="25"/>
      <c r="Q70" s="38"/>
      <c r="R70" s="37"/>
      <c r="S70" s="25"/>
      <c r="T70" s="25"/>
      <c r="U70" s="38"/>
      <c r="V70" s="26"/>
      <c r="W70" s="25"/>
      <c r="X70" s="25"/>
      <c r="Y70" s="25"/>
      <c r="Z70" s="25"/>
      <c r="AA70" s="25"/>
      <c r="AB70" s="25"/>
      <c r="AC70" s="25"/>
      <c r="AD70" s="25"/>
    </row>
    <row r="71" spans="1:30" x14ac:dyDescent="0.25">
      <c r="A71" s="18" t="str">
        <f t="shared" si="3"/>
        <v/>
      </c>
      <c r="B71" s="25"/>
      <c r="C71" s="25"/>
      <c r="D71" s="37"/>
      <c r="E71" s="25"/>
      <c r="F71" s="25"/>
      <c r="G71" s="38"/>
      <c r="H71" s="37"/>
      <c r="I71" s="25"/>
      <c r="J71" s="38"/>
      <c r="O71" s="37"/>
      <c r="P71" s="25"/>
      <c r="Q71" s="38"/>
      <c r="R71" s="37"/>
      <c r="S71" s="25"/>
      <c r="T71" s="25"/>
      <c r="U71" s="38"/>
      <c r="V71" s="26"/>
      <c r="W71" s="25"/>
      <c r="X71" s="25"/>
      <c r="Y71" s="25"/>
      <c r="Z71" s="25"/>
      <c r="AA71" s="25"/>
      <c r="AB71" s="25"/>
      <c r="AC71" s="25"/>
      <c r="AD71" s="25"/>
    </row>
    <row r="72" spans="1:30" x14ac:dyDescent="0.25">
      <c r="A72" s="18" t="str">
        <f t="shared" si="3"/>
        <v/>
      </c>
      <c r="B72" s="25"/>
      <c r="C72" s="25"/>
      <c r="D72" s="37"/>
      <c r="E72" s="25"/>
      <c r="F72" s="25"/>
      <c r="G72" s="38"/>
      <c r="H72" s="37"/>
      <c r="I72" s="25"/>
      <c r="J72" s="38"/>
      <c r="O72" s="37"/>
      <c r="P72" s="25"/>
      <c r="Q72" s="38"/>
      <c r="R72" s="37"/>
      <c r="S72" s="25"/>
      <c r="T72" s="25"/>
      <c r="U72" s="38"/>
      <c r="V72" s="26"/>
      <c r="W72" s="25"/>
      <c r="X72" s="25"/>
      <c r="Y72" s="25"/>
      <c r="Z72" s="25"/>
      <c r="AA72" s="25"/>
      <c r="AB72" s="25"/>
      <c r="AC72" s="25"/>
      <c r="AD72" s="25"/>
    </row>
    <row r="73" spans="1:30" x14ac:dyDescent="0.25">
      <c r="A73" s="18" t="str">
        <f t="shared" si="3"/>
        <v/>
      </c>
      <c r="B73" s="25"/>
      <c r="C73" s="25"/>
      <c r="D73" s="37"/>
      <c r="E73" s="25"/>
      <c r="F73" s="25"/>
      <c r="G73" s="38"/>
      <c r="H73" s="37"/>
      <c r="I73" s="25"/>
      <c r="J73" s="38"/>
      <c r="O73" s="37"/>
      <c r="P73" s="25"/>
      <c r="Q73" s="38"/>
      <c r="R73" s="37"/>
      <c r="S73" s="25"/>
      <c r="T73" s="25"/>
      <c r="U73" s="38"/>
      <c r="V73" s="26"/>
      <c r="W73" s="25"/>
      <c r="X73" s="25"/>
      <c r="Y73" s="25"/>
      <c r="Z73" s="25"/>
      <c r="AA73" s="25"/>
      <c r="AB73" s="25"/>
      <c r="AC73" s="25"/>
      <c r="AD73" s="25"/>
    </row>
    <row r="74" spans="1:30" x14ac:dyDescent="0.25">
      <c r="A74" s="18" t="str">
        <f t="shared" si="3"/>
        <v/>
      </c>
      <c r="B74" s="25"/>
      <c r="C74" s="25"/>
      <c r="D74" s="37"/>
      <c r="E74" s="25"/>
      <c r="F74" s="25"/>
      <c r="G74" s="38"/>
      <c r="H74" s="37"/>
      <c r="I74" s="25"/>
      <c r="J74" s="38"/>
      <c r="O74" s="37"/>
      <c r="P74" s="25"/>
      <c r="Q74" s="38"/>
      <c r="R74" s="37"/>
      <c r="S74" s="25"/>
      <c r="T74" s="25"/>
      <c r="U74" s="38"/>
      <c r="V74" s="26"/>
      <c r="W74" s="25"/>
      <c r="X74" s="25"/>
      <c r="Y74" s="25"/>
      <c r="Z74" s="25"/>
      <c r="AA74" s="25"/>
      <c r="AB74" s="25"/>
      <c r="AC74" s="25"/>
      <c r="AD74" s="25"/>
    </row>
    <row r="75" spans="1:30" x14ac:dyDescent="0.25">
      <c r="A75" s="18" t="str">
        <f t="shared" si="3"/>
        <v/>
      </c>
      <c r="B75" s="25"/>
      <c r="C75" s="25"/>
      <c r="D75" s="37"/>
      <c r="E75" s="25"/>
      <c r="F75" s="25"/>
      <c r="G75" s="38"/>
      <c r="H75" s="37"/>
      <c r="I75" s="25"/>
      <c r="J75" s="38"/>
      <c r="O75" s="37"/>
      <c r="P75" s="25"/>
      <c r="Q75" s="38"/>
      <c r="R75" s="37"/>
      <c r="S75" s="25"/>
      <c r="T75" s="25"/>
      <c r="U75" s="38"/>
      <c r="V75" s="26"/>
      <c r="W75" s="25"/>
      <c r="X75" s="25"/>
      <c r="Y75" s="25"/>
      <c r="Z75" s="25"/>
      <c r="AA75" s="25"/>
      <c r="AB75" s="25"/>
      <c r="AC75" s="25"/>
      <c r="AD75" s="25"/>
    </row>
    <row r="76" spans="1:30" x14ac:dyDescent="0.25">
      <c r="A76" s="18" t="str">
        <f t="shared" si="3"/>
        <v/>
      </c>
      <c r="B76" s="25"/>
      <c r="C76" s="25"/>
      <c r="D76" s="37"/>
      <c r="E76" s="25"/>
      <c r="F76" s="25"/>
      <c r="G76" s="38"/>
      <c r="H76" s="37"/>
      <c r="I76" s="25"/>
      <c r="J76" s="38"/>
      <c r="O76" s="37"/>
      <c r="P76" s="25"/>
      <c r="Q76" s="38"/>
      <c r="R76" s="37"/>
      <c r="S76" s="25"/>
      <c r="T76" s="25"/>
      <c r="U76" s="38"/>
      <c r="V76" s="26"/>
      <c r="W76" s="25"/>
      <c r="X76" s="25"/>
      <c r="Y76" s="25"/>
      <c r="Z76" s="25"/>
      <c r="AA76" s="25"/>
      <c r="AB76" s="25"/>
      <c r="AC76" s="25"/>
      <c r="AD76" s="25"/>
    </row>
    <row r="77" spans="1:30" x14ac:dyDescent="0.25">
      <c r="A77" s="18" t="str">
        <f t="shared" si="3"/>
        <v/>
      </c>
      <c r="B77" s="25"/>
      <c r="C77" s="25"/>
      <c r="D77" s="37"/>
      <c r="E77" s="25"/>
      <c r="F77" s="25"/>
      <c r="G77" s="38"/>
      <c r="H77" s="37"/>
      <c r="I77" s="25"/>
      <c r="J77" s="38"/>
      <c r="O77" s="37"/>
      <c r="P77" s="25"/>
      <c r="Q77" s="38"/>
      <c r="R77" s="37"/>
      <c r="S77" s="25"/>
      <c r="T77" s="25"/>
      <c r="U77" s="38"/>
      <c r="V77" s="26"/>
      <c r="W77" s="25"/>
      <c r="X77" s="25"/>
      <c r="Y77" s="25"/>
      <c r="Z77" s="25"/>
      <c r="AA77" s="25"/>
      <c r="AB77" s="25"/>
      <c r="AC77" s="25"/>
      <c r="AD77" s="25"/>
    </row>
    <row r="78" spans="1:30" x14ac:dyDescent="0.25">
      <c r="A78" s="18" t="str">
        <f t="shared" si="3"/>
        <v/>
      </c>
      <c r="B78" s="25"/>
      <c r="C78" s="25"/>
      <c r="D78" s="37"/>
      <c r="E78" s="25"/>
      <c r="F78" s="25"/>
      <c r="G78" s="38"/>
      <c r="H78" s="37"/>
      <c r="I78" s="25"/>
      <c r="J78" s="38"/>
      <c r="O78" s="37"/>
      <c r="P78" s="25"/>
      <c r="Q78" s="38"/>
      <c r="R78" s="37"/>
      <c r="S78" s="25"/>
      <c r="T78" s="25"/>
      <c r="U78" s="38"/>
      <c r="V78" s="26"/>
      <c r="W78" s="25"/>
      <c r="X78" s="25"/>
      <c r="Y78" s="25"/>
      <c r="Z78" s="25"/>
      <c r="AA78" s="25"/>
      <c r="AB78" s="25"/>
      <c r="AC78" s="25"/>
      <c r="AD78" s="25"/>
    </row>
    <row r="79" spans="1:30" x14ac:dyDescent="0.25">
      <c r="A79" s="18" t="str">
        <f t="shared" si="3"/>
        <v/>
      </c>
      <c r="B79" s="25"/>
      <c r="C79" s="25"/>
      <c r="D79" s="37"/>
      <c r="E79" s="25"/>
      <c r="F79" s="25"/>
      <c r="G79" s="38"/>
      <c r="H79" s="37"/>
      <c r="I79" s="25"/>
      <c r="J79" s="38"/>
      <c r="O79" s="37"/>
      <c r="P79" s="25"/>
      <c r="Q79" s="38"/>
      <c r="R79" s="37"/>
      <c r="S79" s="25"/>
      <c r="T79" s="25"/>
      <c r="U79" s="38"/>
      <c r="V79" s="26"/>
      <c r="W79" s="25"/>
      <c r="X79" s="25"/>
      <c r="Y79" s="25"/>
      <c r="Z79" s="25"/>
      <c r="AA79" s="25"/>
      <c r="AB79" s="25"/>
      <c r="AC79" s="25"/>
      <c r="AD79" s="25"/>
    </row>
    <row r="80" spans="1:30" x14ac:dyDescent="0.25">
      <c r="A80" s="18" t="str">
        <f t="shared" si="3"/>
        <v/>
      </c>
      <c r="B80" s="25"/>
      <c r="C80" s="25"/>
      <c r="D80" s="37"/>
      <c r="E80" s="25"/>
      <c r="F80" s="25"/>
      <c r="G80" s="38"/>
      <c r="H80" s="37"/>
      <c r="I80" s="25"/>
      <c r="J80" s="38"/>
      <c r="O80" s="37"/>
      <c r="P80" s="25"/>
      <c r="Q80" s="38"/>
      <c r="R80" s="37"/>
      <c r="S80" s="25"/>
      <c r="T80" s="25"/>
      <c r="U80" s="38"/>
      <c r="V80" s="26"/>
      <c r="W80" s="25"/>
      <c r="X80" s="25"/>
      <c r="Y80" s="25"/>
      <c r="Z80" s="25"/>
      <c r="AA80" s="25"/>
      <c r="AB80" s="25"/>
      <c r="AC80" s="25"/>
      <c r="AD80" s="25"/>
    </row>
    <row r="81" spans="1:30" x14ac:dyDescent="0.25">
      <c r="A81" s="18" t="str">
        <f t="shared" si="3"/>
        <v/>
      </c>
      <c r="B81" s="25"/>
      <c r="C81" s="25"/>
      <c r="D81" s="37"/>
      <c r="E81" s="25"/>
      <c r="F81" s="25"/>
      <c r="G81" s="38"/>
      <c r="H81" s="37"/>
      <c r="I81" s="25"/>
      <c r="J81" s="38"/>
      <c r="O81" s="37"/>
      <c r="P81" s="25"/>
      <c r="Q81" s="38"/>
      <c r="R81" s="37"/>
      <c r="S81" s="25"/>
      <c r="T81" s="25"/>
      <c r="U81" s="38"/>
      <c r="V81" s="26"/>
      <c r="W81" s="25"/>
      <c r="X81" s="25"/>
      <c r="Y81" s="25"/>
      <c r="Z81" s="25"/>
      <c r="AA81" s="25"/>
      <c r="AB81" s="25"/>
      <c r="AC81" s="25"/>
      <c r="AD81" s="25"/>
    </row>
    <row r="82" spans="1:30" x14ac:dyDescent="0.25">
      <c r="A82" s="18" t="str">
        <f t="shared" si="3"/>
        <v/>
      </c>
      <c r="B82" s="25"/>
      <c r="C82" s="25"/>
      <c r="D82" s="37"/>
      <c r="E82" s="25"/>
      <c r="F82" s="25"/>
      <c r="G82" s="38"/>
      <c r="H82" s="37"/>
      <c r="I82" s="25"/>
      <c r="J82" s="38"/>
      <c r="O82" s="37"/>
      <c r="P82" s="25"/>
      <c r="Q82" s="38"/>
      <c r="R82" s="37"/>
      <c r="S82" s="25"/>
      <c r="T82" s="25"/>
      <c r="U82" s="38"/>
      <c r="V82" s="26"/>
      <c r="W82" s="25"/>
      <c r="X82" s="25"/>
      <c r="Y82" s="25"/>
      <c r="Z82" s="25"/>
      <c r="AA82" s="25"/>
      <c r="AB82" s="25"/>
      <c r="AC82" s="25"/>
      <c r="AD82" s="25"/>
    </row>
    <row r="83" spans="1:30" x14ac:dyDescent="0.25">
      <c r="A83" s="18" t="str">
        <f t="shared" si="3"/>
        <v/>
      </c>
      <c r="B83" s="25"/>
      <c r="C83" s="25"/>
      <c r="D83" s="37"/>
      <c r="E83" s="25"/>
      <c r="F83" s="25"/>
      <c r="G83" s="38"/>
      <c r="H83" s="37"/>
      <c r="I83" s="25"/>
      <c r="J83" s="38"/>
      <c r="O83" s="37"/>
      <c r="P83" s="25"/>
      <c r="Q83" s="38"/>
      <c r="R83" s="37"/>
      <c r="S83" s="25"/>
      <c r="T83" s="25"/>
      <c r="U83" s="38"/>
      <c r="V83" s="26"/>
      <c r="W83" s="25"/>
      <c r="X83" s="25"/>
      <c r="Y83" s="25"/>
      <c r="Z83" s="25"/>
      <c r="AA83" s="25"/>
      <c r="AB83" s="25"/>
      <c r="AC83" s="25"/>
      <c r="AD83" s="25"/>
    </row>
    <row r="84" spans="1:30" x14ac:dyDescent="0.25">
      <c r="A84" s="18" t="str">
        <f t="shared" si="3"/>
        <v/>
      </c>
      <c r="B84" s="25"/>
      <c r="C84" s="25"/>
      <c r="D84" s="37"/>
      <c r="E84" s="25"/>
      <c r="F84" s="25"/>
      <c r="G84" s="38"/>
      <c r="H84" s="37"/>
      <c r="I84" s="25"/>
      <c r="J84" s="38"/>
      <c r="O84" s="37"/>
      <c r="P84" s="25"/>
      <c r="Q84" s="38"/>
      <c r="R84" s="37"/>
      <c r="S84" s="25"/>
      <c r="T84" s="25"/>
      <c r="U84" s="38"/>
      <c r="V84" s="26"/>
      <c r="W84" s="25"/>
      <c r="X84" s="25"/>
      <c r="Y84" s="25"/>
      <c r="Z84" s="25"/>
      <c r="AA84" s="25"/>
      <c r="AB84" s="25"/>
      <c r="AC84" s="25"/>
      <c r="AD84" s="25"/>
    </row>
    <row r="85" spans="1:30" x14ac:dyDescent="0.25">
      <c r="A85" s="18" t="str">
        <f t="shared" si="3"/>
        <v/>
      </c>
      <c r="B85" s="25"/>
      <c r="C85" s="25"/>
      <c r="D85" s="37"/>
      <c r="E85" s="25"/>
      <c r="F85" s="25"/>
      <c r="G85" s="38"/>
      <c r="H85" s="37"/>
      <c r="I85" s="25"/>
      <c r="J85" s="38"/>
      <c r="O85" s="37"/>
      <c r="P85" s="25"/>
      <c r="Q85" s="38"/>
      <c r="R85" s="37"/>
      <c r="S85" s="25"/>
      <c r="T85" s="25"/>
      <c r="U85" s="38"/>
      <c r="V85" s="26"/>
      <c r="W85" s="25"/>
      <c r="X85" s="25"/>
      <c r="Y85" s="25"/>
      <c r="Z85" s="25"/>
      <c r="AA85" s="25"/>
      <c r="AB85" s="25"/>
      <c r="AC85" s="25"/>
      <c r="AD85" s="25"/>
    </row>
    <row r="86" spans="1:30" x14ac:dyDescent="0.25">
      <c r="A86" s="18" t="str">
        <f t="shared" si="3"/>
        <v/>
      </c>
      <c r="B86" s="25"/>
      <c r="C86" s="25"/>
      <c r="D86" s="37"/>
      <c r="E86" s="25"/>
      <c r="F86" s="25"/>
      <c r="G86" s="38"/>
      <c r="H86" s="37"/>
      <c r="I86" s="25"/>
      <c r="J86" s="38"/>
      <c r="O86" s="37"/>
      <c r="P86" s="25"/>
      <c r="Q86" s="38"/>
      <c r="R86" s="37"/>
      <c r="S86" s="25"/>
      <c r="T86" s="25"/>
      <c r="U86" s="38"/>
      <c r="V86" s="26"/>
      <c r="W86" s="25"/>
      <c r="X86" s="25"/>
      <c r="Y86" s="25"/>
      <c r="Z86" s="25"/>
      <c r="AA86" s="25"/>
      <c r="AB86" s="25"/>
      <c r="AC86" s="25"/>
      <c r="AD86" s="25"/>
    </row>
    <row r="87" spans="1:30" x14ac:dyDescent="0.25">
      <c r="A87" s="18" t="str">
        <f t="shared" si="3"/>
        <v/>
      </c>
      <c r="B87" s="25"/>
      <c r="C87" s="25"/>
      <c r="D87" s="37"/>
      <c r="E87" s="25"/>
      <c r="F87" s="25"/>
      <c r="G87" s="38"/>
      <c r="H87" s="37"/>
      <c r="I87" s="25"/>
      <c r="J87" s="38"/>
      <c r="O87" s="37"/>
      <c r="P87" s="25"/>
      <c r="Q87" s="38"/>
      <c r="R87" s="37"/>
      <c r="S87" s="25"/>
      <c r="T87" s="25"/>
      <c r="U87" s="38"/>
      <c r="V87" s="26"/>
      <c r="W87" s="25"/>
      <c r="X87" s="25"/>
      <c r="Y87" s="25"/>
      <c r="Z87" s="25"/>
      <c r="AA87" s="25"/>
      <c r="AB87" s="25"/>
      <c r="AC87" s="25"/>
      <c r="AD87" s="25"/>
    </row>
    <row r="88" spans="1:30" x14ac:dyDescent="0.25">
      <c r="A88" s="18" t="str">
        <f t="shared" si="3"/>
        <v/>
      </c>
      <c r="B88" s="25"/>
      <c r="C88" s="25"/>
      <c r="D88" s="37"/>
      <c r="E88" s="25"/>
      <c r="F88" s="25"/>
      <c r="G88" s="38"/>
      <c r="H88" s="37"/>
      <c r="I88" s="25"/>
      <c r="J88" s="38"/>
      <c r="O88" s="37"/>
      <c r="P88" s="25"/>
      <c r="Q88" s="38"/>
      <c r="R88" s="37"/>
      <c r="S88" s="25"/>
      <c r="T88" s="25"/>
      <c r="U88" s="38"/>
      <c r="V88" s="26"/>
      <c r="W88" s="25"/>
      <c r="X88" s="25"/>
      <c r="Y88" s="25"/>
      <c r="Z88" s="25"/>
      <c r="AA88" s="25"/>
      <c r="AB88" s="25"/>
      <c r="AC88" s="25"/>
      <c r="AD88" s="25"/>
    </row>
    <row r="89" spans="1:30" x14ac:dyDescent="0.25">
      <c r="A89" s="18" t="str">
        <f t="shared" si="3"/>
        <v/>
      </c>
      <c r="B89" s="25"/>
      <c r="C89" s="25"/>
      <c r="D89" s="37"/>
      <c r="E89" s="25"/>
      <c r="F89" s="25"/>
      <c r="G89" s="38"/>
      <c r="H89" s="37"/>
      <c r="I89" s="25"/>
      <c r="J89" s="38"/>
      <c r="O89" s="37"/>
      <c r="P89" s="25"/>
      <c r="Q89" s="38"/>
      <c r="R89" s="37"/>
      <c r="S89" s="25"/>
      <c r="T89" s="25"/>
      <c r="U89" s="38"/>
      <c r="V89" s="26"/>
      <c r="W89" s="25"/>
      <c r="X89" s="25"/>
      <c r="Y89" s="25"/>
      <c r="Z89" s="25"/>
      <c r="AA89" s="25"/>
      <c r="AB89" s="25"/>
      <c r="AC89" s="25"/>
      <c r="AD89" s="25"/>
    </row>
    <row r="90" spans="1:30" x14ac:dyDescent="0.25">
      <c r="A90" s="18" t="str">
        <f t="shared" si="3"/>
        <v/>
      </c>
      <c r="B90" s="25"/>
      <c r="C90" s="25"/>
      <c r="D90" s="37"/>
      <c r="E90" s="25"/>
      <c r="F90" s="25"/>
      <c r="G90" s="38"/>
      <c r="H90" s="37"/>
      <c r="I90" s="25"/>
      <c r="J90" s="38"/>
      <c r="O90" s="37"/>
      <c r="P90" s="25"/>
      <c r="Q90" s="38"/>
      <c r="R90" s="37"/>
      <c r="S90" s="25"/>
      <c r="T90" s="25"/>
      <c r="U90" s="38"/>
      <c r="V90" s="26"/>
      <c r="W90" s="25"/>
      <c r="X90" s="25"/>
      <c r="Y90" s="25"/>
      <c r="Z90" s="25"/>
      <c r="AA90" s="25"/>
      <c r="AB90" s="25"/>
      <c r="AC90" s="25"/>
      <c r="AD90" s="25"/>
    </row>
    <row r="91" spans="1:30" x14ac:dyDescent="0.25">
      <c r="A91" s="18" t="str">
        <f t="shared" si="3"/>
        <v/>
      </c>
      <c r="B91" s="25"/>
      <c r="C91" s="25"/>
      <c r="D91" s="37"/>
      <c r="E91" s="25"/>
      <c r="F91" s="25"/>
      <c r="G91" s="38"/>
      <c r="H91" s="37"/>
      <c r="I91" s="25"/>
      <c r="J91" s="38"/>
      <c r="O91" s="37"/>
      <c r="P91" s="25"/>
      <c r="Q91" s="38"/>
      <c r="R91" s="37"/>
      <c r="S91" s="25"/>
      <c r="T91" s="25"/>
      <c r="U91" s="38"/>
      <c r="V91" s="26"/>
      <c r="W91" s="25"/>
      <c r="X91" s="25"/>
      <c r="Y91" s="25"/>
      <c r="Z91" s="25"/>
      <c r="AA91" s="25"/>
      <c r="AB91" s="25"/>
      <c r="AC91" s="25"/>
      <c r="AD91" s="25"/>
    </row>
    <row r="92" spans="1:30" x14ac:dyDescent="0.25">
      <c r="A92" s="18" t="str">
        <f t="shared" si="3"/>
        <v/>
      </c>
      <c r="B92" s="25"/>
      <c r="C92" s="25"/>
      <c r="D92" s="37"/>
      <c r="E92" s="25"/>
      <c r="F92" s="25"/>
      <c r="G92" s="38"/>
      <c r="H92" s="37"/>
      <c r="I92" s="25"/>
      <c r="J92" s="38"/>
      <c r="O92" s="37"/>
      <c r="P92" s="25"/>
      <c r="Q92" s="38"/>
      <c r="R92" s="37"/>
      <c r="S92" s="25"/>
      <c r="T92" s="25"/>
      <c r="U92" s="38"/>
      <c r="V92" s="26"/>
      <c r="W92" s="25"/>
      <c r="X92" s="25"/>
      <c r="Y92" s="25"/>
      <c r="Z92" s="25"/>
      <c r="AA92" s="25"/>
      <c r="AB92" s="25"/>
      <c r="AC92" s="25"/>
      <c r="AD92" s="25"/>
    </row>
    <row r="93" spans="1:30" x14ac:dyDescent="0.25">
      <c r="A93" s="18" t="str">
        <f t="shared" si="3"/>
        <v/>
      </c>
      <c r="B93" s="25"/>
      <c r="C93" s="25"/>
      <c r="D93" s="37"/>
      <c r="E93" s="25"/>
      <c r="F93" s="25"/>
      <c r="G93" s="38"/>
      <c r="H93" s="37"/>
      <c r="I93" s="25"/>
      <c r="J93" s="38"/>
      <c r="O93" s="37"/>
      <c r="P93" s="25"/>
      <c r="Q93" s="38"/>
      <c r="R93" s="37"/>
      <c r="S93" s="25"/>
      <c r="T93" s="25"/>
      <c r="U93" s="38"/>
      <c r="V93" s="26"/>
      <c r="W93" s="25"/>
      <c r="X93" s="25"/>
      <c r="Y93" s="25"/>
      <c r="Z93" s="25"/>
      <c r="AA93" s="25"/>
      <c r="AB93" s="25"/>
      <c r="AC93" s="25"/>
      <c r="AD93" s="25"/>
    </row>
    <row r="94" spans="1:30" x14ac:dyDescent="0.25">
      <c r="A94" s="18" t="str">
        <f t="shared" si="3"/>
        <v/>
      </c>
      <c r="B94" s="25"/>
      <c r="C94" s="25"/>
      <c r="D94" s="37"/>
      <c r="E94" s="25"/>
      <c r="F94" s="25"/>
      <c r="G94" s="38"/>
      <c r="H94" s="37"/>
      <c r="I94" s="25"/>
      <c r="J94" s="38"/>
      <c r="O94" s="37"/>
      <c r="P94" s="25"/>
      <c r="Q94" s="38"/>
      <c r="R94" s="37"/>
      <c r="S94" s="25"/>
      <c r="T94" s="25"/>
      <c r="U94" s="38"/>
      <c r="V94" s="26"/>
      <c r="W94" s="25"/>
      <c r="X94" s="25"/>
      <c r="Y94" s="25"/>
      <c r="Z94" s="25"/>
      <c r="AA94" s="25"/>
      <c r="AB94" s="25"/>
      <c r="AC94" s="25"/>
      <c r="AD94" s="25"/>
    </row>
    <row r="95" spans="1:30" x14ac:dyDescent="0.25">
      <c r="A95" s="18" t="str">
        <f t="shared" si="3"/>
        <v/>
      </c>
      <c r="B95" s="25"/>
      <c r="C95" s="25"/>
      <c r="D95" s="37"/>
      <c r="E95" s="25"/>
      <c r="F95" s="25"/>
      <c r="G95" s="38"/>
      <c r="H95" s="37"/>
      <c r="I95" s="25"/>
      <c r="J95" s="38"/>
      <c r="O95" s="37"/>
      <c r="P95" s="25"/>
      <c r="Q95" s="38"/>
      <c r="R95" s="37"/>
      <c r="S95" s="25"/>
      <c r="T95" s="25"/>
      <c r="U95" s="38"/>
      <c r="V95" s="26"/>
      <c r="W95" s="25"/>
      <c r="X95" s="25"/>
      <c r="Y95" s="25"/>
      <c r="Z95" s="25"/>
      <c r="AA95" s="25"/>
      <c r="AB95" s="25"/>
      <c r="AC95" s="25"/>
      <c r="AD95" s="25"/>
    </row>
    <row r="96" spans="1:30" x14ac:dyDescent="0.25">
      <c r="A96" s="18" t="str">
        <f t="shared" si="3"/>
        <v/>
      </c>
      <c r="B96" s="25"/>
      <c r="C96" s="25"/>
      <c r="D96" s="37"/>
      <c r="E96" s="25"/>
      <c r="F96" s="25"/>
      <c r="G96" s="38"/>
      <c r="H96" s="37"/>
      <c r="I96" s="25"/>
      <c r="J96" s="38"/>
      <c r="O96" s="37"/>
      <c r="P96" s="25"/>
      <c r="Q96" s="38"/>
      <c r="R96" s="37"/>
      <c r="S96" s="25"/>
      <c r="T96" s="25"/>
      <c r="U96" s="38"/>
      <c r="V96" s="26"/>
      <c r="W96" s="25"/>
      <c r="X96" s="25"/>
      <c r="Y96" s="25"/>
      <c r="Z96" s="25"/>
      <c r="AA96" s="25"/>
      <c r="AB96" s="25"/>
      <c r="AC96" s="25"/>
      <c r="AD96" s="25"/>
    </row>
    <row r="97" spans="1:30" x14ac:dyDescent="0.25">
      <c r="A97" s="18" t="str">
        <f t="shared" si="3"/>
        <v/>
      </c>
      <c r="B97" s="25"/>
      <c r="C97" s="25"/>
      <c r="D97" s="37"/>
      <c r="E97" s="25"/>
      <c r="F97" s="25"/>
      <c r="G97" s="38"/>
      <c r="H97" s="37"/>
      <c r="I97" s="25"/>
      <c r="J97" s="38"/>
      <c r="O97" s="37"/>
      <c r="P97" s="25"/>
      <c r="Q97" s="38"/>
      <c r="R97" s="37"/>
      <c r="S97" s="25"/>
      <c r="T97" s="25"/>
      <c r="U97" s="38"/>
      <c r="V97" s="26"/>
      <c r="W97" s="25"/>
      <c r="X97" s="25"/>
      <c r="Y97" s="25"/>
      <c r="Z97" s="25"/>
      <c r="AA97" s="25"/>
      <c r="AB97" s="25"/>
      <c r="AC97" s="25"/>
      <c r="AD97" s="25"/>
    </row>
    <row r="98" spans="1:30" x14ac:dyDescent="0.25">
      <c r="A98" s="18" t="str">
        <f t="shared" si="3"/>
        <v/>
      </c>
      <c r="B98" s="25"/>
      <c r="C98" s="25"/>
      <c r="D98" s="37"/>
      <c r="E98" s="25"/>
      <c r="F98" s="25"/>
      <c r="G98" s="38"/>
      <c r="H98" s="37"/>
      <c r="I98" s="25"/>
      <c r="J98" s="38"/>
      <c r="O98" s="37"/>
      <c r="P98" s="25"/>
      <c r="Q98" s="38"/>
      <c r="R98" s="37"/>
      <c r="S98" s="25"/>
      <c r="T98" s="25"/>
      <c r="U98" s="38"/>
      <c r="V98" s="26"/>
      <c r="W98" s="25"/>
      <c r="X98" s="25"/>
      <c r="Y98" s="25"/>
      <c r="Z98" s="25"/>
      <c r="AA98" s="25"/>
      <c r="AB98" s="25"/>
      <c r="AC98" s="25"/>
      <c r="AD98" s="25"/>
    </row>
    <row r="99" spans="1:30" x14ac:dyDescent="0.25">
      <c r="A99" s="18" t="str">
        <f t="shared" si="3"/>
        <v/>
      </c>
      <c r="B99" s="25"/>
      <c r="C99" s="25"/>
      <c r="D99" s="37"/>
      <c r="E99" s="25"/>
      <c r="F99" s="25"/>
      <c r="G99" s="38"/>
      <c r="H99" s="37"/>
      <c r="I99" s="25"/>
      <c r="J99" s="38"/>
      <c r="O99" s="37"/>
      <c r="P99" s="25"/>
      <c r="Q99" s="38"/>
      <c r="R99" s="37"/>
      <c r="S99" s="25"/>
      <c r="T99" s="25"/>
      <c r="U99" s="38"/>
      <c r="V99" s="26"/>
      <c r="W99" s="25"/>
      <c r="X99" s="25"/>
      <c r="Y99" s="25"/>
      <c r="Z99" s="25"/>
      <c r="AA99" s="25"/>
      <c r="AB99" s="25"/>
      <c r="AC99" s="25"/>
      <c r="AD99" s="25"/>
    </row>
    <row r="100" spans="1:30" x14ac:dyDescent="0.25">
      <c r="A100" s="18" t="str">
        <f t="shared" si="3"/>
        <v/>
      </c>
      <c r="B100" s="25"/>
      <c r="C100" s="25"/>
      <c r="D100" s="37"/>
      <c r="E100" s="25"/>
      <c r="F100" s="25"/>
      <c r="G100" s="38"/>
      <c r="H100" s="37"/>
      <c r="I100" s="25"/>
      <c r="J100" s="38"/>
      <c r="O100" s="37"/>
      <c r="P100" s="25"/>
      <c r="Q100" s="38"/>
      <c r="R100" s="37"/>
      <c r="S100" s="25"/>
      <c r="T100" s="25"/>
      <c r="U100" s="38"/>
      <c r="V100" s="26"/>
      <c r="W100" s="25"/>
      <c r="X100" s="25"/>
      <c r="Y100" s="25"/>
      <c r="Z100" s="25"/>
      <c r="AA100" s="25"/>
      <c r="AB100" s="25"/>
      <c r="AC100" s="25"/>
      <c r="AD100" s="25"/>
    </row>
    <row r="101" spans="1:30" x14ac:dyDescent="0.25">
      <c r="A101" s="18" t="str">
        <f t="shared" si="3"/>
        <v/>
      </c>
      <c r="B101" s="25"/>
      <c r="C101" s="25"/>
      <c r="D101" s="37"/>
      <c r="E101" s="25"/>
      <c r="F101" s="25"/>
      <c r="G101" s="38"/>
      <c r="H101" s="37"/>
      <c r="I101" s="25"/>
      <c r="J101" s="38"/>
      <c r="O101" s="37"/>
      <c r="P101" s="25"/>
      <c r="Q101" s="38"/>
      <c r="R101" s="37"/>
      <c r="S101" s="25"/>
      <c r="T101" s="25"/>
      <c r="U101" s="38"/>
      <c r="V101" s="26"/>
      <c r="W101" s="25"/>
      <c r="X101" s="25"/>
      <c r="Y101" s="25"/>
      <c r="Z101" s="25"/>
      <c r="AA101" s="25"/>
      <c r="AB101" s="25"/>
      <c r="AC101" s="25"/>
      <c r="AD101" s="25"/>
    </row>
    <row r="102" spans="1:30" x14ac:dyDescent="0.25">
      <c r="A102" s="18" t="str">
        <f t="shared" si="3"/>
        <v/>
      </c>
      <c r="B102" s="25"/>
      <c r="C102" s="25"/>
      <c r="D102" s="37"/>
      <c r="E102" s="25"/>
      <c r="F102" s="25"/>
      <c r="G102" s="38"/>
      <c r="H102" s="37"/>
      <c r="I102" s="25"/>
      <c r="J102" s="38"/>
      <c r="O102" s="37"/>
      <c r="P102" s="25"/>
      <c r="Q102" s="38"/>
      <c r="R102" s="37"/>
      <c r="S102" s="25"/>
      <c r="T102" s="25"/>
      <c r="U102" s="38"/>
      <c r="V102" s="26"/>
      <c r="W102" s="25"/>
      <c r="X102" s="25"/>
      <c r="Y102" s="25"/>
      <c r="Z102" s="25"/>
      <c r="AA102" s="25"/>
      <c r="AB102" s="25"/>
      <c r="AC102" s="25"/>
      <c r="AD102" s="25"/>
    </row>
    <row r="103" spans="1:30" x14ac:dyDescent="0.25">
      <c r="A103" s="18" t="str">
        <f t="shared" si="3"/>
        <v/>
      </c>
      <c r="B103" s="25"/>
      <c r="C103" s="25"/>
      <c r="D103" s="37"/>
      <c r="E103" s="25"/>
      <c r="F103" s="25"/>
      <c r="G103" s="38"/>
      <c r="H103" s="37"/>
      <c r="I103" s="25"/>
      <c r="J103" s="38"/>
      <c r="O103" s="37"/>
      <c r="P103" s="25"/>
      <c r="Q103" s="38"/>
      <c r="R103" s="37"/>
      <c r="S103" s="25"/>
      <c r="T103" s="25"/>
      <c r="U103" s="38"/>
      <c r="V103" s="26"/>
      <c r="W103" s="25"/>
      <c r="X103" s="25"/>
      <c r="Y103" s="25"/>
      <c r="Z103" s="25"/>
      <c r="AA103" s="25"/>
      <c r="AB103" s="25"/>
      <c r="AC103" s="25"/>
      <c r="AD103" s="25"/>
    </row>
    <row r="104" spans="1:30" x14ac:dyDescent="0.25">
      <c r="A104" s="18" t="str">
        <f t="shared" si="3"/>
        <v/>
      </c>
      <c r="B104" s="25"/>
      <c r="C104" s="25"/>
      <c r="D104" s="37"/>
      <c r="E104" s="25"/>
      <c r="F104" s="25"/>
      <c r="G104" s="38"/>
      <c r="H104" s="37"/>
      <c r="I104" s="25"/>
      <c r="J104" s="38"/>
      <c r="O104" s="37"/>
      <c r="P104" s="25"/>
      <c r="Q104" s="38"/>
      <c r="R104" s="37"/>
      <c r="S104" s="25"/>
      <c r="T104" s="25"/>
      <c r="U104" s="38"/>
      <c r="V104" s="26"/>
      <c r="W104" s="25"/>
      <c r="X104" s="25"/>
      <c r="Y104" s="25"/>
      <c r="Z104" s="25"/>
      <c r="AA104" s="25"/>
      <c r="AB104" s="25"/>
      <c r="AC104" s="25"/>
      <c r="AD104" s="25"/>
    </row>
    <row r="105" spans="1:30" x14ac:dyDescent="0.25">
      <c r="A105" s="18" t="str">
        <f t="shared" si="3"/>
        <v/>
      </c>
      <c r="B105" s="25"/>
      <c r="C105" s="25"/>
      <c r="D105" s="37"/>
      <c r="E105" s="25"/>
      <c r="F105" s="25"/>
      <c r="G105" s="38"/>
      <c r="H105" s="37"/>
      <c r="I105" s="25"/>
      <c r="J105" s="38"/>
      <c r="O105" s="37"/>
      <c r="P105" s="25"/>
      <c r="Q105" s="38"/>
      <c r="R105" s="37"/>
      <c r="S105" s="25"/>
      <c r="T105" s="25"/>
      <c r="U105" s="38"/>
      <c r="V105" s="26"/>
      <c r="W105" s="25"/>
      <c r="X105" s="25"/>
      <c r="Y105" s="25"/>
      <c r="Z105" s="25"/>
      <c r="AA105" s="25"/>
      <c r="AB105" s="25"/>
      <c r="AC105" s="25"/>
      <c r="AD105" s="25"/>
    </row>
    <row r="106" spans="1:30" x14ac:dyDescent="0.25">
      <c r="A106" s="18" t="str">
        <f t="shared" si="3"/>
        <v/>
      </c>
      <c r="B106" s="25"/>
      <c r="C106" s="25"/>
      <c r="D106" s="37"/>
      <c r="E106" s="25"/>
      <c r="F106" s="25"/>
      <c r="G106" s="38"/>
      <c r="H106" s="37"/>
      <c r="I106" s="25"/>
      <c r="J106" s="38"/>
      <c r="O106" s="37"/>
      <c r="P106" s="25"/>
      <c r="Q106" s="38"/>
      <c r="R106" s="37"/>
      <c r="S106" s="25"/>
      <c r="T106" s="25"/>
      <c r="U106" s="38"/>
      <c r="V106" s="26"/>
      <c r="W106" s="25"/>
      <c r="X106" s="25"/>
      <c r="Y106" s="25"/>
      <c r="Z106" s="25"/>
      <c r="AA106" s="25"/>
      <c r="AB106" s="25"/>
      <c r="AC106" s="25"/>
      <c r="AD106" s="25"/>
    </row>
    <row r="107" spans="1:30" x14ac:dyDescent="0.25">
      <c r="A107" s="18" t="str">
        <f t="shared" si="3"/>
        <v/>
      </c>
      <c r="B107" s="25"/>
      <c r="C107" s="25"/>
      <c r="D107" s="37"/>
      <c r="E107" s="25"/>
      <c r="F107" s="25"/>
      <c r="G107" s="38"/>
      <c r="H107" s="37"/>
      <c r="I107" s="25"/>
      <c r="J107" s="38"/>
      <c r="O107" s="37"/>
      <c r="P107" s="25"/>
      <c r="Q107" s="38"/>
      <c r="R107" s="37"/>
      <c r="S107" s="25"/>
      <c r="T107" s="25"/>
      <c r="U107" s="38"/>
      <c r="V107" s="26"/>
      <c r="W107" s="25"/>
      <c r="X107" s="25"/>
      <c r="Y107" s="25"/>
      <c r="Z107" s="25"/>
      <c r="AA107" s="25"/>
      <c r="AB107" s="25"/>
      <c r="AC107" s="25"/>
      <c r="AD107" s="25"/>
    </row>
    <row r="108" spans="1:30" x14ac:dyDescent="0.25">
      <c r="A108" s="18" t="str">
        <f t="shared" si="3"/>
        <v/>
      </c>
      <c r="B108" s="25"/>
      <c r="C108" s="25"/>
      <c r="D108" s="37"/>
      <c r="E108" s="25"/>
      <c r="F108" s="25"/>
      <c r="G108" s="38"/>
      <c r="H108" s="37"/>
      <c r="I108" s="25"/>
      <c r="J108" s="38"/>
      <c r="O108" s="37"/>
      <c r="P108" s="25"/>
      <c r="Q108" s="38"/>
      <c r="R108" s="37"/>
      <c r="S108" s="25"/>
      <c r="T108" s="25"/>
      <c r="U108" s="38"/>
      <c r="V108" s="26"/>
      <c r="W108" s="25"/>
      <c r="X108" s="25"/>
      <c r="Y108" s="25"/>
      <c r="Z108" s="25"/>
      <c r="AA108" s="25"/>
      <c r="AB108" s="25"/>
      <c r="AC108" s="25"/>
      <c r="AD108" s="25"/>
    </row>
    <row r="109" spans="1:30" x14ac:dyDescent="0.25">
      <c r="A109" s="18" t="str">
        <f t="shared" si="3"/>
        <v/>
      </c>
      <c r="B109" s="25"/>
      <c r="C109" s="25"/>
      <c r="D109" s="37"/>
      <c r="E109" s="25"/>
      <c r="F109" s="25"/>
      <c r="G109" s="38"/>
      <c r="H109" s="37"/>
      <c r="I109" s="25"/>
      <c r="J109" s="38"/>
      <c r="O109" s="37"/>
      <c r="P109" s="25"/>
      <c r="Q109" s="38"/>
      <c r="R109" s="37"/>
      <c r="S109" s="25"/>
      <c r="T109" s="25"/>
      <c r="U109" s="38"/>
      <c r="V109" s="26"/>
      <c r="W109" s="25"/>
      <c r="X109" s="25"/>
      <c r="Y109" s="25"/>
      <c r="Z109" s="25"/>
      <c r="AA109" s="25"/>
      <c r="AB109" s="25"/>
      <c r="AC109" s="25"/>
      <c r="AD109" s="25"/>
    </row>
    <row r="110" spans="1:30" x14ac:dyDescent="0.25">
      <c r="A110" s="18" t="str">
        <f t="shared" si="3"/>
        <v/>
      </c>
      <c r="B110" s="25"/>
      <c r="C110" s="25"/>
      <c r="D110" s="37"/>
      <c r="E110" s="25"/>
      <c r="F110" s="25"/>
      <c r="G110" s="38"/>
      <c r="H110" s="37"/>
      <c r="I110" s="25"/>
      <c r="J110" s="38"/>
      <c r="O110" s="37"/>
      <c r="P110" s="25"/>
      <c r="Q110" s="38"/>
      <c r="R110" s="37"/>
      <c r="S110" s="25"/>
      <c r="T110" s="25"/>
      <c r="U110" s="38"/>
      <c r="V110" s="26"/>
      <c r="W110" s="25"/>
      <c r="X110" s="25"/>
      <c r="Y110" s="25"/>
      <c r="Z110" s="25"/>
      <c r="AA110" s="25"/>
      <c r="AB110" s="25"/>
      <c r="AC110" s="25"/>
      <c r="AD110" s="25"/>
    </row>
    <row r="111" spans="1:30" x14ac:dyDescent="0.25">
      <c r="A111" s="18" t="str">
        <f t="shared" si="3"/>
        <v/>
      </c>
      <c r="B111" s="25"/>
      <c r="C111" s="25"/>
      <c r="D111" s="37"/>
      <c r="E111" s="25"/>
      <c r="F111" s="25"/>
      <c r="G111" s="38"/>
      <c r="H111" s="37"/>
      <c r="I111" s="25"/>
      <c r="J111" s="38"/>
      <c r="O111" s="37"/>
      <c r="P111" s="25"/>
      <c r="Q111" s="38"/>
      <c r="R111" s="37"/>
      <c r="S111" s="25"/>
      <c r="T111" s="25"/>
      <c r="U111" s="38"/>
      <c r="V111" s="26"/>
      <c r="W111" s="25"/>
      <c r="X111" s="25"/>
      <c r="Y111" s="25"/>
      <c r="Z111" s="25"/>
      <c r="AA111" s="25"/>
      <c r="AB111" s="25"/>
      <c r="AC111" s="25"/>
      <c r="AD111" s="25"/>
    </row>
    <row r="112" spans="1:30" x14ac:dyDescent="0.25">
      <c r="A112" s="18" t="str">
        <f t="shared" si="3"/>
        <v/>
      </c>
      <c r="B112" s="25"/>
      <c r="C112" s="25"/>
      <c r="D112" s="37"/>
      <c r="E112" s="25"/>
      <c r="F112" s="25"/>
      <c r="G112" s="38"/>
      <c r="H112" s="37"/>
      <c r="I112" s="25"/>
      <c r="J112" s="38"/>
      <c r="O112" s="37"/>
      <c r="P112" s="25"/>
      <c r="Q112" s="38"/>
      <c r="R112" s="37"/>
      <c r="S112" s="25"/>
      <c r="T112" s="25"/>
      <c r="U112" s="38"/>
      <c r="V112" s="26"/>
      <c r="W112" s="25"/>
      <c r="X112" s="25"/>
      <c r="Y112" s="25"/>
      <c r="Z112" s="25"/>
      <c r="AA112" s="25"/>
      <c r="AB112" s="25"/>
      <c r="AC112" s="25"/>
      <c r="AD112" s="25"/>
    </row>
    <row r="113" spans="1:30" x14ac:dyDescent="0.25">
      <c r="A113" s="18" t="str">
        <f t="shared" si="3"/>
        <v/>
      </c>
      <c r="B113" s="25"/>
      <c r="C113" s="25"/>
      <c r="D113" s="37"/>
      <c r="E113" s="25"/>
      <c r="F113" s="25"/>
      <c r="G113" s="38"/>
      <c r="H113" s="37"/>
      <c r="I113" s="25"/>
      <c r="J113" s="38"/>
      <c r="O113" s="37"/>
      <c r="P113" s="25"/>
      <c r="Q113" s="38"/>
      <c r="R113" s="37"/>
      <c r="S113" s="25"/>
      <c r="T113" s="25"/>
      <c r="U113" s="38"/>
      <c r="V113" s="26"/>
      <c r="W113" s="25"/>
      <c r="X113" s="25"/>
      <c r="Y113" s="25"/>
      <c r="Z113" s="25"/>
      <c r="AA113" s="25"/>
      <c r="AB113" s="25"/>
      <c r="AC113" s="25"/>
      <c r="AD113" s="25"/>
    </row>
    <row r="114" spans="1:30" x14ac:dyDescent="0.25">
      <c r="A114" s="18" t="str">
        <f t="shared" si="3"/>
        <v/>
      </c>
      <c r="B114" s="25"/>
      <c r="C114" s="25"/>
      <c r="D114" s="37"/>
      <c r="E114" s="25"/>
      <c r="F114" s="25"/>
      <c r="G114" s="38"/>
      <c r="H114" s="37"/>
      <c r="I114" s="25"/>
      <c r="J114" s="38"/>
      <c r="O114" s="37"/>
      <c r="P114" s="25"/>
      <c r="Q114" s="38"/>
      <c r="R114" s="37"/>
      <c r="S114" s="25"/>
      <c r="T114" s="25"/>
      <c r="U114" s="38"/>
      <c r="V114" s="26"/>
      <c r="W114" s="25"/>
      <c r="X114" s="25"/>
      <c r="Y114" s="25"/>
      <c r="Z114" s="25"/>
      <c r="AA114" s="25"/>
      <c r="AB114" s="25"/>
      <c r="AC114" s="25"/>
      <c r="AD114" s="25"/>
    </row>
    <row r="115" spans="1:30" x14ac:dyDescent="0.25">
      <c r="A115" s="18" t="str">
        <f t="shared" si="3"/>
        <v/>
      </c>
      <c r="B115" s="25"/>
      <c r="C115" s="25"/>
      <c r="D115" s="37"/>
      <c r="E115" s="25"/>
      <c r="F115" s="25"/>
      <c r="G115" s="38"/>
      <c r="H115" s="37"/>
      <c r="I115" s="25"/>
      <c r="J115" s="38"/>
      <c r="O115" s="37"/>
      <c r="P115" s="25"/>
      <c r="Q115" s="38"/>
      <c r="R115" s="37"/>
      <c r="S115" s="25"/>
      <c r="T115" s="25"/>
      <c r="U115" s="38"/>
      <c r="V115" s="26"/>
      <c r="W115" s="25"/>
      <c r="X115" s="25"/>
      <c r="Y115" s="25"/>
      <c r="Z115" s="25"/>
      <c r="AA115" s="25"/>
      <c r="AB115" s="25"/>
      <c r="AC115" s="25"/>
      <c r="AD115" s="25"/>
    </row>
    <row r="116" spans="1:30" x14ac:dyDescent="0.25">
      <c r="A116" s="18" t="str">
        <f t="shared" si="3"/>
        <v/>
      </c>
      <c r="B116" s="25"/>
      <c r="C116" s="25"/>
      <c r="D116" s="37"/>
      <c r="E116" s="25"/>
      <c r="F116" s="25"/>
      <c r="G116" s="38"/>
      <c r="H116" s="37"/>
      <c r="I116" s="25"/>
      <c r="J116" s="38"/>
      <c r="O116" s="37"/>
      <c r="P116" s="25"/>
      <c r="Q116" s="38"/>
      <c r="R116" s="37"/>
      <c r="S116" s="25"/>
      <c r="T116" s="25"/>
      <c r="U116" s="38"/>
      <c r="V116" s="26"/>
      <c r="W116" s="25"/>
      <c r="X116" s="25"/>
      <c r="Y116" s="25"/>
      <c r="Z116" s="25"/>
      <c r="AA116" s="25"/>
      <c r="AB116" s="25"/>
      <c r="AC116" s="25"/>
      <c r="AD116" s="25"/>
    </row>
    <row r="117" spans="1:30" x14ac:dyDescent="0.25">
      <c r="A117" s="18" t="str">
        <f t="shared" si="3"/>
        <v/>
      </c>
      <c r="B117" s="25"/>
      <c r="C117" s="25"/>
      <c r="D117" s="37"/>
      <c r="E117" s="25"/>
      <c r="F117" s="25"/>
      <c r="G117" s="38"/>
      <c r="H117" s="37"/>
      <c r="I117" s="25"/>
      <c r="J117" s="38"/>
      <c r="O117" s="37"/>
      <c r="P117" s="25"/>
      <c r="Q117" s="38"/>
      <c r="R117" s="37"/>
      <c r="S117" s="25"/>
      <c r="T117" s="25"/>
      <c r="U117" s="38"/>
      <c r="V117" s="26"/>
      <c r="W117" s="25"/>
      <c r="X117" s="25"/>
      <c r="Y117" s="25"/>
      <c r="Z117" s="25"/>
      <c r="AA117" s="25"/>
      <c r="AB117" s="25"/>
      <c r="AC117" s="25"/>
      <c r="AD117" s="25"/>
    </row>
    <row r="118" spans="1:30" x14ac:dyDescent="0.25">
      <c r="A118" s="18" t="str">
        <f t="shared" si="3"/>
        <v/>
      </c>
      <c r="B118" s="25"/>
      <c r="C118" s="25"/>
      <c r="D118" s="37"/>
      <c r="E118" s="25"/>
      <c r="F118" s="25"/>
      <c r="G118" s="38"/>
      <c r="H118" s="37"/>
      <c r="I118" s="25"/>
      <c r="J118" s="38"/>
      <c r="O118" s="37"/>
      <c r="P118" s="25"/>
      <c r="Q118" s="38"/>
      <c r="R118" s="37"/>
      <c r="S118" s="25"/>
      <c r="T118" s="25"/>
      <c r="U118" s="38"/>
      <c r="V118" s="26"/>
      <c r="W118" s="25"/>
      <c r="X118" s="25"/>
      <c r="Y118" s="25"/>
      <c r="Z118" s="25"/>
      <c r="AA118" s="25"/>
      <c r="AB118" s="25"/>
      <c r="AC118" s="25"/>
      <c r="AD118" s="25"/>
    </row>
    <row r="119" spans="1:30" x14ac:dyDescent="0.25">
      <c r="A119" s="18" t="str">
        <f t="shared" si="3"/>
        <v/>
      </c>
      <c r="B119" s="25"/>
      <c r="C119" s="25"/>
      <c r="D119" s="37"/>
      <c r="E119" s="25"/>
      <c r="F119" s="25"/>
      <c r="G119" s="38"/>
      <c r="H119" s="37"/>
      <c r="I119" s="25"/>
      <c r="J119" s="38"/>
      <c r="O119" s="37"/>
      <c r="P119" s="25"/>
      <c r="Q119" s="38"/>
      <c r="R119" s="37"/>
      <c r="S119" s="25"/>
      <c r="T119" s="25"/>
      <c r="U119" s="38"/>
      <c r="V119" s="26"/>
      <c r="W119" s="25"/>
      <c r="X119" s="25"/>
      <c r="Y119" s="25"/>
      <c r="Z119" s="25"/>
      <c r="AA119" s="25"/>
      <c r="AB119" s="25"/>
      <c r="AC119" s="25"/>
      <c r="AD119" s="25"/>
    </row>
    <row r="120" spans="1:30" x14ac:dyDescent="0.25">
      <c r="A120" s="18" t="str">
        <f t="shared" si="3"/>
        <v/>
      </c>
      <c r="B120" s="25"/>
      <c r="C120" s="25"/>
      <c r="D120" s="37"/>
      <c r="E120" s="25"/>
      <c r="F120" s="25"/>
      <c r="G120" s="38"/>
      <c r="H120" s="37"/>
      <c r="I120" s="25"/>
      <c r="J120" s="38"/>
      <c r="O120" s="37"/>
      <c r="P120" s="25"/>
      <c r="Q120" s="38"/>
      <c r="R120" s="37"/>
      <c r="S120" s="25"/>
      <c r="T120" s="25"/>
      <c r="U120" s="38"/>
      <c r="V120" s="26"/>
      <c r="W120" s="25"/>
      <c r="X120" s="25"/>
      <c r="Y120" s="25"/>
      <c r="Z120" s="25"/>
      <c r="AA120" s="25"/>
      <c r="AB120" s="25"/>
      <c r="AC120" s="25"/>
      <c r="AD120" s="25"/>
    </row>
    <row r="121" spans="1:30" x14ac:dyDescent="0.25">
      <c r="A121" s="18" t="str">
        <f t="shared" si="3"/>
        <v/>
      </c>
      <c r="B121" s="25"/>
      <c r="C121" s="25"/>
      <c r="D121" s="37"/>
      <c r="E121" s="25"/>
      <c r="F121" s="25"/>
      <c r="G121" s="38"/>
      <c r="H121" s="37"/>
      <c r="I121" s="25"/>
      <c r="J121" s="38"/>
      <c r="O121" s="37"/>
      <c r="P121" s="25"/>
      <c r="Q121" s="38"/>
      <c r="R121" s="37"/>
      <c r="S121" s="25"/>
      <c r="T121" s="25"/>
      <c r="U121" s="38"/>
      <c r="V121" s="26"/>
      <c r="W121" s="25"/>
      <c r="X121" s="25"/>
      <c r="Y121" s="25"/>
      <c r="Z121" s="25"/>
      <c r="AA121" s="25"/>
      <c r="AB121" s="25"/>
      <c r="AC121" s="25"/>
      <c r="AD121" s="25"/>
    </row>
    <row r="122" spans="1:30" x14ac:dyDescent="0.25">
      <c r="A122" s="18" t="str">
        <f t="shared" si="3"/>
        <v/>
      </c>
      <c r="B122" s="25"/>
      <c r="C122" s="25"/>
      <c r="D122" s="37"/>
      <c r="E122" s="25"/>
      <c r="F122" s="25"/>
      <c r="G122" s="38"/>
      <c r="H122" s="37"/>
      <c r="I122" s="25"/>
      <c r="J122" s="38"/>
      <c r="O122" s="37"/>
      <c r="P122" s="25"/>
      <c r="Q122" s="38"/>
      <c r="R122" s="37"/>
      <c r="S122" s="25"/>
      <c r="T122" s="25"/>
      <c r="U122" s="38"/>
      <c r="V122" s="26"/>
      <c r="W122" s="25"/>
      <c r="X122" s="25"/>
      <c r="Y122" s="25"/>
      <c r="Z122" s="25"/>
      <c r="AA122" s="25"/>
      <c r="AB122" s="25"/>
      <c r="AC122" s="25"/>
      <c r="AD122" s="25"/>
    </row>
    <row r="123" spans="1:30" x14ac:dyDescent="0.25">
      <c r="A123" s="18" t="str">
        <f t="shared" si="3"/>
        <v/>
      </c>
      <c r="B123" s="25"/>
      <c r="C123" s="25"/>
      <c r="D123" s="37"/>
      <c r="E123" s="25"/>
      <c r="F123" s="25"/>
      <c r="G123" s="38"/>
      <c r="H123" s="37"/>
      <c r="I123" s="25"/>
      <c r="J123" s="38"/>
      <c r="O123" s="37"/>
      <c r="P123" s="25"/>
      <c r="Q123" s="38"/>
      <c r="R123" s="37"/>
      <c r="S123" s="25"/>
      <c r="T123" s="25"/>
      <c r="U123" s="38"/>
      <c r="V123" s="26"/>
      <c r="W123" s="25"/>
      <c r="X123" s="25"/>
      <c r="Y123" s="25"/>
      <c r="Z123" s="25"/>
      <c r="AA123" s="25"/>
      <c r="AB123" s="25"/>
      <c r="AC123" s="25"/>
      <c r="AD123" s="25"/>
    </row>
    <row r="124" spans="1:30" x14ac:dyDescent="0.25">
      <c r="A124" s="18" t="str">
        <f t="shared" si="3"/>
        <v/>
      </c>
      <c r="B124" s="25"/>
      <c r="C124" s="25"/>
      <c r="D124" s="37"/>
      <c r="E124" s="25"/>
      <c r="F124" s="25"/>
      <c r="G124" s="38"/>
      <c r="H124" s="37"/>
      <c r="I124" s="25"/>
      <c r="J124" s="38"/>
      <c r="O124" s="37"/>
      <c r="P124" s="25"/>
      <c r="Q124" s="38"/>
      <c r="R124" s="37"/>
      <c r="S124" s="25"/>
      <c r="T124" s="25"/>
      <c r="U124" s="38"/>
      <c r="V124" s="26"/>
      <c r="W124" s="25"/>
      <c r="X124" s="25"/>
      <c r="Y124" s="25"/>
      <c r="Z124" s="25"/>
      <c r="AA124" s="25"/>
      <c r="AB124" s="25"/>
      <c r="AC124" s="25"/>
      <c r="AD124" s="25"/>
    </row>
    <row r="125" spans="1:30" x14ac:dyDescent="0.25">
      <c r="A125" s="18" t="str">
        <f t="shared" si="3"/>
        <v/>
      </c>
      <c r="B125" s="25"/>
      <c r="C125" s="25"/>
      <c r="D125" s="37"/>
      <c r="E125" s="25"/>
      <c r="F125" s="25"/>
      <c r="G125" s="38"/>
      <c r="H125" s="37"/>
      <c r="I125" s="25"/>
      <c r="J125" s="38"/>
      <c r="O125" s="37"/>
      <c r="P125" s="25"/>
      <c r="Q125" s="38"/>
      <c r="R125" s="37"/>
      <c r="S125" s="25"/>
      <c r="T125" s="25"/>
      <c r="U125" s="38"/>
      <c r="V125" s="26"/>
      <c r="W125" s="25"/>
      <c r="X125" s="25"/>
      <c r="Y125" s="25"/>
      <c r="Z125" s="25"/>
      <c r="AA125" s="25"/>
      <c r="AB125" s="25"/>
      <c r="AC125" s="25"/>
      <c r="AD125" s="25"/>
    </row>
    <row r="126" spans="1:30" x14ac:dyDescent="0.25">
      <c r="A126" s="18" t="str">
        <f t="shared" ref="A126:A189" si="4">IF(ISBLANK($B126)=FALSE,IF(AND($H126&gt;0,$I126&lt;=0,$J126&lt;=0),_xlfn.CONCAT("ofw_",$B126),IF(AND($H126&lt;=0,$I126&gt;0,$J126&lt;=0),_xlfn.CONCAT("owc_",$B126),IF(AND($H126&lt;=0,$I126&lt;=0,$J126&gt;0),_xlfn.CONCAT("opv_",$B126),_xlfn.CONCAT("oce_",$B126)))),"")</f>
        <v/>
      </c>
      <c r="B126" s="25"/>
      <c r="C126" s="25"/>
      <c r="D126" s="37"/>
      <c r="E126" s="25"/>
      <c r="F126" s="25"/>
      <c r="G126" s="38"/>
      <c r="H126" s="37"/>
      <c r="I126" s="25"/>
      <c r="J126" s="38"/>
      <c r="O126" s="37"/>
      <c r="P126" s="25"/>
      <c r="Q126" s="38"/>
      <c r="R126" s="37"/>
      <c r="S126" s="25"/>
      <c r="T126" s="25"/>
      <c r="U126" s="38"/>
      <c r="V126" s="26"/>
      <c r="W126" s="25"/>
      <c r="X126" s="25"/>
      <c r="Y126" s="25"/>
      <c r="Z126" s="25"/>
      <c r="AA126" s="25"/>
      <c r="AB126" s="25"/>
      <c r="AC126" s="25"/>
      <c r="AD126" s="25"/>
    </row>
    <row r="127" spans="1:30" x14ac:dyDescent="0.25">
      <c r="A127" s="18" t="str">
        <f t="shared" si="4"/>
        <v/>
      </c>
      <c r="B127" s="25"/>
      <c r="C127" s="25"/>
      <c r="D127" s="37"/>
      <c r="E127" s="25"/>
      <c r="F127" s="25"/>
      <c r="G127" s="38"/>
      <c r="H127" s="37"/>
      <c r="I127" s="25"/>
      <c r="J127" s="38"/>
      <c r="O127" s="37"/>
      <c r="P127" s="25"/>
      <c r="Q127" s="38"/>
      <c r="R127" s="37"/>
      <c r="S127" s="25"/>
      <c r="T127" s="25"/>
      <c r="U127" s="38"/>
      <c r="V127" s="26"/>
      <c r="W127" s="25"/>
      <c r="X127" s="25"/>
      <c r="Y127" s="25"/>
      <c r="Z127" s="25"/>
      <c r="AA127" s="25"/>
      <c r="AB127" s="25"/>
      <c r="AC127" s="25"/>
      <c r="AD127" s="25"/>
    </row>
    <row r="128" spans="1:30" x14ac:dyDescent="0.25">
      <c r="A128" s="18" t="str">
        <f t="shared" si="4"/>
        <v/>
      </c>
      <c r="B128" s="25"/>
      <c r="C128" s="25"/>
      <c r="D128" s="37"/>
      <c r="E128" s="25"/>
      <c r="F128" s="25"/>
      <c r="G128" s="38"/>
      <c r="H128" s="37"/>
      <c r="I128" s="25"/>
      <c r="J128" s="38"/>
      <c r="O128" s="37"/>
      <c r="P128" s="25"/>
      <c r="Q128" s="38"/>
      <c r="R128" s="37"/>
      <c r="S128" s="25"/>
      <c r="T128" s="25"/>
      <c r="U128" s="38"/>
      <c r="V128" s="26"/>
      <c r="W128" s="25"/>
      <c r="X128" s="25"/>
      <c r="Y128" s="25"/>
      <c r="Z128" s="25"/>
      <c r="AA128" s="25"/>
      <c r="AB128" s="25"/>
      <c r="AC128" s="25"/>
      <c r="AD128" s="25"/>
    </row>
    <row r="129" spans="1:30" x14ac:dyDescent="0.25">
      <c r="A129" s="18" t="str">
        <f t="shared" si="4"/>
        <v/>
      </c>
      <c r="B129" s="25"/>
      <c r="C129" s="25"/>
      <c r="D129" s="37"/>
      <c r="E129" s="25"/>
      <c r="F129" s="25"/>
      <c r="G129" s="38"/>
      <c r="H129" s="37"/>
      <c r="I129" s="25"/>
      <c r="J129" s="38"/>
      <c r="O129" s="37"/>
      <c r="P129" s="25"/>
      <c r="Q129" s="38"/>
      <c r="R129" s="37"/>
      <c r="S129" s="25"/>
      <c r="T129" s="25"/>
      <c r="U129" s="38"/>
      <c r="V129" s="26"/>
      <c r="W129" s="25"/>
      <c r="X129" s="25"/>
      <c r="Y129" s="25"/>
      <c r="Z129" s="25"/>
      <c r="AA129" s="25"/>
      <c r="AB129" s="25"/>
      <c r="AC129" s="25"/>
      <c r="AD129" s="25"/>
    </row>
    <row r="130" spans="1:30" x14ac:dyDescent="0.25">
      <c r="A130" s="18" t="str">
        <f t="shared" si="4"/>
        <v/>
      </c>
      <c r="B130" s="25"/>
      <c r="C130" s="25"/>
      <c r="D130" s="37"/>
      <c r="E130" s="25"/>
      <c r="F130" s="25"/>
      <c r="G130" s="38"/>
      <c r="H130" s="37"/>
      <c r="I130" s="25"/>
      <c r="J130" s="38"/>
      <c r="O130" s="37"/>
      <c r="P130" s="25"/>
      <c r="Q130" s="38"/>
      <c r="R130" s="37"/>
      <c r="S130" s="25"/>
      <c r="T130" s="25"/>
      <c r="U130" s="38"/>
      <c r="V130" s="26"/>
      <c r="W130" s="25"/>
      <c r="X130" s="25"/>
      <c r="Y130" s="25"/>
      <c r="Z130" s="25"/>
      <c r="AA130" s="25"/>
      <c r="AB130" s="25"/>
      <c r="AC130" s="25"/>
      <c r="AD130" s="25"/>
    </row>
    <row r="131" spans="1:30" x14ac:dyDescent="0.25">
      <c r="A131" s="18" t="str">
        <f t="shared" si="4"/>
        <v/>
      </c>
      <c r="B131" s="25"/>
      <c r="C131" s="25"/>
      <c r="D131" s="37"/>
      <c r="E131" s="25"/>
      <c r="F131" s="25"/>
      <c r="G131" s="38"/>
      <c r="H131" s="37"/>
      <c r="I131" s="25"/>
      <c r="J131" s="38"/>
      <c r="O131" s="37"/>
      <c r="P131" s="25"/>
      <c r="Q131" s="38"/>
      <c r="R131" s="37"/>
      <c r="S131" s="25"/>
      <c r="T131" s="25"/>
      <c r="U131" s="38"/>
      <c r="V131" s="26"/>
      <c r="W131" s="25"/>
      <c r="X131" s="25"/>
      <c r="Y131" s="25"/>
      <c r="Z131" s="25"/>
      <c r="AA131" s="25"/>
      <c r="AB131" s="25"/>
      <c r="AC131" s="25"/>
      <c r="AD131" s="25"/>
    </row>
    <row r="132" spans="1:30" x14ac:dyDescent="0.25">
      <c r="A132" s="18" t="str">
        <f t="shared" si="4"/>
        <v/>
      </c>
      <c r="B132" s="25"/>
      <c r="C132" s="25"/>
      <c r="D132" s="37"/>
      <c r="E132" s="25"/>
      <c r="F132" s="25"/>
      <c r="G132" s="38"/>
      <c r="H132" s="37"/>
      <c r="I132" s="25"/>
      <c r="J132" s="38"/>
      <c r="O132" s="37"/>
      <c r="P132" s="25"/>
      <c r="Q132" s="38"/>
      <c r="R132" s="37"/>
      <c r="S132" s="25"/>
      <c r="T132" s="25"/>
      <c r="U132" s="38"/>
      <c r="V132" s="26"/>
      <c r="W132" s="25"/>
      <c r="X132" s="25"/>
      <c r="Y132" s="25"/>
      <c r="Z132" s="25"/>
      <c r="AA132" s="25"/>
      <c r="AB132" s="25"/>
      <c r="AC132" s="25"/>
      <c r="AD132" s="25"/>
    </row>
    <row r="133" spans="1:30" x14ac:dyDescent="0.25">
      <c r="A133" s="18" t="str">
        <f t="shared" si="4"/>
        <v/>
      </c>
      <c r="B133" s="25"/>
      <c r="C133" s="25"/>
      <c r="D133" s="37"/>
      <c r="E133" s="25"/>
      <c r="F133" s="25"/>
      <c r="G133" s="38"/>
      <c r="H133" s="37"/>
      <c r="I133" s="25"/>
      <c r="J133" s="38"/>
      <c r="O133" s="37"/>
      <c r="P133" s="25"/>
      <c r="Q133" s="38"/>
      <c r="R133" s="37"/>
      <c r="S133" s="25"/>
      <c r="T133" s="25"/>
      <c r="U133" s="38"/>
      <c r="V133" s="26"/>
      <c r="W133" s="25"/>
      <c r="X133" s="25"/>
      <c r="Y133" s="25"/>
      <c r="Z133" s="25"/>
      <c r="AA133" s="25"/>
      <c r="AB133" s="25"/>
      <c r="AC133" s="25"/>
      <c r="AD133" s="25"/>
    </row>
    <row r="134" spans="1:30" x14ac:dyDescent="0.25">
      <c r="A134" s="18" t="str">
        <f t="shared" si="4"/>
        <v/>
      </c>
      <c r="B134" s="25"/>
      <c r="C134" s="25"/>
      <c r="D134" s="37"/>
      <c r="E134" s="25"/>
      <c r="F134" s="25"/>
      <c r="G134" s="38"/>
      <c r="H134" s="37"/>
      <c r="I134" s="25"/>
      <c r="J134" s="38"/>
      <c r="O134" s="37"/>
      <c r="P134" s="25"/>
      <c r="Q134" s="38"/>
      <c r="R134" s="37"/>
      <c r="S134" s="25"/>
      <c r="T134" s="25"/>
      <c r="U134" s="38"/>
      <c r="V134" s="26"/>
      <c r="W134" s="25"/>
      <c r="X134" s="25"/>
      <c r="Y134" s="25"/>
      <c r="Z134" s="25"/>
      <c r="AA134" s="25"/>
      <c r="AB134" s="25"/>
      <c r="AC134" s="25"/>
      <c r="AD134" s="25"/>
    </row>
    <row r="135" spans="1:30" x14ac:dyDescent="0.25">
      <c r="A135" s="18" t="str">
        <f t="shared" si="4"/>
        <v/>
      </c>
      <c r="B135" s="25"/>
      <c r="C135" s="25"/>
      <c r="D135" s="37"/>
      <c r="E135" s="25"/>
      <c r="F135" s="25"/>
      <c r="G135" s="38"/>
      <c r="H135" s="37"/>
      <c r="I135" s="25"/>
      <c r="J135" s="38"/>
      <c r="O135" s="37"/>
      <c r="P135" s="25"/>
      <c r="Q135" s="38"/>
      <c r="R135" s="37"/>
      <c r="S135" s="25"/>
      <c r="T135" s="25"/>
      <c r="U135" s="38"/>
      <c r="V135" s="26"/>
      <c r="W135" s="25"/>
      <c r="X135" s="25"/>
      <c r="Y135" s="25"/>
      <c r="Z135" s="25"/>
      <c r="AA135" s="25"/>
      <c r="AB135" s="25"/>
      <c r="AC135" s="25"/>
      <c r="AD135" s="25"/>
    </row>
    <row r="136" spans="1:30" x14ac:dyDescent="0.25">
      <c r="A136" s="18" t="str">
        <f t="shared" si="4"/>
        <v/>
      </c>
      <c r="B136" s="25"/>
      <c r="C136" s="25"/>
      <c r="D136" s="37"/>
      <c r="E136" s="25"/>
      <c r="F136" s="25"/>
      <c r="G136" s="38"/>
      <c r="H136" s="37"/>
      <c r="I136" s="25"/>
      <c r="J136" s="38"/>
      <c r="O136" s="37"/>
      <c r="P136" s="25"/>
      <c r="Q136" s="38"/>
      <c r="R136" s="37"/>
      <c r="S136" s="25"/>
      <c r="T136" s="25"/>
      <c r="U136" s="38"/>
      <c r="V136" s="26"/>
      <c r="W136" s="25"/>
      <c r="X136" s="25"/>
      <c r="Y136" s="25"/>
      <c r="Z136" s="25"/>
      <c r="AA136" s="25"/>
      <c r="AB136" s="25"/>
      <c r="AC136" s="25"/>
      <c r="AD136" s="25"/>
    </row>
    <row r="137" spans="1:30" x14ac:dyDescent="0.25">
      <c r="A137" s="18" t="str">
        <f t="shared" si="4"/>
        <v/>
      </c>
      <c r="B137" s="25"/>
      <c r="C137" s="25"/>
      <c r="D137" s="37"/>
      <c r="E137" s="25"/>
      <c r="F137" s="25"/>
      <c r="G137" s="38"/>
      <c r="H137" s="37"/>
      <c r="I137" s="25"/>
      <c r="J137" s="38"/>
      <c r="O137" s="37"/>
      <c r="P137" s="25"/>
      <c r="Q137" s="38"/>
      <c r="R137" s="37"/>
      <c r="S137" s="25"/>
      <c r="T137" s="25"/>
      <c r="U137" s="38"/>
      <c r="V137" s="26"/>
      <c r="W137" s="25"/>
      <c r="X137" s="25"/>
      <c r="Y137" s="25"/>
      <c r="Z137" s="25"/>
      <c r="AA137" s="25"/>
      <c r="AB137" s="25"/>
      <c r="AC137" s="25"/>
      <c r="AD137" s="25"/>
    </row>
    <row r="138" spans="1:30" x14ac:dyDescent="0.25">
      <c r="A138" s="18" t="str">
        <f t="shared" si="4"/>
        <v/>
      </c>
      <c r="B138" s="25"/>
      <c r="C138" s="25"/>
      <c r="D138" s="37"/>
      <c r="E138" s="25"/>
      <c r="F138" s="25"/>
      <c r="G138" s="38"/>
      <c r="H138" s="37"/>
      <c r="I138" s="25"/>
      <c r="J138" s="38"/>
      <c r="O138" s="37"/>
      <c r="P138" s="25"/>
      <c r="Q138" s="38"/>
      <c r="R138" s="37"/>
      <c r="S138" s="25"/>
      <c r="T138" s="25"/>
      <c r="U138" s="38"/>
      <c r="V138" s="26"/>
      <c r="W138" s="25"/>
      <c r="X138" s="25"/>
      <c r="Y138" s="25"/>
      <c r="Z138" s="25"/>
      <c r="AA138" s="25"/>
      <c r="AB138" s="25"/>
      <c r="AC138" s="25"/>
      <c r="AD138" s="25"/>
    </row>
    <row r="139" spans="1:30" x14ac:dyDescent="0.25">
      <c r="A139" s="18" t="str">
        <f t="shared" si="4"/>
        <v/>
      </c>
      <c r="B139" s="25"/>
      <c r="C139" s="25"/>
      <c r="D139" s="37"/>
      <c r="E139" s="25"/>
      <c r="F139" s="25"/>
      <c r="G139" s="38"/>
      <c r="H139" s="37"/>
      <c r="I139" s="25"/>
      <c r="J139" s="38"/>
      <c r="O139" s="37"/>
      <c r="P139" s="25"/>
      <c r="Q139" s="38"/>
      <c r="R139" s="37"/>
      <c r="S139" s="25"/>
      <c r="T139" s="25"/>
      <c r="U139" s="38"/>
      <c r="V139" s="26"/>
      <c r="W139" s="25"/>
      <c r="X139" s="25"/>
      <c r="Y139" s="25"/>
      <c r="Z139" s="25"/>
      <c r="AA139" s="25"/>
      <c r="AB139" s="25"/>
      <c r="AC139" s="25"/>
      <c r="AD139" s="25"/>
    </row>
    <row r="140" spans="1:30" x14ac:dyDescent="0.25">
      <c r="A140" s="18" t="str">
        <f t="shared" si="4"/>
        <v/>
      </c>
      <c r="B140" s="25"/>
      <c r="C140" s="25"/>
      <c r="D140" s="37"/>
      <c r="E140" s="25"/>
      <c r="F140" s="25"/>
      <c r="G140" s="38"/>
      <c r="H140" s="37"/>
      <c r="I140" s="25"/>
      <c r="J140" s="38"/>
      <c r="O140" s="37"/>
      <c r="P140" s="25"/>
      <c r="Q140" s="38"/>
      <c r="R140" s="37"/>
      <c r="S140" s="25"/>
      <c r="T140" s="25"/>
      <c r="U140" s="38"/>
      <c r="V140" s="26"/>
      <c r="W140" s="25"/>
      <c r="X140" s="25"/>
      <c r="Y140" s="25"/>
      <c r="Z140" s="25"/>
      <c r="AA140" s="25"/>
      <c r="AB140" s="25"/>
      <c r="AC140" s="25"/>
      <c r="AD140" s="25"/>
    </row>
    <row r="141" spans="1:30" x14ac:dyDescent="0.25">
      <c r="A141" s="18" t="str">
        <f t="shared" si="4"/>
        <v/>
      </c>
      <c r="B141" s="25"/>
      <c r="C141" s="25"/>
      <c r="D141" s="37"/>
      <c r="E141" s="25"/>
      <c r="F141" s="25"/>
      <c r="G141" s="38"/>
      <c r="H141" s="37"/>
      <c r="I141" s="25"/>
      <c r="J141" s="38"/>
      <c r="O141" s="37"/>
      <c r="P141" s="25"/>
      <c r="Q141" s="38"/>
      <c r="R141" s="37"/>
      <c r="S141" s="25"/>
      <c r="T141" s="25"/>
      <c r="U141" s="38"/>
      <c r="V141" s="26"/>
      <c r="W141" s="25"/>
      <c r="X141" s="25"/>
      <c r="Y141" s="25"/>
      <c r="Z141" s="25"/>
      <c r="AA141" s="25"/>
      <c r="AB141" s="25"/>
      <c r="AC141" s="25"/>
      <c r="AD141" s="25"/>
    </row>
    <row r="142" spans="1:30" x14ac:dyDescent="0.25">
      <c r="A142" s="18" t="str">
        <f t="shared" si="4"/>
        <v/>
      </c>
      <c r="B142" s="25"/>
      <c r="C142" s="25"/>
      <c r="D142" s="37"/>
      <c r="E142" s="25"/>
      <c r="F142" s="25"/>
      <c r="G142" s="38"/>
      <c r="H142" s="37"/>
      <c r="I142" s="25"/>
      <c r="J142" s="38"/>
      <c r="O142" s="37"/>
      <c r="P142" s="25"/>
      <c r="Q142" s="38"/>
      <c r="R142" s="37"/>
      <c r="S142" s="25"/>
      <c r="T142" s="25"/>
      <c r="U142" s="38"/>
      <c r="V142" s="26"/>
      <c r="W142" s="25"/>
      <c r="X142" s="25"/>
      <c r="Y142" s="25"/>
      <c r="Z142" s="25"/>
      <c r="AA142" s="25"/>
      <c r="AB142" s="25"/>
      <c r="AC142" s="25"/>
      <c r="AD142" s="25"/>
    </row>
    <row r="143" spans="1:30" x14ac:dyDescent="0.25">
      <c r="A143" s="18" t="str">
        <f t="shared" si="4"/>
        <v/>
      </c>
      <c r="B143" s="25"/>
      <c r="C143" s="25"/>
      <c r="D143" s="37"/>
      <c r="E143" s="25"/>
      <c r="F143" s="25"/>
      <c r="G143" s="38"/>
      <c r="H143" s="37"/>
      <c r="I143" s="25"/>
      <c r="J143" s="38"/>
      <c r="O143" s="37"/>
      <c r="P143" s="25"/>
      <c r="Q143" s="38"/>
      <c r="R143" s="37"/>
      <c r="S143" s="25"/>
      <c r="T143" s="25"/>
      <c r="U143" s="38"/>
      <c r="V143" s="26"/>
      <c r="W143" s="25"/>
      <c r="X143" s="25"/>
      <c r="Y143" s="25"/>
      <c r="Z143" s="25"/>
      <c r="AA143" s="25"/>
      <c r="AB143" s="25"/>
      <c r="AC143" s="25"/>
      <c r="AD143" s="25"/>
    </row>
    <row r="144" spans="1:30" x14ac:dyDescent="0.25">
      <c r="A144" s="18" t="str">
        <f t="shared" si="4"/>
        <v/>
      </c>
      <c r="B144" s="25"/>
      <c r="C144" s="25"/>
      <c r="D144" s="37"/>
      <c r="E144" s="25"/>
      <c r="F144" s="25"/>
      <c r="G144" s="38"/>
      <c r="H144" s="37"/>
      <c r="I144" s="25"/>
      <c r="J144" s="38"/>
      <c r="O144" s="37"/>
      <c r="P144" s="25"/>
      <c r="Q144" s="38"/>
      <c r="R144" s="37"/>
      <c r="S144" s="25"/>
      <c r="T144" s="25"/>
      <c r="U144" s="38"/>
      <c r="V144" s="26"/>
      <c r="W144" s="25"/>
      <c r="X144" s="25"/>
      <c r="Y144" s="25"/>
      <c r="Z144" s="25"/>
      <c r="AA144" s="25"/>
      <c r="AB144" s="25"/>
      <c r="AC144" s="25"/>
      <c r="AD144" s="25"/>
    </row>
    <row r="145" spans="1:30" x14ac:dyDescent="0.25">
      <c r="A145" s="18" t="str">
        <f t="shared" si="4"/>
        <v/>
      </c>
      <c r="B145" s="25"/>
      <c r="C145" s="25"/>
      <c r="D145" s="37"/>
      <c r="E145" s="25"/>
      <c r="F145" s="25"/>
      <c r="G145" s="38"/>
      <c r="H145" s="37"/>
      <c r="I145" s="25"/>
      <c r="J145" s="38"/>
      <c r="O145" s="37"/>
      <c r="P145" s="25"/>
      <c r="Q145" s="38"/>
      <c r="R145" s="37"/>
      <c r="S145" s="25"/>
      <c r="T145" s="25"/>
      <c r="U145" s="38"/>
      <c r="V145" s="26"/>
      <c r="W145" s="25"/>
      <c r="X145" s="25"/>
      <c r="Y145" s="25"/>
      <c r="Z145" s="25"/>
      <c r="AA145" s="25"/>
      <c r="AB145" s="25"/>
      <c r="AC145" s="25"/>
      <c r="AD145" s="25"/>
    </row>
    <row r="146" spans="1:30" x14ac:dyDescent="0.25">
      <c r="A146" s="18" t="str">
        <f t="shared" si="4"/>
        <v/>
      </c>
      <c r="B146" s="25"/>
      <c r="C146" s="25"/>
      <c r="D146" s="37"/>
      <c r="E146" s="25"/>
      <c r="F146" s="25"/>
      <c r="G146" s="38"/>
      <c r="H146" s="37"/>
      <c r="I146" s="25"/>
      <c r="J146" s="38"/>
      <c r="O146" s="37"/>
      <c r="P146" s="25"/>
      <c r="Q146" s="38"/>
      <c r="R146" s="37"/>
      <c r="S146" s="25"/>
      <c r="T146" s="25"/>
      <c r="U146" s="38"/>
      <c r="V146" s="26"/>
      <c r="W146" s="25"/>
      <c r="X146" s="25"/>
      <c r="Y146" s="25"/>
      <c r="Z146" s="25"/>
      <c r="AA146" s="25"/>
      <c r="AB146" s="25"/>
      <c r="AC146" s="25"/>
      <c r="AD146" s="25"/>
    </row>
    <row r="147" spans="1:30" x14ac:dyDescent="0.25">
      <c r="A147" s="18" t="str">
        <f t="shared" si="4"/>
        <v/>
      </c>
      <c r="B147" s="25"/>
      <c r="C147" s="25"/>
      <c r="D147" s="37"/>
      <c r="E147" s="25"/>
      <c r="F147" s="25"/>
      <c r="G147" s="38"/>
      <c r="H147" s="37"/>
      <c r="I147" s="25"/>
      <c r="J147" s="38"/>
      <c r="O147" s="37"/>
      <c r="P147" s="25"/>
      <c r="Q147" s="38"/>
      <c r="R147" s="37"/>
      <c r="S147" s="25"/>
      <c r="T147" s="25"/>
      <c r="U147" s="38"/>
      <c r="V147" s="26"/>
      <c r="W147" s="25"/>
      <c r="X147" s="25"/>
      <c r="Y147" s="25"/>
      <c r="Z147" s="25"/>
      <c r="AA147" s="25"/>
      <c r="AB147" s="25"/>
      <c r="AC147" s="25"/>
      <c r="AD147" s="25"/>
    </row>
    <row r="148" spans="1:30" x14ac:dyDescent="0.25">
      <c r="A148" s="18" t="str">
        <f t="shared" si="4"/>
        <v/>
      </c>
      <c r="B148" s="25"/>
      <c r="C148" s="25"/>
      <c r="D148" s="37"/>
      <c r="E148" s="25"/>
      <c r="F148" s="25"/>
      <c r="G148" s="38"/>
      <c r="H148" s="37"/>
      <c r="I148" s="25"/>
      <c r="J148" s="38"/>
      <c r="O148" s="37"/>
      <c r="P148" s="25"/>
      <c r="Q148" s="38"/>
      <c r="R148" s="37"/>
      <c r="S148" s="25"/>
      <c r="T148" s="25"/>
      <c r="U148" s="38"/>
      <c r="V148" s="26"/>
      <c r="W148" s="25"/>
      <c r="X148" s="25"/>
      <c r="Y148" s="25"/>
      <c r="Z148" s="25"/>
      <c r="AA148" s="25"/>
      <c r="AB148" s="25"/>
      <c r="AC148" s="25"/>
      <c r="AD148" s="25"/>
    </row>
    <row r="149" spans="1:30" x14ac:dyDescent="0.25">
      <c r="A149" s="18" t="str">
        <f t="shared" si="4"/>
        <v/>
      </c>
      <c r="B149" s="25"/>
      <c r="C149" s="25"/>
      <c r="D149" s="37"/>
      <c r="E149" s="25"/>
      <c r="F149" s="25"/>
      <c r="G149" s="38"/>
      <c r="H149" s="37"/>
      <c r="I149" s="25"/>
      <c r="J149" s="38"/>
      <c r="O149" s="37"/>
      <c r="P149" s="25"/>
      <c r="Q149" s="38"/>
      <c r="R149" s="37"/>
      <c r="S149" s="25"/>
      <c r="T149" s="25"/>
      <c r="U149" s="38"/>
      <c r="V149" s="26"/>
      <c r="W149" s="25"/>
      <c r="X149" s="25"/>
      <c r="Y149" s="25"/>
      <c r="Z149" s="25"/>
      <c r="AA149" s="25"/>
      <c r="AB149" s="25"/>
      <c r="AC149" s="25"/>
      <c r="AD149" s="25"/>
    </row>
    <row r="150" spans="1:30" x14ac:dyDescent="0.25">
      <c r="A150" s="18" t="str">
        <f t="shared" si="4"/>
        <v/>
      </c>
      <c r="B150" s="25"/>
      <c r="C150" s="25"/>
      <c r="D150" s="37"/>
      <c r="E150" s="25"/>
      <c r="F150" s="25"/>
      <c r="G150" s="38"/>
      <c r="H150" s="37"/>
      <c r="I150" s="25"/>
      <c r="J150" s="38"/>
      <c r="O150" s="37"/>
      <c r="P150" s="25"/>
      <c r="Q150" s="38"/>
      <c r="R150" s="37"/>
      <c r="S150" s="25"/>
      <c r="T150" s="25"/>
      <c r="U150" s="38"/>
      <c r="V150" s="26"/>
      <c r="W150" s="25"/>
      <c r="X150" s="25"/>
      <c r="Y150" s="25"/>
      <c r="Z150" s="25"/>
      <c r="AA150" s="25"/>
      <c r="AB150" s="25"/>
      <c r="AC150" s="25"/>
      <c r="AD150" s="25"/>
    </row>
    <row r="151" spans="1:30" x14ac:dyDescent="0.25">
      <c r="A151" s="18" t="str">
        <f t="shared" si="4"/>
        <v/>
      </c>
      <c r="B151" s="25"/>
      <c r="C151" s="25"/>
      <c r="D151" s="37"/>
      <c r="E151" s="25"/>
      <c r="F151" s="25"/>
      <c r="G151" s="38"/>
      <c r="H151" s="37"/>
      <c r="I151" s="25"/>
      <c r="J151" s="38"/>
      <c r="O151" s="37"/>
      <c r="P151" s="25"/>
      <c r="Q151" s="38"/>
      <c r="R151" s="37"/>
      <c r="S151" s="25"/>
      <c r="T151" s="25"/>
      <c r="U151" s="38"/>
      <c r="V151" s="26"/>
      <c r="W151" s="25"/>
      <c r="X151" s="25"/>
      <c r="Y151" s="25"/>
      <c r="Z151" s="25"/>
      <c r="AA151" s="25"/>
      <c r="AB151" s="25"/>
      <c r="AC151" s="25"/>
      <c r="AD151" s="25"/>
    </row>
    <row r="152" spans="1:30" x14ac:dyDescent="0.25">
      <c r="A152" s="18" t="str">
        <f t="shared" si="4"/>
        <v/>
      </c>
      <c r="B152" s="25"/>
      <c r="C152" s="25"/>
      <c r="D152" s="37"/>
      <c r="E152" s="25"/>
      <c r="F152" s="25"/>
      <c r="G152" s="38"/>
      <c r="H152" s="37"/>
      <c r="I152" s="25"/>
      <c r="J152" s="38"/>
      <c r="O152" s="37"/>
      <c r="P152" s="25"/>
      <c r="Q152" s="38"/>
      <c r="R152" s="37"/>
      <c r="S152" s="25"/>
      <c r="T152" s="25"/>
      <c r="U152" s="38"/>
      <c r="V152" s="26"/>
      <c r="W152" s="25"/>
      <c r="X152" s="25"/>
      <c r="Y152" s="25"/>
      <c r="Z152" s="25"/>
      <c r="AA152" s="25"/>
      <c r="AB152" s="25"/>
      <c r="AC152" s="25"/>
      <c r="AD152" s="25"/>
    </row>
    <row r="153" spans="1:30" x14ac:dyDescent="0.25">
      <c r="A153" s="18" t="str">
        <f t="shared" si="4"/>
        <v/>
      </c>
      <c r="B153" s="25"/>
      <c r="C153" s="25"/>
      <c r="D153" s="37"/>
      <c r="E153" s="25"/>
      <c r="F153" s="25"/>
      <c r="G153" s="38"/>
      <c r="H153" s="37"/>
      <c r="I153" s="25"/>
      <c r="J153" s="38"/>
      <c r="O153" s="37"/>
      <c r="P153" s="25"/>
      <c r="Q153" s="38"/>
      <c r="R153" s="37"/>
      <c r="S153" s="25"/>
      <c r="T153" s="25"/>
      <c r="U153" s="38"/>
      <c r="V153" s="26"/>
      <c r="W153" s="25"/>
      <c r="X153" s="25"/>
      <c r="Y153" s="25"/>
      <c r="Z153" s="25"/>
      <c r="AA153" s="25"/>
      <c r="AB153" s="25"/>
      <c r="AC153" s="25"/>
      <c r="AD153" s="25"/>
    </row>
    <row r="154" spans="1:30" x14ac:dyDescent="0.25">
      <c r="A154" s="18" t="str">
        <f t="shared" si="4"/>
        <v/>
      </c>
      <c r="B154" s="25"/>
      <c r="C154" s="25"/>
      <c r="D154" s="37"/>
      <c r="E154" s="25"/>
      <c r="F154" s="25"/>
      <c r="G154" s="38"/>
      <c r="H154" s="37"/>
      <c r="I154" s="25"/>
      <c r="J154" s="38"/>
      <c r="O154" s="37"/>
      <c r="P154" s="25"/>
      <c r="Q154" s="38"/>
      <c r="R154" s="37"/>
      <c r="S154" s="25"/>
      <c r="T154" s="25"/>
      <c r="U154" s="38"/>
      <c r="V154" s="26"/>
      <c r="W154" s="25"/>
      <c r="X154" s="25"/>
      <c r="Y154" s="25"/>
      <c r="Z154" s="25"/>
      <c r="AA154" s="25"/>
      <c r="AB154" s="25"/>
      <c r="AC154" s="25"/>
      <c r="AD154" s="25"/>
    </row>
    <row r="155" spans="1:30" x14ac:dyDescent="0.25">
      <c r="A155" s="18" t="str">
        <f t="shared" si="4"/>
        <v/>
      </c>
      <c r="B155" s="25"/>
      <c r="C155" s="25"/>
      <c r="D155" s="37"/>
      <c r="E155" s="25"/>
      <c r="F155" s="25"/>
      <c r="G155" s="38"/>
      <c r="H155" s="37"/>
      <c r="I155" s="25"/>
      <c r="J155" s="38"/>
      <c r="O155" s="37"/>
      <c r="P155" s="25"/>
      <c r="Q155" s="38"/>
      <c r="R155" s="37"/>
      <c r="S155" s="25"/>
      <c r="T155" s="25"/>
      <c r="U155" s="38"/>
      <c r="V155" s="26"/>
      <c r="W155" s="25"/>
      <c r="X155" s="25"/>
      <c r="Y155" s="25"/>
      <c r="Z155" s="25"/>
      <c r="AA155" s="25"/>
      <c r="AB155" s="25"/>
      <c r="AC155" s="25"/>
      <c r="AD155" s="25"/>
    </row>
    <row r="156" spans="1:30" x14ac:dyDescent="0.25">
      <c r="A156" s="18" t="str">
        <f t="shared" si="4"/>
        <v/>
      </c>
      <c r="B156" s="25"/>
      <c r="C156" s="25"/>
      <c r="D156" s="37"/>
      <c r="E156" s="25"/>
      <c r="F156" s="25"/>
      <c r="G156" s="38"/>
      <c r="H156" s="37"/>
      <c r="I156" s="25"/>
      <c r="J156" s="38"/>
      <c r="O156" s="37"/>
      <c r="P156" s="25"/>
      <c r="Q156" s="38"/>
      <c r="R156" s="37"/>
      <c r="S156" s="25"/>
      <c r="T156" s="25"/>
      <c r="U156" s="38"/>
      <c r="V156" s="26"/>
      <c r="W156" s="25"/>
      <c r="X156" s="25"/>
      <c r="Y156" s="25"/>
      <c r="Z156" s="25"/>
      <c r="AA156" s="25"/>
      <c r="AB156" s="25"/>
      <c r="AC156" s="25"/>
      <c r="AD156" s="25"/>
    </row>
    <row r="157" spans="1:30" x14ac:dyDescent="0.25">
      <c r="A157" s="18" t="str">
        <f t="shared" si="4"/>
        <v/>
      </c>
      <c r="B157" s="25"/>
      <c r="C157" s="25"/>
      <c r="D157" s="37"/>
      <c r="E157" s="25"/>
      <c r="F157" s="25"/>
      <c r="G157" s="38"/>
      <c r="H157" s="37"/>
      <c r="I157" s="25"/>
      <c r="J157" s="38"/>
      <c r="O157" s="37"/>
      <c r="P157" s="25"/>
      <c r="Q157" s="38"/>
      <c r="R157" s="37"/>
      <c r="S157" s="25"/>
      <c r="T157" s="25"/>
      <c r="U157" s="38"/>
      <c r="V157" s="26"/>
      <c r="W157" s="25"/>
      <c r="X157" s="25"/>
      <c r="Y157" s="25"/>
      <c r="Z157" s="25"/>
      <c r="AA157" s="25"/>
      <c r="AB157" s="25"/>
      <c r="AC157" s="25"/>
      <c r="AD157" s="25"/>
    </row>
    <row r="158" spans="1:30" x14ac:dyDescent="0.25">
      <c r="A158" s="18" t="str">
        <f t="shared" si="4"/>
        <v/>
      </c>
      <c r="B158" s="25"/>
      <c r="C158" s="25"/>
      <c r="D158" s="37"/>
      <c r="E158" s="25"/>
      <c r="F158" s="25"/>
      <c r="G158" s="38"/>
      <c r="H158" s="37"/>
      <c r="I158" s="25"/>
      <c r="J158" s="38"/>
      <c r="O158" s="37"/>
      <c r="P158" s="25"/>
      <c r="Q158" s="38"/>
      <c r="R158" s="37"/>
      <c r="S158" s="25"/>
      <c r="T158" s="25"/>
      <c r="U158" s="38"/>
      <c r="V158" s="26"/>
      <c r="W158" s="25"/>
      <c r="X158" s="25"/>
      <c r="Y158" s="25"/>
      <c r="Z158" s="25"/>
      <c r="AA158" s="25"/>
      <c r="AB158" s="25"/>
      <c r="AC158" s="25"/>
      <c r="AD158" s="25"/>
    </row>
    <row r="159" spans="1:30" x14ac:dyDescent="0.25">
      <c r="A159" s="18" t="str">
        <f t="shared" si="4"/>
        <v/>
      </c>
      <c r="B159" s="25"/>
      <c r="C159" s="25"/>
      <c r="D159" s="37"/>
      <c r="E159" s="25"/>
      <c r="F159" s="25"/>
      <c r="G159" s="38"/>
      <c r="H159" s="37"/>
      <c r="I159" s="25"/>
      <c r="J159" s="38"/>
      <c r="O159" s="37"/>
      <c r="P159" s="25"/>
      <c r="Q159" s="38"/>
      <c r="R159" s="37"/>
      <c r="S159" s="25"/>
      <c r="T159" s="25"/>
      <c r="U159" s="38"/>
      <c r="V159" s="26"/>
      <c r="W159" s="25"/>
      <c r="X159" s="25"/>
      <c r="Y159" s="25"/>
      <c r="Z159" s="25"/>
      <c r="AA159" s="25"/>
      <c r="AB159" s="25"/>
      <c r="AC159" s="25"/>
      <c r="AD159" s="25"/>
    </row>
    <row r="160" spans="1:30" x14ac:dyDescent="0.25">
      <c r="A160" s="18" t="str">
        <f t="shared" si="4"/>
        <v/>
      </c>
      <c r="B160" s="25"/>
      <c r="C160" s="25"/>
      <c r="D160" s="37"/>
      <c r="E160" s="25"/>
      <c r="F160" s="25"/>
      <c r="G160" s="38"/>
      <c r="H160" s="37"/>
      <c r="I160" s="25"/>
      <c r="J160" s="38"/>
      <c r="O160" s="37"/>
      <c r="P160" s="25"/>
      <c r="Q160" s="38"/>
      <c r="R160" s="37"/>
      <c r="S160" s="25"/>
      <c r="T160" s="25"/>
      <c r="U160" s="38"/>
      <c r="V160" s="26"/>
      <c r="W160" s="25"/>
      <c r="X160" s="25"/>
      <c r="Y160" s="25"/>
      <c r="Z160" s="25"/>
      <c r="AA160" s="25"/>
      <c r="AB160" s="25"/>
      <c r="AC160" s="25"/>
      <c r="AD160" s="25"/>
    </row>
    <row r="161" spans="1:30" x14ac:dyDescent="0.25">
      <c r="A161" s="18" t="str">
        <f t="shared" si="4"/>
        <v/>
      </c>
      <c r="B161" s="25"/>
      <c r="C161" s="25"/>
      <c r="D161" s="37"/>
      <c r="E161" s="25"/>
      <c r="F161" s="25"/>
      <c r="G161" s="38"/>
      <c r="H161" s="37"/>
      <c r="I161" s="25"/>
      <c r="J161" s="38"/>
      <c r="O161" s="37"/>
      <c r="P161" s="25"/>
      <c r="Q161" s="38"/>
      <c r="R161" s="37"/>
      <c r="S161" s="25"/>
      <c r="T161" s="25"/>
      <c r="U161" s="38"/>
      <c r="V161" s="26"/>
      <c r="W161" s="25"/>
      <c r="X161" s="25"/>
      <c r="Y161" s="25"/>
      <c r="Z161" s="25"/>
      <c r="AA161" s="25"/>
      <c r="AB161" s="25"/>
      <c r="AC161" s="25"/>
      <c r="AD161" s="25"/>
    </row>
    <row r="162" spans="1:30" x14ac:dyDescent="0.25">
      <c r="A162" s="18" t="str">
        <f t="shared" si="4"/>
        <v/>
      </c>
      <c r="B162" s="25"/>
      <c r="C162" s="25"/>
      <c r="D162" s="37"/>
      <c r="E162" s="25"/>
      <c r="F162" s="25"/>
      <c r="G162" s="38"/>
      <c r="H162" s="37"/>
      <c r="I162" s="25"/>
      <c r="J162" s="38"/>
      <c r="O162" s="37"/>
      <c r="P162" s="25"/>
      <c r="Q162" s="38"/>
      <c r="R162" s="37"/>
      <c r="S162" s="25"/>
      <c r="T162" s="25"/>
      <c r="U162" s="38"/>
      <c r="V162" s="26"/>
      <c r="W162" s="25"/>
      <c r="X162" s="25"/>
      <c r="Y162" s="25"/>
      <c r="Z162" s="25"/>
      <c r="AA162" s="25"/>
      <c r="AB162" s="25"/>
      <c r="AC162" s="25"/>
      <c r="AD162" s="25"/>
    </row>
    <row r="163" spans="1:30" x14ac:dyDescent="0.25">
      <c r="A163" s="18" t="str">
        <f t="shared" si="4"/>
        <v/>
      </c>
      <c r="B163" s="25"/>
      <c r="C163" s="25"/>
      <c r="D163" s="37"/>
      <c r="E163" s="25"/>
      <c r="F163" s="25"/>
      <c r="G163" s="38"/>
      <c r="H163" s="37"/>
      <c r="I163" s="25"/>
      <c r="J163" s="38"/>
      <c r="O163" s="37"/>
      <c r="P163" s="25"/>
      <c r="Q163" s="38"/>
      <c r="R163" s="37"/>
      <c r="S163" s="25"/>
      <c r="T163" s="25"/>
      <c r="U163" s="38"/>
      <c r="V163" s="26"/>
      <c r="W163" s="25"/>
      <c r="X163" s="25"/>
      <c r="Y163" s="25"/>
      <c r="Z163" s="25"/>
      <c r="AA163" s="25"/>
      <c r="AB163" s="25"/>
      <c r="AC163" s="25"/>
      <c r="AD163" s="25"/>
    </row>
    <row r="164" spans="1:30" x14ac:dyDescent="0.25">
      <c r="A164" s="18" t="str">
        <f t="shared" si="4"/>
        <v/>
      </c>
      <c r="B164" s="25"/>
      <c r="C164" s="25"/>
      <c r="D164" s="37"/>
      <c r="E164" s="25"/>
      <c r="F164" s="25"/>
      <c r="G164" s="38"/>
      <c r="H164" s="37"/>
      <c r="I164" s="25"/>
      <c r="J164" s="38"/>
      <c r="O164" s="37"/>
      <c r="P164" s="25"/>
      <c r="Q164" s="38"/>
      <c r="R164" s="37"/>
      <c r="S164" s="25"/>
      <c r="T164" s="25"/>
      <c r="U164" s="38"/>
      <c r="V164" s="26"/>
      <c r="W164" s="25"/>
      <c r="X164" s="25"/>
      <c r="Y164" s="25"/>
      <c r="Z164" s="25"/>
      <c r="AA164" s="25"/>
      <c r="AB164" s="25"/>
      <c r="AC164" s="25"/>
      <c r="AD164" s="25"/>
    </row>
    <row r="165" spans="1:30" x14ac:dyDescent="0.25">
      <c r="A165" s="18" t="str">
        <f t="shared" si="4"/>
        <v/>
      </c>
      <c r="B165" s="25"/>
      <c r="C165" s="25"/>
      <c r="D165" s="37"/>
      <c r="E165" s="25"/>
      <c r="F165" s="25"/>
      <c r="G165" s="38"/>
      <c r="H165" s="37"/>
      <c r="I165" s="25"/>
      <c r="J165" s="38"/>
      <c r="O165" s="37"/>
      <c r="P165" s="25"/>
      <c r="Q165" s="38"/>
      <c r="R165" s="37"/>
      <c r="S165" s="25"/>
      <c r="T165" s="25"/>
      <c r="U165" s="38"/>
      <c r="V165" s="26"/>
      <c r="W165" s="25"/>
      <c r="X165" s="25"/>
      <c r="Y165" s="25"/>
      <c r="Z165" s="25"/>
      <c r="AA165" s="25"/>
      <c r="AB165" s="25"/>
      <c r="AC165" s="25"/>
      <c r="AD165" s="25"/>
    </row>
    <row r="166" spans="1:30" x14ac:dyDescent="0.25">
      <c r="A166" s="18" t="str">
        <f t="shared" si="4"/>
        <v/>
      </c>
      <c r="B166" s="25"/>
      <c r="C166" s="25"/>
      <c r="D166" s="37"/>
      <c r="E166" s="25"/>
      <c r="F166" s="25"/>
      <c r="G166" s="38"/>
      <c r="H166" s="37"/>
      <c r="I166" s="25"/>
      <c r="J166" s="38"/>
      <c r="O166" s="37"/>
      <c r="P166" s="25"/>
      <c r="Q166" s="38"/>
      <c r="R166" s="37"/>
      <c r="S166" s="25"/>
      <c r="T166" s="25"/>
      <c r="U166" s="38"/>
      <c r="V166" s="26"/>
      <c r="W166" s="25"/>
      <c r="X166" s="25"/>
      <c r="Y166" s="25"/>
      <c r="Z166" s="25"/>
      <c r="AA166" s="25"/>
      <c r="AB166" s="25"/>
      <c r="AC166" s="25"/>
      <c r="AD166" s="25"/>
    </row>
    <row r="167" spans="1:30" x14ac:dyDescent="0.25">
      <c r="A167" s="18" t="str">
        <f t="shared" si="4"/>
        <v/>
      </c>
      <c r="B167" s="25"/>
      <c r="C167" s="25"/>
      <c r="D167" s="37"/>
      <c r="E167" s="25"/>
      <c r="F167" s="25"/>
      <c r="G167" s="38"/>
      <c r="H167" s="37"/>
      <c r="I167" s="25"/>
      <c r="J167" s="38"/>
      <c r="O167" s="37"/>
      <c r="P167" s="25"/>
      <c r="Q167" s="38"/>
      <c r="R167" s="37"/>
      <c r="S167" s="25"/>
      <c r="T167" s="25"/>
      <c r="U167" s="38"/>
      <c r="V167" s="26"/>
      <c r="W167" s="25"/>
      <c r="X167" s="25"/>
      <c r="Y167" s="25"/>
      <c r="Z167" s="25"/>
      <c r="AA167" s="25"/>
      <c r="AB167" s="25"/>
      <c r="AC167" s="25"/>
      <c r="AD167" s="25"/>
    </row>
    <row r="168" spans="1:30" x14ac:dyDescent="0.25">
      <c r="A168" s="18" t="str">
        <f t="shared" si="4"/>
        <v/>
      </c>
      <c r="B168" s="25"/>
      <c r="C168" s="25"/>
      <c r="D168" s="37"/>
      <c r="E168" s="25"/>
      <c r="F168" s="25"/>
      <c r="G168" s="38"/>
      <c r="H168" s="37"/>
      <c r="I168" s="25"/>
      <c r="J168" s="38"/>
      <c r="O168" s="37"/>
      <c r="P168" s="25"/>
      <c r="Q168" s="38"/>
      <c r="R168" s="37"/>
      <c r="S168" s="25"/>
      <c r="T168" s="25"/>
      <c r="U168" s="38"/>
      <c r="V168" s="26"/>
      <c r="W168" s="25"/>
      <c r="X168" s="25"/>
      <c r="Y168" s="25"/>
      <c r="Z168" s="25"/>
      <c r="AA168" s="25"/>
      <c r="AB168" s="25"/>
      <c r="AC168" s="25"/>
      <c r="AD168" s="25"/>
    </row>
    <row r="169" spans="1:30" x14ac:dyDescent="0.25">
      <c r="A169" s="18" t="str">
        <f t="shared" si="4"/>
        <v/>
      </c>
      <c r="B169" s="25"/>
      <c r="C169" s="25"/>
      <c r="D169" s="37"/>
      <c r="E169" s="25"/>
      <c r="F169" s="25"/>
      <c r="G169" s="38"/>
      <c r="H169" s="37"/>
      <c r="I169" s="25"/>
      <c r="J169" s="38"/>
      <c r="O169" s="37"/>
      <c r="P169" s="25"/>
      <c r="Q169" s="38"/>
      <c r="R169" s="37"/>
      <c r="S169" s="25"/>
      <c r="T169" s="25"/>
      <c r="U169" s="38"/>
      <c r="V169" s="26"/>
      <c r="W169" s="25"/>
      <c r="X169" s="25"/>
      <c r="Y169" s="25"/>
      <c r="Z169" s="25"/>
      <c r="AA169" s="25"/>
      <c r="AB169" s="25"/>
      <c r="AC169" s="25"/>
      <c r="AD169" s="25"/>
    </row>
    <row r="170" spans="1:30" x14ac:dyDescent="0.25">
      <c r="A170" s="18" t="str">
        <f t="shared" si="4"/>
        <v/>
      </c>
      <c r="B170" s="25"/>
      <c r="C170" s="25"/>
      <c r="D170" s="37"/>
      <c r="E170" s="25"/>
      <c r="F170" s="25"/>
      <c r="G170" s="38"/>
      <c r="H170" s="37"/>
      <c r="I170" s="25"/>
      <c r="J170" s="38"/>
      <c r="O170" s="37"/>
      <c r="P170" s="25"/>
      <c r="Q170" s="38"/>
      <c r="R170" s="37"/>
      <c r="S170" s="25"/>
      <c r="T170" s="25"/>
      <c r="U170" s="38"/>
      <c r="V170" s="26"/>
      <c r="W170" s="25"/>
      <c r="X170" s="25"/>
      <c r="Y170" s="25"/>
      <c r="Z170" s="25"/>
      <c r="AA170" s="25"/>
      <c r="AB170" s="25"/>
      <c r="AC170" s="25"/>
      <c r="AD170" s="25"/>
    </row>
    <row r="171" spans="1:30" x14ac:dyDescent="0.25">
      <c r="A171" s="18" t="str">
        <f t="shared" si="4"/>
        <v/>
      </c>
      <c r="B171" s="25"/>
      <c r="C171" s="25"/>
      <c r="D171" s="37"/>
      <c r="E171" s="25"/>
      <c r="F171" s="25"/>
      <c r="G171" s="38"/>
      <c r="H171" s="37"/>
      <c r="I171" s="25"/>
      <c r="J171" s="38"/>
      <c r="O171" s="37"/>
      <c r="P171" s="25"/>
      <c r="Q171" s="38"/>
      <c r="R171" s="37"/>
      <c r="S171" s="25"/>
      <c r="T171" s="25"/>
      <c r="U171" s="38"/>
      <c r="V171" s="26"/>
      <c r="W171" s="25"/>
      <c r="X171" s="25"/>
      <c r="Y171" s="25"/>
      <c r="Z171" s="25"/>
      <c r="AA171" s="25"/>
      <c r="AB171" s="25"/>
      <c r="AC171" s="25"/>
      <c r="AD171" s="25"/>
    </row>
    <row r="172" spans="1:30" x14ac:dyDescent="0.25">
      <c r="A172" s="18" t="str">
        <f t="shared" si="4"/>
        <v/>
      </c>
      <c r="B172" s="25"/>
      <c r="C172" s="25"/>
      <c r="D172" s="37"/>
      <c r="E172" s="25"/>
      <c r="F172" s="25"/>
      <c r="G172" s="38"/>
      <c r="H172" s="37"/>
      <c r="I172" s="25"/>
      <c r="J172" s="38"/>
      <c r="O172" s="37"/>
      <c r="P172" s="25"/>
      <c r="Q172" s="38"/>
      <c r="R172" s="37"/>
      <c r="S172" s="25"/>
      <c r="T172" s="25"/>
      <c r="U172" s="38"/>
      <c r="V172" s="26"/>
      <c r="W172" s="25"/>
      <c r="X172" s="25"/>
      <c r="Y172" s="25"/>
      <c r="Z172" s="25"/>
      <c r="AA172" s="25"/>
      <c r="AB172" s="25"/>
      <c r="AC172" s="25"/>
      <c r="AD172" s="25"/>
    </row>
    <row r="173" spans="1:30" x14ac:dyDescent="0.25">
      <c r="A173" s="18" t="str">
        <f t="shared" si="4"/>
        <v/>
      </c>
      <c r="B173" s="25"/>
      <c r="C173" s="25"/>
      <c r="D173" s="37"/>
      <c r="E173" s="25"/>
      <c r="F173" s="25"/>
      <c r="G173" s="38"/>
      <c r="H173" s="37"/>
      <c r="I173" s="25"/>
      <c r="J173" s="38"/>
      <c r="O173" s="37"/>
      <c r="P173" s="25"/>
      <c r="Q173" s="38"/>
      <c r="R173" s="37"/>
      <c r="S173" s="25"/>
      <c r="T173" s="25"/>
      <c r="U173" s="38"/>
      <c r="V173" s="26"/>
      <c r="W173" s="25"/>
      <c r="X173" s="25"/>
      <c r="Y173" s="25"/>
      <c r="Z173" s="25"/>
      <c r="AA173" s="25"/>
      <c r="AB173" s="25"/>
      <c r="AC173" s="25"/>
      <c r="AD173" s="25"/>
    </row>
    <row r="174" spans="1:30" x14ac:dyDescent="0.25">
      <c r="A174" s="18" t="str">
        <f t="shared" si="4"/>
        <v/>
      </c>
      <c r="B174" s="25"/>
      <c r="C174" s="25"/>
      <c r="D174" s="37"/>
      <c r="E174" s="25"/>
      <c r="F174" s="25"/>
      <c r="G174" s="38"/>
      <c r="H174" s="37"/>
      <c r="I174" s="25"/>
      <c r="J174" s="38"/>
      <c r="O174" s="37"/>
      <c r="P174" s="25"/>
      <c r="Q174" s="38"/>
      <c r="R174" s="37"/>
      <c r="S174" s="25"/>
      <c r="T174" s="25"/>
      <c r="U174" s="38"/>
      <c r="V174" s="26"/>
      <c r="W174" s="25"/>
      <c r="X174" s="25"/>
      <c r="Y174" s="25"/>
      <c r="Z174" s="25"/>
      <c r="AA174" s="25"/>
      <c r="AB174" s="25"/>
      <c r="AC174" s="25"/>
      <c r="AD174" s="25"/>
    </row>
    <row r="175" spans="1:30" x14ac:dyDescent="0.25">
      <c r="A175" s="18" t="str">
        <f t="shared" si="4"/>
        <v/>
      </c>
      <c r="B175" s="25"/>
      <c r="C175" s="25"/>
      <c r="D175" s="37"/>
      <c r="E175" s="25"/>
      <c r="F175" s="25"/>
      <c r="G175" s="38"/>
      <c r="H175" s="37"/>
      <c r="I175" s="25"/>
      <c r="J175" s="38"/>
      <c r="O175" s="37"/>
      <c r="P175" s="25"/>
      <c r="Q175" s="38"/>
      <c r="R175" s="37"/>
      <c r="S175" s="25"/>
      <c r="T175" s="25"/>
      <c r="U175" s="38"/>
      <c r="V175" s="26"/>
      <c r="W175" s="25"/>
      <c r="X175" s="25"/>
      <c r="Y175" s="25"/>
      <c r="Z175" s="25"/>
      <c r="AA175" s="25"/>
      <c r="AB175" s="25"/>
      <c r="AC175" s="25"/>
      <c r="AD175" s="25"/>
    </row>
    <row r="176" spans="1:30" x14ac:dyDescent="0.25">
      <c r="A176" s="18" t="str">
        <f t="shared" si="4"/>
        <v/>
      </c>
      <c r="B176" s="25"/>
      <c r="C176" s="25"/>
      <c r="D176" s="37"/>
      <c r="E176" s="25"/>
      <c r="F176" s="25"/>
      <c r="G176" s="38"/>
      <c r="H176" s="37"/>
      <c r="I176" s="25"/>
      <c r="J176" s="38"/>
      <c r="O176" s="37"/>
      <c r="P176" s="25"/>
      <c r="Q176" s="38"/>
      <c r="R176" s="37"/>
      <c r="S176" s="25"/>
      <c r="T176" s="25"/>
      <c r="U176" s="38"/>
      <c r="V176" s="26"/>
      <c r="W176" s="25"/>
      <c r="X176" s="25"/>
      <c r="Y176" s="25"/>
      <c r="Z176" s="25"/>
      <c r="AA176" s="25"/>
      <c r="AB176" s="25"/>
      <c r="AC176" s="25"/>
      <c r="AD176" s="25"/>
    </row>
    <row r="177" spans="1:30" x14ac:dyDescent="0.25">
      <c r="A177" s="18" t="str">
        <f t="shared" si="4"/>
        <v/>
      </c>
      <c r="B177" s="25"/>
      <c r="C177" s="25"/>
      <c r="D177" s="37"/>
      <c r="E177" s="25"/>
      <c r="F177" s="25"/>
      <c r="G177" s="38"/>
      <c r="H177" s="37"/>
      <c r="I177" s="25"/>
      <c r="J177" s="38"/>
      <c r="O177" s="37"/>
      <c r="P177" s="25"/>
      <c r="Q177" s="38"/>
      <c r="R177" s="37"/>
      <c r="S177" s="25"/>
      <c r="T177" s="25"/>
      <c r="U177" s="38"/>
      <c r="V177" s="26"/>
      <c r="W177" s="25"/>
      <c r="X177" s="25"/>
      <c r="Y177" s="25"/>
      <c r="Z177" s="25"/>
      <c r="AA177" s="25"/>
      <c r="AB177" s="25"/>
      <c r="AC177" s="25"/>
      <c r="AD177" s="25"/>
    </row>
    <row r="178" spans="1:30" x14ac:dyDescent="0.25">
      <c r="A178" s="18" t="str">
        <f t="shared" si="4"/>
        <v/>
      </c>
      <c r="B178" s="25"/>
      <c r="C178" s="25"/>
      <c r="D178" s="37"/>
      <c r="E178" s="25"/>
      <c r="F178" s="25"/>
      <c r="G178" s="38"/>
      <c r="H178" s="37"/>
      <c r="I178" s="25"/>
      <c r="J178" s="38"/>
      <c r="O178" s="37"/>
      <c r="P178" s="25"/>
      <c r="Q178" s="38"/>
      <c r="R178" s="37"/>
      <c r="S178" s="25"/>
      <c r="T178" s="25"/>
      <c r="U178" s="38"/>
      <c r="V178" s="26"/>
      <c r="W178" s="25"/>
      <c r="X178" s="25"/>
      <c r="Y178" s="25"/>
      <c r="Z178" s="25"/>
      <c r="AA178" s="25"/>
      <c r="AB178" s="25"/>
      <c r="AC178" s="25"/>
      <c r="AD178" s="25"/>
    </row>
    <row r="179" spans="1:30" x14ac:dyDescent="0.25">
      <c r="A179" s="18" t="str">
        <f t="shared" si="4"/>
        <v/>
      </c>
      <c r="B179" s="25"/>
      <c r="C179" s="25"/>
      <c r="D179" s="37"/>
      <c r="E179" s="25"/>
      <c r="F179" s="25"/>
      <c r="G179" s="38"/>
      <c r="H179" s="37"/>
      <c r="I179" s="25"/>
      <c r="J179" s="38"/>
      <c r="O179" s="37"/>
      <c r="P179" s="25"/>
      <c r="Q179" s="38"/>
      <c r="R179" s="37"/>
      <c r="S179" s="25"/>
      <c r="T179" s="25"/>
      <c r="U179" s="38"/>
      <c r="V179" s="26"/>
      <c r="W179" s="25"/>
      <c r="X179" s="25"/>
      <c r="Y179" s="25"/>
      <c r="Z179" s="25"/>
      <c r="AA179" s="25"/>
      <c r="AB179" s="25"/>
      <c r="AC179" s="25"/>
      <c r="AD179" s="25"/>
    </row>
    <row r="180" spans="1:30" x14ac:dyDescent="0.25">
      <c r="A180" s="18" t="str">
        <f t="shared" si="4"/>
        <v/>
      </c>
      <c r="B180" s="25"/>
      <c r="C180" s="25"/>
      <c r="D180" s="37"/>
      <c r="E180" s="25"/>
      <c r="F180" s="25"/>
      <c r="G180" s="38"/>
      <c r="H180" s="37"/>
      <c r="I180" s="25"/>
      <c r="J180" s="38"/>
      <c r="O180" s="37"/>
      <c r="P180" s="25"/>
      <c r="Q180" s="38"/>
      <c r="R180" s="37"/>
      <c r="S180" s="25"/>
      <c r="T180" s="25"/>
      <c r="U180" s="38"/>
      <c r="V180" s="26"/>
      <c r="W180" s="25"/>
      <c r="X180" s="25"/>
      <c r="Y180" s="25"/>
      <c r="Z180" s="25"/>
      <c r="AA180" s="25"/>
      <c r="AB180" s="25"/>
      <c r="AC180" s="25"/>
      <c r="AD180" s="25"/>
    </row>
    <row r="181" spans="1:30" x14ac:dyDescent="0.25">
      <c r="A181" s="18" t="str">
        <f t="shared" si="4"/>
        <v/>
      </c>
      <c r="B181" s="25"/>
      <c r="C181" s="25"/>
      <c r="D181" s="37"/>
      <c r="E181" s="25"/>
      <c r="F181" s="25"/>
      <c r="G181" s="38"/>
      <c r="H181" s="37"/>
      <c r="I181" s="25"/>
      <c r="J181" s="38"/>
      <c r="O181" s="37"/>
      <c r="P181" s="25"/>
      <c r="Q181" s="38"/>
      <c r="R181" s="37"/>
      <c r="S181" s="25"/>
      <c r="T181" s="25"/>
      <c r="U181" s="38"/>
      <c r="V181" s="26"/>
      <c r="W181" s="25"/>
      <c r="X181" s="25"/>
      <c r="Y181" s="25"/>
      <c r="Z181" s="25"/>
      <c r="AA181" s="25"/>
      <c r="AB181" s="25"/>
      <c r="AC181" s="25"/>
      <c r="AD181" s="25"/>
    </row>
    <row r="182" spans="1:30" x14ac:dyDescent="0.25">
      <c r="A182" s="18" t="str">
        <f t="shared" si="4"/>
        <v/>
      </c>
      <c r="B182" s="25"/>
      <c r="C182" s="25"/>
      <c r="D182" s="37"/>
      <c r="E182" s="25"/>
      <c r="F182" s="25"/>
      <c r="G182" s="38"/>
      <c r="H182" s="37"/>
      <c r="I182" s="25"/>
      <c r="J182" s="38"/>
      <c r="O182" s="37"/>
      <c r="P182" s="25"/>
      <c r="Q182" s="38"/>
      <c r="R182" s="37"/>
      <c r="S182" s="25"/>
      <c r="T182" s="25"/>
      <c r="U182" s="38"/>
      <c r="V182" s="26"/>
      <c r="W182" s="25"/>
      <c r="X182" s="25"/>
      <c r="Y182" s="25"/>
      <c r="Z182" s="25"/>
      <c r="AA182" s="25"/>
      <c r="AB182" s="25"/>
      <c r="AC182" s="25"/>
      <c r="AD182" s="25"/>
    </row>
    <row r="183" spans="1:30" x14ac:dyDescent="0.25">
      <c r="A183" s="18" t="str">
        <f t="shared" si="4"/>
        <v/>
      </c>
      <c r="B183" s="25"/>
      <c r="C183" s="25"/>
      <c r="D183" s="37"/>
      <c r="E183" s="25"/>
      <c r="F183" s="25"/>
      <c r="G183" s="38"/>
      <c r="H183" s="37"/>
      <c r="I183" s="25"/>
      <c r="J183" s="38"/>
      <c r="O183" s="37"/>
      <c r="P183" s="25"/>
      <c r="Q183" s="38"/>
      <c r="R183" s="37"/>
      <c r="S183" s="25"/>
      <c r="T183" s="25"/>
      <c r="U183" s="38"/>
      <c r="V183" s="26"/>
      <c r="W183" s="25"/>
      <c r="X183" s="25"/>
      <c r="Y183" s="25"/>
      <c r="Z183" s="25"/>
      <c r="AA183" s="25"/>
      <c r="AB183" s="25"/>
      <c r="AC183" s="25"/>
      <c r="AD183" s="25"/>
    </row>
    <row r="184" spans="1:30" x14ac:dyDescent="0.25">
      <c r="A184" s="18" t="str">
        <f t="shared" si="4"/>
        <v/>
      </c>
      <c r="B184" s="25"/>
      <c r="C184" s="25"/>
      <c r="D184" s="37"/>
      <c r="E184" s="25"/>
      <c r="F184" s="25"/>
      <c r="G184" s="38"/>
      <c r="H184" s="37"/>
      <c r="I184" s="25"/>
      <c r="J184" s="38"/>
      <c r="O184" s="37"/>
      <c r="P184" s="25"/>
      <c r="Q184" s="38"/>
      <c r="R184" s="37"/>
      <c r="S184" s="25"/>
      <c r="T184" s="25"/>
      <c r="U184" s="38"/>
      <c r="V184" s="26"/>
      <c r="W184" s="25"/>
      <c r="X184" s="25"/>
      <c r="Y184" s="25"/>
      <c r="Z184" s="25"/>
      <c r="AA184" s="25"/>
      <c r="AB184" s="25"/>
      <c r="AC184" s="25"/>
      <c r="AD184" s="25"/>
    </row>
    <row r="185" spans="1:30" x14ac:dyDescent="0.25">
      <c r="A185" s="18" t="str">
        <f t="shared" si="4"/>
        <v/>
      </c>
      <c r="B185" s="25"/>
      <c r="C185" s="25"/>
      <c r="D185" s="37"/>
      <c r="E185" s="25"/>
      <c r="F185" s="25"/>
      <c r="G185" s="38"/>
      <c r="H185" s="37"/>
      <c r="I185" s="25"/>
      <c r="J185" s="38"/>
      <c r="O185" s="37"/>
      <c r="P185" s="25"/>
      <c r="Q185" s="38"/>
      <c r="R185" s="37"/>
      <c r="S185" s="25"/>
      <c r="T185" s="25"/>
      <c r="U185" s="38"/>
      <c r="V185" s="26"/>
      <c r="W185" s="25"/>
      <c r="X185" s="25"/>
      <c r="Y185" s="25"/>
      <c r="Z185" s="25"/>
      <c r="AA185" s="25"/>
      <c r="AB185" s="25"/>
      <c r="AC185" s="25"/>
      <c r="AD185" s="25"/>
    </row>
    <row r="186" spans="1:30" x14ac:dyDescent="0.25">
      <c r="A186" s="18" t="str">
        <f t="shared" si="4"/>
        <v/>
      </c>
      <c r="B186" s="25"/>
      <c r="C186" s="25"/>
      <c r="D186" s="37"/>
      <c r="E186" s="25"/>
      <c r="F186" s="25"/>
      <c r="G186" s="38"/>
      <c r="H186" s="37"/>
      <c r="I186" s="25"/>
      <c r="J186" s="38"/>
      <c r="O186" s="37"/>
      <c r="P186" s="25"/>
      <c r="Q186" s="38"/>
      <c r="R186" s="37"/>
      <c r="S186" s="25"/>
      <c r="T186" s="25"/>
      <c r="U186" s="38"/>
      <c r="V186" s="26"/>
      <c r="W186" s="25"/>
      <c r="X186" s="25"/>
      <c r="Y186" s="25"/>
      <c r="Z186" s="25"/>
      <c r="AA186" s="25"/>
      <c r="AB186" s="25"/>
      <c r="AC186" s="25"/>
      <c r="AD186" s="25"/>
    </row>
    <row r="187" spans="1:30" x14ac:dyDescent="0.25">
      <c r="A187" s="18" t="str">
        <f t="shared" si="4"/>
        <v/>
      </c>
      <c r="B187" s="25"/>
      <c r="C187" s="25"/>
      <c r="D187" s="37"/>
      <c r="E187" s="25"/>
      <c r="F187" s="25"/>
      <c r="G187" s="38"/>
      <c r="H187" s="37"/>
      <c r="I187" s="25"/>
      <c r="J187" s="38"/>
      <c r="O187" s="37"/>
      <c r="P187" s="25"/>
      <c r="Q187" s="38"/>
      <c r="R187" s="37"/>
      <c r="S187" s="25"/>
      <c r="T187" s="25"/>
      <c r="U187" s="38"/>
      <c r="V187" s="26"/>
      <c r="W187" s="25"/>
      <c r="X187" s="25"/>
      <c r="Y187" s="25"/>
      <c r="Z187" s="25"/>
      <c r="AA187" s="25"/>
      <c r="AB187" s="25"/>
      <c r="AC187" s="25"/>
      <c r="AD187" s="25"/>
    </row>
    <row r="188" spans="1:30" x14ac:dyDescent="0.25">
      <c r="A188" s="18" t="str">
        <f t="shared" si="4"/>
        <v/>
      </c>
      <c r="B188" s="25"/>
      <c r="C188" s="25"/>
      <c r="D188" s="37"/>
      <c r="E188" s="25"/>
      <c r="F188" s="25"/>
      <c r="G188" s="38"/>
      <c r="H188" s="37"/>
      <c r="I188" s="25"/>
      <c r="J188" s="38"/>
      <c r="O188" s="37"/>
      <c r="P188" s="25"/>
      <c r="Q188" s="38"/>
      <c r="R188" s="37"/>
      <c r="S188" s="25"/>
      <c r="T188" s="25"/>
      <c r="U188" s="38"/>
      <c r="V188" s="26"/>
      <c r="W188" s="25"/>
      <c r="X188" s="25"/>
      <c r="Y188" s="25"/>
      <c r="Z188" s="25"/>
      <c r="AA188" s="25"/>
      <c r="AB188" s="25"/>
      <c r="AC188" s="25"/>
      <c r="AD188" s="25"/>
    </row>
    <row r="189" spans="1:30" x14ac:dyDescent="0.25">
      <c r="A189" s="18" t="str">
        <f t="shared" si="4"/>
        <v/>
      </c>
      <c r="B189" s="25"/>
      <c r="C189" s="25"/>
      <c r="D189" s="37"/>
      <c r="E189" s="25"/>
      <c r="F189" s="25"/>
      <c r="G189" s="38"/>
      <c r="H189" s="37"/>
      <c r="I189" s="25"/>
      <c r="J189" s="38"/>
      <c r="O189" s="37"/>
      <c r="P189" s="25"/>
      <c r="Q189" s="38"/>
      <c r="R189" s="37"/>
      <c r="S189" s="25"/>
      <c r="T189" s="25"/>
      <c r="U189" s="38"/>
      <c r="V189" s="26"/>
      <c r="W189" s="25"/>
      <c r="X189" s="25"/>
      <c r="Y189" s="25"/>
      <c r="Z189" s="25"/>
      <c r="AA189" s="25"/>
      <c r="AB189" s="25"/>
      <c r="AC189" s="25"/>
      <c r="AD189" s="25"/>
    </row>
    <row r="190" spans="1:30" x14ac:dyDescent="0.25">
      <c r="A190" s="18" t="str">
        <f t="shared" ref="A190:A253" si="5">IF(ISBLANK($B190)=FALSE,IF(AND($H190&gt;0,$I190&lt;=0,$J190&lt;=0),_xlfn.CONCAT("ofw_",$B190),IF(AND($H190&lt;=0,$I190&gt;0,$J190&lt;=0),_xlfn.CONCAT("owc_",$B190),IF(AND($H190&lt;=0,$I190&lt;=0,$J190&gt;0),_xlfn.CONCAT("opv_",$B190),_xlfn.CONCAT("oce_",$B190)))),"")</f>
        <v/>
      </c>
      <c r="B190" s="25"/>
      <c r="C190" s="25"/>
      <c r="D190" s="37"/>
      <c r="E190" s="25"/>
      <c r="F190" s="25"/>
      <c r="G190" s="38"/>
      <c r="H190" s="37"/>
      <c r="I190" s="25"/>
      <c r="J190" s="38"/>
      <c r="O190" s="37"/>
      <c r="P190" s="25"/>
      <c r="Q190" s="38"/>
      <c r="R190" s="37"/>
      <c r="S190" s="25"/>
      <c r="T190" s="25"/>
      <c r="U190" s="38"/>
      <c r="V190" s="26"/>
      <c r="W190" s="25"/>
      <c r="X190" s="25"/>
      <c r="Y190" s="25"/>
      <c r="Z190" s="25"/>
      <c r="AA190" s="25"/>
      <c r="AB190" s="25"/>
      <c r="AC190" s="25"/>
      <c r="AD190" s="25"/>
    </row>
    <row r="191" spans="1:30" x14ac:dyDescent="0.25">
      <c r="A191" s="18" t="str">
        <f t="shared" si="5"/>
        <v/>
      </c>
      <c r="B191" s="25"/>
      <c r="C191" s="25"/>
      <c r="D191" s="37"/>
      <c r="E191" s="25"/>
      <c r="F191" s="25"/>
      <c r="G191" s="38"/>
      <c r="H191" s="37"/>
      <c r="I191" s="25"/>
      <c r="J191" s="38"/>
      <c r="O191" s="37"/>
      <c r="P191" s="25"/>
      <c r="Q191" s="38"/>
      <c r="R191" s="37"/>
      <c r="S191" s="25"/>
      <c r="T191" s="25"/>
      <c r="U191" s="38"/>
      <c r="V191" s="26"/>
      <c r="W191" s="25"/>
      <c r="X191" s="25"/>
      <c r="Y191" s="25"/>
      <c r="Z191" s="25"/>
      <c r="AA191" s="25"/>
      <c r="AB191" s="25"/>
      <c r="AC191" s="25"/>
      <c r="AD191" s="25"/>
    </row>
    <row r="192" spans="1:30" x14ac:dyDescent="0.25">
      <c r="A192" s="18" t="str">
        <f t="shared" si="5"/>
        <v/>
      </c>
      <c r="B192" s="25"/>
      <c r="C192" s="25"/>
      <c r="D192" s="37"/>
      <c r="E192" s="25"/>
      <c r="F192" s="25"/>
      <c r="G192" s="38"/>
      <c r="H192" s="37"/>
      <c r="I192" s="25"/>
      <c r="J192" s="38"/>
      <c r="O192" s="37"/>
      <c r="P192" s="25"/>
      <c r="Q192" s="38"/>
      <c r="R192" s="37"/>
      <c r="S192" s="25"/>
      <c r="T192" s="25"/>
      <c r="U192" s="38"/>
      <c r="V192" s="26"/>
      <c r="W192" s="25"/>
      <c r="X192" s="25"/>
      <c r="Y192" s="25"/>
      <c r="Z192" s="25"/>
      <c r="AA192" s="25"/>
      <c r="AB192" s="25"/>
      <c r="AC192" s="25"/>
      <c r="AD192" s="25"/>
    </row>
    <row r="193" spans="1:30" x14ac:dyDescent="0.25">
      <c r="A193" s="18" t="str">
        <f t="shared" si="5"/>
        <v/>
      </c>
      <c r="B193" s="25"/>
      <c r="C193" s="25"/>
      <c r="D193" s="37"/>
      <c r="E193" s="25"/>
      <c r="F193" s="25"/>
      <c r="G193" s="38"/>
      <c r="H193" s="37"/>
      <c r="I193" s="25"/>
      <c r="J193" s="38"/>
      <c r="O193" s="37"/>
      <c r="P193" s="25"/>
      <c r="Q193" s="38"/>
      <c r="R193" s="37"/>
      <c r="S193" s="25"/>
      <c r="T193" s="25"/>
      <c r="U193" s="38"/>
      <c r="V193" s="26"/>
      <c r="W193" s="25"/>
      <c r="X193" s="25"/>
      <c r="Y193" s="25"/>
      <c r="Z193" s="25"/>
      <c r="AA193" s="25"/>
      <c r="AB193" s="25"/>
      <c r="AC193" s="25"/>
      <c r="AD193" s="25"/>
    </row>
    <row r="194" spans="1:30" x14ac:dyDescent="0.25">
      <c r="A194" s="18" t="str">
        <f t="shared" si="5"/>
        <v/>
      </c>
      <c r="B194" s="25"/>
      <c r="C194" s="25"/>
      <c r="D194" s="37"/>
      <c r="E194" s="25"/>
      <c r="F194" s="25"/>
      <c r="G194" s="38"/>
      <c r="H194" s="37"/>
      <c r="I194" s="25"/>
      <c r="J194" s="38"/>
      <c r="O194" s="37"/>
      <c r="P194" s="25"/>
      <c r="Q194" s="38"/>
      <c r="R194" s="37"/>
      <c r="S194" s="25"/>
      <c r="T194" s="25"/>
      <c r="U194" s="38"/>
      <c r="V194" s="26"/>
      <c r="W194" s="25"/>
      <c r="X194" s="25"/>
      <c r="Y194" s="25"/>
      <c r="Z194" s="25"/>
      <c r="AA194" s="25"/>
      <c r="AB194" s="25"/>
      <c r="AC194" s="25"/>
      <c r="AD194" s="25"/>
    </row>
    <row r="195" spans="1:30" x14ac:dyDescent="0.25">
      <c r="A195" s="18" t="str">
        <f t="shared" si="5"/>
        <v/>
      </c>
      <c r="B195" s="25"/>
      <c r="C195" s="25"/>
      <c r="D195" s="37"/>
      <c r="E195" s="25"/>
      <c r="F195" s="25"/>
      <c r="G195" s="38"/>
      <c r="H195" s="37"/>
      <c r="I195" s="25"/>
      <c r="J195" s="38"/>
      <c r="O195" s="37"/>
      <c r="P195" s="25"/>
      <c r="Q195" s="38"/>
      <c r="R195" s="37"/>
      <c r="S195" s="25"/>
      <c r="T195" s="25"/>
      <c r="U195" s="38"/>
      <c r="V195" s="26"/>
      <c r="W195" s="25"/>
      <c r="X195" s="25"/>
      <c r="Y195" s="25"/>
      <c r="Z195" s="25"/>
      <c r="AA195" s="25"/>
      <c r="AB195" s="25"/>
      <c r="AC195" s="25"/>
      <c r="AD195" s="25"/>
    </row>
    <row r="196" spans="1:30" x14ac:dyDescent="0.25">
      <c r="A196" s="18" t="str">
        <f t="shared" si="5"/>
        <v/>
      </c>
      <c r="B196" s="25"/>
      <c r="C196" s="25"/>
      <c r="D196" s="37"/>
      <c r="E196" s="25"/>
      <c r="F196" s="25"/>
      <c r="G196" s="38"/>
      <c r="H196" s="37"/>
      <c r="I196" s="25"/>
      <c r="J196" s="38"/>
      <c r="O196" s="37"/>
      <c r="P196" s="25"/>
      <c r="Q196" s="38"/>
      <c r="R196" s="37"/>
      <c r="S196" s="25"/>
      <c r="T196" s="25"/>
      <c r="U196" s="38"/>
      <c r="V196" s="26"/>
      <c r="W196" s="25"/>
      <c r="X196" s="25"/>
      <c r="Y196" s="25"/>
      <c r="Z196" s="25"/>
      <c r="AA196" s="25"/>
      <c r="AB196" s="25"/>
      <c r="AC196" s="25"/>
      <c r="AD196" s="25"/>
    </row>
    <row r="197" spans="1:30" x14ac:dyDescent="0.25">
      <c r="A197" s="18" t="str">
        <f t="shared" si="5"/>
        <v/>
      </c>
      <c r="B197" s="25"/>
      <c r="C197" s="25"/>
      <c r="D197" s="37"/>
      <c r="E197" s="25"/>
      <c r="F197" s="25"/>
      <c r="G197" s="38"/>
      <c r="H197" s="37"/>
      <c r="I197" s="25"/>
      <c r="J197" s="38"/>
      <c r="O197" s="37"/>
      <c r="P197" s="25"/>
      <c r="Q197" s="38"/>
      <c r="R197" s="37"/>
      <c r="S197" s="25"/>
      <c r="T197" s="25"/>
      <c r="U197" s="38"/>
      <c r="V197" s="26"/>
      <c r="W197" s="25"/>
      <c r="X197" s="25"/>
      <c r="Y197" s="25"/>
      <c r="Z197" s="25"/>
      <c r="AA197" s="25"/>
      <c r="AB197" s="25"/>
      <c r="AC197" s="25"/>
      <c r="AD197" s="25"/>
    </row>
    <row r="198" spans="1:30" x14ac:dyDescent="0.25">
      <c r="A198" s="18" t="str">
        <f t="shared" si="5"/>
        <v/>
      </c>
      <c r="B198" s="25"/>
      <c r="C198" s="25"/>
      <c r="D198" s="37"/>
      <c r="E198" s="25"/>
      <c r="F198" s="25"/>
      <c r="G198" s="38"/>
      <c r="H198" s="37"/>
      <c r="I198" s="25"/>
      <c r="J198" s="38"/>
      <c r="O198" s="37"/>
      <c r="P198" s="25"/>
      <c r="Q198" s="38"/>
      <c r="R198" s="37"/>
      <c r="S198" s="25"/>
      <c r="T198" s="25"/>
      <c r="U198" s="38"/>
      <c r="V198" s="26"/>
      <c r="W198" s="25"/>
      <c r="X198" s="25"/>
      <c r="Y198" s="25"/>
      <c r="Z198" s="25"/>
      <c r="AA198" s="25"/>
      <c r="AB198" s="25"/>
      <c r="AC198" s="25"/>
      <c r="AD198" s="25"/>
    </row>
    <row r="199" spans="1:30" x14ac:dyDescent="0.25">
      <c r="A199" s="18" t="str">
        <f t="shared" si="5"/>
        <v/>
      </c>
      <c r="B199" s="25"/>
      <c r="C199" s="25"/>
      <c r="D199" s="37"/>
      <c r="E199" s="25"/>
      <c r="F199" s="25"/>
      <c r="G199" s="38"/>
      <c r="H199" s="37"/>
      <c r="I199" s="25"/>
      <c r="J199" s="38"/>
      <c r="O199" s="37"/>
      <c r="P199" s="25"/>
      <c r="Q199" s="38"/>
      <c r="R199" s="37"/>
      <c r="S199" s="25"/>
      <c r="T199" s="25"/>
      <c r="U199" s="38"/>
      <c r="V199" s="26"/>
      <c r="W199" s="25"/>
      <c r="X199" s="25"/>
      <c r="Y199" s="25"/>
      <c r="Z199" s="25"/>
      <c r="AA199" s="25"/>
      <c r="AB199" s="25"/>
      <c r="AC199" s="25"/>
      <c r="AD199" s="25"/>
    </row>
    <row r="200" spans="1:30" x14ac:dyDescent="0.25">
      <c r="A200" s="18" t="str">
        <f t="shared" si="5"/>
        <v/>
      </c>
      <c r="B200" s="25"/>
      <c r="C200" s="25"/>
      <c r="D200" s="37"/>
      <c r="E200" s="25"/>
      <c r="F200" s="25"/>
      <c r="G200" s="38"/>
      <c r="H200" s="37"/>
      <c r="I200" s="25"/>
      <c r="J200" s="38"/>
      <c r="O200" s="37"/>
      <c r="P200" s="25"/>
      <c r="Q200" s="38"/>
      <c r="R200" s="37"/>
      <c r="S200" s="25"/>
      <c r="T200" s="25"/>
      <c r="U200" s="38"/>
      <c r="V200" s="26"/>
      <c r="W200" s="25"/>
      <c r="X200" s="25"/>
      <c r="Y200" s="25"/>
      <c r="Z200" s="25"/>
      <c r="AA200" s="25"/>
      <c r="AB200" s="25"/>
      <c r="AC200" s="25"/>
      <c r="AD200" s="25"/>
    </row>
    <row r="201" spans="1:30" x14ac:dyDescent="0.25">
      <c r="A201" s="18" t="str">
        <f t="shared" si="5"/>
        <v/>
      </c>
      <c r="B201" s="25"/>
      <c r="C201" s="25"/>
      <c r="D201" s="37"/>
      <c r="E201" s="25"/>
      <c r="F201" s="25"/>
      <c r="G201" s="38"/>
      <c r="H201" s="37"/>
      <c r="I201" s="25"/>
      <c r="J201" s="38"/>
      <c r="O201" s="37"/>
      <c r="P201" s="25"/>
      <c r="Q201" s="38"/>
      <c r="R201" s="37"/>
      <c r="S201" s="25"/>
      <c r="T201" s="25"/>
      <c r="U201" s="38"/>
      <c r="V201" s="26"/>
      <c r="W201" s="25"/>
      <c r="X201" s="25"/>
      <c r="Y201" s="25"/>
      <c r="Z201" s="25"/>
      <c r="AA201" s="25"/>
      <c r="AB201" s="25"/>
      <c r="AC201" s="25"/>
      <c r="AD201" s="25"/>
    </row>
    <row r="202" spans="1:30" x14ac:dyDescent="0.25">
      <c r="A202" s="18" t="str">
        <f t="shared" si="5"/>
        <v/>
      </c>
      <c r="B202" s="25"/>
      <c r="C202" s="25"/>
      <c r="D202" s="37"/>
      <c r="E202" s="25"/>
      <c r="F202" s="25"/>
      <c r="G202" s="38"/>
      <c r="H202" s="37"/>
      <c r="I202" s="25"/>
      <c r="J202" s="38"/>
      <c r="O202" s="37"/>
      <c r="P202" s="25"/>
      <c r="Q202" s="38"/>
      <c r="R202" s="37"/>
      <c r="S202" s="25"/>
      <c r="T202" s="25"/>
      <c r="U202" s="38"/>
      <c r="V202" s="26"/>
      <c r="W202" s="25"/>
      <c r="X202" s="25"/>
      <c r="Y202" s="25"/>
      <c r="Z202" s="25"/>
      <c r="AA202" s="25"/>
      <c r="AB202" s="25"/>
      <c r="AC202" s="25"/>
      <c r="AD202" s="25"/>
    </row>
    <row r="203" spans="1:30" x14ac:dyDescent="0.25">
      <c r="A203" s="18" t="str">
        <f t="shared" si="5"/>
        <v/>
      </c>
      <c r="B203" s="25"/>
      <c r="C203" s="25"/>
      <c r="D203" s="37"/>
      <c r="E203" s="25"/>
      <c r="F203" s="25"/>
      <c r="G203" s="38"/>
      <c r="H203" s="37"/>
      <c r="I203" s="25"/>
      <c r="J203" s="38"/>
      <c r="O203" s="37"/>
      <c r="P203" s="25"/>
      <c r="Q203" s="38"/>
      <c r="R203" s="37"/>
      <c r="S203" s="25"/>
      <c r="T203" s="25"/>
      <c r="U203" s="38"/>
      <c r="V203" s="26"/>
      <c r="W203" s="25"/>
      <c r="X203" s="25"/>
      <c r="Y203" s="25"/>
      <c r="Z203" s="25"/>
      <c r="AA203" s="25"/>
      <c r="AB203" s="25"/>
      <c r="AC203" s="25"/>
      <c r="AD203" s="25"/>
    </row>
    <row r="204" spans="1:30" x14ac:dyDescent="0.25">
      <c r="A204" s="18" t="str">
        <f t="shared" si="5"/>
        <v/>
      </c>
      <c r="B204" s="25"/>
      <c r="C204" s="25"/>
      <c r="D204" s="37"/>
      <c r="E204" s="25"/>
      <c r="F204" s="25"/>
      <c r="G204" s="38"/>
      <c r="H204" s="37"/>
      <c r="I204" s="25"/>
      <c r="J204" s="38"/>
      <c r="O204" s="37"/>
      <c r="P204" s="25"/>
      <c r="Q204" s="38"/>
      <c r="R204" s="37"/>
      <c r="S204" s="25"/>
      <c r="T204" s="25"/>
      <c r="U204" s="38"/>
      <c r="V204" s="26"/>
      <c r="W204" s="25"/>
      <c r="X204" s="25"/>
      <c r="Y204" s="25"/>
      <c r="Z204" s="25"/>
      <c r="AA204" s="25"/>
      <c r="AB204" s="25"/>
      <c r="AC204" s="25"/>
      <c r="AD204" s="25"/>
    </row>
    <row r="205" spans="1:30" x14ac:dyDescent="0.25">
      <c r="A205" s="18" t="str">
        <f t="shared" si="5"/>
        <v/>
      </c>
      <c r="B205" s="25"/>
      <c r="C205" s="25"/>
      <c r="D205" s="37"/>
      <c r="E205" s="25"/>
      <c r="F205" s="25"/>
      <c r="G205" s="38"/>
      <c r="H205" s="37"/>
      <c r="I205" s="25"/>
      <c r="J205" s="38"/>
      <c r="O205" s="37"/>
      <c r="P205" s="25"/>
      <c r="Q205" s="38"/>
      <c r="R205" s="37"/>
      <c r="S205" s="25"/>
      <c r="T205" s="25"/>
      <c r="U205" s="38"/>
      <c r="V205" s="26"/>
      <c r="W205" s="25"/>
      <c r="X205" s="25"/>
      <c r="Y205" s="25"/>
      <c r="Z205" s="25"/>
      <c r="AA205" s="25"/>
      <c r="AB205" s="25"/>
      <c r="AC205" s="25"/>
      <c r="AD205" s="25"/>
    </row>
    <row r="206" spans="1:30" x14ac:dyDescent="0.25">
      <c r="A206" s="18" t="str">
        <f t="shared" si="5"/>
        <v/>
      </c>
      <c r="B206" s="25"/>
      <c r="C206" s="25"/>
      <c r="D206" s="37"/>
      <c r="E206" s="25"/>
      <c r="F206" s="25"/>
      <c r="G206" s="38"/>
      <c r="H206" s="37"/>
      <c r="I206" s="25"/>
      <c r="J206" s="38"/>
      <c r="O206" s="37"/>
      <c r="P206" s="25"/>
      <c r="Q206" s="38"/>
      <c r="R206" s="37"/>
      <c r="S206" s="25"/>
      <c r="T206" s="25"/>
      <c r="U206" s="38"/>
      <c r="V206" s="26"/>
      <c r="W206" s="25"/>
      <c r="X206" s="25"/>
      <c r="Y206" s="25"/>
      <c r="Z206" s="25"/>
      <c r="AA206" s="25"/>
      <c r="AB206" s="25"/>
      <c r="AC206" s="25"/>
      <c r="AD206" s="25"/>
    </row>
    <row r="207" spans="1:30" x14ac:dyDescent="0.25">
      <c r="A207" s="18" t="str">
        <f t="shared" si="5"/>
        <v/>
      </c>
      <c r="B207" s="25"/>
      <c r="C207" s="25"/>
      <c r="D207" s="37"/>
      <c r="E207" s="25"/>
      <c r="F207" s="25"/>
      <c r="G207" s="38"/>
      <c r="H207" s="37"/>
      <c r="I207" s="25"/>
      <c r="J207" s="38"/>
      <c r="O207" s="37"/>
      <c r="P207" s="25"/>
      <c r="Q207" s="38"/>
      <c r="R207" s="37"/>
      <c r="S207" s="25"/>
      <c r="T207" s="25"/>
      <c r="U207" s="38"/>
      <c r="V207" s="26"/>
      <c r="W207" s="25"/>
      <c r="X207" s="25"/>
      <c r="Y207" s="25"/>
      <c r="Z207" s="25"/>
      <c r="AA207" s="25"/>
      <c r="AB207" s="25"/>
      <c r="AC207" s="25"/>
      <c r="AD207" s="25"/>
    </row>
    <row r="208" spans="1:30" x14ac:dyDescent="0.25">
      <c r="A208" s="18" t="str">
        <f t="shared" si="5"/>
        <v/>
      </c>
      <c r="B208" s="25"/>
      <c r="C208" s="25"/>
      <c r="D208" s="37"/>
      <c r="E208" s="25"/>
      <c r="F208" s="25"/>
      <c r="G208" s="38"/>
      <c r="H208" s="37"/>
      <c r="I208" s="25"/>
      <c r="J208" s="38"/>
      <c r="O208" s="37"/>
      <c r="P208" s="25"/>
      <c r="Q208" s="38"/>
      <c r="R208" s="37"/>
      <c r="S208" s="25"/>
      <c r="T208" s="25"/>
      <c r="U208" s="38"/>
      <c r="V208" s="26"/>
      <c r="W208" s="25"/>
      <c r="X208" s="25"/>
      <c r="Y208" s="25"/>
      <c r="Z208" s="25"/>
      <c r="AA208" s="25"/>
      <c r="AB208" s="25"/>
      <c r="AC208" s="25"/>
      <c r="AD208" s="25"/>
    </row>
    <row r="209" spans="1:30" x14ac:dyDescent="0.25">
      <c r="A209" s="18" t="str">
        <f t="shared" si="5"/>
        <v/>
      </c>
      <c r="B209" s="25"/>
      <c r="C209" s="25"/>
      <c r="D209" s="37"/>
      <c r="E209" s="25"/>
      <c r="F209" s="25"/>
      <c r="G209" s="38"/>
      <c r="H209" s="37"/>
      <c r="I209" s="25"/>
      <c r="J209" s="38"/>
      <c r="O209" s="37"/>
      <c r="P209" s="25"/>
      <c r="Q209" s="38"/>
      <c r="R209" s="37"/>
      <c r="S209" s="25"/>
      <c r="T209" s="25"/>
      <c r="U209" s="38"/>
      <c r="V209" s="26"/>
      <c r="W209" s="25"/>
      <c r="X209" s="25"/>
      <c r="Y209" s="25"/>
      <c r="Z209" s="25"/>
      <c r="AA209" s="25"/>
      <c r="AB209" s="25"/>
      <c r="AC209" s="25"/>
      <c r="AD209" s="25"/>
    </row>
    <row r="210" spans="1:30" x14ac:dyDescent="0.25">
      <c r="A210" s="18" t="str">
        <f t="shared" si="5"/>
        <v/>
      </c>
      <c r="B210" s="25"/>
      <c r="C210" s="25"/>
      <c r="D210" s="37"/>
      <c r="E210" s="25"/>
      <c r="F210" s="25"/>
      <c r="G210" s="38"/>
      <c r="H210" s="37"/>
      <c r="I210" s="25"/>
      <c r="J210" s="38"/>
      <c r="O210" s="37"/>
      <c r="P210" s="25"/>
      <c r="Q210" s="38"/>
      <c r="R210" s="37"/>
      <c r="S210" s="25"/>
      <c r="T210" s="25"/>
      <c r="U210" s="38"/>
      <c r="V210" s="26"/>
      <c r="W210" s="25"/>
      <c r="X210" s="25"/>
      <c r="Y210" s="25"/>
      <c r="Z210" s="25"/>
      <c r="AA210" s="25"/>
      <c r="AB210" s="25"/>
      <c r="AC210" s="25"/>
      <c r="AD210" s="25"/>
    </row>
    <row r="211" spans="1:30" x14ac:dyDescent="0.25">
      <c r="A211" s="18" t="str">
        <f t="shared" si="5"/>
        <v/>
      </c>
      <c r="B211" s="25"/>
      <c r="C211" s="25"/>
      <c r="D211" s="37"/>
      <c r="E211" s="25"/>
      <c r="F211" s="25"/>
      <c r="G211" s="38"/>
      <c r="H211" s="37"/>
      <c r="I211" s="25"/>
      <c r="J211" s="38"/>
      <c r="O211" s="37"/>
      <c r="P211" s="25"/>
      <c r="Q211" s="38"/>
      <c r="R211" s="37"/>
      <c r="S211" s="25"/>
      <c r="T211" s="25"/>
      <c r="U211" s="38"/>
      <c r="V211" s="26"/>
      <c r="W211" s="25"/>
      <c r="X211" s="25"/>
      <c r="Y211" s="25"/>
      <c r="Z211" s="25"/>
      <c r="AA211" s="25"/>
      <c r="AB211" s="25"/>
      <c r="AC211" s="25"/>
      <c r="AD211" s="25"/>
    </row>
    <row r="212" spans="1:30" x14ac:dyDescent="0.25">
      <c r="A212" s="18" t="str">
        <f t="shared" si="5"/>
        <v/>
      </c>
      <c r="B212" s="25"/>
      <c r="C212" s="25"/>
      <c r="D212" s="37"/>
      <c r="E212" s="25"/>
      <c r="F212" s="25"/>
      <c r="G212" s="38"/>
      <c r="H212" s="37"/>
      <c r="I212" s="25"/>
      <c r="J212" s="38"/>
      <c r="O212" s="37"/>
      <c r="P212" s="25"/>
      <c r="Q212" s="38"/>
      <c r="R212" s="37"/>
      <c r="S212" s="25"/>
      <c r="T212" s="25"/>
      <c r="U212" s="38"/>
      <c r="V212" s="26"/>
      <c r="W212" s="25"/>
      <c r="X212" s="25"/>
      <c r="Y212" s="25"/>
      <c r="Z212" s="25"/>
      <c r="AA212" s="25"/>
      <c r="AB212" s="25"/>
      <c r="AC212" s="25"/>
      <c r="AD212" s="25"/>
    </row>
    <row r="213" spans="1:30" x14ac:dyDescent="0.25">
      <c r="A213" s="18" t="str">
        <f t="shared" si="5"/>
        <v/>
      </c>
      <c r="B213" s="25"/>
      <c r="C213" s="25"/>
      <c r="D213" s="37"/>
      <c r="E213" s="25"/>
      <c r="F213" s="25"/>
      <c r="G213" s="38"/>
      <c r="H213" s="37"/>
      <c r="I213" s="25"/>
      <c r="J213" s="38"/>
      <c r="O213" s="37"/>
      <c r="P213" s="25"/>
      <c r="Q213" s="38"/>
      <c r="R213" s="37"/>
      <c r="S213" s="25"/>
      <c r="T213" s="25"/>
      <c r="U213" s="38"/>
      <c r="V213" s="26"/>
      <c r="W213" s="25"/>
      <c r="X213" s="25"/>
      <c r="Y213" s="25"/>
      <c r="Z213" s="25"/>
      <c r="AA213" s="25"/>
      <c r="AB213" s="25"/>
      <c r="AC213" s="25"/>
      <c r="AD213" s="25"/>
    </row>
    <row r="214" spans="1:30" x14ac:dyDescent="0.25">
      <c r="A214" s="18" t="str">
        <f t="shared" si="5"/>
        <v/>
      </c>
      <c r="B214" s="25"/>
      <c r="C214" s="25"/>
      <c r="D214" s="37"/>
      <c r="E214" s="25"/>
      <c r="F214" s="25"/>
      <c r="G214" s="38"/>
      <c r="H214" s="37"/>
      <c r="I214" s="25"/>
      <c r="J214" s="38"/>
      <c r="O214" s="37"/>
      <c r="P214" s="25"/>
      <c r="Q214" s="38"/>
      <c r="R214" s="37"/>
      <c r="S214" s="25"/>
      <c r="T214" s="25"/>
      <c r="U214" s="38"/>
      <c r="V214" s="26"/>
      <c r="W214" s="25"/>
      <c r="X214" s="25"/>
      <c r="Y214" s="25"/>
      <c r="Z214" s="25"/>
      <c r="AA214" s="25"/>
      <c r="AB214" s="25"/>
      <c r="AC214" s="25"/>
      <c r="AD214" s="25"/>
    </row>
    <row r="215" spans="1:30" x14ac:dyDescent="0.25">
      <c r="A215" s="18" t="str">
        <f t="shared" si="5"/>
        <v/>
      </c>
      <c r="B215" s="25"/>
      <c r="C215" s="25"/>
      <c r="D215" s="37"/>
      <c r="E215" s="25"/>
      <c r="F215" s="25"/>
      <c r="G215" s="38"/>
      <c r="H215" s="37"/>
      <c r="I215" s="25"/>
      <c r="J215" s="38"/>
      <c r="O215" s="37"/>
      <c r="P215" s="25"/>
      <c r="Q215" s="38"/>
      <c r="R215" s="37"/>
      <c r="S215" s="25"/>
      <c r="T215" s="25"/>
      <c r="U215" s="38"/>
      <c r="V215" s="26"/>
      <c r="W215" s="25"/>
      <c r="X215" s="25"/>
      <c r="Y215" s="25"/>
      <c r="Z215" s="25"/>
      <c r="AA215" s="25"/>
      <c r="AB215" s="25"/>
      <c r="AC215" s="25"/>
      <c r="AD215" s="25"/>
    </row>
    <row r="216" spans="1:30" x14ac:dyDescent="0.25">
      <c r="A216" s="18" t="str">
        <f t="shared" si="5"/>
        <v/>
      </c>
      <c r="B216" s="25"/>
      <c r="C216" s="25"/>
      <c r="D216" s="37"/>
      <c r="E216" s="25"/>
      <c r="F216" s="25"/>
      <c r="G216" s="38"/>
      <c r="H216" s="37"/>
      <c r="I216" s="25"/>
      <c r="J216" s="38"/>
      <c r="O216" s="37"/>
      <c r="P216" s="25"/>
      <c r="Q216" s="38"/>
      <c r="R216" s="37"/>
      <c r="S216" s="25"/>
      <c r="T216" s="25"/>
      <c r="U216" s="38"/>
      <c r="V216" s="26"/>
      <c r="W216" s="25"/>
      <c r="X216" s="25"/>
      <c r="Y216" s="25"/>
      <c r="Z216" s="25"/>
      <c r="AA216" s="25"/>
      <c r="AB216" s="25"/>
      <c r="AC216" s="25"/>
      <c r="AD216" s="25"/>
    </row>
    <row r="217" spans="1:30" x14ac:dyDescent="0.25">
      <c r="A217" s="18" t="str">
        <f t="shared" si="5"/>
        <v/>
      </c>
      <c r="B217" s="25"/>
      <c r="C217" s="25"/>
      <c r="D217" s="37"/>
      <c r="E217" s="25"/>
      <c r="F217" s="25"/>
      <c r="G217" s="38"/>
      <c r="H217" s="37"/>
      <c r="I217" s="25"/>
      <c r="J217" s="38"/>
      <c r="O217" s="37"/>
      <c r="P217" s="25"/>
      <c r="Q217" s="38"/>
      <c r="R217" s="37"/>
      <c r="S217" s="25"/>
      <c r="T217" s="25"/>
      <c r="U217" s="38"/>
      <c r="V217" s="26"/>
      <c r="W217" s="25"/>
      <c r="X217" s="25"/>
      <c r="Y217" s="25"/>
      <c r="Z217" s="25"/>
      <c r="AA217" s="25"/>
      <c r="AB217" s="25"/>
      <c r="AC217" s="25"/>
      <c r="AD217" s="25"/>
    </row>
    <row r="218" spans="1:30" x14ac:dyDescent="0.25">
      <c r="A218" s="18" t="str">
        <f t="shared" si="5"/>
        <v/>
      </c>
      <c r="B218" s="25"/>
      <c r="C218" s="25"/>
      <c r="D218" s="37"/>
      <c r="E218" s="25"/>
      <c r="F218" s="25"/>
      <c r="G218" s="38"/>
      <c r="H218" s="37"/>
      <c r="I218" s="25"/>
      <c r="J218" s="38"/>
      <c r="O218" s="37"/>
      <c r="P218" s="25"/>
      <c r="Q218" s="38"/>
      <c r="R218" s="37"/>
      <c r="S218" s="25"/>
      <c r="T218" s="25"/>
      <c r="U218" s="38"/>
      <c r="V218" s="26"/>
      <c r="W218" s="25"/>
      <c r="X218" s="25"/>
      <c r="Y218" s="25"/>
      <c r="Z218" s="25"/>
      <c r="AA218" s="25"/>
      <c r="AB218" s="25"/>
      <c r="AC218" s="25"/>
      <c r="AD218" s="25"/>
    </row>
    <row r="219" spans="1:30" x14ac:dyDescent="0.25">
      <c r="A219" s="18" t="str">
        <f t="shared" si="5"/>
        <v/>
      </c>
      <c r="B219" s="25"/>
      <c r="C219" s="25"/>
      <c r="D219" s="37"/>
      <c r="E219" s="25"/>
      <c r="F219" s="25"/>
      <c r="G219" s="38"/>
      <c r="H219" s="37"/>
      <c r="I219" s="25"/>
      <c r="J219" s="38"/>
      <c r="O219" s="37"/>
      <c r="P219" s="25"/>
      <c r="Q219" s="38"/>
      <c r="R219" s="37"/>
      <c r="S219" s="25"/>
      <c r="T219" s="25"/>
      <c r="U219" s="38"/>
      <c r="V219" s="26"/>
      <c r="W219" s="25"/>
      <c r="X219" s="25"/>
      <c r="Y219" s="25"/>
      <c r="Z219" s="25"/>
      <c r="AA219" s="25"/>
      <c r="AB219" s="25"/>
      <c r="AC219" s="25"/>
      <c r="AD219" s="25"/>
    </row>
    <row r="220" spans="1:30" x14ac:dyDescent="0.25">
      <c r="A220" s="18" t="str">
        <f t="shared" si="5"/>
        <v/>
      </c>
      <c r="B220" s="25"/>
      <c r="C220" s="25"/>
      <c r="D220" s="37"/>
      <c r="E220" s="25"/>
      <c r="F220" s="25"/>
      <c r="G220" s="38"/>
      <c r="H220" s="37"/>
      <c r="I220" s="25"/>
      <c r="J220" s="38"/>
      <c r="O220" s="37"/>
      <c r="P220" s="25"/>
      <c r="Q220" s="38"/>
      <c r="R220" s="37"/>
      <c r="S220" s="25"/>
      <c r="T220" s="25"/>
      <c r="U220" s="38"/>
      <c r="V220" s="26"/>
      <c r="W220" s="25"/>
      <c r="X220" s="25"/>
      <c r="Y220" s="25"/>
      <c r="Z220" s="25"/>
      <c r="AA220" s="25"/>
      <c r="AB220" s="25"/>
      <c r="AC220" s="25"/>
      <c r="AD220" s="25"/>
    </row>
    <row r="221" spans="1:30" x14ac:dyDescent="0.25">
      <c r="A221" s="18" t="str">
        <f t="shared" si="5"/>
        <v/>
      </c>
      <c r="B221" s="25"/>
      <c r="C221" s="25"/>
      <c r="D221" s="37"/>
      <c r="E221" s="25"/>
      <c r="F221" s="25"/>
      <c r="G221" s="38"/>
      <c r="H221" s="37"/>
      <c r="I221" s="25"/>
      <c r="J221" s="38"/>
      <c r="O221" s="37"/>
      <c r="P221" s="25"/>
      <c r="Q221" s="38"/>
      <c r="R221" s="37"/>
      <c r="S221" s="25"/>
      <c r="T221" s="25"/>
      <c r="U221" s="38"/>
      <c r="V221" s="26"/>
      <c r="W221" s="25"/>
      <c r="X221" s="25"/>
      <c r="Y221" s="25"/>
      <c r="Z221" s="25"/>
      <c r="AA221" s="25"/>
      <c r="AB221" s="25"/>
      <c r="AC221" s="25"/>
      <c r="AD221" s="25"/>
    </row>
    <row r="222" spans="1:30" x14ac:dyDescent="0.25">
      <c r="A222" s="18" t="str">
        <f t="shared" si="5"/>
        <v/>
      </c>
      <c r="B222" s="25"/>
      <c r="C222" s="25"/>
      <c r="D222" s="37"/>
      <c r="E222" s="25"/>
      <c r="F222" s="25"/>
      <c r="G222" s="38"/>
      <c r="H222" s="37"/>
      <c r="I222" s="25"/>
      <c r="J222" s="38"/>
      <c r="O222" s="37"/>
      <c r="P222" s="25"/>
      <c r="Q222" s="38"/>
      <c r="R222" s="37"/>
      <c r="S222" s="25"/>
      <c r="T222" s="25"/>
      <c r="U222" s="38"/>
      <c r="V222" s="26"/>
      <c r="W222" s="25"/>
      <c r="X222" s="25"/>
      <c r="Y222" s="25"/>
      <c r="Z222" s="25"/>
      <c r="AA222" s="25"/>
      <c r="AB222" s="25"/>
      <c r="AC222" s="25"/>
      <c r="AD222" s="25"/>
    </row>
    <row r="223" spans="1:30" x14ac:dyDescent="0.25">
      <c r="A223" s="18" t="str">
        <f t="shared" si="5"/>
        <v/>
      </c>
      <c r="B223" s="25"/>
      <c r="C223" s="25"/>
      <c r="D223" s="37"/>
      <c r="E223" s="25"/>
      <c r="F223" s="25"/>
      <c r="G223" s="38"/>
      <c r="H223" s="37"/>
      <c r="I223" s="25"/>
      <c r="J223" s="38"/>
      <c r="O223" s="37"/>
      <c r="P223" s="25"/>
      <c r="Q223" s="38"/>
      <c r="R223" s="37"/>
      <c r="S223" s="25"/>
      <c r="T223" s="25"/>
      <c r="U223" s="38"/>
      <c r="V223" s="26"/>
      <c r="W223" s="25"/>
      <c r="X223" s="25"/>
      <c r="Y223" s="25"/>
      <c r="Z223" s="25"/>
      <c r="AA223" s="25"/>
      <c r="AB223" s="25"/>
      <c r="AC223" s="25"/>
      <c r="AD223" s="25"/>
    </row>
    <row r="224" spans="1:30" x14ac:dyDescent="0.25">
      <c r="A224" s="18" t="str">
        <f t="shared" si="5"/>
        <v/>
      </c>
      <c r="B224" s="25"/>
      <c r="C224" s="25"/>
      <c r="D224" s="37"/>
      <c r="E224" s="25"/>
      <c r="F224" s="25"/>
      <c r="G224" s="38"/>
      <c r="H224" s="37"/>
      <c r="I224" s="25"/>
      <c r="J224" s="38"/>
      <c r="O224" s="37"/>
      <c r="P224" s="25"/>
      <c r="Q224" s="38"/>
      <c r="R224" s="37"/>
      <c r="S224" s="25"/>
      <c r="T224" s="25"/>
      <c r="U224" s="38"/>
      <c r="V224" s="26"/>
      <c r="W224" s="25"/>
      <c r="X224" s="25"/>
      <c r="Y224" s="25"/>
      <c r="Z224" s="25"/>
      <c r="AA224" s="25"/>
      <c r="AB224" s="25"/>
      <c r="AC224" s="25"/>
      <c r="AD224" s="25"/>
    </row>
    <row r="225" spans="1:30" x14ac:dyDescent="0.25">
      <c r="A225" s="18" t="str">
        <f t="shared" si="5"/>
        <v/>
      </c>
      <c r="B225" s="25"/>
      <c r="C225" s="25"/>
      <c r="D225" s="37"/>
      <c r="E225" s="25"/>
      <c r="F225" s="25"/>
      <c r="G225" s="38"/>
      <c r="H225" s="37"/>
      <c r="I225" s="25"/>
      <c r="J225" s="38"/>
      <c r="O225" s="37"/>
      <c r="P225" s="25"/>
      <c r="Q225" s="38"/>
      <c r="R225" s="37"/>
      <c r="S225" s="25"/>
      <c r="T225" s="25"/>
      <c r="U225" s="38"/>
      <c r="V225" s="26"/>
      <c r="W225" s="25"/>
      <c r="X225" s="25"/>
      <c r="Y225" s="25"/>
      <c r="Z225" s="25"/>
      <c r="AA225" s="25"/>
      <c r="AB225" s="25"/>
      <c r="AC225" s="25"/>
      <c r="AD225" s="25"/>
    </row>
    <row r="226" spans="1:30" x14ac:dyDescent="0.25">
      <c r="A226" s="18" t="str">
        <f t="shared" si="5"/>
        <v/>
      </c>
      <c r="B226" s="25"/>
      <c r="C226" s="25"/>
      <c r="D226" s="37"/>
      <c r="E226" s="25"/>
      <c r="F226" s="25"/>
      <c r="G226" s="38"/>
      <c r="H226" s="37"/>
      <c r="I226" s="25"/>
      <c r="J226" s="38"/>
      <c r="O226" s="37"/>
      <c r="P226" s="25"/>
      <c r="Q226" s="38"/>
      <c r="R226" s="37"/>
      <c r="S226" s="25"/>
      <c r="T226" s="25"/>
      <c r="U226" s="38"/>
      <c r="V226" s="26"/>
      <c r="W226" s="25"/>
      <c r="X226" s="25"/>
      <c r="Y226" s="25"/>
      <c r="Z226" s="25"/>
      <c r="AA226" s="25"/>
      <c r="AB226" s="25"/>
      <c r="AC226" s="25"/>
      <c r="AD226" s="25"/>
    </row>
    <row r="227" spans="1:30" x14ac:dyDescent="0.25">
      <c r="A227" s="18" t="str">
        <f t="shared" si="5"/>
        <v/>
      </c>
      <c r="B227" s="25"/>
      <c r="C227" s="25"/>
      <c r="D227" s="37"/>
      <c r="E227" s="25"/>
      <c r="F227" s="25"/>
      <c r="G227" s="38"/>
      <c r="H227" s="37"/>
      <c r="I227" s="25"/>
      <c r="J227" s="38"/>
      <c r="O227" s="37"/>
      <c r="P227" s="25"/>
      <c r="Q227" s="38"/>
      <c r="R227" s="37"/>
      <c r="S227" s="25"/>
      <c r="T227" s="25"/>
      <c r="U227" s="38"/>
      <c r="V227" s="26"/>
      <c r="W227" s="25"/>
      <c r="X227" s="25"/>
      <c r="Y227" s="25"/>
      <c r="Z227" s="25"/>
      <c r="AA227" s="25"/>
      <c r="AB227" s="25"/>
      <c r="AC227" s="25"/>
      <c r="AD227" s="25"/>
    </row>
    <row r="228" spans="1:30" x14ac:dyDescent="0.25">
      <c r="A228" s="18" t="str">
        <f t="shared" si="5"/>
        <v/>
      </c>
      <c r="B228" s="25"/>
      <c r="C228" s="25"/>
      <c r="D228" s="37"/>
      <c r="E228" s="25"/>
      <c r="F228" s="25"/>
      <c r="G228" s="38"/>
      <c r="H228" s="37"/>
      <c r="I228" s="25"/>
      <c r="J228" s="38"/>
      <c r="O228" s="37"/>
      <c r="P228" s="25"/>
      <c r="Q228" s="38"/>
      <c r="R228" s="37"/>
      <c r="S228" s="25"/>
      <c r="T228" s="25"/>
      <c r="U228" s="38"/>
      <c r="V228" s="26"/>
      <c r="W228" s="25"/>
      <c r="X228" s="25"/>
      <c r="Y228" s="25"/>
      <c r="Z228" s="25"/>
      <c r="AA228" s="25"/>
      <c r="AB228" s="25"/>
      <c r="AC228" s="25"/>
      <c r="AD228" s="25"/>
    </row>
    <row r="229" spans="1:30" x14ac:dyDescent="0.25">
      <c r="A229" s="18" t="str">
        <f t="shared" si="5"/>
        <v/>
      </c>
      <c r="B229" s="25"/>
      <c r="C229" s="25"/>
      <c r="D229" s="37"/>
      <c r="E229" s="25"/>
      <c r="F229" s="25"/>
      <c r="G229" s="38"/>
      <c r="H229" s="37"/>
      <c r="I229" s="25"/>
      <c r="J229" s="38"/>
      <c r="O229" s="37"/>
      <c r="P229" s="25"/>
      <c r="Q229" s="38"/>
      <c r="R229" s="37"/>
      <c r="S229" s="25"/>
      <c r="T229" s="25"/>
      <c r="U229" s="38"/>
      <c r="V229" s="26"/>
      <c r="W229" s="25"/>
      <c r="X229" s="25"/>
      <c r="Y229" s="25"/>
      <c r="Z229" s="25"/>
      <c r="AA229" s="25"/>
      <c r="AB229" s="25"/>
      <c r="AC229" s="25"/>
      <c r="AD229" s="25"/>
    </row>
    <row r="230" spans="1:30" x14ac:dyDescent="0.25">
      <c r="A230" s="18" t="str">
        <f t="shared" si="5"/>
        <v/>
      </c>
      <c r="B230" s="25"/>
      <c r="C230" s="25"/>
      <c r="D230" s="37"/>
      <c r="E230" s="25"/>
      <c r="F230" s="25"/>
      <c r="G230" s="38"/>
      <c r="H230" s="37"/>
      <c r="I230" s="25"/>
      <c r="J230" s="38"/>
      <c r="O230" s="37"/>
      <c r="P230" s="25"/>
      <c r="Q230" s="38"/>
      <c r="R230" s="37"/>
      <c r="S230" s="25"/>
      <c r="T230" s="25"/>
      <c r="U230" s="38"/>
      <c r="V230" s="26"/>
      <c r="W230" s="25"/>
      <c r="X230" s="25"/>
      <c r="Y230" s="25"/>
      <c r="Z230" s="25"/>
      <c r="AA230" s="25"/>
      <c r="AB230" s="25"/>
      <c r="AC230" s="25"/>
      <c r="AD230" s="25"/>
    </row>
    <row r="231" spans="1:30" x14ac:dyDescent="0.25">
      <c r="A231" s="18" t="str">
        <f t="shared" si="5"/>
        <v/>
      </c>
      <c r="B231" s="25"/>
      <c r="C231" s="25"/>
      <c r="D231" s="37"/>
      <c r="E231" s="25"/>
      <c r="F231" s="25"/>
      <c r="G231" s="38"/>
      <c r="H231" s="37"/>
      <c r="I231" s="25"/>
      <c r="J231" s="38"/>
      <c r="O231" s="37"/>
      <c r="P231" s="25"/>
      <c r="Q231" s="38"/>
      <c r="R231" s="37"/>
      <c r="S231" s="25"/>
      <c r="T231" s="25"/>
      <c r="U231" s="38"/>
      <c r="V231" s="26"/>
      <c r="W231" s="25"/>
      <c r="X231" s="25"/>
      <c r="Y231" s="25"/>
      <c r="Z231" s="25"/>
      <c r="AA231" s="25"/>
      <c r="AB231" s="25"/>
      <c r="AC231" s="25"/>
      <c r="AD231" s="25"/>
    </row>
    <row r="232" spans="1:30" x14ac:dyDescent="0.25">
      <c r="A232" s="18" t="str">
        <f t="shared" si="5"/>
        <v/>
      </c>
      <c r="B232" s="25"/>
      <c r="C232" s="25"/>
      <c r="D232" s="37"/>
      <c r="E232" s="25"/>
      <c r="F232" s="25"/>
      <c r="G232" s="38"/>
      <c r="H232" s="37"/>
      <c r="I232" s="25"/>
      <c r="J232" s="38"/>
      <c r="O232" s="37"/>
      <c r="P232" s="25"/>
      <c r="Q232" s="38"/>
      <c r="R232" s="37"/>
      <c r="S232" s="25"/>
      <c r="T232" s="25"/>
      <c r="U232" s="38"/>
      <c r="V232" s="26"/>
      <c r="W232" s="25"/>
      <c r="X232" s="25"/>
      <c r="Y232" s="25"/>
      <c r="Z232" s="25"/>
      <c r="AA232" s="25"/>
      <c r="AB232" s="25"/>
      <c r="AC232" s="25"/>
      <c r="AD232" s="25"/>
    </row>
    <row r="233" spans="1:30" x14ac:dyDescent="0.25">
      <c r="A233" s="18" t="str">
        <f t="shared" si="5"/>
        <v/>
      </c>
      <c r="B233" s="25"/>
      <c r="C233" s="25"/>
      <c r="D233" s="37"/>
      <c r="E233" s="25"/>
      <c r="F233" s="25"/>
      <c r="G233" s="38"/>
      <c r="H233" s="37"/>
      <c r="I233" s="25"/>
      <c r="J233" s="38"/>
      <c r="O233" s="37"/>
      <c r="P233" s="25"/>
      <c r="Q233" s="38"/>
      <c r="R233" s="37"/>
      <c r="S233" s="25"/>
      <c r="T233" s="25"/>
      <c r="U233" s="38"/>
      <c r="V233" s="26"/>
      <c r="W233" s="25"/>
      <c r="X233" s="25"/>
      <c r="Y233" s="25"/>
      <c r="Z233" s="25"/>
      <c r="AA233" s="25"/>
      <c r="AB233" s="25"/>
      <c r="AC233" s="25"/>
      <c r="AD233" s="25"/>
    </row>
    <row r="234" spans="1:30" x14ac:dyDescent="0.25">
      <c r="A234" s="18" t="str">
        <f t="shared" si="5"/>
        <v/>
      </c>
      <c r="B234" s="25"/>
      <c r="C234" s="25"/>
      <c r="D234" s="37"/>
      <c r="E234" s="25"/>
      <c r="F234" s="25"/>
      <c r="G234" s="38"/>
      <c r="H234" s="37"/>
      <c r="I234" s="25"/>
      <c r="J234" s="38"/>
      <c r="O234" s="37"/>
      <c r="P234" s="25"/>
      <c r="Q234" s="38"/>
      <c r="R234" s="37"/>
      <c r="S234" s="25"/>
      <c r="T234" s="25"/>
      <c r="U234" s="38"/>
      <c r="V234" s="26"/>
      <c r="W234" s="25"/>
      <c r="X234" s="25"/>
      <c r="Y234" s="25"/>
      <c r="Z234" s="25"/>
      <c r="AA234" s="25"/>
      <c r="AB234" s="25"/>
      <c r="AC234" s="25"/>
      <c r="AD234" s="25"/>
    </row>
    <row r="235" spans="1:30" x14ac:dyDescent="0.25">
      <c r="A235" s="18" t="str">
        <f t="shared" si="5"/>
        <v/>
      </c>
      <c r="B235" s="25"/>
      <c r="C235" s="25"/>
      <c r="D235" s="37"/>
      <c r="E235" s="25"/>
      <c r="F235" s="25"/>
      <c r="G235" s="38"/>
      <c r="H235" s="37"/>
      <c r="I235" s="25"/>
      <c r="J235" s="38"/>
      <c r="O235" s="37"/>
      <c r="P235" s="25"/>
      <c r="Q235" s="38"/>
      <c r="R235" s="37"/>
      <c r="S235" s="25"/>
      <c r="T235" s="25"/>
      <c r="U235" s="38"/>
      <c r="V235" s="26"/>
      <c r="W235" s="25"/>
      <c r="X235" s="25"/>
      <c r="Y235" s="25"/>
      <c r="Z235" s="25"/>
      <c r="AA235" s="25"/>
      <c r="AB235" s="25"/>
      <c r="AC235" s="25"/>
      <c r="AD235" s="25"/>
    </row>
    <row r="236" spans="1:30" x14ac:dyDescent="0.25">
      <c r="A236" s="18" t="str">
        <f t="shared" si="5"/>
        <v/>
      </c>
      <c r="B236" s="25"/>
      <c r="C236" s="25"/>
      <c r="D236" s="37"/>
      <c r="E236" s="25"/>
      <c r="F236" s="25"/>
      <c r="G236" s="38"/>
      <c r="H236" s="37"/>
      <c r="I236" s="25"/>
      <c r="J236" s="38"/>
      <c r="O236" s="37"/>
      <c r="P236" s="25"/>
      <c r="Q236" s="38"/>
      <c r="R236" s="37"/>
      <c r="S236" s="25"/>
      <c r="T236" s="25"/>
      <c r="U236" s="38"/>
      <c r="V236" s="26"/>
      <c r="W236" s="25"/>
      <c r="X236" s="25"/>
      <c r="Y236" s="25"/>
      <c r="Z236" s="25"/>
      <c r="AA236" s="25"/>
      <c r="AB236" s="25"/>
      <c r="AC236" s="25"/>
      <c r="AD236" s="25"/>
    </row>
    <row r="237" spans="1:30" x14ac:dyDescent="0.25">
      <c r="A237" s="18" t="str">
        <f t="shared" si="5"/>
        <v/>
      </c>
      <c r="B237" s="25"/>
      <c r="C237" s="25"/>
      <c r="D237" s="37"/>
      <c r="E237" s="25"/>
      <c r="F237" s="25"/>
      <c r="G237" s="38"/>
      <c r="H237" s="37"/>
      <c r="I237" s="25"/>
      <c r="J237" s="38"/>
      <c r="O237" s="37"/>
      <c r="P237" s="25"/>
      <c r="Q237" s="38"/>
      <c r="R237" s="37"/>
      <c r="S237" s="25"/>
      <c r="T237" s="25"/>
      <c r="U237" s="38"/>
      <c r="V237" s="26"/>
      <c r="W237" s="25"/>
      <c r="X237" s="25"/>
      <c r="Y237" s="25"/>
      <c r="Z237" s="25"/>
      <c r="AA237" s="25"/>
      <c r="AB237" s="25"/>
      <c r="AC237" s="25"/>
      <c r="AD237" s="25"/>
    </row>
    <row r="238" spans="1:30" x14ac:dyDescent="0.25">
      <c r="A238" s="18" t="str">
        <f t="shared" si="5"/>
        <v/>
      </c>
      <c r="B238" s="25"/>
      <c r="C238" s="25"/>
      <c r="D238" s="37"/>
      <c r="E238" s="25"/>
      <c r="F238" s="25"/>
      <c r="G238" s="38"/>
      <c r="H238" s="37"/>
      <c r="I238" s="25"/>
      <c r="J238" s="38"/>
      <c r="O238" s="37"/>
      <c r="P238" s="25"/>
      <c r="Q238" s="38"/>
      <c r="R238" s="37"/>
      <c r="S238" s="25"/>
      <c r="T238" s="25"/>
      <c r="U238" s="38"/>
      <c r="V238" s="26"/>
      <c r="W238" s="25"/>
      <c r="X238" s="25"/>
      <c r="Y238" s="25"/>
      <c r="Z238" s="25"/>
      <c r="AA238" s="25"/>
      <c r="AB238" s="25"/>
      <c r="AC238" s="25"/>
      <c r="AD238" s="25"/>
    </row>
    <row r="239" spans="1:30" x14ac:dyDescent="0.25">
      <c r="A239" s="18" t="str">
        <f t="shared" si="5"/>
        <v/>
      </c>
      <c r="B239" s="25"/>
      <c r="C239" s="25"/>
      <c r="D239" s="37"/>
      <c r="E239" s="25"/>
      <c r="F239" s="25"/>
      <c r="G239" s="38"/>
      <c r="H239" s="37"/>
      <c r="I239" s="25"/>
      <c r="J239" s="38"/>
      <c r="O239" s="37"/>
      <c r="P239" s="25"/>
      <c r="Q239" s="38"/>
      <c r="R239" s="37"/>
      <c r="S239" s="25"/>
      <c r="T239" s="25"/>
      <c r="U239" s="38"/>
      <c r="V239" s="26"/>
      <c r="W239" s="25"/>
      <c r="X239" s="25"/>
      <c r="Y239" s="25"/>
      <c r="Z239" s="25"/>
      <c r="AA239" s="25"/>
      <c r="AB239" s="25"/>
      <c r="AC239" s="25"/>
      <c r="AD239" s="25"/>
    </row>
    <row r="240" spans="1:30" x14ac:dyDescent="0.25">
      <c r="A240" s="18" t="str">
        <f t="shared" si="5"/>
        <v/>
      </c>
      <c r="B240" s="25"/>
      <c r="C240" s="25"/>
      <c r="D240" s="37"/>
      <c r="E240" s="25"/>
      <c r="F240" s="25"/>
      <c r="G240" s="38"/>
      <c r="H240" s="37"/>
      <c r="I240" s="25"/>
      <c r="J240" s="38"/>
      <c r="O240" s="37"/>
      <c r="P240" s="25"/>
      <c r="Q240" s="38"/>
      <c r="R240" s="37"/>
      <c r="S240" s="25"/>
      <c r="T240" s="25"/>
      <c r="U240" s="38"/>
      <c r="V240" s="26"/>
      <c r="W240" s="25"/>
      <c r="X240" s="25"/>
      <c r="Y240" s="25"/>
      <c r="Z240" s="25"/>
      <c r="AA240" s="25"/>
      <c r="AB240" s="25"/>
      <c r="AC240" s="25"/>
      <c r="AD240" s="25"/>
    </row>
    <row r="241" spans="1:30" x14ac:dyDescent="0.25">
      <c r="A241" s="18" t="str">
        <f t="shared" si="5"/>
        <v/>
      </c>
      <c r="B241" s="25"/>
      <c r="C241" s="25"/>
      <c r="D241" s="37"/>
      <c r="E241" s="25"/>
      <c r="F241" s="25"/>
      <c r="G241" s="38"/>
      <c r="H241" s="37"/>
      <c r="I241" s="25"/>
      <c r="J241" s="38"/>
      <c r="O241" s="37"/>
      <c r="P241" s="25"/>
      <c r="Q241" s="38"/>
      <c r="R241" s="37"/>
      <c r="S241" s="25"/>
      <c r="T241" s="25"/>
      <c r="U241" s="38"/>
      <c r="V241" s="26"/>
      <c r="W241" s="25"/>
      <c r="X241" s="25"/>
      <c r="Y241" s="25"/>
      <c r="Z241" s="25"/>
      <c r="AA241" s="25"/>
      <c r="AB241" s="25"/>
      <c r="AC241" s="25"/>
      <c r="AD241" s="25"/>
    </row>
    <row r="242" spans="1:30" x14ac:dyDescent="0.25">
      <c r="A242" s="18" t="str">
        <f t="shared" si="5"/>
        <v/>
      </c>
      <c r="B242" s="25"/>
      <c r="C242" s="25"/>
      <c r="D242" s="37"/>
      <c r="E242" s="25"/>
      <c r="F242" s="25"/>
      <c r="G242" s="38"/>
      <c r="H242" s="37"/>
      <c r="I242" s="25"/>
      <c r="J242" s="38"/>
      <c r="O242" s="37"/>
      <c r="P242" s="25"/>
      <c r="Q242" s="38"/>
      <c r="R242" s="37"/>
      <c r="S242" s="25"/>
      <c r="T242" s="25"/>
      <c r="U242" s="38"/>
      <c r="V242" s="26"/>
      <c r="W242" s="25"/>
      <c r="X242" s="25"/>
      <c r="Y242" s="25"/>
      <c r="Z242" s="25"/>
      <c r="AA242" s="25"/>
      <c r="AB242" s="25"/>
      <c r="AC242" s="25"/>
      <c r="AD242" s="25"/>
    </row>
    <row r="243" spans="1:30" x14ac:dyDescent="0.25">
      <c r="A243" s="18" t="str">
        <f t="shared" si="5"/>
        <v/>
      </c>
      <c r="B243" s="25"/>
      <c r="C243" s="25"/>
      <c r="D243" s="37"/>
      <c r="E243" s="25"/>
      <c r="F243" s="25"/>
      <c r="G243" s="38"/>
      <c r="H243" s="37"/>
      <c r="I243" s="25"/>
      <c r="J243" s="38"/>
      <c r="O243" s="37"/>
      <c r="P243" s="25"/>
      <c r="Q243" s="38"/>
      <c r="R243" s="37"/>
      <c r="S243" s="25"/>
      <c r="T243" s="25"/>
      <c r="U243" s="38"/>
      <c r="V243" s="26"/>
      <c r="W243" s="25"/>
      <c r="X243" s="25"/>
      <c r="Y243" s="25"/>
      <c r="Z243" s="25"/>
      <c r="AA243" s="25"/>
      <c r="AB243" s="25"/>
      <c r="AC243" s="25"/>
      <c r="AD243" s="25"/>
    </row>
    <row r="244" spans="1:30" x14ac:dyDescent="0.25">
      <c r="A244" s="18" t="str">
        <f t="shared" si="5"/>
        <v/>
      </c>
      <c r="B244" s="25"/>
      <c r="C244" s="25"/>
      <c r="D244" s="37"/>
      <c r="E244" s="25"/>
      <c r="F244" s="25"/>
      <c r="G244" s="38"/>
      <c r="H244" s="37"/>
      <c r="I244" s="25"/>
      <c r="J244" s="38"/>
      <c r="O244" s="37"/>
      <c r="P244" s="25"/>
      <c r="Q244" s="38"/>
      <c r="R244" s="37"/>
      <c r="S244" s="25"/>
      <c r="T244" s="25"/>
      <c r="U244" s="38"/>
      <c r="V244" s="26"/>
      <c r="W244" s="25"/>
      <c r="X244" s="25"/>
      <c r="Y244" s="25"/>
      <c r="Z244" s="25"/>
      <c r="AA244" s="25"/>
      <c r="AB244" s="25"/>
      <c r="AC244" s="25"/>
      <c r="AD244" s="25"/>
    </row>
    <row r="245" spans="1:30" x14ac:dyDescent="0.25">
      <c r="A245" s="18" t="str">
        <f t="shared" si="5"/>
        <v/>
      </c>
      <c r="B245" s="25"/>
      <c r="C245" s="25"/>
      <c r="D245" s="37"/>
      <c r="E245" s="25"/>
      <c r="F245" s="25"/>
      <c r="G245" s="38"/>
      <c r="H245" s="37"/>
      <c r="I245" s="25"/>
      <c r="J245" s="38"/>
      <c r="O245" s="37"/>
      <c r="P245" s="25"/>
      <c r="Q245" s="38"/>
      <c r="R245" s="37"/>
      <c r="S245" s="25"/>
      <c r="T245" s="25"/>
      <c r="U245" s="38"/>
      <c r="V245" s="26"/>
      <c r="W245" s="25"/>
      <c r="X245" s="25"/>
      <c r="Y245" s="25"/>
      <c r="Z245" s="25"/>
      <c r="AA245" s="25"/>
      <c r="AB245" s="25"/>
      <c r="AC245" s="25"/>
      <c r="AD245" s="25"/>
    </row>
    <row r="246" spans="1:30" x14ac:dyDescent="0.25">
      <c r="A246" s="18" t="str">
        <f t="shared" si="5"/>
        <v/>
      </c>
      <c r="B246" s="25"/>
      <c r="C246" s="25"/>
      <c r="D246" s="37"/>
      <c r="E246" s="25"/>
      <c r="F246" s="25"/>
      <c r="G246" s="38"/>
      <c r="H246" s="37"/>
      <c r="I246" s="25"/>
      <c r="J246" s="38"/>
      <c r="O246" s="37"/>
      <c r="P246" s="25"/>
      <c r="Q246" s="38"/>
      <c r="R246" s="37"/>
      <c r="S246" s="25"/>
      <c r="T246" s="25"/>
      <c r="U246" s="38"/>
      <c r="V246" s="26"/>
      <c r="W246" s="25"/>
      <c r="X246" s="25"/>
      <c r="Y246" s="25"/>
      <c r="Z246" s="25"/>
      <c r="AA246" s="25"/>
      <c r="AB246" s="25"/>
      <c r="AC246" s="25"/>
      <c r="AD246" s="25"/>
    </row>
    <row r="247" spans="1:30" x14ac:dyDescent="0.25">
      <c r="A247" s="18" t="str">
        <f t="shared" si="5"/>
        <v/>
      </c>
      <c r="B247" s="25"/>
      <c r="C247" s="25"/>
      <c r="D247" s="37"/>
      <c r="E247" s="25"/>
      <c r="F247" s="25"/>
      <c r="G247" s="38"/>
      <c r="H247" s="37"/>
      <c r="I247" s="25"/>
      <c r="J247" s="38"/>
      <c r="O247" s="37"/>
      <c r="P247" s="25"/>
      <c r="Q247" s="38"/>
      <c r="R247" s="37"/>
      <c r="S247" s="25"/>
      <c r="T247" s="25"/>
      <c r="U247" s="38"/>
      <c r="V247" s="26"/>
      <c r="W247" s="25"/>
      <c r="X247" s="25"/>
      <c r="Y247" s="25"/>
      <c r="Z247" s="25"/>
      <c r="AA247" s="25"/>
      <c r="AB247" s="25"/>
      <c r="AC247" s="25"/>
      <c r="AD247" s="25"/>
    </row>
    <row r="248" spans="1:30" x14ac:dyDescent="0.25">
      <c r="A248" s="18" t="str">
        <f t="shared" si="5"/>
        <v/>
      </c>
      <c r="B248" s="25"/>
      <c r="C248" s="25"/>
      <c r="D248" s="37"/>
      <c r="E248" s="25"/>
      <c r="F248" s="25"/>
      <c r="G248" s="38"/>
      <c r="H248" s="37"/>
      <c r="I248" s="25"/>
      <c r="J248" s="38"/>
      <c r="O248" s="37"/>
      <c r="P248" s="25"/>
      <c r="Q248" s="38"/>
      <c r="R248" s="37"/>
      <c r="S248" s="25"/>
      <c r="T248" s="25"/>
      <c r="U248" s="38"/>
      <c r="V248" s="26"/>
      <c r="W248" s="25"/>
      <c r="X248" s="25"/>
      <c r="Y248" s="25"/>
      <c r="Z248" s="25"/>
      <c r="AA248" s="25"/>
      <c r="AB248" s="25"/>
      <c r="AC248" s="25"/>
      <c r="AD248" s="25"/>
    </row>
    <row r="249" spans="1:30" x14ac:dyDescent="0.25">
      <c r="A249" s="18" t="str">
        <f t="shared" si="5"/>
        <v/>
      </c>
      <c r="B249" s="25"/>
      <c r="C249" s="25"/>
      <c r="D249" s="37"/>
      <c r="E249" s="25"/>
      <c r="F249" s="25"/>
      <c r="G249" s="38"/>
      <c r="H249" s="37"/>
      <c r="I249" s="25"/>
      <c r="J249" s="38"/>
      <c r="O249" s="37"/>
      <c r="P249" s="25"/>
      <c r="Q249" s="38"/>
      <c r="R249" s="37"/>
      <c r="S249" s="25"/>
      <c r="T249" s="25"/>
      <c r="U249" s="38"/>
      <c r="V249" s="26"/>
      <c r="W249" s="25"/>
      <c r="X249" s="25"/>
      <c r="Y249" s="25"/>
      <c r="Z249" s="25"/>
      <c r="AA249" s="25"/>
      <c r="AB249" s="25"/>
      <c r="AC249" s="25"/>
      <c r="AD249" s="25"/>
    </row>
    <row r="250" spans="1:30" x14ac:dyDescent="0.25">
      <c r="A250" s="18" t="str">
        <f t="shared" si="5"/>
        <v/>
      </c>
      <c r="B250" s="25"/>
      <c r="C250" s="25"/>
      <c r="D250" s="37"/>
      <c r="E250" s="25"/>
      <c r="F250" s="25"/>
      <c r="G250" s="38"/>
      <c r="H250" s="37"/>
      <c r="I250" s="25"/>
      <c r="J250" s="38"/>
      <c r="O250" s="37"/>
      <c r="P250" s="25"/>
      <c r="Q250" s="38"/>
      <c r="R250" s="37"/>
      <c r="S250" s="25"/>
      <c r="T250" s="25"/>
      <c r="U250" s="38"/>
      <c r="V250" s="26"/>
      <c r="W250" s="25"/>
      <c r="X250" s="25"/>
      <c r="Y250" s="25"/>
      <c r="Z250" s="25"/>
      <c r="AA250" s="25"/>
      <c r="AB250" s="25"/>
      <c r="AC250" s="25"/>
      <c r="AD250" s="25"/>
    </row>
    <row r="251" spans="1:30" x14ac:dyDescent="0.25">
      <c r="A251" s="18" t="str">
        <f t="shared" si="5"/>
        <v/>
      </c>
      <c r="B251" s="25"/>
      <c r="C251" s="25"/>
      <c r="D251" s="37"/>
      <c r="E251" s="25"/>
      <c r="F251" s="25"/>
      <c r="G251" s="38"/>
      <c r="H251" s="37"/>
      <c r="I251" s="25"/>
      <c r="J251" s="38"/>
      <c r="O251" s="37"/>
      <c r="P251" s="25"/>
      <c r="Q251" s="38"/>
      <c r="R251" s="37"/>
      <c r="S251" s="25"/>
      <c r="T251" s="25"/>
      <c r="U251" s="38"/>
      <c r="V251" s="26"/>
      <c r="W251" s="25"/>
      <c r="X251" s="25"/>
      <c r="Y251" s="25"/>
      <c r="Z251" s="25"/>
      <c r="AA251" s="25"/>
      <c r="AB251" s="25"/>
      <c r="AC251" s="25"/>
      <c r="AD251" s="25"/>
    </row>
    <row r="252" spans="1:30" x14ac:dyDescent="0.25">
      <c r="A252" s="18" t="str">
        <f t="shared" si="5"/>
        <v/>
      </c>
      <c r="B252" s="25"/>
      <c r="C252" s="25"/>
      <c r="D252" s="37"/>
      <c r="E252" s="25"/>
      <c r="F252" s="25"/>
      <c r="G252" s="38"/>
      <c r="H252" s="37"/>
      <c r="I252" s="25"/>
      <c r="J252" s="38"/>
      <c r="O252" s="37"/>
      <c r="P252" s="25"/>
      <c r="Q252" s="38"/>
      <c r="R252" s="37"/>
      <c r="S252" s="25"/>
      <c r="T252" s="25"/>
      <c r="U252" s="38"/>
      <c r="V252" s="26"/>
      <c r="W252" s="25"/>
      <c r="X252" s="25"/>
      <c r="Y252" s="25"/>
      <c r="Z252" s="25"/>
      <c r="AA252" s="25"/>
      <c r="AB252" s="25"/>
      <c r="AC252" s="25"/>
      <c r="AD252" s="25"/>
    </row>
    <row r="253" spans="1:30" x14ac:dyDescent="0.25">
      <c r="A253" s="18" t="str">
        <f t="shared" si="5"/>
        <v/>
      </c>
      <c r="B253" s="25"/>
      <c r="C253" s="25"/>
      <c r="D253" s="37"/>
      <c r="E253" s="25"/>
      <c r="F253" s="25"/>
      <c r="G253" s="38"/>
      <c r="H253" s="37"/>
      <c r="I253" s="25"/>
      <c r="J253" s="38"/>
      <c r="O253" s="37"/>
      <c r="P253" s="25"/>
      <c r="Q253" s="38"/>
      <c r="R253" s="37"/>
      <c r="S253" s="25"/>
      <c r="T253" s="25"/>
      <c r="U253" s="38"/>
      <c r="V253" s="26"/>
      <c r="W253" s="25"/>
      <c r="X253" s="25"/>
      <c r="Y253" s="25"/>
      <c r="Z253" s="25"/>
      <c r="AA253" s="25"/>
      <c r="AB253" s="25"/>
      <c r="AC253" s="25"/>
      <c r="AD253" s="25"/>
    </row>
    <row r="254" spans="1:30" x14ac:dyDescent="0.25">
      <c r="A254" s="18" t="str">
        <f t="shared" ref="A254:A317" si="6">IF(ISBLANK($B254)=FALSE,IF(AND($H254&gt;0,$I254&lt;=0,$J254&lt;=0),_xlfn.CONCAT("ofw_",$B254),IF(AND($H254&lt;=0,$I254&gt;0,$J254&lt;=0),_xlfn.CONCAT("owc_",$B254),IF(AND($H254&lt;=0,$I254&lt;=0,$J254&gt;0),_xlfn.CONCAT("opv_",$B254),_xlfn.CONCAT("oce_",$B254)))),"")</f>
        <v/>
      </c>
      <c r="B254" s="25"/>
      <c r="C254" s="25"/>
      <c r="D254" s="37"/>
      <c r="E254" s="25"/>
      <c r="F254" s="25"/>
      <c r="G254" s="38"/>
      <c r="H254" s="37"/>
      <c r="I254" s="25"/>
      <c r="J254" s="38"/>
      <c r="O254" s="37"/>
      <c r="P254" s="25"/>
      <c r="Q254" s="38"/>
      <c r="R254" s="37"/>
      <c r="S254" s="25"/>
      <c r="T254" s="25"/>
      <c r="U254" s="38"/>
      <c r="V254" s="26"/>
      <c r="W254" s="25"/>
      <c r="X254" s="25"/>
      <c r="Y254" s="25"/>
      <c r="Z254" s="25"/>
      <c r="AA254" s="25"/>
      <c r="AB254" s="25"/>
      <c r="AC254" s="25"/>
      <c r="AD254" s="25"/>
    </row>
    <row r="255" spans="1:30" x14ac:dyDescent="0.25">
      <c r="A255" s="18" t="str">
        <f t="shared" si="6"/>
        <v/>
      </c>
      <c r="B255" s="25"/>
      <c r="C255" s="25"/>
      <c r="D255" s="37"/>
      <c r="E255" s="25"/>
      <c r="F255" s="25"/>
      <c r="G255" s="38"/>
      <c r="H255" s="37"/>
      <c r="I255" s="25"/>
      <c r="J255" s="38"/>
      <c r="O255" s="37"/>
      <c r="P255" s="25"/>
      <c r="Q255" s="38"/>
      <c r="R255" s="37"/>
      <c r="S255" s="25"/>
      <c r="T255" s="25"/>
      <c r="U255" s="38"/>
      <c r="V255" s="26"/>
      <c r="W255" s="25"/>
      <c r="X255" s="25"/>
      <c r="Y255" s="25"/>
      <c r="Z255" s="25"/>
      <c r="AA255" s="25"/>
      <c r="AB255" s="25"/>
      <c r="AC255" s="25"/>
      <c r="AD255" s="25"/>
    </row>
    <row r="256" spans="1:30" x14ac:dyDescent="0.25">
      <c r="A256" s="18" t="str">
        <f t="shared" si="6"/>
        <v/>
      </c>
      <c r="B256" s="25"/>
      <c r="C256" s="25"/>
      <c r="D256" s="37"/>
      <c r="E256" s="25"/>
      <c r="F256" s="25"/>
      <c r="G256" s="38"/>
      <c r="H256" s="37"/>
      <c r="I256" s="25"/>
      <c r="J256" s="38"/>
      <c r="O256" s="37"/>
      <c r="P256" s="25"/>
      <c r="Q256" s="38"/>
      <c r="R256" s="37"/>
      <c r="S256" s="25"/>
      <c r="T256" s="25"/>
      <c r="U256" s="38"/>
      <c r="V256" s="26"/>
      <c r="W256" s="25"/>
      <c r="X256" s="25"/>
      <c r="Y256" s="25"/>
      <c r="Z256" s="25"/>
      <c r="AA256" s="25"/>
      <c r="AB256" s="25"/>
      <c r="AC256" s="25"/>
      <c r="AD256" s="25"/>
    </row>
    <row r="257" spans="1:30" x14ac:dyDescent="0.25">
      <c r="A257" s="18" t="str">
        <f t="shared" si="6"/>
        <v/>
      </c>
      <c r="B257" s="25"/>
      <c r="C257" s="25"/>
      <c r="D257" s="37"/>
      <c r="E257" s="25"/>
      <c r="F257" s="25"/>
      <c r="G257" s="38"/>
      <c r="H257" s="37"/>
      <c r="I257" s="25"/>
      <c r="J257" s="38"/>
      <c r="O257" s="37"/>
      <c r="P257" s="25"/>
      <c r="Q257" s="38"/>
      <c r="R257" s="37"/>
      <c r="S257" s="25"/>
      <c r="T257" s="25"/>
      <c r="U257" s="38"/>
      <c r="V257" s="26"/>
      <c r="W257" s="25"/>
      <c r="X257" s="25"/>
      <c r="Y257" s="25"/>
      <c r="Z257" s="25"/>
      <c r="AA257" s="25"/>
      <c r="AB257" s="25"/>
      <c r="AC257" s="25"/>
      <c r="AD257" s="25"/>
    </row>
    <row r="258" spans="1:30" x14ac:dyDescent="0.25">
      <c r="A258" s="18" t="str">
        <f t="shared" si="6"/>
        <v/>
      </c>
      <c r="B258" s="25"/>
      <c r="C258" s="25"/>
      <c r="D258" s="37"/>
      <c r="E258" s="25"/>
      <c r="F258" s="25"/>
      <c r="G258" s="38"/>
      <c r="H258" s="37"/>
      <c r="I258" s="25"/>
      <c r="J258" s="38"/>
      <c r="O258" s="37"/>
      <c r="P258" s="25"/>
      <c r="Q258" s="38"/>
      <c r="R258" s="37"/>
      <c r="S258" s="25"/>
      <c r="T258" s="25"/>
      <c r="U258" s="38"/>
      <c r="V258" s="26"/>
      <c r="W258" s="25"/>
      <c r="X258" s="25"/>
      <c r="Y258" s="25"/>
      <c r="Z258" s="25"/>
      <c r="AA258" s="25"/>
      <c r="AB258" s="25"/>
      <c r="AC258" s="25"/>
      <c r="AD258" s="25"/>
    </row>
    <row r="259" spans="1:30" x14ac:dyDescent="0.25">
      <c r="A259" s="18" t="str">
        <f t="shared" si="6"/>
        <v/>
      </c>
      <c r="B259" s="25"/>
      <c r="C259" s="25"/>
      <c r="D259" s="37"/>
      <c r="E259" s="25"/>
      <c r="F259" s="25"/>
      <c r="G259" s="38"/>
      <c r="H259" s="37"/>
      <c r="I259" s="25"/>
      <c r="J259" s="38"/>
      <c r="O259" s="37"/>
      <c r="P259" s="25"/>
      <c r="Q259" s="38"/>
      <c r="R259" s="37"/>
      <c r="S259" s="25"/>
      <c r="T259" s="25"/>
      <c r="U259" s="38"/>
      <c r="V259" s="26"/>
      <c r="W259" s="25"/>
      <c r="X259" s="25"/>
      <c r="Y259" s="25"/>
      <c r="Z259" s="25"/>
      <c r="AA259" s="25"/>
      <c r="AB259" s="25"/>
      <c r="AC259" s="25"/>
      <c r="AD259" s="25"/>
    </row>
    <row r="260" spans="1:30" x14ac:dyDescent="0.25">
      <c r="A260" s="18" t="str">
        <f t="shared" si="6"/>
        <v/>
      </c>
      <c r="B260" s="25"/>
      <c r="C260" s="25"/>
      <c r="D260" s="37"/>
      <c r="E260" s="25"/>
      <c r="F260" s="25"/>
      <c r="G260" s="38"/>
      <c r="H260" s="37"/>
      <c r="I260" s="25"/>
      <c r="J260" s="38"/>
      <c r="O260" s="37"/>
      <c r="P260" s="25"/>
      <c r="Q260" s="38"/>
      <c r="R260" s="37"/>
      <c r="S260" s="25"/>
      <c r="T260" s="25"/>
      <c r="U260" s="38"/>
      <c r="V260" s="26"/>
      <c r="W260" s="25"/>
      <c r="X260" s="25"/>
      <c r="Y260" s="25"/>
      <c r="Z260" s="25"/>
      <c r="AA260" s="25"/>
      <c r="AB260" s="25"/>
      <c r="AC260" s="25"/>
      <c r="AD260" s="25"/>
    </row>
    <row r="261" spans="1:30" x14ac:dyDescent="0.25">
      <c r="A261" s="18" t="str">
        <f t="shared" si="6"/>
        <v/>
      </c>
      <c r="B261" s="25"/>
      <c r="C261" s="25"/>
      <c r="D261" s="37"/>
      <c r="E261" s="25"/>
      <c r="F261" s="25"/>
      <c r="G261" s="38"/>
      <c r="H261" s="37"/>
      <c r="I261" s="25"/>
      <c r="J261" s="38"/>
      <c r="O261" s="37"/>
      <c r="P261" s="25"/>
      <c r="Q261" s="38"/>
      <c r="R261" s="37"/>
      <c r="S261" s="25"/>
      <c r="T261" s="25"/>
      <c r="U261" s="38"/>
      <c r="V261" s="26"/>
      <c r="W261" s="25"/>
      <c r="X261" s="25"/>
      <c r="Y261" s="25"/>
      <c r="Z261" s="25"/>
      <c r="AA261" s="25"/>
      <c r="AB261" s="25"/>
      <c r="AC261" s="25"/>
      <c r="AD261" s="25"/>
    </row>
    <row r="262" spans="1:30" x14ac:dyDescent="0.25">
      <c r="A262" s="18" t="str">
        <f t="shared" si="6"/>
        <v/>
      </c>
      <c r="B262" s="25"/>
      <c r="C262" s="25"/>
      <c r="D262" s="37"/>
      <c r="E262" s="25"/>
      <c r="F262" s="25"/>
      <c r="G262" s="38"/>
      <c r="H262" s="37"/>
      <c r="I262" s="25"/>
      <c r="J262" s="38"/>
      <c r="O262" s="37"/>
      <c r="P262" s="25"/>
      <c r="Q262" s="38"/>
      <c r="R262" s="37"/>
      <c r="S262" s="25"/>
      <c r="T262" s="25"/>
      <c r="U262" s="38"/>
      <c r="V262" s="26"/>
      <c r="W262" s="25"/>
      <c r="X262" s="25"/>
      <c r="Y262" s="25"/>
      <c r="Z262" s="25"/>
      <c r="AA262" s="25"/>
      <c r="AB262" s="25"/>
      <c r="AC262" s="25"/>
      <c r="AD262" s="25"/>
    </row>
    <row r="263" spans="1:30" x14ac:dyDescent="0.25">
      <c r="A263" s="18" t="str">
        <f t="shared" si="6"/>
        <v/>
      </c>
      <c r="B263" s="25"/>
      <c r="C263" s="25"/>
      <c r="D263" s="37"/>
      <c r="E263" s="25"/>
      <c r="F263" s="25"/>
      <c r="G263" s="38"/>
      <c r="H263" s="37"/>
      <c r="I263" s="25"/>
      <c r="J263" s="38"/>
      <c r="O263" s="37"/>
      <c r="P263" s="25"/>
      <c r="Q263" s="38"/>
      <c r="R263" s="37"/>
      <c r="S263" s="25"/>
      <c r="T263" s="25"/>
      <c r="U263" s="38"/>
      <c r="V263" s="26"/>
      <c r="W263" s="25"/>
      <c r="X263" s="25"/>
      <c r="Y263" s="25"/>
      <c r="Z263" s="25"/>
      <c r="AA263" s="25"/>
      <c r="AB263" s="25"/>
      <c r="AC263" s="25"/>
      <c r="AD263" s="25"/>
    </row>
    <row r="264" spans="1:30" x14ac:dyDescent="0.25">
      <c r="A264" s="18" t="str">
        <f t="shared" si="6"/>
        <v/>
      </c>
      <c r="B264" s="25"/>
      <c r="C264" s="25"/>
      <c r="D264" s="37"/>
      <c r="E264" s="25"/>
      <c r="F264" s="25"/>
      <c r="G264" s="38"/>
      <c r="H264" s="37"/>
      <c r="I264" s="25"/>
      <c r="J264" s="38"/>
      <c r="O264" s="37"/>
      <c r="P264" s="25"/>
      <c r="Q264" s="38"/>
      <c r="R264" s="37"/>
      <c r="S264" s="25"/>
      <c r="T264" s="25"/>
      <c r="U264" s="38"/>
      <c r="V264" s="26"/>
      <c r="W264" s="25"/>
      <c r="X264" s="25"/>
      <c r="Y264" s="25"/>
      <c r="Z264" s="25"/>
      <c r="AA264" s="25"/>
      <c r="AB264" s="25"/>
      <c r="AC264" s="25"/>
      <c r="AD264" s="25"/>
    </row>
    <row r="265" spans="1:30" x14ac:dyDescent="0.25">
      <c r="A265" s="18" t="str">
        <f t="shared" si="6"/>
        <v/>
      </c>
      <c r="B265" s="25"/>
      <c r="C265" s="25"/>
      <c r="D265" s="37"/>
      <c r="E265" s="25"/>
      <c r="F265" s="25"/>
      <c r="G265" s="38"/>
      <c r="H265" s="37"/>
      <c r="I265" s="25"/>
      <c r="J265" s="38"/>
      <c r="O265" s="37"/>
      <c r="P265" s="25"/>
      <c r="Q265" s="38"/>
      <c r="R265" s="37"/>
      <c r="S265" s="25"/>
      <c r="T265" s="25"/>
      <c r="U265" s="38"/>
      <c r="V265" s="26"/>
      <c r="W265" s="25"/>
      <c r="X265" s="25"/>
      <c r="Y265" s="25"/>
      <c r="Z265" s="25"/>
      <c r="AA265" s="25"/>
      <c r="AB265" s="25"/>
      <c r="AC265" s="25"/>
      <c r="AD265" s="25"/>
    </row>
    <row r="266" spans="1:30" x14ac:dyDescent="0.25">
      <c r="A266" s="18" t="str">
        <f t="shared" si="6"/>
        <v/>
      </c>
      <c r="B266" s="25"/>
      <c r="C266" s="25"/>
      <c r="D266" s="37"/>
      <c r="E266" s="25"/>
      <c r="F266" s="25"/>
      <c r="G266" s="38"/>
      <c r="H266" s="37"/>
      <c r="I266" s="25"/>
      <c r="J266" s="38"/>
      <c r="O266" s="37"/>
      <c r="P266" s="25"/>
      <c r="Q266" s="38"/>
      <c r="R266" s="37"/>
      <c r="S266" s="25"/>
      <c r="T266" s="25"/>
      <c r="U266" s="38"/>
      <c r="V266" s="26"/>
      <c r="W266" s="25"/>
      <c r="X266" s="25"/>
      <c r="Y266" s="25"/>
      <c r="Z266" s="25"/>
      <c r="AA266" s="25"/>
      <c r="AB266" s="25"/>
      <c r="AC266" s="25"/>
      <c r="AD266" s="25"/>
    </row>
    <row r="267" spans="1:30" x14ac:dyDescent="0.25">
      <c r="A267" s="18" t="str">
        <f t="shared" si="6"/>
        <v/>
      </c>
      <c r="B267" s="25"/>
      <c r="C267" s="25"/>
      <c r="D267" s="37"/>
      <c r="E267" s="25"/>
      <c r="F267" s="25"/>
      <c r="G267" s="38"/>
      <c r="H267" s="37"/>
      <c r="I267" s="25"/>
      <c r="J267" s="38"/>
      <c r="O267" s="37"/>
      <c r="P267" s="25"/>
      <c r="Q267" s="38"/>
      <c r="R267" s="37"/>
      <c r="S267" s="25"/>
      <c r="T267" s="25"/>
      <c r="U267" s="38"/>
      <c r="V267" s="26"/>
      <c r="W267" s="25"/>
      <c r="X267" s="25"/>
      <c r="Y267" s="25"/>
      <c r="Z267" s="25"/>
      <c r="AA267" s="25"/>
      <c r="AB267" s="25"/>
      <c r="AC267" s="25"/>
      <c r="AD267" s="25"/>
    </row>
    <row r="268" spans="1:30" x14ac:dyDescent="0.25">
      <c r="A268" s="18" t="str">
        <f t="shared" si="6"/>
        <v/>
      </c>
      <c r="B268" s="25"/>
      <c r="C268" s="25"/>
      <c r="D268" s="37"/>
      <c r="E268" s="25"/>
      <c r="F268" s="25"/>
      <c r="G268" s="38"/>
      <c r="H268" s="37"/>
      <c r="I268" s="25"/>
      <c r="J268" s="38"/>
      <c r="O268" s="37"/>
      <c r="P268" s="25"/>
      <c r="Q268" s="38"/>
      <c r="R268" s="37"/>
      <c r="S268" s="25"/>
      <c r="T268" s="25"/>
      <c r="U268" s="38"/>
      <c r="V268" s="26"/>
      <c r="W268" s="25"/>
      <c r="X268" s="25"/>
      <c r="Y268" s="25"/>
      <c r="Z268" s="25"/>
      <c r="AA268" s="25"/>
      <c r="AB268" s="25"/>
      <c r="AC268" s="25"/>
      <c r="AD268" s="25"/>
    </row>
    <row r="269" spans="1:30" x14ac:dyDescent="0.25">
      <c r="A269" s="18" t="str">
        <f t="shared" si="6"/>
        <v/>
      </c>
      <c r="B269" s="25"/>
      <c r="C269" s="25"/>
      <c r="D269" s="37"/>
      <c r="E269" s="25"/>
      <c r="F269" s="25"/>
      <c r="G269" s="38"/>
      <c r="H269" s="37"/>
      <c r="I269" s="25"/>
      <c r="J269" s="38"/>
      <c r="O269" s="37"/>
      <c r="P269" s="25"/>
      <c r="Q269" s="38"/>
      <c r="R269" s="37"/>
      <c r="S269" s="25"/>
      <c r="T269" s="25"/>
      <c r="U269" s="38"/>
      <c r="V269" s="26"/>
      <c r="W269" s="25"/>
      <c r="X269" s="25"/>
      <c r="Y269" s="25"/>
      <c r="Z269" s="25"/>
      <c r="AA269" s="25"/>
      <c r="AB269" s="25"/>
      <c r="AC269" s="25"/>
      <c r="AD269" s="25"/>
    </row>
    <row r="270" spans="1:30" x14ac:dyDescent="0.25">
      <c r="A270" s="18" t="str">
        <f t="shared" si="6"/>
        <v/>
      </c>
      <c r="B270" s="25"/>
      <c r="C270" s="25"/>
      <c r="D270" s="37"/>
      <c r="E270" s="25"/>
      <c r="F270" s="25"/>
      <c r="G270" s="38"/>
      <c r="H270" s="37"/>
      <c r="I270" s="25"/>
      <c r="J270" s="38"/>
      <c r="O270" s="37"/>
      <c r="P270" s="25"/>
      <c r="Q270" s="38"/>
      <c r="R270" s="37"/>
      <c r="S270" s="25"/>
      <c r="T270" s="25"/>
      <c r="U270" s="38"/>
      <c r="V270" s="26"/>
      <c r="W270" s="25"/>
      <c r="X270" s="25"/>
      <c r="Y270" s="25"/>
      <c r="Z270" s="25"/>
      <c r="AA270" s="25"/>
      <c r="AB270" s="25"/>
      <c r="AC270" s="25"/>
      <c r="AD270" s="25"/>
    </row>
    <row r="271" spans="1:30" x14ac:dyDescent="0.25">
      <c r="A271" s="18" t="str">
        <f t="shared" si="6"/>
        <v/>
      </c>
      <c r="B271" s="25"/>
      <c r="C271" s="25"/>
      <c r="D271" s="37"/>
      <c r="E271" s="25"/>
      <c r="F271" s="25"/>
      <c r="G271" s="38"/>
      <c r="H271" s="37"/>
      <c r="I271" s="25"/>
      <c r="J271" s="38"/>
      <c r="O271" s="37"/>
      <c r="P271" s="25"/>
      <c r="Q271" s="38"/>
      <c r="R271" s="37"/>
      <c r="S271" s="25"/>
      <c r="T271" s="25"/>
      <c r="U271" s="38"/>
      <c r="V271" s="26"/>
      <c r="W271" s="25"/>
      <c r="X271" s="25"/>
      <c r="Y271" s="25"/>
      <c r="Z271" s="25"/>
      <c r="AA271" s="25"/>
      <c r="AB271" s="25"/>
      <c r="AC271" s="25"/>
      <c r="AD271" s="25"/>
    </row>
    <row r="272" spans="1:30" x14ac:dyDescent="0.25">
      <c r="A272" s="18" t="str">
        <f t="shared" si="6"/>
        <v/>
      </c>
      <c r="B272" s="25"/>
      <c r="C272" s="25"/>
      <c r="D272" s="37"/>
      <c r="E272" s="25"/>
      <c r="F272" s="25"/>
      <c r="G272" s="38"/>
      <c r="H272" s="37"/>
      <c r="I272" s="25"/>
      <c r="J272" s="38"/>
      <c r="O272" s="37"/>
      <c r="P272" s="25"/>
      <c r="Q272" s="38"/>
      <c r="R272" s="37"/>
      <c r="S272" s="25"/>
      <c r="T272" s="25"/>
      <c r="U272" s="38"/>
      <c r="V272" s="26"/>
      <c r="W272" s="25"/>
      <c r="X272" s="25"/>
      <c r="Y272" s="25"/>
      <c r="Z272" s="25"/>
      <c r="AA272" s="25"/>
      <c r="AB272" s="25"/>
      <c r="AC272" s="25"/>
      <c r="AD272" s="25"/>
    </row>
    <row r="273" spans="1:30" x14ac:dyDescent="0.25">
      <c r="A273" s="18" t="str">
        <f t="shared" si="6"/>
        <v/>
      </c>
      <c r="B273" s="25"/>
      <c r="C273" s="25"/>
      <c r="D273" s="37"/>
      <c r="E273" s="25"/>
      <c r="F273" s="25"/>
      <c r="G273" s="38"/>
      <c r="H273" s="37"/>
      <c r="I273" s="25"/>
      <c r="J273" s="38"/>
      <c r="O273" s="37"/>
      <c r="P273" s="25"/>
      <c r="Q273" s="38"/>
      <c r="R273" s="37"/>
      <c r="S273" s="25"/>
      <c r="T273" s="25"/>
      <c r="U273" s="38"/>
      <c r="V273" s="26"/>
      <c r="W273" s="25"/>
      <c r="X273" s="25"/>
      <c r="Y273" s="25"/>
      <c r="Z273" s="25"/>
      <c r="AA273" s="25"/>
      <c r="AB273" s="25"/>
      <c r="AC273" s="25"/>
      <c r="AD273" s="25"/>
    </row>
    <row r="274" spans="1:30" x14ac:dyDescent="0.25">
      <c r="A274" s="18" t="str">
        <f t="shared" si="6"/>
        <v/>
      </c>
      <c r="B274" s="25"/>
      <c r="C274" s="25"/>
      <c r="D274" s="37"/>
      <c r="E274" s="25"/>
      <c r="F274" s="25"/>
      <c r="G274" s="38"/>
      <c r="H274" s="37"/>
      <c r="I274" s="25"/>
      <c r="J274" s="38"/>
      <c r="O274" s="37"/>
      <c r="P274" s="25"/>
      <c r="Q274" s="38"/>
      <c r="R274" s="37"/>
      <c r="S274" s="25"/>
      <c r="T274" s="25"/>
      <c r="U274" s="38"/>
      <c r="V274" s="26"/>
      <c r="W274" s="25"/>
      <c r="X274" s="25"/>
      <c r="Y274" s="25"/>
      <c r="Z274" s="25"/>
      <c r="AA274" s="25"/>
      <c r="AB274" s="25"/>
      <c r="AC274" s="25"/>
      <c r="AD274" s="25"/>
    </row>
    <row r="275" spans="1:30" x14ac:dyDescent="0.25">
      <c r="A275" s="18" t="str">
        <f t="shared" si="6"/>
        <v/>
      </c>
      <c r="B275" s="25"/>
      <c r="C275" s="25"/>
      <c r="D275" s="37"/>
      <c r="E275" s="25"/>
      <c r="F275" s="25"/>
      <c r="G275" s="38"/>
      <c r="H275" s="37"/>
      <c r="I275" s="25"/>
      <c r="J275" s="38"/>
      <c r="O275" s="37"/>
      <c r="P275" s="25"/>
      <c r="Q275" s="38"/>
      <c r="R275" s="37"/>
      <c r="S275" s="25"/>
      <c r="T275" s="25"/>
      <c r="U275" s="38"/>
      <c r="V275" s="26"/>
      <c r="W275" s="25"/>
      <c r="X275" s="25"/>
      <c r="Y275" s="25"/>
      <c r="Z275" s="25"/>
      <c r="AA275" s="25"/>
      <c r="AB275" s="25"/>
      <c r="AC275" s="25"/>
      <c r="AD275" s="25"/>
    </row>
    <row r="276" spans="1:30" x14ac:dyDescent="0.25">
      <c r="A276" s="18" t="str">
        <f t="shared" si="6"/>
        <v/>
      </c>
      <c r="B276" s="25"/>
      <c r="C276" s="25"/>
      <c r="D276" s="37"/>
      <c r="E276" s="25"/>
      <c r="F276" s="25"/>
      <c r="G276" s="38"/>
      <c r="H276" s="37"/>
      <c r="I276" s="25"/>
      <c r="J276" s="38"/>
      <c r="O276" s="37"/>
      <c r="P276" s="25"/>
      <c r="Q276" s="38"/>
      <c r="R276" s="37"/>
      <c r="S276" s="25"/>
      <c r="T276" s="25"/>
      <c r="U276" s="38"/>
      <c r="V276" s="26"/>
      <c r="W276" s="25"/>
      <c r="X276" s="25"/>
      <c r="Y276" s="25"/>
      <c r="Z276" s="25"/>
      <c r="AA276" s="25"/>
      <c r="AB276" s="25"/>
      <c r="AC276" s="25"/>
      <c r="AD276" s="25"/>
    </row>
    <row r="277" spans="1:30" x14ac:dyDescent="0.25">
      <c r="A277" s="18" t="str">
        <f t="shared" si="6"/>
        <v/>
      </c>
      <c r="B277" s="25"/>
      <c r="C277" s="25"/>
      <c r="D277" s="37"/>
      <c r="E277" s="25"/>
      <c r="F277" s="25"/>
      <c r="G277" s="38"/>
      <c r="H277" s="37"/>
      <c r="I277" s="25"/>
      <c r="J277" s="38"/>
      <c r="O277" s="37"/>
      <c r="P277" s="25"/>
      <c r="Q277" s="38"/>
      <c r="R277" s="37"/>
      <c r="S277" s="25"/>
      <c r="T277" s="25"/>
      <c r="U277" s="38"/>
      <c r="V277" s="26"/>
      <c r="W277" s="25"/>
      <c r="X277" s="25"/>
      <c r="Y277" s="25"/>
      <c r="Z277" s="25"/>
      <c r="AA277" s="25"/>
      <c r="AB277" s="25"/>
      <c r="AC277" s="25"/>
      <c r="AD277" s="25"/>
    </row>
    <row r="278" spans="1:30" x14ac:dyDescent="0.25">
      <c r="A278" s="18" t="str">
        <f t="shared" si="6"/>
        <v/>
      </c>
      <c r="B278" s="25"/>
      <c r="C278" s="25"/>
      <c r="D278" s="37"/>
      <c r="E278" s="25"/>
      <c r="F278" s="25"/>
      <c r="G278" s="38"/>
      <c r="H278" s="37"/>
      <c r="I278" s="25"/>
      <c r="J278" s="38"/>
      <c r="O278" s="37"/>
      <c r="P278" s="25"/>
      <c r="Q278" s="38"/>
      <c r="R278" s="37"/>
      <c r="S278" s="25"/>
      <c r="T278" s="25"/>
      <c r="U278" s="38"/>
      <c r="V278" s="26"/>
      <c r="W278" s="25"/>
      <c r="X278" s="25"/>
      <c r="Y278" s="25"/>
      <c r="Z278" s="25"/>
      <c r="AA278" s="25"/>
      <c r="AB278" s="25"/>
      <c r="AC278" s="25"/>
      <c r="AD278" s="25"/>
    </row>
    <row r="279" spans="1:30" x14ac:dyDescent="0.25">
      <c r="A279" s="18" t="str">
        <f t="shared" si="6"/>
        <v/>
      </c>
      <c r="B279" s="25"/>
      <c r="C279" s="25"/>
      <c r="D279" s="37"/>
      <c r="E279" s="25"/>
      <c r="F279" s="25"/>
      <c r="G279" s="38"/>
      <c r="H279" s="37"/>
      <c r="I279" s="25"/>
      <c r="J279" s="38"/>
      <c r="O279" s="37"/>
      <c r="P279" s="25"/>
      <c r="Q279" s="38"/>
      <c r="R279" s="37"/>
      <c r="S279" s="25"/>
      <c r="T279" s="25"/>
      <c r="U279" s="38"/>
      <c r="V279" s="26"/>
      <c r="W279" s="25"/>
      <c r="X279" s="25"/>
      <c r="Y279" s="25"/>
      <c r="Z279" s="25"/>
      <c r="AA279" s="25"/>
      <c r="AB279" s="25"/>
      <c r="AC279" s="25"/>
      <c r="AD279" s="25"/>
    </row>
    <row r="280" spans="1:30" x14ac:dyDescent="0.25">
      <c r="A280" s="18" t="str">
        <f t="shared" si="6"/>
        <v/>
      </c>
      <c r="B280" s="25"/>
      <c r="C280" s="25"/>
      <c r="D280" s="37"/>
      <c r="E280" s="25"/>
      <c r="F280" s="25"/>
      <c r="G280" s="38"/>
      <c r="H280" s="37"/>
      <c r="I280" s="25"/>
      <c r="J280" s="38"/>
      <c r="O280" s="37"/>
      <c r="P280" s="25"/>
      <c r="Q280" s="38"/>
      <c r="R280" s="37"/>
      <c r="S280" s="25"/>
      <c r="T280" s="25"/>
      <c r="U280" s="38"/>
      <c r="V280" s="26"/>
      <c r="W280" s="25"/>
      <c r="X280" s="25"/>
      <c r="Y280" s="25"/>
      <c r="Z280" s="25"/>
      <c r="AA280" s="25"/>
      <c r="AB280" s="25"/>
      <c r="AC280" s="25"/>
      <c r="AD280" s="25"/>
    </row>
    <row r="281" spans="1:30" x14ac:dyDescent="0.25">
      <c r="A281" s="18" t="str">
        <f t="shared" si="6"/>
        <v/>
      </c>
      <c r="B281" s="25"/>
      <c r="C281" s="25"/>
      <c r="D281" s="37"/>
      <c r="E281" s="25"/>
      <c r="F281" s="25"/>
      <c r="G281" s="38"/>
      <c r="H281" s="37"/>
      <c r="I281" s="25"/>
      <c r="J281" s="38"/>
      <c r="O281" s="37"/>
      <c r="P281" s="25"/>
      <c r="Q281" s="38"/>
      <c r="R281" s="37"/>
      <c r="S281" s="25"/>
      <c r="T281" s="25"/>
      <c r="U281" s="38"/>
      <c r="V281" s="26"/>
      <c r="W281" s="25"/>
      <c r="X281" s="25"/>
      <c r="Y281" s="25"/>
      <c r="Z281" s="25"/>
      <c r="AA281" s="25"/>
      <c r="AB281" s="25"/>
      <c r="AC281" s="25"/>
      <c r="AD281" s="25"/>
    </row>
    <row r="282" spans="1:30" x14ac:dyDescent="0.25">
      <c r="A282" s="18" t="str">
        <f t="shared" si="6"/>
        <v/>
      </c>
      <c r="B282" s="25"/>
      <c r="C282" s="25"/>
      <c r="D282" s="37"/>
      <c r="E282" s="25"/>
      <c r="F282" s="25"/>
      <c r="G282" s="38"/>
      <c r="H282" s="37"/>
      <c r="I282" s="25"/>
      <c r="J282" s="38"/>
      <c r="O282" s="37"/>
      <c r="P282" s="25"/>
      <c r="Q282" s="38"/>
      <c r="R282" s="37"/>
      <c r="S282" s="25"/>
      <c r="T282" s="25"/>
      <c r="U282" s="38"/>
      <c r="V282" s="26"/>
      <c r="W282" s="25"/>
      <c r="X282" s="25"/>
      <c r="Y282" s="25"/>
      <c r="Z282" s="25"/>
      <c r="AA282" s="25"/>
      <c r="AB282" s="25"/>
      <c r="AC282" s="25"/>
      <c r="AD282" s="25"/>
    </row>
    <row r="283" spans="1:30" x14ac:dyDescent="0.25">
      <c r="A283" s="18" t="str">
        <f t="shared" si="6"/>
        <v/>
      </c>
      <c r="B283" s="25"/>
      <c r="C283" s="25"/>
      <c r="D283" s="37"/>
      <c r="E283" s="25"/>
      <c r="F283" s="25"/>
      <c r="G283" s="38"/>
      <c r="H283" s="37"/>
      <c r="I283" s="25"/>
      <c r="J283" s="38"/>
      <c r="O283" s="37"/>
      <c r="P283" s="25"/>
      <c r="Q283" s="38"/>
      <c r="R283" s="37"/>
      <c r="S283" s="25"/>
      <c r="T283" s="25"/>
      <c r="U283" s="38"/>
      <c r="V283" s="26"/>
      <c r="W283" s="25"/>
      <c r="X283" s="25"/>
      <c r="Y283" s="25"/>
      <c r="Z283" s="25"/>
      <c r="AA283" s="25"/>
      <c r="AB283" s="25"/>
      <c r="AC283" s="25"/>
      <c r="AD283" s="25"/>
    </row>
    <row r="284" spans="1:30" x14ac:dyDescent="0.25">
      <c r="A284" s="18" t="str">
        <f t="shared" si="6"/>
        <v/>
      </c>
      <c r="B284" s="25"/>
      <c r="C284" s="25"/>
      <c r="D284" s="37"/>
      <c r="E284" s="25"/>
      <c r="F284" s="25"/>
      <c r="G284" s="38"/>
      <c r="H284" s="37"/>
      <c r="I284" s="25"/>
      <c r="J284" s="38"/>
      <c r="O284" s="37"/>
      <c r="P284" s="25"/>
      <c r="Q284" s="38"/>
      <c r="R284" s="37"/>
      <c r="S284" s="25"/>
      <c r="T284" s="25"/>
      <c r="U284" s="38"/>
      <c r="V284" s="26"/>
      <c r="W284" s="25"/>
      <c r="X284" s="25"/>
      <c r="Y284" s="25"/>
      <c r="Z284" s="25"/>
      <c r="AA284" s="25"/>
      <c r="AB284" s="25"/>
      <c r="AC284" s="25"/>
      <c r="AD284" s="25"/>
    </row>
    <row r="285" spans="1:30" x14ac:dyDescent="0.25">
      <c r="A285" s="18" t="str">
        <f t="shared" si="6"/>
        <v/>
      </c>
      <c r="B285" s="25"/>
      <c r="C285" s="25"/>
      <c r="D285" s="37"/>
      <c r="E285" s="25"/>
      <c r="F285" s="25"/>
      <c r="G285" s="38"/>
      <c r="H285" s="37"/>
      <c r="I285" s="25"/>
      <c r="J285" s="38"/>
      <c r="O285" s="37"/>
      <c r="P285" s="25"/>
      <c r="Q285" s="38"/>
      <c r="R285" s="37"/>
      <c r="S285" s="25"/>
      <c r="T285" s="25"/>
      <c r="U285" s="38"/>
      <c r="V285" s="26"/>
      <c r="W285" s="25"/>
      <c r="X285" s="25"/>
      <c r="Y285" s="25"/>
      <c r="Z285" s="25"/>
      <c r="AA285" s="25"/>
      <c r="AB285" s="25"/>
      <c r="AC285" s="25"/>
      <c r="AD285" s="25"/>
    </row>
    <row r="286" spans="1:30" x14ac:dyDescent="0.25">
      <c r="A286" s="18" t="str">
        <f t="shared" si="6"/>
        <v/>
      </c>
      <c r="B286" s="25"/>
      <c r="C286" s="25"/>
      <c r="D286" s="37"/>
      <c r="E286" s="25"/>
      <c r="F286" s="25"/>
      <c r="G286" s="38"/>
      <c r="H286" s="37"/>
      <c r="I286" s="25"/>
      <c r="J286" s="38"/>
      <c r="O286" s="37"/>
      <c r="P286" s="25"/>
      <c r="Q286" s="38"/>
      <c r="R286" s="37"/>
      <c r="S286" s="25"/>
      <c r="T286" s="25"/>
      <c r="U286" s="38"/>
      <c r="V286" s="26"/>
      <c r="W286" s="25"/>
      <c r="X286" s="25"/>
      <c r="Y286" s="25"/>
      <c r="Z286" s="25"/>
      <c r="AA286" s="25"/>
      <c r="AB286" s="25"/>
      <c r="AC286" s="25"/>
      <c r="AD286" s="25"/>
    </row>
    <row r="287" spans="1:30" x14ac:dyDescent="0.25">
      <c r="A287" s="18" t="str">
        <f t="shared" si="6"/>
        <v/>
      </c>
      <c r="B287" s="25"/>
      <c r="C287" s="25"/>
      <c r="D287" s="37"/>
      <c r="E287" s="25"/>
      <c r="F287" s="25"/>
      <c r="G287" s="38"/>
      <c r="H287" s="37"/>
      <c r="I287" s="25"/>
      <c r="J287" s="38"/>
      <c r="O287" s="37"/>
      <c r="P287" s="25"/>
      <c r="Q287" s="38"/>
      <c r="R287" s="37"/>
      <c r="S287" s="25"/>
      <c r="T287" s="25"/>
      <c r="U287" s="38"/>
      <c r="V287" s="26"/>
      <c r="W287" s="25"/>
      <c r="X287" s="25"/>
      <c r="Y287" s="25"/>
      <c r="Z287" s="25"/>
      <c r="AA287" s="25"/>
      <c r="AB287" s="25"/>
      <c r="AC287" s="25"/>
      <c r="AD287" s="25"/>
    </row>
    <row r="288" spans="1:30" x14ac:dyDescent="0.25">
      <c r="A288" s="18" t="str">
        <f t="shared" si="6"/>
        <v/>
      </c>
      <c r="B288" s="25"/>
      <c r="C288" s="25"/>
      <c r="D288" s="37"/>
      <c r="E288" s="25"/>
      <c r="F288" s="25"/>
      <c r="G288" s="38"/>
      <c r="H288" s="37"/>
      <c r="I288" s="25"/>
      <c r="J288" s="38"/>
      <c r="O288" s="37"/>
      <c r="P288" s="25"/>
      <c r="Q288" s="38"/>
      <c r="R288" s="37"/>
      <c r="S288" s="25"/>
      <c r="T288" s="25"/>
      <c r="U288" s="38"/>
      <c r="V288" s="26"/>
      <c r="W288" s="25"/>
      <c r="X288" s="25"/>
      <c r="Y288" s="25"/>
      <c r="Z288" s="25"/>
      <c r="AA288" s="25"/>
      <c r="AB288" s="25"/>
      <c r="AC288" s="25"/>
      <c r="AD288" s="25"/>
    </row>
    <row r="289" spans="1:30" x14ac:dyDescent="0.25">
      <c r="A289" s="18" t="str">
        <f t="shared" si="6"/>
        <v/>
      </c>
      <c r="B289" s="25"/>
      <c r="C289" s="25"/>
      <c r="D289" s="37"/>
      <c r="E289" s="25"/>
      <c r="F289" s="25"/>
      <c r="G289" s="38"/>
      <c r="H289" s="37"/>
      <c r="I289" s="25"/>
      <c r="J289" s="38"/>
      <c r="O289" s="37"/>
      <c r="P289" s="25"/>
      <c r="Q289" s="38"/>
      <c r="R289" s="37"/>
      <c r="S289" s="25"/>
      <c r="T289" s="25"/>
      <c r="U289" s="38"/>
      <c r="V289" s="26"/>
      <c r="W289" s="25"/>
      <c r="X289" s="25"/>
      <c r="Y289" s="25"/>
      <c r="Z289" s="25"/>
      <c r="AA289" s="25"/>
      <c r="AB289" s="25"/>
      <c r="AC289" s="25"/>
      <c r="AD289" s="25"/>
    </row>
    <row r="290" spans="1:30" x14ac:dyDescent="0.25">
      <c r="A290" s="18" t="str">
        <f t="shared" si="6"/>
        <v/>
      </c>
      <c r="B290" s="25"/>
      <c r="C290" s="25"/>
      <c r="D290" s="37"/>
      <c r="E290" s="25"/>
      <c r="F290" s="25"/>
      <c r="G290" s="38"/>
      <c r="H290" s="37"/>
      <c r="I290" s="25"/>
      <c r="J290" s="38"/>
      <c r="O290" s="37"/>
      <c r="P290" s="25"/>
      <c r="Q290" s="38"/>
      <c r="R290" s="37"/>
      <c r="S290" s="25"/>
      <c r="T290" s="25"/>
      <c r="U290" s="38"/>
      <c r="V290" s="26"/>
      <c r="W290" s="25"/>
      <c r="X290" s="25"/>
      <c r="Y290" s="25"/>
      <c r="Z290" s="25"/>
      <c r="AA290" s="25"/>
      <c r="AB290" s="25"/>
      <c r="AC290" s="25"/>
      <c r="AD290" s="25"/>
    </row>
    <row r="291" spans="1:30" x14ac:dyDescent="0.25">
      <c r="A291" s="18" t="str">
        <f t="shared" si="6"/>
        <v/>
      </c>
      <c r="B291" s="25"/>
      <c r="C291" s="25"/>
      <c r="D291" s="37"/>
      <c r="E291" s="25"/>
      <c r="F291" s="25"/>
      <c r="G291" s="38"/>
      <c r="H291" s="37"/>
      <c r="I291" s="25"/>
      <c r="J291" s="38"/>
      <c r="O291" s="37"/>
      <c r="P291" s="25"/>
      <c r="Q291" s="38"/>
      <c r="R291" s="37"/>
      <c r="S291" s="25"/>
      <c r="T291" s="25"/>
      <c r="U291" s="38"/>
      <c r="V291" s="26"/>
      <c r="W291" s="25"/>
      <c r="X291" s="25"/>
      <c r="Y291" s="25"/>
      <c r="Z291" s="25"/>
      <c r="AA291" s="25"/>
      <c r="AB291" s="25"/>
      <c r="AC291" s="25"/>
      <c r="AD291" s="25"/>
    </row>
    <row r="292" spans="1:30" x14ac:dyDescent="0.25">
      <c r="A292" s="18" t="str">
        <f t="shared" si="6"/>
        <v/>
      </c>
      <c r="B292" s="25"/>
      <c r="C292" s="25"/>
      <c r="D292" s="37"/>
      <c r="E292" s="25"/>
      <c r="F292" s="25"/>
      <c r="G292" s="38"/>
      <c r="H292" s="37"/>
      <c r="I292" s="25"/>
      <c r="J292" s="38"/>
      <c r="O292" s="37"/>
      <c r="P292" s="25"/>
      <c r="Q292" s="38"/>
      <c r="R292" s="37"/>
      <c r="S292" s="25"/>
      <c r="T292" s="25"/>
      <c r="U292" s="38"/>
      <c r="V292" s="26"/>
      <c r="W292" s="25"/>
      <c r="X292" s="25"/>
      <c r="Y292" s="25"/>
      <c r="Z292" s="25"/>
      <c r="AA292" s="25"/>
      <c r="AB292" s="25"/>
      <c r="AC292" s="25"/>
      <c r="AD292" s="25"/>
    </row>
    <row r="293" spans="1:30" x14ac:dyDescent="0.25">
      <c r="A293" s="18" t="str">
        <f t="shared" si="6"/>
        <v/>
      </c>
      <c r="B293" s="25"/>
      <c r="C293" s="25"/>
      <c r="D293" s="37"/>
      <c r="E293" s="25"/>
      <c r="F293" s="25"/>
      <c r="G293" s="38"/>
      <c r="H293" s="37"/>
      <c r="I293" s="25"/>
      <c r="J293" s="38"/>
      <c r="O293" s="37"/>
      <c r="P293" s="25"/>
      <c r="Q293" s="38"/>
      <c r="R293" s="37"/>
      <c r="S293" s="25"/>
      <c r="T293" s="25"/>
      <c r="U293" s="38"/>
      <c r="V293" s="26"/>
      <c r="W293" s="25"/>
      <c r="X293" s="25"/>
      <c r="Y293" s="25"/>
      <c r="Z293" s="25"/>
      <c r="AA293" s="25"/>
      <c r="AB293" s="25"/>
      <c r="AC293" s="25"/>
      <c r="AD293" s="25"/>
    </row>
    <row r="294" spans="1:30" x14ac:dyDescent="0.25">
      <c r="A294" s="18" t="str">
        <f t="shared" si="6"/>
        <v/>
      </c>
      <c r="B294" s="25"/>
      <c r="C294" s="25"/>
      <c r="D294" s="37"/>
      <c r="E294" s="25"/>
      <c r="F294" s="25"/>
      <c r="G294" s="38"/>
      <c r="H294" s="37"/>
      <c r="I294" s="25"/>
      <c r="J294" s="38"/>
      <c r="O294" s="37"/>
      <c r="P294" s="25"/>
      <c r="Q294" s="38"/>
      <c r="R294" s="37"/>
      <c r="S294" s="25"/>
      <c r="T294" s="25"/>
      <c r="U294" s="38"/>
      <c r="V294" s="26"/>
      <c r="W294" s="25"/>
      <c r="X294" s="25"/>
      <c r="Y294" s="25"/>
      <c r="Z294" s="25"/>
      <c r="AA294" s="25"/>
      <c r="AB294" s="25"/>
      <c r="AC294" s="25"/>
      <c r="AD294" s="25"/>
    </row>
    <row r="295" spans="1:30" x14ac:dyDescent="0.25">
      <c r="A295" s="18" t="str">
        <f t="shared" si="6"/>
        <v/>
      </c>
      <c r="B295" s="25"/>
      <c r="C295" s="25"/>
      <c r="D295" s="37"/>
      <c r="E295" s="25"/>
      <c r="F295" s="25"/>
      <c r="G295" s="38"/>
      <c r="H295" s="37"/>
      <c r="I295" s="25"/>
      <c r="J295" s="38"/>
      <c r="O295" s="37"/>
      <c r="P295" s="25"/>
      <c r="Q295" s="38"/>
      <c r="R295" s="37"/>
      <c r="S295" s="25"/>
      <c r="T295" s="25"/>
      <c r="U295" s="38"/>
      <c r="V295" s="26"/>
      <c r="W295" s="25"/>
      <c r="X295" s="25"/>
      <c r="Y295" s="25"/>
      <c r="Z295" s="25"/>
      <c r="AA295" s="25"/>
      <c r="AB295" s="25"/>
      <c r="AC295" s="25"/>
      <c r="AD295" s="25"/>
    </row>
    <row r="296" spans="1:30" x14ac:dyDescent="0.25">
      <c r="A296" s="18" t="str">
        <f t="shared" si="6"/>
        <v/>
      </c>
      <c r="B296" s="25"/>
      <c r="C296" s="25"/>
      <c r="D296" s="37"/>
      <c r="E296" s="25"/>
      <c r="F296" s="25"/>
      <c r="G296" s="38"/>
      <c r="H296" s="37"/>
      <c r="I296" s="25"/>
      <c r="J296" s="38"/>
      <c r="O296" s="37"/>
      <c r="P296" s="25"/>
      <c r="Q296" s="38"/>
      <c r="R296" s="37"/>
      <c r="S296" s="25"/>
      <c r="T296" s="25"/>
      <c r="U296" s="38"/>
      <c r="V296" s="26"/>
      <c r="W296" s="25"/>
      <c r="X296" s="25"/>
      <c r="Y296" s="25"/>
      <c r="Z296" s="25"/>
      <c r="AA296" s="25"/>
      <c r="AB296" s="25"/>
      <c r="AC296" s="25"/>
      <c r="AD296" s="25"/>
    </row>
    <row r="297" spans="1:30" x14ac:dyDescent="0.25">
      <c r="A297" s="18" t="str">
        <f t="shared" si="6"/>
        <v/>
      </c>
      <c r="B297" s="25"/>
      <c r="C297" s="25"/>
      <c r="D297" s="37"/>
      <c r="E297" s="25"/>
      <c r="F297" s="25"/>
      <c r="G297" s="38"/>
      <c r="H297" s="37"/>
      <c r="I297" s="25"/>
      <c r="J297" s="38"/>
      <c r="O297" s="37"/>
      <c r="P297" s="25"/>
      <c r="Q297" s="38"/>
      <c r="R297" s="37"/>
      <c r="S297" s="25"/>
      <c r="T297" s="25"/>
      <c r="U297" s="38"/>
      <c r="V297" s="26"/>
      <c r="W297" s="25"/>
      <c r="X297" s="25"/>
      <c r="Y297" s="25"/>
      <c r="Z297" s="25"/>
      <c r="AA297" s="25"/>
      <c r="AB297" s="25"/>
      <c r="AC297" s="25"/>
      <c r="AD297" s="25"/>
    </row>
    <row r="298" spans="1:30" x14ac:dyDescent="0.25">
      <c r="A298" s="18" t="str">
        <f t="shared" si="6"/>
        <v/>
      </c>
      <c r="B298" s="25"/>
      <c r="C298" s="25"/>
      <c r="D298" s="37"/>
      <c r="E298" s="25"/>
      <c r="F298" s="25"/>
      <c r="G298" s="38"/>
      <c r="H298" s="37"/>
      <c r="I298" s="25"/>
      <c r="J298" s="38"/>
      <c r="O298" s="37"/>
      <c r="P298" s="25"/>
      <c r="Q298" s="38"/>
      <c r="R298" s="37"/>
      <c r="S298" s="25"/>
      <c r="T298" s="25"/>
      <c r="U298" s="38"/>
      <c r="V298" s="26"/>
      <c r="W298" s="25"/>
      <c r="X298" s="25"/>
      <c r="Y298" s="25"/>
      <c r="Z298" s="25"/>
      <c r="AA298" s="25"/>
      <c r="AB298" s="25"/>
      <c r="AC298" s="25"/>
      <c r="AD298" s="25"/>
    </row>
    <row r="299" spans="1:30" x14ac:dyDescent="0.25">
      <c r="A299" s="18" t="str">
        <f t="shared" si="6"/>
        <v/>
      </c>
      <c r="B299" s="25"/>
      <c r="C299" s="25"/>
      <c r="D299" s="37"/>
      <c r="E299" s="25"/>
      <c r="F299" s="25"/>
      <c r="G299" s="38"/>
      <c r="H299" s="37"/>
      <c r="I299" s="25"/>
      <c r="J299" s="38"/>
      <c r="O299" s="37"/>
      <c r="P299" s="25"/>
      <c r="Q299" s="38"/>
      <c r="R299" s="37"/>
      <c r="S299" s="25"/>
      <c r="T299" s="25"/>
      <c r="U299" s="38"/>
      <c r="V299" s="26"/>
      <c r="W299" s="25"/>
      <c r="X299" s="25"/>
      <c r="Y299" s="25"/>
      <c r="Z299" s="25"/>
      <c r="AA299" s="25"/>
      <c r="AB299" s="25"/>
      <c r="AC299" s="25"/>
      <c r="AD299" s="25"/>
    </row>
    <row r="300" spans="1:30" x14ac:dyDescent="0.25">
      <c r="A300" s="18" t="str">
        <f t="shared" si="6"/>
        <v/>
      </c>
      <c r="B300" s="25"/>
      <c r="C300" s="25"/>
      <c r="D300" s="37"/>
      <c r="E300" s="25"/>
      <c r="F300" s="25"/>
      <c r="G300" s="38"/>
      <c r="H300" s="37"/>
      <c r="I300" s="25"/>
      <c r="J300" s="38"/>
      <c r="O300" s="37"/>
      <c r="P300" s="25"/>
      <c r="Q300" s="38"/>
      <c r="R300" s="37"/>
      <c r="S300" s="25"/>
      <c r="T300" s="25"/>
      <c r="U300" s="38"/>
      <c r="V300" s="26"/>
      <c r="W300" s="25"/>
      <c r="X300" s="25"/>
      <c r="Y300" s="25"/>
      <c r="Z300" s="25"/>
      <c r="AA300" s="25"/>
      <c r="AB300" s="25"/>
      <c r="AC300" s="25"/>
      <c r="AD300" s="25"/>
    </row>
    <row r="301" spans="1:30" x14ac:dyDescent="0.25">
      <c r="A301" s="18" t="str">
        <f t="shared" si="6"/>
        <v/>
      </c>
      <c r="B301" s="25"/>
      <c r="C301" s="25"/>
      <c r="D301" s="37"/>
      <c r="E301" s="25"/>
      <c r="F301" s="25"/>
      <c r="G301" s="38"/>
      <c r="H301" s="37"/>
      <c r="I301" s="25"/>
      <c r="J301" s="38"/>
      <c r="O301" s="37"/>
      <c r="P301" s="25"/>
      <c r="Q301" s="38"/>
      <c r="R301" s="37"/>
      <c r="S301" s="25"/>
      <c r="T301" s="25"/>
      <c r="U301" s="38"/>
      <c r="V301" s="26"/>
      <c r="W301" s="25"/>
      <c r="X301" s="25"/>
      <c r="Y301" s="25"/>
      <c r="Z301" s="25"/>
      <c r="AA301" s="25"/>
      <c r="AB301" s="25"/>
      <c r="AC301" s="25"/>
      <c r="AD301" s="25"/>
    </row>
    <row r="302" spans="1:30" x14ac:dyDescent="0.25">
      <c r="A302" s="18" t="str">
        <f t="shared" si="6"/>
        <v/>
      </c>
      <c r="B302" s="25"/>
      <c r="C302" s="25"/>
      <c r="D302" s="37"/>
      <c r="E302" s="25"/>
      <c r="F302" s="25"/>
      <c r="G302" s="38"/>
      <c r="H302" s="37"/>
      <c r="I302" s="25"/>
      <c r="J302" s="38"/>
      <c r="O302" s="37"/>
      <c r="P302" s="25"/>
      <c r="Q302" s="38"/>
      <c r="R302" s="37"/>
      <c r="S302" s="25"/>
      <c r="T302" s="25"/>
      <c r="U302" s="38"/>
      <c r="V302" s="26"/>
      <c r="W302" s="25"/>
      <c r="X302" s="25"/>
      <c r="Y302" s="25"/>
      <c r="Z302" s="25"/>
      <c r="AA302" s="25"/>
      <c r="AB302" s="25"/>
      <c r="AC302" s="25"/>
      <c r="AD302" s="25"/>
    </row>
    <row r="303" spans="1:30" x14ac:dyDescent="0.25">
      <c r="A303" s="18" t="str">
        <f t="shared" si="6"/>
        <v/>
      </c>
      <c r="B303" s="25"/>
      <c r="C303" s="25"/>
      <c r="D303" s="37"/>
      <c r="E303" s="25"/>
      <c r="F303" s="25"/>
      <c r="G303" s="38"/>
      <c r="H303" s="37"/>
      <c r="I303" s="25"/>
      <c r="J303" s="38"/>
      <c r="O303" s="37"/>
      <c r="P303" s="25"/>
      <c r="Q303" s="38"/>
      <c r="R303" s="37"/>
      <c r="S303" s="25"/>
      <c r="T303" s="25"/>
      <c r="U303" s="38"/>
      <c r="V303" s="26"/>
      <c r="W303" s="25"/>
      <c r="X303" s="25"/>
      <c r="Y303" s="25"/>
      <c r="Z303" s="25"/>
      <c r="AA303" s="25"/>
      <c r="AB303" s="25"/>
      <c r="AC303" s="25"/>
      <c r="AD303" s="25"/>
    </row>
    <row r="304" spans="1:30" x14ac:dyDescent="0.25">
      <c r="A304" s="18" t="str">
        <f t="shared" si="6"/>
        <v/>
      </c>
      <c r="B304" s="25"/>
      <c r="C304" s="25"/>
      <c r="D304" s="37"/>
      <c r="E304" s="25"/>
      <c r="F304" s="25"/>
      <c r="G304" s="38"/>
      <c r="H304" s="37"/>
      <c r="I304" s="25"/>
      <c r="J304" s="38"/>
      <c r="O304" s="37"/>
      <c r="P304" s="25"/>
      <c r="Q304" s="38"/>
      <c r="R304" s="37"/>
      <c r="S304" s="25"/>
      <c r="T304" s="25"/>
      <c r="U304" s="38"/>
      <c r="V304" s="26"/>
      <c r="W304" s="25"/>
      <c r="X304" s="25"/>
      <c r="Y304" s="25"/>
      <c r="Z304" s="25"/>
      <c r="AA304" s="25"/>
      <c r="AB304" s="25"/>
      <c r="AC304" s="25"/>
      <c r="AD304" s="25"/>
    </row>
    <row r="305" spans="1:30" x14ac:dyDescent="0.25">
      <c r="A305" s="18" t="str">
        <f t="shared" si="6"/>
        <v/>
      </c>
      <c r="B305" s="25"/>
      <c r="C305" s="25"/>
      <c r="D305" s="37"/>
      <c r="E305" s="25"/>
      <c r="F305" s="25"/>
      <c r="G305" s="38"/>
      <c r="H305" s="37"/>
      <c r="I305" s="25"/>
      <c r="J305" s="38"/>
      <c r="O305" s="37"/>
      <c r="P305" s="25"/>
      <c r="Q305" s="38"/>
      <c r="R305" s="37"/>
      <c r="S305" s="25"/>
      <c r="T305" s="25"/>
      <c r="U305" s="38"/>
      <c r="V305" s="26"/>
      <c r="W305" s="25"/>
      <c r="X305" s="25"/>
      <c r="Y305" s="25"/>
      <c r="Z305" s="25"/>
      <c r="AA305" s="25"/>
      <c r="AB305" s="25"/>
      <c r="AC305" s="25"/>
      <c r="AD305" s="25"/>
    </row>
    <row r="306" spans="1:30" x14ac:dyDescent="0.25">
      <c r="A306" s="18" t="str">
        <f t="shared" si="6"/>
        <v/>
      </c>
      <c r="B306" s="25"/>
      <c r="C306" s="25"/>
      <c r="D306" s="37"/>
      <c r="E306" s="25"/>
      <c r="F306" s="25"/>
      <c r="G306" s="38"/>
      <c r="H306" s="37"/>
      <c r="I306" s="25"/>
      <c r="J306" s="38"/>
      <c r="O306" s="37"/>
      <c r="P306" s="25"/>
      <c r="Q306" s="38"/>
      <c r="R306" s="37"/>
      <c r="S306" s="25"/>
      <c r="T306" s="25"/>
      <c r="U306" s="38"/>
      <c r="V306" s="26"/>
      <c r="W306" s="25"/>
      <c r="X306" s="25"/>
      <c r="Y306" s="25"/>
      <c r="Z306" s="25"/>
      <c r="AA306" s="25"/>
      <c r="AB306" s="25"/>
      <c r="AC306" s="25"/>
      <c r="AD306" s="25"/>
    </row>
    <row r="307" spans="1:30" x14ac:dyDescent="0.25">
      <c r="A307" s="18" t="str">
        <f t="shared" si="6"/>
        <v/>
      </c>
      <c r="B307" s="25"/>
      <c r="C307" s="25"/>
      <c r="D307" s="37"/>
      <c r="E307" s="25"/>
      <c r="F307" s="25"/>
      <c r="G307" s="38"/>
      <c r="H307" s="37"/>
      <c r="I307" s="25"/>
      <c r="J307" s="38"/>
      <c r="O307" s="37"/>
      <c r="P307" s="25"/>
      <c r="Q307" s="38"/>
      <c r="R307" s="37"/>
      <c r="S307" s="25"/>
      <c r="T307" s="25"/>
      <c r="U307" s="38"/>
      <c r="V307" s="26"/>
      <c r="W307" s="25"/>
      <c r="X307" s="25"/>
      <c r="Y307" s="25"/>
      <c r="Z307" s="25"/>
      <c r="AA307" s="25"/>
      <c r="AB307" s="25"/>
      <c r="AC307" s="25"/>
      <c r="AD307" s="25"/>
    </row>
    <row r="308" spans="1:30" x14ac:dyDescent="0.25">
      <c r="A308" s="18" t="str">
        <f t="shared" si="6"/>
        <v/>
      </c>
      <c r="B308" s="25"/>
      <c r="C308" s="25"/>
      <c r="D308" s="37"/>
      <c r="E308" s="25"/>
      <c r="F308" s="25"/>
      <c r="G308" s="38"/>
      <c r="H308" s="37"/>
      <c r="I308" s="25"/>
      <c r="J308" s="38"/>
      <c r="O308" s="37"/>
      <c r="P308" s="25"/>
      <c r="Q308" s="38"/>
      <c r="R308" s="37"/>
      <c r="S308" s="25"/>
      <c r="T308" s="25"/>
      <c r="U308" s="38"/>
      <c r="V308" s="26"/>
      <c r="W308" s="25"/>
      <c r="X308" s="25"/>
      <c r="Y308" s="25"/>
      <c r="Z308" s="25"/>
      <c r="AA308" s="25"/>
      <c r="AB308" s="25"/>
      <c r="AC308" s="25"/>
      <c r="AD308" s="25"/>
    </row>
    <row r="309" spans="1:30" x14ac:dyDescent="0.25">
      <c r="A309" s="18" t="str">
        <f t="shared" si="6"/>
        <v/>
      </c>
      <c r="B309" s="25"/>
      <c r="C309" s="25"/>
      <c r="D309" s="37"/>
      <c r="E309" s="25"/>
      <c r="F309" s="25"/>
      <c r="G309" s="38"/>
      <c r="H309" s="37"/>
      <c r="I309" s="25"/>
      <c r="J309" s="38"/>
      <c r="O309" s="37"/>
      <c r="P309" s="25"/>
      <c r="Q309" s="38"/>
      <c r="R309" s="37"/>
      <c r="S309" s="25"/>
      <c r="T309" s="25"/>
      <c r="U309" s="38"/>
      <c r="V309" s="26"/>
      <c r="W309" s="25"/>
      <c r="X309" s="25"/>
      <c r="Y309" s="25"/>
      <c r="Z309" s="25"/>
      <c r="AA309" s="25"/>
      <c r="AB309" s="25"/>
      <c r="AC309" s="25"/>
      <c r="AD309" s="25"/>
    </row>
    <row r="310" spans="1:30" x14ac:dyDescent="0.25">
      <c r="A310" s="18" t="str">
        <f t="shared" si="6"/>
        <v/>
      </c>
      <c r="B310" s="25"/>
      <c r="C310" s="25"/>
      <c r="D310" s="37"/>
      <c r="E310" s="25"/>
      <c r="F310" s="25"/>
      <c r="G310" s="38"/>
      <c r="H310" s="37"/>
      <c r="I310" s="25"/>
      <c r="J310" s="38"/>
      <c r="O310" s="37"/>
      <c r="P310" s="25"/>
      <c r="Q310" s="38"/>
      <c r="R310" s="37"/>
      <c r="S310" s="25"/>
      <c r="T310" s="25"/>
      <c r="U310" s="38"/>
      <c r="V310" s="26"/>
      <c r="W310" s="25"/>
      <c r="X310" s="25"/>
      <c r="Y310" s="25"/>
      <c r="Z310" s="25"/>
      <c r="AA310" s="25"/>
      <c r="AB310" s="25"/>
      <c r="AC310" s="25"/>
      <c r="AD310" s="25"/>
    </row>
    <row r="311" spans="1:30" x14ac:dyDescent="0.25">
      <c r="A311" s="18" t="str">
        <f t="shared" si="6"/>
        <v/>
      </c>
      <c r="B311" s="25"/>
      <c r="C311" s="25"/>
      <c r="D311" s="37"/>
      <c r="E311" s="25"/>
      <c r="F311" s="25"/>
      <c r="G311" s="38"/>
      <c r="H311" s="37"/>
      <c r="I311" s="25"/>
      <c r="J311" s="38"/>
      <c r="O311" s="37"/>
      <c r="P311" s="25"/>
      <c r="Q311" s="38"/>
      <c r="R311" s="37"/>
      <c r="S311" s="25"/>
      <c r="T311" s="25"/>
      <c r="U311" s="38"/>
      <c r="V311" s="26"/>
      <c r="W311" s="25"/>
      <c r="X311" s="25"/>
      <c r="Y311" s="25"/>
      <c r="Z311" s="25"/>
      <c r="AA311" s="25"/>
      <c r="AB311" s="25"/>
      <c r="AC311" s="25"/>
      <c r="AD311" s="25"/>
    </row>
    <row r="312" spans="1:30" x14ac:dyDescent="0.25">
      <c r="A312" s="18" t="str">
        <f t="shared" si="6"/>
        <v/>
      </c>
      <c r="B312" s="25"/>
      <c r="C312" s="25"/>
      <c r="D312" s="37"/>
      <c r="E312" s="25"/>
      <c r="F312" s="25"/>
      <c r="G312" s="38"/>
      <c r="H312" s="37"/>
      <c r="I312" s="25"/>
      <c r="J312" s="38"/>
      <c r="O312" s="37"/>
      <c r="P312" s="25"/>
      <c r="Q312" s="38"/>
      <c r="R312" s="37"/>
      <c r="S312" s="25"/>
      <c r="T312" s="25"/>
      <c r="U312" s="38"/>
      <c r="V312" s="26"/>
      <c r="W312" s="25"/>
      <c r="X312" s="25"/>
      <c r="Y312" s="25"/>
      <c r="Z312" s="25"/>
      <c r="AA312" s="25"/>
      <c r="AB312" s="25"/>
      <c r="AC312" s="25"/>
      <c r="AD312" s="25"/>
    </row>
    <row r="313" spans="1:30" x14ac:dyDescent="0.25">
      <c r="A313" s="18" t="str">
        <f t="shared" si="6"/>
        <v/>
      </c>
      <c r="B313" s="25"/>
      <c r="C313" s="25"/>
      <c r="D313" s="37"/>
      <c r="E313" s="25"/>
      <c r="F313" s="25"/>
      <c r="G313" s="38"/>
      <c r="H313" s="37"/>
      <c r="I313" s="25"/>
      <c r="J313" s="38"/>
      <c r="O313" s="37"/>
      <c r="P313" s="25"/>
      <c r="Q313" s="38"/>
      <c r="R313" s="37"/>
      <c r="S313" s="25"/>
      <c r="T313" s="25"/>
      <c r="U313" s="38"/>
      <c r="V313" s="26"/>
      <c r="W313" s="25"/>
      <c r="X313" s="25"/>
      <c r="Y313" s="25"/>
      <c r="Z313" s="25"/>
      <c r="AA313" s="25"/>
      <c r="AB313" s="25"/>
      <c r="AC313" s="25"/>
      <c r="AD313" s="25"/>
    </row>
    <row r="314" spans="1:30" x14ac:dyDescent="0.25">
      <c r="A314" s="18" t="str">
        <f t="shared" si="6"/>
        <v/>
      </c>
      <c r="B314" s="25"/>
      <c r="C314" s="25"/>
      <c r="D314" s="37"/>
      <c r="E314" s="25"/>
      <c r="F314" s="25"/>
      <c r="G314" s="38"/>
      <c r="H314" s="37"/>
      <c r="I314" s="25"/>
      <c r="J314" s="38"/>
      <c r="O314" s="37"/>
      <c r="P314" s="25"/>
      <c r="Q314" s="38"/>
      <c r="R314" s="37"/>
      <c r="S314" s="25"/>
      <c r="T314" s="25"/>
      <c r="U314" s="38"/>
      <c r="V314" s="26"/>
      <c r="W314" s="25"/>
      <c r="X314" s="25"/>
      <c r="Y314" s="25"/>
      <c r="Z314" s="25"/>
      <c r="AA314" s="25"/>
      <c r="AB314" s="25"/>
      <c r="AC314" s="25"/>
      <c r="AD314" s="25"/>
    </row>
    <row r="315" spans="1:30" x14ac:dyDescent="0.25">
      <c r="A315" s="18" t="str">
        <f t="shared" si="6"/>
        <v/>
      </c>
      <c r="B315" s="25"/>
      <c r="C315" s="25"/>
      <c r="D315" s="37"/>
      <c r="E315" s="25"/>
      <c r="F315" s="25"/>
      <c r="G315" s="38"/>
      <c r="H315" s="37"/>
      <c r="I315" s="25"/>
      <c r="J315" s="38"/>
      <c r="O315" s="37"/>
      <c r="P315" s="25"/>
      <c r="Q315" s="38"/>
      <c r="R315" s="37"/>
      <c r="S315" s="25"/>
      <c r="T315" s="25"/>
      <c r="U315" s="38"/>
      <c r="V315" s="26"/>
      <c r="W315" s="25"/>
      <c r="X315" s="25"/>
      <c r="Y315" s="25"/>
      <c r="Z315" s="25"/>
      <c r="AA315" s="25"/>
      <c r="AB315" s="25"/>
      <c r="AC315" s="25"/>
      <c r="AD315" s="25"/>
    </row>
    <row r="316" spans="1:30" x14ac:dyDescent="0.25">
      <c r="A316" s="18" t="str">
        <f t="shared" si="6"/>
        <v/>
      </c>
      <c r="B316" s="25"/>
      <c r="C316" s="25"/>
      <c r="D316" s="37"/>
      <c r="E316" s="25"/>
      <c r="F316" s="25"/>
      <c r="G316" s="38"/>
      <c r="H316" s="37"/>
      <c r="I316" s="25"/>
      <c r="J316" s="38"/>
      <c r="O316" s="37"/>
      <c r="P316" s="25"/>
      <c r="Q316" s="38"/>
      <c r="R316" s="37"/>
      <c r="S316" s="25"/>
      <c r="T316" s="25"/>
      <c r="U316" s="38"/>
      <c r="V316" s="26"/>
      <c r="W316" s="25"/>
      <c r="X316" s="25"/>
      <c r="Y316" s="25"/>
      <c r="Z316" s="25"/>
      <c r="AA316" s="25"/>
      <c r="AB316" s="25"/>
      <c r="AC316" s="25"/>
      <c r="AD316" s="25"/>
    </row>
    <row r="317" spans="1:30" x14ac:dyDescent="0.25">
      <c r="A317" s="18" t="str">
        <f t="shared" si="6"/>
        <v/>
      </c>
      <c r="B317" s="25"/>
      <c r="C317" s="25"/>
      <c r="D317" s="37"/>
      <c r="E317" s="25"/>
      <c r="F317" s="25"/>
      <c r="G317" s="38"/>
      <c r="H317" s="37"/>
      <c r="I317" s="25"/>
      <c r="J317" s="38"/>
      <c r="O317" s="37"/>
      <c r="P317" s="25"/>
      <c r="Q317" s="38"/>
      <c r="R317" s="37"/>
      <c r="S317" s="25"/>
      <c r="T317" s="25"/>
      <c r="U317" s="38"/>
      <c r="V317" s="26"/>
      <c r="W317" s="25"/>
      <c r="X317" s="25"/>
      <c r="Y317" s="25"/>
      <c r="Z317" s="25"/>
      <c r="AA317" s="25"/>
      <c r="AB317" s="25"/>
      <c r="AC317" s="25"/>
      <c r="AD317" s="25"/>
    </row>
    <row r="318" spans="1:30" x14ac:dyDescent="0.25">
      <c r="A318" s="18" t="str">
        <f t="shared" ref="A318:A381" si="7">IF(ISBLANK($B318)=FALSE,IF(AND($H318&gt;0,$I318&lt;=0,$J318&lt;=0),_xlfn.CONCAT("ofw_",$B318),IF(AND($H318&lt;=0,$I318&gt;0,$J318&lt;=0),_xlfn.CONCAT("owc_",$B318),IF(AND($H318&lt;=0,$I318&lt;=0,$J318&gt;0),_xlfn.CONCAT("opv_",$B318),_xlfn.CONCAT("oce_",$B318)))),"")</f>
        <v/>
      </c>
      <c r="B318" s="25"/>
      <c r="C318" s="25"/>
      <c r="D318" s="37"/>
      <c r="E318" s="25"/>
      <c r="F318" s="25"/>
      <c r="G318" s="38"/>
      <c r="H318" s="37"/>
      <c r="I318" s="25"/>
      <c r="J318" s="38"/>
      <c r="O318" s="37"/>
      <c r="P318" s="25"/>
      <c r="Q318" s="38"/>
      <c r="R318" s="37"/>
      <c r="S318" s="25"/>
      <c r="T318" s="25"/>
      <c r="U318" s="38"/>
      <c r="V318" s="26"/>
      <c r="W318" s="25"/>
      <c r="X318" s="25"/>
      <c r="Y318" s="25"/>
      <c r="Z318" s="25"/>
      <c r="AA318" s="25"/>
      <c r="AB318" s="25"/>
      <c r="AC318" s="25"/>
      <c r="AD318" s="25"/>
    </row>
    <row r="319" spans="1:30" x14ac:dyDescent="0.25">
      <c r="A319" s="18" t="str">
        <f t="shared" si="7"/>
        <v/>
      </c>
      <c r="B319" s="25"/>
      <c r="C319" s="25"/>
      <c r="D319" s="37"/>
      <c r="E319" s="25"/>
      <c r="F319" s="25"/>
      <c r="G319" s="38"/>
      <c r="H319" s="37"/>
      <c r="I319" s="25"/>
      <c r="J319" s="38"/>
      <c r="O319" s="37"/>
      <c r="P319" s="25"/>
      <c r="Q319" s="38"/>
      <c r="R319" s="37"/>
      <c r="S319" s="25"/>
      <c r="T319" s="25"/>
      <c r="U319" s="38"/>
      <c r="V319" s="26"/>
      <c r="W319" s="25"/>
      <c r="X319" s="25"/>
      <c r="Y319" s="25"/>
      <c r="Z319" s="25"/>
      <c r="AA319" s="25"/>
      <c r="AB319" s="25"/>
      <c r="AC319" s="25"/>
      <c r="AD319" s="25"/>
    </row>
    <row r="320" spans="1:30" x14ac:dyDescent="0.25">
      <c r="A320" s="18" t="str">
        <f t="shared" si="7"/>
        <v/>
      </c>
      <c r="B320" s="25"/>
      <c r="C320" s="25"/>
      <c r="D320" s="37"/>
      <c r="E320" s="25"/>
      <c r="F320" s="25"/>
      <c r="G320" s="38"/>
      <c r="H320" s="37"/>
      <c r="I320" s="25"/>
      <c r="J320" s="38"/>
      <c r="O320" s="37"/>
      <c r="P320" s="25"/>
      <c r="Q320" s="38"/>
      <c r="R320" s="37"/>
      <c r="S320" s="25"/>
      <c r="T320" s="25"/>
      <c r="U320" s="38"/>
      <c r="V320" s="26"/>
      <c r="W320" s="25"/>
      <c r="X320" s="25"/>
      <c r="Y320" s="25"/>
      <c r="Z320" s="25"/>
      <c r="AA320" s="25"/>
      <c r="AB320" s="25"/>
      <c r="AC320" s="25"/>
      <c r="AD320" s="25"/>
    </row>
    <row r="321" spans="1:30" x14ac:dyDescent="0.25">
      <c r="A321" s="18" t="str">
        <f t="shared" si="7"/>
        <v/>
      </c>
      <c r="B321" s="25"/>
      <c r="C321" s="25"/>
      <c r="D321" s="37"/>
      <c r="E321" s="25"/>
      <c r="F321" s="25"/>
      <c r="G321" s="38"/>
      <c r="H321" s="37"/>
      <c r="I321" s="25"/>
      <c r="J321" s="38"/>
      <c r="O321" s="37"/>
      <c r="P321" s="25"/>
      <c r="Q321" s="38"/>
      <c r="R321" s="37"/>
      <c r="S321" s="25"/>
      <c r="T321" s="25"/>
      <c r="U321" s="38"/>
      <c r="V321" s="26"/>
      <c r="W321" s="25"/>
      <c r="X321" s="25"/>
      <c r="Y321" s="25"/>
      <c r="Z321" s="25"/>
      <c r="AA321" s="25"/>
      <c r="AB321" s="25"/>
      <c r="AC321" s="25"/>
      <c r="AD321" s="25"/>
    </row>
    <row r="322" spans="1:30" x14ac:dyDescent="0.25">
      <c r="A322" s="18" t="str">
        <f t="shared" si="7"/>
        <v/>
      </c>
      <c r="B322" s="25"/>
      <c r="C322" s="25"/>
      <c r="D322" s="37"/>
      <c r="E322" s="25"/>
      <c r="F322" s="25"/>
      <c r="G322" s="38"/>
      <c r="H322" s="37"/>
      <c r="I322" s="25"/>
      <c r="J322" s="38"/>
      <c r="O322" s="37"/>
      <c r="P322" s="25"/>
      <c r="Q322" s="38"/>
      <c r="R322" s="37"/>
      <c r="S322" s="25"/>
      <c r="T322" s="25"/>
      <c r="U322" s="38"/>
      <c r="V322" s="26"/>
      <c r="W322" s="25"/>
      <c r="X322" s="25"/>
      <c r="Y322" s="25"/>
      <c r="Z322" s="25"/>
      <c r="AA322" s="25"/>
      <c r="AB322" s="25"/>
      <c r="AC322" s="25"/>
      <c r="AD322" s="25"/>
    </row>
    <row r="323" spans="1:30" x14ac:dyDescent="0.25">
      <c r="A323" s="18" t="str">
        <f t="shared" si="7"/>
        <v/>
      </c>
      <c r="B323" s="25"/>
      <c r="C323" s="25"/>
      <c r="D323" s="37"/>
      <c r="E323" s="25"/>
      <c r="F323" s="25"/>
      <c r="G323" s="38"/>
      <c r="H323" s="37"/>
      <c r="I323" s="25"/>
      <c r="J323" s="38"/>
      <c r="O323" s="37"/>
      <c r="P323" s="25"/>
      <c r="Q323" s="38"/>
      <c r="R323" s="37"/>
      <c r="S323" s="25"/>
      <c r="T323" s="25"/>
      <c r="U323" s="38"/>
      <c r="V323" s="26"/>
      <c r="W323" s="25"/>
      <c r="X323" s="25"/>
      <c r="Y323" s="25"/>
      <c r="Z323" s="25"/>
      <c r="AA323" s="25"/>
      <c r="AB323" s="25"/>
      <c r="AC323" s="25"/>
      <c r="AD323" s="25"/>
    </row>
    <row r="324" spans="1:30" x14ac:dyDescent="0.25">
      <c r="A324" s="18" t="str">
        <f t="shared" si="7"/>
        <v/>
      </c>
      <c r="B324" s="25"/>
      <c r="C324" s="25"/>
      <c r="D324" s="37"/>
      <c r="E324" s="25"/>
      <c r="F324" s="25"/>
      <c r="G324" s="38"/>
      <c r="H324" s="37"/>
      <c r="I324" s="25"/>
      <c r="J324" s="38"/>
      <c r="O324" s="37"/>
      <c r="P324" s="25"/>
      <c r="Q324" s="38"/>
      <c r="R324" s="37"/>
      <c r="S324" s="25"/>
      <c r="T324" s="25"/>
      <c r="U324" s="38"/>
      <c r="V324" s="26"/>
      <c r="W324" s="25"/>
      <c r="X324" s="25"/>
      <c r="Y324" s="25"/>
      <c r="Z324" s="25"/>
      <c r="AA324" s="25"/>
      <c r="AB324" s="25"/>
      <c r="AC324" s="25"/>
      <c r="AD324" s="25"/>
    </row>
    <row r="325" spans="1:30" x14ac:dyDescent="0.25">
      <c r="A325" s="18" t="str">
        <f t="shared" si="7"/>
        <v/>
      </c>
      <c r="B325" s="25"/>
      <c r="C325" s="25"/>
      <c r="D325" s="37"/>
      <c r="E325" s="25"/>
      <c r="F325" s="25"/>
      <c r="G325" s="38"/>
      <c r="H325" s="37"/>
      <c r="I325" s="25"/>
      <c r="J325" s="38"/>
      <c r="O325" s="37"/>
      <c r="P325" s="25"/>
      <c r="Q325" s="38"/>
      <c r="R325" s="37"/>
      <c r="S325" s="25"/>
      <c r="T325" s="25"/>
      <c r="U325" s="38"/>
      <c r="V325" s="26"/>
      <c r="W325" s="25"/>
      <c r="X325" s="25"/>
      <c r="Y325" s="25"/>
      <c r="Z325" s="25"/>
      <c r="AA325" s="25"/>
      <c r="AB325" s="25"/>
      <c r="AC325" s="25"/>
      <c r="AD325" s="25"/>
    </row>
    <row r="326" spans="1:30" x14ac:dyDescent="0.25">
      <c r="A326" s="18" t="str">
        <f t="shared" si="7"/>
        <v/>
      </c>
      <c r="B326" s="25"/>
      <c r="C326" s="25"/>
      <c r="D326" s="37"/>
      <c r="E326" s="25"/>
      <c r="F326" s="25"/>
      <c r="G326" s="38"/>
      <c r="H326" s="37"/>
      <c r="I326" s="25"/>
      <c r="J326" s="38"/>
      <c r="O326" s="37"/>
      <c r="P326" s="25"/>
      <c r="Q326" s="38"/>
      <c r="R326" s="37"/>
      <c r="S326" s="25"/>
      <c r="T326" s="25"/>
      <c r="U326" s="38"/>
      <c r="V326" s="26"/>
      <c r="W326" s="25"/>
      <c r="X326" s="25"/>
      <c r="Y326" s="25"/>
      <c r="Z326" s="25"/>
      <c r="AA326" s="25"/>
      <c r="AB326" s="25"/>
      <c r="AC326" s="25"/>
      <c r="AD326" s="25"/>
    </row>
    <row r="327" spans="1:30" x14ac:dyDescent="0.25">
      <c r="A327" s="18" t="str">
        <f t="shared" si="7"/>
        <v/>
      </c>
      <c r="B327" s="25"/>
      <c r="C327" s="25"/>
      <c r="D327" s="37"/>
      <c r="E327" s="25"/>
      <c r="F327" s="25"/>
      <c r="G327" s="38"/>
      <c r="H327" s="37"/>
      <c r="I327" s="25"/>
      <c r="J327" s="38"/>
      <c r="O327" s="37"/>
      <c r="P327" s="25"/>
      <c r="Q327" s="38"/>
      <c r="R327" s="37"/>
      <c r="S327" s="25"/>
      <c r="T327" s="25"/>
      <c r="U327" s="38"/>
      <c r="V327" s="26"/>
      <c r="W327" s="25"/>
      <c r="X327" s="25"/>
      <c r="Y327" s="25"/>
      <c r="Z327" s="25"/>
      <c r="AA327" s="25"/>
      <c r="AB327" s="25"/>
      <c r="AC327" s="25"/>
      <c r="AD327" s="25"/>
    </row>
    <row r="328" spans="1:30" x14ac:dyDescent="0.25">
      <c r="A328" s="18" t="str">
        <f t="shared" si="7"/>
        <v/>
      </c>
      <c r="B328" s="25"/>
      <c r="C328" s="25"/>
      <c r="D328" s="37"/>
      <c r="E328" s="25"/>
      <c r="F328" s="25"/>
      <c r="G328" s="38"/>
      <c r="H328" s="37"/>
      <c r="I328" s="25"/>
      <c r="J328" s="38"/>
      <c r="O328" s="37"/>
      <c r="P328" s="25"/>
      <c r="Q328" s="38"/>
      <c r="R328" s="37"/>
      <c r="S328" s="25"/>
      <c r="T328" s="25"/>
      <c r="U328" s="38"/>
      <c r="V328" s="26"/>
      <c r="W328" s="25"/>
      <c r="X328" s="25"/>
      <c r="Y328" s="25"/>
      <c r="Z328" s="25"/>
      <c r="AA328" s="25"/>
      <c r="AB328" s="25"/>
      <c r="AC328" s="25"/>
      <c r="AD328" s="25"/>
    </row>
    <row r="329" spans="1:30" x14ac:dyDescent="0.25">
      <c r="A329" s="18" t="str">
        <f t="shared" si="7"/>
        <v/>
      </c>
      <c r="B329" s="25"/>
      <c r="C329" s="25"/>
      <c r="D329" s="37"/>
      <c r="E329" s="25"/>
      <c r="F329" s="25"/>
      <c r="G329" s="38"/>
      <c r="H329" s="37"/>
      <c r="I329" s="25"/>
      <c r="J329" s="38"/>
      <c r="O329" s="37"/>
      <c r="P329" s="25"/>
      <c r="Q329" s="38"/>
      <c r="R329" s="37"/>
      <c r="S329" s="25"/>
      <c r="T329" s="25"/>
      <c r="U329" s="38"/>
      <c r="V329" s="26"/>
      <c r="W329" s="25"/>
      <c r="X329" s="25"/>
      <c r="Y329" s="25"/>
      <c r="Z329" s="25"/>
      <c r="AA329" s="25"/>
      <c r="AB329" s="25"/>
      <c r="AC329" s="25"/>
      <c r="AD329" s="25"/>
    </row>
    <row r="330" spans="1:30" x14ac:dyDescent="0.25">
      <c r="A330" s="18" t="str">
        <f t="shared" si="7"/>
        <v/>
      </c>
      <c r="B330" s="25"/>
      <c r="C330" s="25"/>
      <c r="D330" s="37"/>
      <c r="E330" s="25"/>
      <c r="F330" s="25"/>
      <c r="G330" s="38"/>
      <c r="H330" s="37"/>
      <c r="I330" s="25"/>
      <c r="J330" s="38"/>
      <c r="O330" s="37"/>
      <c r="P330" s="25"/>
      <c r="Q330" s="38"/>
      <c r="R330" s="37"/>
      <c r="S330" s="25"/>
      <c r="T330" s="25"/>
      <c r="U330" s="38"/>
      <c r="V330" s="26"/>
      <c r="W330" s="25"/>
      <c r="X330" s="25"/>
      <c r="Y330" s="25"/>
      <c r="Z330" s="25"/>
      <c r="AA330" s="25"/>
      <c r="AB330" s="25"/>
      <c r="AC330" s="25"/>
      <c r="AD330" s="25"/>
    </row>
    <row r="331" spans="1:30" x14ac:dyDescent="0.25">
      <c r="A331" s="18" t="str">
        <f t="shared" si="7"/>
        <v/>
      </c>
      <c r="B331" s="25"/>
      <c r="C331" s="25"/>
      <c r="D331" s="37"/>
      <c r="E331" s="25"/>
      <c r="F331" s="25"/>
      <c r="G331" s="38"/>
      <c r="H331" s="37"/>
      <c r="I331" s="25"/>
      <c r="J331" s="38"/>
      <c r="O331" s="37"/>
      <c r="P331" s="25"/>
      <c r="Q331" s="38"/>
      <c r="R331" s="37"/>
      <c r="S331" s="25"/>
      <c r="T331" s="25"/>
      <c r="U331" s="38"/>
      <c r="V331" s="26"/>
      <c r="W331" s="25"/>
      <c r="X331" s="25"/>
      <c r="Y331" s="25"/>
      <c r="Z331" s="25"/>
      <c r="AA331" s="25"/>
      <c r="AB331" s="25"/>
      <c r="AC331" s="25"/>
      <c r="AD331" s="25"/>
    </row>
    <row r="332" spans="1:30" x14ac:dyDescent="0.25">
      <c r="A332" s="18" t="str">
        <f t="shared" si="7"/>
        <v/>
      </c>
      <c r="B332" s="25"/>
      <c r="C332" s="25"/>
      <c r="D332" s="37"/>
      <c r="E332" s="25"/>
      <c r="F332" s="25"/>
      <c r="G332" s="38"/>
      <c r="H332" s="37"/>
      <c r="I332" s="25"/>
      <c r="J332" s="38"/>
      <c r="O332" s="37"/>
      <c r="P332" s="25"/>
      <c r="Q332" s="38"/>
      <c r="R332" s="37"/>
      <c r="S332" s="25"/>
      <c r="T332" s="25"/>
      <c r="U332" s="38"/>
      <c r="V332" s="26"/>
      <c r="W332" s="25"/>
      <c r="X332" s="25"/>
      <c r="Y332" s="25"/>
      <c r="Z332" s="25"/>
      <c r="AA332" s="25"/>
      <c r="AB332" s="25"/>
      <c r="AC332" s="25"/>
      <c r="AD332" s="25"/>
    </row>
    <row r="333" spans="1:30" x14ac:dyDescent="0.25">
      <c r="A333" s="18" t="str">
        <f t="shared" si="7"/>
        <v/>
      </c>
      <c r="B333" s="25"/>
      <c r="C333" s="25"/>
      <c r="D333" s="37"/>
      <c r="E333" s="25"/>
      <c r="F333" s="25"/>
      <c r="G333" s="38"/>
      <c r="H333" s="37"/>
      <c r="I333" s="25"/>
      <c r="J333" s="38"/>
      <c r="O333" s="37"/>
      <c r="P333" s="25"/>
      <c r="Q333" s="38"/>
      <c r="R333" s="37"/>
      <c r="S333" s="25"/>
      <c r="T333" s="25"/>
      <c r="U333" s="38"/>
      <c r="V333" s="26"/>
      <c r="W333" s="25"/>
      <c r="X333" s="25"/>
      <c r="Y333" s="25"/>
      <c r="Z333" s="25"/>
      <c r="AA333" s="25"/>
      <c r="AB333" s="25"/>
      <c r="AC333" s="25"/>
      <c r="AD333" s="25"/>
    </row>
    <row r="334" spans="1:30" x14ac:dyDescent="0.25">
      <c r="A334" s="18" t="str">
        <f t="shared" si="7"/>
        <v/>
      </c>
      <c r="B334" s="25"/>
      <c r="C334" s="25"/>
      <c r="D334" s="37"/>
      <c r="E334" s="25"/>
      <c r="F334" s="25"/>
      <c r="G334" s="38"/>
      <c r="H334" s="37"/>
      <c r="I334" s="25"/>
      <c r="J334" s="38"/>
      <c r="O334" s="37"/>
      <c r="P334" s="25"/>
      <c r="Q334" s="38"/>
      <c r="R334" s="37"/>
      <c r="S334" s="25"/>
      <c r="T334" s="25"/>
      <c r="U334" s="38"/>
      <c r="V334" s="26"/>
      <c r="W334" s="25"/>
      <c r="X334" s="25"/>
      <c r="Y334" s="25"/>
      <c r="Z334" s="25"/>
      <c r="AA334" s="25"/>
      <c r="AB334" s="25"/>
      <c r="AC334" s="25"/>
      <c r="AD334" s="25"/>
    </row>
    <row r="335" spans="1:30" x14ac:dyDescent="0.25">
      <c r="A335" s="18" t="str">
        <f t="shared" si="7"/>
        <v/>
      </c>
      <c r="B335" s="25"/>
      <c r="C335" s="25"/>
      <c r="D335" s="37"/>
      <c r="E335" s="25"/>
      <c r="F335" s="25"/>
      <c r="G335" s="38"/>
      <c r="H335" s="37"/>
      <c r="I335" s="25"/>
      <c r="J335" s="38"/>
      <c r="O335" s="37"/>
      <c r="P335" s="25"/>
      <c r="Q335" s="38"/>
      <c r="R335" s="37"/>
      <c r="S335" s="25"/>
      <c r="T335" s="25"/>
      <c r="U335" s="38"/>
      <c r="V335" s="26"/>
      <c r="W335" s="25"/>
      <c r="X335" s="25"/>
      <c r="Y335" s="25"/>
      <c r="Z335" s="25"/>
      <c r="AA335" s="25"/>
      <c r="AB335" s="25"/>
      <c r="AC335" s="25"/>
      <c r="AD335" s="25"/>
    </row>
    <row r="336" spans="1:30" x14ac:dyDescent="0.25">
      <c r="A336" s="18" t="str">
        <f t="shared" si="7"/>
        <v/>
      </c>
      <c r="B336" s="25"/>
      <c r="C336" s="25"/>
      <c r="D336" s="37"/>
      <c r="E336" s="25"/>
      <c r="F336" s="25"/>
      <c r="G336" s="38"/>
      <c r="H336" s="37"/>
      <c r="I336" s="25"/>
      <c r="J336" s="38"/>
      <c r="O336" s="37"/>
      <c r="P336" s="25"/>
      <c r="Q336" s="38"/>
      <c r="R336" s="37"/>
      <c r="S336" s="25"/>
      <c r="T336" s="25"/>
      <c r="U336" s="38"/>
      <c r="V336" s="26"/>
      <c r="W336" s="25"/>
      <c r="X336" s="25"/>
      <c r="Y336" s="25"/>
      <c r="Z336" s="25"/>
      <c r="AA336" s="25"/>
      <c r="AB336" s="25"/>
      <c r="AC336" s="25"/>
      <c r="AD336" s="25"/>
    </row>
    <row r="337" spans="1:30" x14ac:dyDescent="0.25">
      <c r="A337" s="18" t="str">
        <f t="shared" si="7"/>
        <v/>
      </c>
      <c r="B337" s="25"/>
      <c r="C337" s="25"/>
      <c r="D337" s="37"/>
      <c r="E337" s="25"/>
      <c r="F337" s="25"/>
      <c r="G337" s="38"/>
      <c r="H337" s="37"/>
      <c r="I337" s="25"/>
      <c r="J337" s="38"/>
      <c r="O337" s="37"/>
      <c r="P337" s="25"/>
      <c r="Q337" s="38"/>
      <c r="R337" s="37"/>
      <c r="S337" s="25"/>
      <c r="T337" s="25"/>
      <c r="U337" s="38"/>
      <c r="V337" s="26"/>
      <c r="W337" s="25"/>
      <c r="X337" s="25"/>
      <c r="Y337" s="25"/>
      <c r="Z337" s="25"/>
      <c r="AA337" s="25"/>
      <c r="AB337" s="25"/>
      <c r="AC337" s="25"/>
      <c r="AD337" s="25"/>
    </row>
    <row r="338" spans="1:30" x14ac:dyDescent="0.25">
      <c r="A338" s="18" t="str">
        <f t="shared" si="7"/>
        <v/>
      </c>
      <c r="B338" s="25"/>
      <c r="C338" s="25"/>
      <c r="D338" s="37"/>
      <c r="E338" s="25"/>
      <c r="F338" s="25"/>
      <c r="G338" s="38"/>
      <c r="H338" s="37"/>
      <c r="I338" s="25"/>
      <c r="J338" s="38"/>
      <c r="O338" s="37"/>
      <c r="P338" s="25"/>
      <c r="Q338" s="38"/>
      <c r="R338" s="37"/>
      <c r="S338" s="25"/>
      <c r="T338" s="25"/>
      <c r="U338" s="38"/>
      <c r="V338" s="26"/>
      <c r="W338" s="25"/>
      <c r="X338" s="25"/>
      <c r="Y338" s="25"/>
      <c r="Z338" s="25"/>
      <c r="AA338" s="25"/>
      <c r="AB338" s="25"/>
      <c r="AC338" s="25"/>
      <c r="AD338" s="25"/>
    </row>
    <row r="339" spans="1:30" x14ac:dyDescent="0.25">
      <c r="A339" s="18" t="str">
        <f t="shared" si="7"/>
        <v/>
      </c>
      <c r="B339" s="25"/>
      <c r="C339" s="25"/>
      <c r="D339" s="37"/>
      <c r="E339" s="25"/>
      <c r="F339" s="25"/>
      <c r="G339" s="38"/>
      <c r="H339" s="37"/>
      <c r="I339" s="25"/>
      <c r="J339" s="38"/>
      <c r="O339" s="37"/>
      <c r="P339" s="25"/>
      <c r="Q339" s="38"/>
      <c r="R339" s="37"/>
      <c r="S339" s="25"/>
      <c r="T339" s="25"/>
      <c r="U339" s="38"/>
      <c r="V339" s="26"/>
      <c r="W339" s="25"/>
      <c r="X339" s="25"/>
      <c r="Y339" s="25"/>
      <c r="Z339" s="25"/>
      <c r="AA339" s="25"/>
      <c r="AB339" s="25"/>
      <c r="AC339" s="25"/>
      <c r="AD339" s="25"/>
    </row>
    <row r="340" spans="1:30" x14ac:dyDescent="0.25">
      <c r="A340" s="18" t="str">
        <f t="shared" si="7"/>
        <v/>
      </c>
      <c r="B340" s="25"/>
      <c r="C340" s="25"/>
      <c r="D340" s="37"/>
      <c r="E340" s="25"/>
      <c r="F340" s="25"/>
      <c r="G340" s="38"/>
      <c r="H340" s="37"/>
      <c r="I340" s="25"/>
      <c r="J340" s="38"/>
      <c r="O340" s="37"/>
      <c r="P340" s="25"/>
      <c r="Q340" s="38"/>
      <c r="R340" s="37"/>
      <c r="S340" s="25"/>
      <c r="T340" s="25"/>
      <c r="U340" s="38"/>
      <c r="V340" s="26"/>
      <c r="W340" s="25"/>
      <c r="X340" s="25"/>
      <c r="Y340" s="25"/>
      <c r="Z340" s="25"/>
      <c r="AA340" s="25"/>
      <c r="AB340" s="25"/>
      <c r="AC340" s="25"/>
      <c r="AD340" s="25"/>
    </row>
    <row r="341" spans="1:30" x14ac:dyDescent="0.25">
      <c r="A341" s="18" t="str">
        <f t="shared" si="7"/>
        <v/>
      </c>
      <c r="B341" s="25"/>
      <c r="C341" s="25"/>
      <c r="D341" s="37"/>
      <c r="E341" s="25"/>
      <c r="F341" s="25"/>
      <c r="G341" s="38"/>
      <c r="H341" s="37"/>
      <c r="I341" s="25"/>
      <c r="J341" s="38"/>
      <c r="O341" s="37"/>
      <c r="P341" s="25"/>
      <c r="Q341" s="38"/>
      <c r="R341" s="37"/>
      <c r="S341" s="25"/>
      <c r="T341" s="25"/>
      <c r="U341" s="38"/>
      <c r="V341" s="26"/>
      <c r="W341" s="25"/>
      <c r="X341" s="25"/>
      <c r="Y341" s="25"/>
      <c r="Z341" s="25"/>
      <c r="AA341" s="25"/>
      <c r="AB341" s="25"/>
      <c r="AC341" s="25"/>
      <c r="AD341" s="25"/>
    </row>
    <row r="342" spans="1:30" x14ac:dyDescent="0.25">
      <c r="A342" s="18" t="str">
        <f t="shared" si="7"/>
        <v/>
      </c>
      <c r="B342" s="25"/>
      <c r="C342" s="25"/>
      <c r="D342" s="37"/>
      <c r="E342" s="25"/>
      <c r="F342" s="25"/>
      <c r="G342" s="38"/>
      <c r="H342" s="37"/>
      <c r="I342" s="25"/>
      <c r="J342" s="38"/>
      <c r="O342" s="37"/>
      <c r="P342" s="25"/>
      <c r="Q342" s="38"/>
      <c r="R342" s="37"/>
      <c r="S342" s="25"/>
      <c r="T342" s="25"/>
      <c r="U342" s="38"/>
      <c r="V342" s="26"/>
      <c r="W342" s="25"/>
      <c r="X342" s="25"/>
      <c r="Y342" s="25"/>
      <c r="Z342" s="25"/>
      <c r="AA342" s="25"/>
      <c r="AB342" s="25"/>
      <c r="AC342" s="25"/>
      <c r="AD342" s="25"/>
    </row>
    <row r="343" spans="1:30" x14ac:dyDescent="0.25">
      <c r="A343" s="18" t="str">
        <f t="shared" si="7"/>
        <v/>
      </c>
      <c r="B343" s="25"/>
      <c r="C343" s="25"/>
      <c r="D343" s="37"/>
      <c r="E343" s="25"/>
      <c r="F343" s="25"/>
      <c r="G343" s="38"/>
      <c r="H343" s="37"/>
      <c r="I343" s="25"/>
      <c r="J343" s="38"/>
      <c r="O343" s="37"/>
      <c r="P343" s="25"/>
      <c r="Q343" s="38"/>
      <c r="R343" s="37"/>
      <c r="S343" s="25"/>
      <c r="T343" s="25"/>
      <c r="U343" s="38"/>
      <c r="V343" s="26"/>
      <c r="W343" s="25"/>
      <c r="X343" s="25"/>
      <c r="Y343" s="25"/>
      <c r="Z343" s="25"/>
      <c r="AA343" s="25"/>
      <c r="AB343" s="25"/>
      <c r="AC343" s="25"/>
      <c r="AD343" s="25"/>
    </row>
    <row r="344" spans="1:30" x14ac:dyDescent="0.25">
      <c r="A344" s="18" t="str">
        <f t="shared" si="7"/>
        <v/>
      </c>
      <c r="B344" s="25"/>
      <c r="C344" s="25"/>
      <c r="D344" s="37"/>
      <c r="E344" s="25"/>
      <c r="F344" s="25"/>
      <c r="G344" s="38"/>
      <c r="H344" s="37"/>
      <c r="I344" s="25"/>
      <c r="J344" s="38"/>
      <c r="O344" s="37"/>
      <c r="P344" s="25"/>
      <c r="Q344" s="38"/>
      <c r="R344" s="37"/>
      <c r="S344" s="25"/>
      <c r="T344" s="25"/>
      <c r="U344" s="38"/>
      <c r="V344" s="26"/>
      <c r="W344" s="25"/>
      <c r="X344" s="25"/>
      <c r="Y344" s="25"/>
      <c r="Z344" s="25"/>
      <c r="AA344" s="25"/>
      <c r="AB344" s="25"/>
      <c r="AC344" s="25"/>
      <c r="AD344" s="25"/>
    </row>
    <row r="345" spans="1:30" x14ac:dyDescent="0.25">
      <c r="A345" s="18" t="str">
        <f t="shared" si="7"/>
        <v/>
      </c>
      <c r="B345" s="25"/>
      <c r="C345" s="25"/>
      <c r="D345" s="37"/>
      <c r="E345" s="25"/>
      <c r="F345" s="25"/>
      <c r="G345" s="38"/>
      <c r="H345" s="37"/>
      <c r="I345" s="25"/>
      <c r="J345" s="38"/>
      <c r="O345" s="37"/>
      <c r="P345" s="25"/>
      <c r="Q345" s="38"/>
      <c r="R345" s="37"/>
      <c r="S345" s="25"/>
      <c r="T345" s="25"/>
      <c r="U345" s="38"/>
      <c r="V345" s="26"/>
      <c r="W345" s="25"/>
      <c r="X345" s="25"/>
      <c r="Y345" s="25"/>
      <c r="Z345" s="25"/>
      <c r="AA345" s="25"/>
      <c r="AB345" s="25"/>
      <c r="AC345" s="25"/>
      <c r="AD345" s="25"/>
    </row>
    <row r="346" spans="1:30" x14ac:dyDescent="0.25">
      <c r="A346" s="18" t="str">
        <f t="shared" si="7"/>
        <v/>
      </c>
      <c r="B346" s="25"/>
      <c r="C346" s="25"/>
      <c r="D346" s="37"/>
      <c r="E346" s="25"/>
      <c r="F346" s="25"/>
      <c r="G346" s="38"/>
      <c r="H346" s="37"/>
      <c r="I346" s="25"/>
      <c r="J346" s="38"/>
      <c r="O346" s="37"/>
      <c r="P346" s="25"/>
      <c r="Q346" s="38"/>
      <c r="R346" s="37"/>
      <c r="S346" s="25"/>
      <c r="T346" s="25"/>
      <c r="U346" s="38"/>
      <c r="V346" s="26"/>
      <c r="W346" s="25"/>
      <c r="X346" s="25"/>
      <c r="Y346" s="25"/>
      <c r="Z346" s="25"/>
      <c r="AA346" s="25"/>
      <c r="AB346" s="25"/>
      <c r="AC346" s="25"/>
      <c r="AD346" s="25"/>
    </row>
    <row r="347" spans="1:30" x14ac:dyDescent="0.25">
      <c r="A347" s="18" t="str">
        <f t="shared" si="7"/>
        <v/>
      </c>
      <c r="B347" s="25"/>
      <c r="C347" s="25"/>
      <c r="D347" s="37"/>
      <c r="E347" s="25"/>
      <c r="F347" s="25"/>
      <c r="G347" s="38"/>
      <c r="H347" s="37"/>
      <c r="I347" s="25"/>
      <c r="J347" s="38"/>
      <c r="O347" s="37"/>
      <c r="P347" s="25"/>
      <c r="Q347" s="38"/>
      <c r="R347" s="37"/>
      <c r="S347" s="25"/>
      <c r="T347" s="25"/>
      <c r="U347" s="38"/>
      <c r="V347" s="26"/>
      <c r="W347" s="25"/>
      <c r="X347" s="25"/>
      <c r="Y347" s="25"/>
      <c r="Z347" s="25"/>
      <c r="AA347" s="25"/>
      <c r="AB347" s="25"/>
      <c r="AC347" s="25"/>
      <c r="AD347" s="25"/>
    </row>
    <row r="348" spans="1:30" x14ac:dyDescent="0.25">
      <c r="A348" s="18" t="str">
        <f t="shared" si="7"/>
        <v/>
      </c>
      <c r="B348" s="25"/>
      <c r="C348" s="25"/>
      <c r="D348" s="37"/>
      <c r="E348" s="25"/>
      <c r="F348" s="25"/>
      <c r="G348" s="38"/>
      <c r="H348" s="37"/>
      <c r="I348" s="25"/>
      <c r="J348" s="38"/>
      <c r="O348" s="37"/>
      <c r="P348" s="25"/>
      <c r="Q348" s="38"/>
      <c r="R348" s="37"/>
      <c r="S348" s="25"/>
      <c r="T348" s="25"/>
      <c r="U348" s="38"/>
      <c r="V348" s="26"/>
      <c r="W348" s="25"/>
      <c r="X348" s="25"/>
      <c r="Y348" s="25"/>
      <c r="Z348" s="25"/>
      <c r="AA348" s="25"/>
      <c r="AB348" s="25"/>
      <c r="AC348" s="25"/>
      <c r="AD348" s="25"/>
    </row>
    <row r="349" spans="1:30" x14ac:dyDescent="0.25">
      <c r="A349" s="18" t="str">
        <f t="shared" si="7"/>
        <v/>
      </c>
      <c r="B349" s="25"/>
      <c r="C349" s="25"/>
      <c r="D349" s="37"/>
      <c r="E349" s="25"/>
      <c r="F349" s="25"/>
      <c r="G349" s="38"/>
      <c r="H349" s="37"/>
      <c r="I349" s="25"/>
      <c r="J349" s="38"/>
      <c r="O349" s="37"/>
      <c r="P349" s="25"/>
      <c r="Q349" s="38"/>
      <c r="R349" s="37"/>
      <c r="S349" s="25"/>
      <c r="T349" s="25"/>
      <c r="U349" s="38"/>
      <c r="V349" s="26"/>
      <c r="W349" s="25"/>
      <c r="X349" s="25"/>
      <c r="Y349" s="25"/>
      <c r="Z349" s="25"/>
      <c r="AA349" s="25"/>
      <c r="AB349" s="25"/>
      <c r="AC349" s="25"/>
      <c r="AD349" s="25"/>
    </row>
    <row r="350" spans="1:30" x14ac:dyDescent="0.25">
      <c r="A350" s="18" t="str">
        <f t="shared" si="7"/>
        <v/>
      </c>
      <c r="B350" s="25"/>
      <c r="C350" s="25"/>
      <c r="D350" s="37"/>
      <c r="E350" s="25"/>
      <c r="F350" s="25"/>
      <c r="G350" s="38"/>
      <c r="H350" s="37"/>
      <c r="I350" s="25"/>
      <c r="J350" s="38"/>
      <c r="O350" s="37"/>
      <c r="P350" s="25"/>
      <c r="Q350" s="38"/>
      <c r="R350" s="37"/>
      <c r="S350" s="25"/>
      <c r="T350" s="25"/>
      <c r="U350" s="38"/>
      <c r="V350" s="26"/>
      <c r="W350" s="25"/>
      <c r="X350" s="25"/>
      <c r="Y350" s="25"/>
      <c r="Z350" s="25"/>
      <c r="AA350" s="25"/>
      <c r="AB350" s="25"/>
      <c r="AC350" s="25"/>
      <c r="AD350" s="25"/>
    </row>
    <row r="351" spans="1:30" x14ac:dyDescent="0.25">
      <c r="A351" s="18" t="str">
        <f t="shared" si="7"/>
        <v/>
      </c>
      <c r="B351" s="25"/>
      <c r="C351" s="25"/>
      <c r="D351" s="37"/>
      <c r="E351" s="25"/>
      <c r="F351" s="25"/>
      <c r="G351" s="38"/>
      <c r="H351" s="37"/>
      <c r="I351" s="25"/>
      <c r="J351" s="38"/>
      <c r="O351" s="37"/>
      <c r="P351" s="25"/>
      <c r="Q351" s="38"/>
      <c r="R351" s="37"/>
      <c r="S351" s="25"/>
      <c r="T351" s="25"/>
      <c r="U351" s="38"/>
      <c r="V351" s="26"/>
      <c r="W351" s="25"/>
      <c r="X351" s="25"/>
      <c r="Y351" s="25"/>
      <c r="Z351" s="25"/>
      <c r="AA351" s="25"/>
      <c r="AB351" s="25"/>
      <c r="AC351" s="25"/>
      <c r="AD351" s="25"/>
    </row>
    <row r="352" spans="1:30" x14ac:dyDescent="0.25">
      <c r="A352" s="18" t="str">
        <f t="shared" si="7"/>
        <v/>
      </c>
      <c r="B352" s="25"/>
      <c r="C352" s="25"/>
      <c r="D352" s="37"/>
      <c r="E352" s="25"/>
      <c r="F352" s="25"/>
      <c r="G352" s="38"/>
      <c r="H352" s="37"/>
      <c r="I352" s="25"/>
      <c r="J352" s="38"/>
      <c r="O352" s="37"/>
      <c r="P352" s="25"/>
      <c r="Q352" s="38"/>
      <c r="R352" s="37"/>
      <c r="S352" s="25"/>
      <c r="T352" s="25"/>
      <c r="U352" s="38"/>
      <c r="V352" s="26"/>
      <c r="W352" s="25"/>
      <c r="X352" s="25"/>
      <c r="Y352" s="25"/>
      <c r="Z352" s="25"/>
      <c r="AA352" s="25"/>
      <c r="AB352" s="25"/>
      <c r="AC352" s="25"/>
      <c r="AD352" s="25"/>
    </row>
    <row r="353" spans="1:30" x14ac:dyDescent="0.25">
      <c r="A353" s="18" t="str">
        <f t="shared" si="7"/>
        <v/>
      </c>
      <c r="B353" s="25"/>
      <c r="C353" s="25"/>
      <c r="D353" s="37"/>
      <c r="E353" s="25"/>
      <c r="F353" s="25"/>
      <c r="G353" s="38"/>
      <c r="H353" s="37"/>
      <c r="I353" s="25"/>
      <c r="J353" s="38"/>
      <c r="O353" s="37"/>
      <c r="P353" s="25"/>
      <c r="Q353" s="38"/>
      <c r="R353" s="37"/>
      <c r="S353" s="25"/>
      <c r="T353" s="25"/>
      <c r="U353" s="38"/>
      <c r="V353" s="26"/>
      <c r="W353" s="25"/>
      <c r="X353" s="25"/>
      <c r="Y353" s="25"/>
      <c r="Z353" s="25"/>
      <c r="AA353" s="25"/>
      <c r="AB353" s="25"/>
      <c r="AC353" s="25"/>
      <c r="AD353" s="25"/>
    </row>
    <row r="354" spans="1:30" x14ac:dyDescent="0.25">
      <c r="A354" s="18" t="str">
        <f t="shared" si="7"/>
        <v/>
      </c>
      <c r="B354" s="25"/>
      <c r="C354" s="25"/>
      <c r="D354" s="37"/>
      <c r="E354" s="25"/>
      <c r="F354" s="25"/>
      <c r="G354" s="38"/>
      <c r="H354" s="37"/>
      <c r="I354" s="25"/>
      <c r="J354" s="38"/>
      <c r="O354" s="37"/>
      <c r="P354" s="25"/>
      <c r="Q354" s="38"/>
      <c r="R354" s="37"/>
      <c r="S354" s="25"/>
      <c r="T354" s="25"/>
      <c r="U354" s="38"/>
      <c r="V354" s="26"/>
      <c r="W354" s="25"/>
      <c r="X354" s="25"/>
      <c r="Y354" s="25"/>
      <c r="Z354" s="25"/>
      <c r="AA354" s="25"/>
      <c r="AB354" s="25"/>
      <c r="AC354" s="25"/>
      <c r="AD354" s="25"/>
    </row>
    <row r="355" spans="1:30" x14ac:dyDescent="0.25">
      <c r="A355" s="18" t="str">
        <f t="shared" si="7"/>
        <v/>
      </c>
      <c r="B355" s="25"/>
      <c r="C355" s="25"/>
      <c r="D355" s="37"/>
      <c r="E355" s="25"/>
      <c r="F355" s="25"/>
      <c r="G355" s="38"/>
      <c r="H355" s="37"/>
      <c r="I355" s="25"/>
      <c r="J355" s="38"/>
      <c r="O355" s="37"/>
      <c r="P355" s="25"/>
      <c r="Q355" s="38"/>
      <c r="R355" s="37"/>
      <c r="S355" s="25"/>
      <c r="T355" s="25"/>
      <c r="U355" s="38"/>
      <c r="V355" s="26"/>
      <c r="W355" s="25"/>
      <c r="X355" s="25"/>
      <c r="Y355" s="25"/>
      <c r="Z355" s="25"/>
      <c r="AA355" s="25"/>
      <c r="AB355" s="25"/>
      <c r="AC355" s="25"/>
      <c r="AD355" s="25"/>
    </row>
    <row r="356" spans="1:30" x14ac:dyDescent="0.25">
      <c r="A356" s="18" t="str">
        <f t="shared" si="7"/>
        <v/>
      </c>
      <c r="B356" s="25"/>
      <c r="C356" s="25"/>
      <c r="D356" s="37"/>
      <c r="E356" s="25"/>
      <c r="F356" s="25"/>
      <c r="G356" s="38"/>
      <c r="H356" s="37"/>
      <c r="I356" s="25"/>
      <c r="J356" s="38"/>
      <c r="O356" s="37"/>
      <c r="P356" s="25"/>
      <c r="Q356" s="38"/>
      <c r="R356" s="37"/>
      <c r="S356" s="25"/>
      <c r="T356" s="25"/>
      <c r="U356" s="38"/>
      <c r="V356" s="26"/>
      <c r="W356" s="25"/>
      <c r="X356" s="25"/>
      <c r="Y356" s="25"/>
      <c r="Z356" s="25"/>
      <c r="AA356" s="25"/>
      <c r="AB356" s="25"/>
      <c r="AC356" s="25"/>
      <c r="AD356" s="25"/>
    </row>
    <row r="357" spans="1:30" x14ac:dyDescent="0.25">
      <c r="A357" s="18" t="str">
        <f t="shared" si="7"/>
        <v/>
      </c>
      <c r="B357" s="25"/>
      <c r="C357" s="25"/>
      <c r="D357" s="37"/>
      <c r="E357" s="25"/>
      <c r="F357" s="25"/>
      <c r="G357" s="38"/>
      <c r="H357" s="37"/>
      <c r="I357" s="25"/>
      <c r="J357" s="38"/>
      <c r="O357" s="37"/>
      <c r="P357" s="25"/>
      <c r="Q357" s="38"/>
      <c r="R357" s="37"/>
      <c r="S357" s="25"/>
      <c r="T357" s="25"/>
      <c r="U357" s="38"/>
      <c r="V357" s="26"/>
      <c r="W357" s="25"/>
      <c r="X357" s="25"/>
      <c r="Y357" s="25"/>
      <c r="Z357" s="25"/>
      <c r="AA357" s="25"/>
      <c r="AB357" s="25"/>
      <c r="AC357" s="25"/>
      <c r="AD357" s="25"/>
    </row>
    <row r="358" spans="1:30" x14ac:dyDescent="0.25">
      <c r="A358" s="18" t="str">
        <f t="shared" si="7"/>
        <v/>
      </c>
      <c r="B358" s="25"/>
      <c r="C358" s="25"/>
      <c r="D358" s="37"/>
      <c r="E358" s="25"/>
      <c r="F358" s="25"/>
      <c r="G358" s="38"/>
      <c r="H358" s="37"/>
      <c r="I358" s="25"/>
      <c r="J358" s="38"/>
      <c r="O358" s="37"/>
      <c r="P358" s="25"/>
      <c r="Q358" s="38"/>
      <c r="R358" s="37"/>
      <c r="S358" s="25"/>
      <c r="T358" s="25"/>
      <c r="U358" s="38"/>
      <c r="V358" s="26"/>
      <c r="W358" s="25"/>
      <c r="X358" s="25"/>
      <c r="Y358" s="25"/>
      <c r="Z358" s="25"/>
      <c r="AA358" s="25"/>
      <c r="AB358" s="25"/>
      <c r="AC358" s="25"/>
      <c r="AD358" s="25"/>
    </row>
    <row r="359" spans="1:30" x14ac:dyDescent="0.25">
      <c r="A359" s="18" t="str">
        <f t="shared" si="7"/>
        <v/>
      </c>
      <c r="B359" s="25"/>
      <c r="C359" s="25"/>
      <c r="D359" s="37"/>
      <c r="E359" s="25"/>
      <c r="F359" s="25"/>
      <c r="G359" s="38"/>
      <c r="H359" s="37"/>
      <c r="I359" s="25"/>
      <c r="J359" s="38"/>
      <c r="O359" s="37"/>
      <c r="P359" s="25"/>
      <c r="Q359" s="38"/>
      <c r="R359" s="37"/>
      <c r="S359" s="25"/>
      <c r="T359" s="25"/>
      <c r="U359" s="38"/>
      <c r="V359" s="26"/>
      <c r="W359" s="25"/>
      <c r="X359" s="25"/>
      <c r="Y359" s="25"/>
      <c r="Z359" s="25"/>
      <c r="AA359" s="25"/>
      <c r="AB359" s="25"/>
      <c r="AC359" s="25"/>
      <c r="AD359" s="25"/>
    </row>
    <row r="360" spans="1:30" x14ac:dyDescent="0.25">
      <c r="A360" s="18" t="str">
        <f t="shared" si="7"/>
        <v/>
      </c>
      <c r="B360" s="25"/>
      <c r="C360" s="25"/>
      <c r="D360" s="37"/>
      <c r="E360" s="25"/>
      <c r="F360" s="25"/>
      <c r="G360" s="38"/>
      <c r="H360" s="37"/>
      <c r="I360" s="25"/>
      <c r="J360" s="38"/>
      <c r="O360" s="37"/>
      <c r="P360" s="25"/>
      <c r="Q360" s="38"/>
      <c r="R360" s="37"/>
      <c r="S360" s="25"/>
      <c r="T360" s="25"/>
      <c r="U360" s="38"/>
      <c r="V360" s="26"/>
      <c r="W360" s="25"/>
      <c r="X360" s="25"/>
      <c r="Y360" s="25"/>
      <c r="Z360" s="25"/>
      <c r="AA360" s="25"/>
      <c r="AB360" s="25"/>
      <c r="AC360" s="25"/>
      <c r="AD360" s="25"/>
    </row>
    <row r="361" spans="1:30" x14ac:dyDescent="0.25">
      <c r="A361" s="18" t="str">
        <f t="shared" si="7"/>
        <v/>
      </c>
      <c r="B361" s="25"/>
      <c r="C361" s="25"/>
      <c r="D361" s="37"/>
      <c r="E361" s="25"/>
      <c r="F361" s="25"/>
      <c r="G361" s="38"/>
      <c r="H361" s="37"/>
      <c r="I361" s="25"/>
      <c r="J361" s="38"/>
      <c r="O361" s="37"/>
      <c r="P361" s="25"/>
      <c r="Q361" s="38"/>
      <c r="R361" s="37"/>
      <c r="S361" s="25"/>
      <c r="T361" s="25"/>
      <c r="U361" s="38"/>
      <c r="V361" s="26"/>
      <c r="W361" s="25"/>
      <c r="X361" s="25"/>
      <c r="Y361" s="25"/>
      <c r="Z361" s="25"/>
      <c r="AA361" s="25"/>
      <c r="AB361" s="25"/>
      <c r="AC361" s="25"/>
      <c r="AD361" s="25"/>
    </row>
    <row r="362" spans="1:30" x14ac:dyDescent="0.25">
      <c r="A362" s="18" t="str">
        <f t="shared" si="7"/>
        <v/>
      </c>
      <c r="B362" s="25"/>
      <c r="C362" s="25"/>
      <c r="D362" s="37"/>
      <c r="E362" s="25"/>
      <c r="F362" s="25"/>
      <c r="G362" s="38"/>
      <c r="H362" s="37"/>
      <c r="I362" s="25"/>
      <c r="J362" s="38"/>
      <c r="O362" s="37"/>
      <c r="P362" s="25"/>
      <c r="Q362" s="38"/>
      <c r="R362" s="37"/>
      <c r="S362" s="25"/>
      <c r="T362" s="25"/>
      <c r="U362" s="38"/>
      <c r="V362" s="26"/>
      <c r="W362" s="25"/>
      <c r="X362" s="25"/>
      <c r="Y362" s="25"/>
      <c r="Z362" s="25"/>
      <c r="AA362" s="25"/>
      <c r="AB362" s="25"/>
      <c r="AC362" s="25"/>
      <c r="AD362" s="25"/>
    </row>
    <row r="363" spans="1:30" x14ac:dyDescent="0.25">
      <c r="A363" s="18" t="str">
        <f t="shared" si="7"/>
        <v/>
      </c>
      <c r="B363" s="25"/>
      <c r="C363" s="25"/>
      <c r="D363" s="37"/>
      <c r="E363" s="25"/>
      <c r="F363" s="25"/>
      <c r="G363" s="38"/>
      <c r="H363" s="37"/>
      <c r="I363" s="25"/>
      <c r="J363" s="38"/>
      <c r="O363" s="37"/>
      <c r="P363" s="25"/>
      <c r="Q363" s="38"/>
      <c r="R363" s="37"/>
      <c r="S363" s="25"/>
      <c r="T363" s="25"/>
      <c r="U363" s="38"/>
      <c r="V363" s="26"/>
      <c r="W363" s="25"/>
      <c r="X363" s="25"/>
      <c r="Y363" s="25"/>
      <c r="Z363" s="25"/>
      <c r="AA363" s="25"/>
      <c r="AB363" s="25"/>
      <c r="AC363" s="25"/>
      <c r="AD363" s="25"/>
    </row>
    <row r="364" spans="1:30" x14ac:dyDescent="0.25">
      <c r="A364" s="18" t="str">
        <f t="shared" si="7"/>
        <v/>
      </c>
      <c r="B364" s="25"/>
      <c r="C364" s="25"/>
      <c r="D364" s="37"/>
      <c r="E364" s="25"/>
      <c r="F364" s="25"/>
      <c r="G364" s="38"/>
      <c r="H364" s="37"/>
      <c r="I364" s="25"/>
      <c r="J364" s="38"/>
      <c r="O364" s="37"/>
      <c r="P364" s="25"/>
      <c r="Q364" s="38"/>
      <c r="R364" s="37"/>
      <c r="S364" s="25"/>
      <c r="T364" s="25"/>
      <c r="U364" s="38"/>
      <c r="V364" s="26"/>
      <c r="W364" s="25"/>
      <c r="X364" s="25"/>
      <c r="Y364" s="25"/>
      <c r="Z364" s="25"/>
      <c r="AA364" s="25"/>
      <c r="AB364" s="25"/>
      <c r="AC364" s="25"/>
      <c r="AD364" s="25"/>
    </row>
    <row r="365" spans="1:30" x14ac:dyDescent="0.25">
      <c r="A365" s="18" t="str">
        <f t="shared" si="7"/>
        <v/>
      </c>
      <c r="B365" s="25"/>
      <c r="C365" s="25"/>
      <c r="D365" s="37"/>
      <c r="E365" s="25"/>
      <c r="F365" s="25"/>
      <c r="G365" s="38"/>
      <c r="H365" s="37"/>
      <c r="I365" s="25"/>
      <c r="J365" s="38"/>
      <c r="O365" s="37"/>
      <c r="P365" s="25"/>
      <c r="Q365" s="38"/>
      <c r="R365" s="37"/>
      <c r="S365" s="25"/>
      <c r="T365" s="25"/>
      <c r="U365" s="38"/>
      <c r="V365" s="26"/>
      <c r="W365" s="25"/>
      <c r="X365" s="25"/>
      <c r="Y365" s="25"/>
      <c r="Z365" s="25"/>
      <c r="AA365" s="25"/>
      <c r="AB365" s="25"/>
      <c r="AC365" s="25"/>
      <c r="AD365" s="25"/>
    </row>
    <row r="366" spans="1:30" x14ac:dyDescent="0.25">
      <c r="A366" s="18" t="str">
        <f t="shared" si="7"/>
        <v/>
      </c>
      <c r="B366" s="25"/>
      <c r="C366" s="25"/>
      <c r="D366" s="37"/>
      <c r="E366" s="25"/>
      <c r="F366" s="25"/>
      <c r="G366" s="38"/>
      <c r="H366" s="37"/>
      <c r="I366" s="25"/>
      <c r="J366" s="38"/>
      <c r="O366" s="37"/>
      <c r="P366" s="25"/>
      <c r="Q366" s="38"/>
      <c r="R366" s="37"/>
      <c r="S366" s="25"/>
      <c r="T366" s="25"/>
      <c r="U366" s="38"/>
      <c r="V366" s="26"/>
      <c r="W366" s="25"/>
      <c r="X366" s="25"/>
      <c r="Y366" s="25"/>
      <c r="Z366" s="25"/>
      <c r="AA366" s="25"/>
      <c r="AB366" s="25"/>
      <c r="AC366" s="25"/>
      <c r="AD366" s="25"/>
    </row>
    <row r="367" spans="1:30" x14ac:dyDescent="0.25">
      <c r="A367" s="18" t="str">
        <f t="shared" si="7"/>
        <v/>
      </c>
      <c r="B367" s="25"/>
      <c r="C367" s="25"/>
      <c r="D367" s="37"/>
      <c r="E367" s="25"/>
      <c r="F367" s="25"/>
      <c r="G367" s="38"/>
      <c r="H367" s="37"/>
      <c r="I367" s="25"/>
      <c r="J367" s="38"/>
      <c r="O367" s="37"/>
      <c r="P367" s="25"/>
      <c r="Q367" s="38"/>
      <c r="R367" s="37"/>
      <c r="S367" s="25"/>
      <c r="T367" s="25"/>
      <c r="U367" s="38"/>
      <c r="V367" s="26"/>
      <c r="W367" s="25"/>
      <c r="X367" s="25"/>
      <c r="Y367" s="25"/>
      <c r="Z367" s="25"/>
      <c r="AA367" s="25"/>
      <c r="AB367" s="25"/>
      <c r="AC367" s="25"/>
      <c r="AD367" s="25"/>
    </row>
    <row r="368" spans="1:30" x14ac:dyDescent="0.25">
      <c r="A368" s="18" t="str">
        <f t="shared" si="7"/>
        <v/>
      </c>
      <c r="B368" s="25"/>
      <c r="C368" s="25"/>
      <c r="D368" s="37"/>
      <c r="E368" s="25"/>
      <c r="F368" s="25"/>
      <c r="G368" s="38"/>
      <c r="H368" s="37"/>
      <c r="I368" s="25"/>
      <c r="J368" s="38"/>
      <c r="O368" s="37"/>
      <c r="P368" s="25"/>
      <c r="Q368" s="38"/>
      <c r="R368" s="37"/>
      <c r="S368" s="25"/>
      <c r="T368" s="25"/>
      <c r="U368" s="38"/>
      <c r="V368" s="26"/>
      <c r="W368" s="25"/>
      <c r="X368" s="25"/>
      <c r="Y368" s="25"/>
      <c r="Z368" s="25"/>
      <c r="AA368" s="25"/>
      <c r="AB368" s="25"/>
      <c r="AC368" s="25"/>
      <c r="AD368" s="25"/>
    </row>
    <row r="369" spans="1:30" x14ac:dyDescent="0.25">
      <c r="A369" s="18" t="str">
        <f t="shared" si="7"/>
        <v/>
      </c>
      <c r="B369" s="25"/>
      <c r="C369" s="25"/>
      <c r="D369" s="37"/>
      <c r="E369" s="25"/>
      <c r="F369" s="25"/>
      <c r="G369" s="38"/>
      <c r="H369" s="37"/>
      <c r="I369" s="25"/>
      <c r="J369" s="38"/>
      <c r="O369" s="37"/>
      <c r="P369" s="25"/>
      <c r="Q369" s="38"/>
      <c r="R369" s="37"/>
      <c r="S369" s="25"/>
      <c r="T369" s="25"/>
      <c r="U369" s="38"/>
      <c r="V369" s="26"/>
      <c r="W369" s="25"/>
      <c r="X369" s="25"/>
      <c r="Y369" s="25"/>
      <c r="Z369" s="25"/>
      <c r="AA369" s="25"/>
      <c r="AB369" s="25"/>
      <c r="AC369" s="25"/>
      <c r="AD369" s="25"/>
    </row>
    <row r="370" spans="1:30" x14ac:dyDescent="0.25">
      <c r="A370" s="18" t="str">
        <f t="shared" si="7"/>
        <v/>
      </c>
      <c r="B370" s="25"/>
      <c r="C370" s="25"/>
      <c r="D370" s="37"/>
      <c r="E370" s="25"/>
      <c r="F370" s="25"/>
      <c r="G370" s="38"/>
      <c r="H370" s="37"/>
      <c r="I370" s="25"/>
      <c r="J370" s="38"/>
      <c r="O370" s="37"/>
      <c r="P370" s="25"/>
      <c r="Q370" s="38"/>
      <c r="R370" s="37"/>
      <c r="S370" s="25"/>
      <c r="T370" s="25"/>
      <c r="U370" s="38"/>
      <c r="V370" s="26"/>
      <c r="W370" s="25"/>
      <c r="X370" s="25"/>
      <c r="Y370" s="25"/>
      <c r="Z370" s="25"/>
      <c r="AA370" s="25"/>
      <c r="AB370" s="25"/>
      <c r="AC370" s="25"/>
      <c r="AD370" s="25"/>
    </row>
    <row r="371" spans="1:30" x14ac:dyDescent="0.25">
      <c r="A371" s="18" t="str">
        <f t="shared" si="7"/>
        <v/>
      </c>
      <c r="B371" s="25"/>
      <c r="C371" s="25"/>
      <c r="D371" s="37"/>
      <c r="E371" s="25"/>
      <c r="F371" s="25"/>
      <c r="G371" s="38"/>
      <c r="H371" s="37"/>
      <c r="I371" s="25"/>
      <c r="J371" s="38"/>
      <c r="O371" s="37"/>
      <c r="P371" s="25"/>
      <c r="Q371" s="38"/>
      <c r="R371" s="37"/>
      <c r="S371" s="25"/>
      <c r="T371" s="25"/>
      <c r="U371" s="38"/>
      <c r="V371" s="26"/>
      <c r="W371" s="25"/>
      <c r="X371" s="25"/>
      <c r="Y371" s="25"/>
      <c r="Z371" s="25"/>
      <c r="AA371" s="25"/>
      <c r="AB371" s="25"/>
      <c r="AC371" s="25"/>
      <c r="AD371" s="25"/>
    </row>
    <row r="372" spans="1:30" x14ac:dyDescent="0.25">
      <c r="A372" s="18" t="str">
        <f t="shared" si="7"/>
        <v/>
      </c>
      <c r="B372" s="25"/>
      <c r="C372" s="25"/>
      <c r="D372" s="37"/>
      <c r="E372" s="25"/>
      <c r="F372" s="25"/>
      <c r="G372" s="38"/>
      <c r="H372" s="37"/>
      <c r="I372" s="25"/>
      <c r="J372" s="38"/>
      <c r="O372" s="37"/>
      <c r="P372" s="25"/>
      <c r="Q372" s="38"/>
      <c r="R372" s="37"/>
      <c r="S372" s="25"/>
      <c r="T372" s="25"/>
      <c r="U372" s="38"/>
      <c r="V372" s="26"/>
      <c r="W372" s="25"/>
      <c r="X372" s="25"/>
      <c r="Y372" s="25"/>
      <c r="Z372" s="25"/>
      <c r="AA372" s="25"/>
      <c r="AB372" s="25"/>
      <c r="AC372" s="25"/>
      <c r="AD372" s="25"/>
    </row>
    <row r="373" spans="1:30" x14ac:dyDescent="0.25">
      <c r="A373" s="18" t="str">
        <f t="shared" si="7"/>
        <v/>
      </c>
      <c r="B373" s="25"/>
      <c r="C373" s="25"/>
      <c r="D373" s="37"/>
      <c r="E373" s="25"/>
      <c r="F373" s="25"/>
      <c r="G373" s="38"/>
      <c r="H373" s="37"/>
      <c r="I373" s="25"/>
      <c r="J373" s="38"/>
      <c r="O373" s="37"/>
      <c r="P373" s="25"/>
      <c r="Q373" s="38"/>
      <c r="R373" s="37"/>
      <c r="S373" s="25"/>
      <c r="T373" s="25"/>
      <c r="U373" s="38"/>
      <c r="V373" s="26"/>
      <c r="W373" s="25"/>
      <c r="X373" s="25"/>
      <c r="Y373" s="25"/>
      <c r="Z373" s="25"/>
      <c r="AA373" s="25"/>
      <c r="AB373" s="25"/>
      <c r="AC373" s="25"/>
      <c r="AD373" s="25"/>
    </row>
    <row r="374" spans="1:30" x14ac:dyDescent="0.25">
      <c r="A374" s="18" t="str">
        <f t="shared" si="7"/>
        <v/>
      </c>
      <c r="B374" s="25"/>
      <c r="C374" s="25"/>
      <c r="D374" s="37"/>
      <c r="E374" s="25"/>
      <c r="F374" s="25"/>
      <c r="G374" s="38"/>
      <c r="H374" s="37"/>
      <c r="I374" s="25"/>
      <c r="J374" s="38"/>
      <c r="O374" s="37"/>
      <c r="P374" s="25"/>
      <c r="Q374" s="38"/>
      <c r="R374" s="37"/>
      <c r="S374" s="25"/>
      <c r="T374" s="25"/>
      <c r="U374" s="38"/>
      <c r="V374" s="26"/>
      <c r="W374" s="25"/>
      <c r="X374" s="25"/>
      <c r="Y374" s="25"/>
      <c r="Z374" s="25"/>
      <c r="AA374" s="25"/>
      <c r="AB374" s="25"/>
      <c r="AC374" s="25"/>
      <c r="AD374" s="25"/>
    </row>
    <row r="375" spans="1:30" x14ac:dyDescent="0.25">
      <c r="A375" s="18" t="str">
        <f t="shared" si="7"/>
        <v/>
      </c>
      <c r="B375" s="25"/>
      <c r="C375" s="25"/>
      <c r="D375" s="37"/>
      <c r="E375" s="25"/>
      <c r="F375" s="25"/>
      <c r="G375" s="38"/>
      <c r="H375" s="37"/>
      <c r="I375" s="25"/>
      <c r="J375" s="38"/>
      <c r="O375" s="37"/>
      <c r="P375" s="25"/>
      <c r="Q375" s="38"/>
      <c r="R375" s="37"/>
      <c r="S375" s="25"/>
      <c r="T375" s="25"/>
      <c r="U375" s="38"/>
      <c r="V375" s="26"/>
      <c r="W375" s="25"/>
      <c r="X375" s="25"/>
      <c r="Y375" s="25"/>
      <c r="Z375" s="25"/>
      <c r="AA375" s="25"/>
      <c r="AB375" s="25"/>
      <c r="AC375" s="25"/>
      <c r="AD375" s="25"/>
    </row>
    <row r="376" spans="1:30" x14ac:dyDescent="0.25">
      <c r="A376" s="18" t="str">
        <f t="shared" si="7"/>
        <v/>
      </c>
      <c r="B376" s="25"/>
      <c r="C376" s="25"/>
      <c r="D376" s="37"/>
      <c r="E376" s="25"/>
      <c r="F376" s="25"/>
      <c r="G376" s="38"/>
      <c r="H376" s="37"/>
      <c r="I376" s="25"/>
      <c r="J376" s="38"/>
      <c r="O376" s="37"/>
      <c r="P376" s="25"/>
      <c r="Q376" s="38"/>
      <c r="R376" s="37"/>
      <c r="S376" s="25"/>
      <c r="T376" s="25"/>
      <c r="U376" s="38"/>
      <c r="V376" s="26"/>
      <c r="W376" s="25"/>
      <c r="X376" s="25"/>
      <c r="Y376" s="25"/>
      <c r="Z376" s="25"/>
      <c r="AA376" s="25"/>
      <c r="AB376" s="25"/>
      <c r="AC376" s="25"/>
      <c r="AD376" s="25"/>
    </row>
    <row r="377" spans="1:30" x14ac:dyDescent="0.25">
      <c r="A377" s="18" t="str">
        <f t="shared" si="7"/>
        <v/>
      </c>
      <c r="B377" s="25"/>
      <c r="C377" s="25"/>
      <c r="D377" s="37"/>
      <c r="E377" s="25"/>
      <c r="F377" s="25"/>
      <c r="G377" s="38"/>
      <c r="H377" s="37"/>
      <c r="I377" s="25"/>
      <c r="J377" s="38"/>
      <c r="O377" s="37"/>
      <c r="P377" s="25"/>
      <c r="Q377" s="38"/>
      <c r="R377" s="37"/>
      <c r="S377" s="25"/>
      <c r="T377" s="25"/>
      <c r="U377" s="38"/>
      <c r="V377" s="26"/>
      <c r="W377" s="25"/>
      <c r="X377" s="25"/>
      <c r="Y377" s="25"/>
      <c r="Z377" s="25"/>
      <c r="AA377" s="25"/>
      <c r="AB377" s="25"/>
      <c r="AC377" s="25"/>
      <c r="AD377" s="25"/>
    </row>
    <row r="378" spans="1:30" x14ac:dyDescent="0.25">
      <c r="A378" s="18" t="str">
        <f t="shared" si="7"/>
        <v/>
      </c>
      <c r="B378" s="25"/>
      <c r="C378" s="25"/>
      <c r="D378" s="37"/>
      <c r="E378" s="25"/>
      <c r="F378" s="25"/>
      <c r="G378" s="38"/>
      <c r="H378" s="37"/>
      <c r="I378" s="25"/>
      <c r="J378" s="38"/>
      <c r="O378" s="37"/>
      <c r="P378" s="25"/>
      <c r="Q378" s="38"/>
      <c r="R378" s="37"/>
      <c r="S378" s="25"/>
      <c r="T378" s="25"/>
      <c r="U378" s="38"/>
      <c r="V378" s="26"/>
      <c r="W378" s="25"/>
      <c r="X378" s="25"/>
      <c r="Y378" s="25"/>
      <c r="Z378" s="25"/>
      <c r="AA378" s="25"/>
      <c r="AB378" s="25"/>
      <c r="AC378" s="25"/>
      <c r="AD378" s="25"/>
    </row>
    <row r="379" spans="1:30" x14ac:dyDescent="0.25">
      <c r="A379" s="18" t="str">
        <f t="shared" si="7"/>
        <v/>
      </c>
      <c r="B379" s="25"/>
      <c r="C379" s="25"/>
      <c r="D379" s="37"/>
      <c r="E379" s="25"/>
      <c r="F379" s="25"/>
      <c r="G379" s="38"/>
      <c r="H379" s="37"/>
      <c r="I379" s="25"/>
      <c r="J379" s="38"/>
      <c r="O379" s="37"/>
      <c r="P379" s="25"/>
      <c r="Q379" s="38"/>
      <c r="R379" s="37"/>
      <c r="S379" s="25"/>
      <c r="T379" s="25"/>
      <c r="U379" s="38"/>
      <c r="V379" s="26"/>
      <c r="W379" s="25"/>
      <c r="X379" s="25"/>
      <c r="Y379" s="25"/>
      <c r="Z379" s="25"/>
      <c r="AA379" s="25"/>
      <c r="AB379" s="25"/>
      <c r="AC379" s="25"/>
      <c r="AD379" s="25"/>
    </row>
    <row r="380" spans="1:30" x14ac:dyDescent="0.25">
      <c r="A380" s="18" t="str">
        <f t="shared" si="7"/>
        <v/>
      </c>
      <c r="B380" s="25"/>
      <c r="C380" s="25"/>
      <c r="D380" s="37"/>
      <c r="E380" s="25"/>
      <c r="F380" s="25"/>
      <c r="G380" s="38"/>
      <c r="H380" s="37"/>
      <c r="I380" s="25"/>
      <c r="J380" s="38"/>
      <c r="O380" s="37"/>
      <c r="P380" s="25"/>
      <c r="Q380" s="38"/>
      <c r="R380" s="37"/>
      <c r="S380" s="25"/>
      <c r="T380" s="25"/>
      <c r="U380" s="38"/>
      <c r="V380" s="26"/>
      <c r="W380" s="25"/>
      <c r="X380" s="25"/>
      <c r="Y380" s="25"/>
      <c r="Z380" s="25"/>
      <c r="AA380" s="25"/>
      <c r="AB380" s="25"/>
      <c r="AC380" s="25"/>
      <c r="AD380" s="25"/>
    </row>
    <row r="381" spans="1:30" x14ac:dyDescent="0.25">
      <c r="A381" s="18" t="str">
        <f t="shared" si="7"/>
        <v/>
      </c>
      <c r="B381" s="25"/>
      <c r="C381" s="25"/>
      <c r="D381" s="37"/>
      <c r="E381" s="25"/>
      <c r="F381" s="25"/>
      <c r="G381" s="38"/>
      <c r="H381" s="37"/>
      <c r="I381" s="25"/>
      <c r="J381" s="38"/>
      <c r="O381" s="37"/>
      <c r="P381" s="25"/>
      <c r="Q381" s="38"/>
      <c r="R381" s="37"/>
      <c r="S381" s="25"/>
      <c r="T381" s="25"/>
      <c r="U381" s="38"/>
      <c r="V381" s="26"/>
      <c r="W381" s="25"/>
      <c r="X381" s="25"/>
      <c r="Y381" s="25"/>
      <c r="Z381" s="25"/>
      <c r="AA381" s="25"/>
      <c r="AB381" s="25"/>
      <c r="AC381" s="25"/>
      <c r="AD381" s="25"/>
    </row>
    <row r="382" spans="1:30" x14ac:dyDescent="0.25">
      <c r="A382" s="18" t="str">
        <f t="shared" ref="A382:A445" si="8">IF(ISBLANK($B382)=FALSE,IF(AND($H382&gt;0,$I382&lt;=0,$J382&lt;=0),_xlfn.CONCAT("ofw_",$B382),IF(AND($H382&lt;=0,$I382&gt;0,$J382&lt;=0),_xlfn.CONCAT("owc_",$B382),IF(AND($H382&lt;=0,$I382&lt;=0,$J382&gt;0),_xlfn.CONCAT("opv_",$B382),_xlfn.CONCAT("oce_",$B382)))),"")</f>
        <v/>
      </c>
      <c r="B382" s="25"/>
      <c r="C382" s="25"/>
      <c r="D382" s="37"/>
      <c r="E382" s="25"/>
      <c r="F382" s="25"/>
      <c r="G382" s="38"/>
      <c r="H382" s="37"/>
      <c r="I382" s="25"/>
      <c r="J382" s="38"/>
      <c r="O382" s="37"/>
      <c r="P382" s="25"/>
      <c r="Q382" s="38"/>
      <c r="R382" s="37"/>
      <c r="S382" s="25"/>
      <c r="T382" s="25"/>
      <c r="U382" s="38"/>
      <c r="V382" s="26"/>
      <c r="W382" s="25"/>
      <c r="X382" s="25"/>
      <c r="Y382" s="25"/>
      <c r="Z382" s="25"/>
      <c r="AA382" s="25"/>
      <c r="AB382" s="25"/>
      <c r="AC382" s="25"/>
      <c r="AD382" s="25"/>
    </row>
    <row r="383" spans="1:30" x14ac:dyDescent="0.25">
      <c r="A383" s="18" t="str">
        <f t="shared" si="8"/>
        <v/>
      </c>
      <c r="B383" s="25"/>
      <c r="C383" s="25"/>
      <c r="D383" s="37"/>
      <c r="E383" s="25"/>
      <c r="F383" s="25"/>
      <c r="G383" s="38"/>
      <c r="H383" s="37"/>
      <c r="I383" s="25"/>
      <c r="J383" s="38"/>
      <c r="O383" s="37"/>
      <c r="P383" s="25"/>
      <c r="Q383" s="38"/>
      <c r="R383" s="37"/>
      <c r="S383" s="25"/>
      <c r="T383" s="25"/>
      <c r="U383" s="38"/>
      <c r="V383" s="26"/>
      <c r="W383" s="25"/>
      <c r="X383" s="25"/>
      <c r="Y383" s="25"/>
      <c r="Z383" s="25"/>
      <c r="AA383" s="25"/>
      <c r="AB383" s="25"/>
      <c r="AC383" s="25"/>
      <c r="AD383" s="25"/>
    </row>
    <row r="384" spans="1:30" x14ac:dyDescent="0.25">
      <c r="A384" s="18" t="str">
        <f t="shared" si="8"/>
        <v/>
      </c>
      <c r="B384" s="25"/>
      <c r="C384" s="25"/>
      <c r="D384" s="37"/>
      <c r="E384" s="25"/>
      <c r="F384" s="25"/>
      <c r="G384" s="38"/>
      <c r="H384" s="37"/>
      <c r="I384" s="25"/>
      <c r="J384" s="38"/>
      <c r="O384" s="37"/>
      <c r="P384" s="25"/>
      <c r="Q384" s="38"/>
      <c r="R384" s="37"/>
      <c r="S384" s="25"/>
      <c r="T384" s="25"/>
      <c r="U384" s="38"/>
      <c r="V384" s="26"/>
      <c r="W384" s="25"/>
      <c r="X384" s="25"/>
      <c r="Y384" s="25"/>
      <c r="Z384" s="25"/>
      <c r="AA384" s="25"/>
      <c r="AB384" s="25"/>
      <c r="AC384" s="25"/>
      <c r="AD384" s="25"/>
    </row>
    <row r="385" spans="1:30" x14ac:dyDescent="0.25">
      <c r="A385" s="18" t="str">
        <f t="shared" si="8"/>
        <v/>
      </c>
      <c r="B385" s="25"/>
      <c r="C385" s="25"/>
      <c r="D385" s="37"/>
      <c r="E385" s="25"/>
      <c r="F385" s="25"/>
      <c r="G385" s="38"/>
      <c r="H385" s="37"/>
      <c r="I385" s="25"/>
      <c r="J385" s="38"/>
      <c r="O385" s="37"/>
      <c r="P385" s="25"/>
      <c r="Q385" s="38"/>
      <c r="R385" s="37"/>
      <c r="S385" s="25"/>
      <c r="T385" s="25"/>
      <c r="U385" s="38"/>
      <c r="V385" s="26"/>
      <c r="W385" s="25"/>
      <c r="X385" s="25"/>
      <c r="Y385" s="25"/>
      <c r="Z385" s="25"/>
      <c r="AA385" s="25"/>
      <c r="AB385" s="25"/>
      <c r="AC385" s="25"/>
      <c r="AD385" s="25"/>
    </row>
    <row r="386" spans="1:30" x14ac:dyDescent="0.25">
      <c r="A386" s="18" t="str">
        <f t="shared" si="8"/>
        <v/>
      </c>
      <c r="B386" s="25"/>
      <c r="C386" s="25"/>
      <c r="D386" s="37"/>
      <c r="E386" s="25"/>
      <c r="F386" s="25"/>
      <c r="G386" s="38"/>
      <c r="H386" s="37"/>
      <c r="I386" s="25"/>
      <c r="J386" s="38"/>
      <c r="O386" s="37"/>
      <c r="P386" s="25"/>
      <c r="Q386" s="38"/>
      <c r="R386" s="37"/>
      <c r="S386" s="25"/>
      <c r="T386" s="25"/>
      <c r="U386" s="38"/>
      <c r="V386" s="26"/>
      <c r="W386" s="25"/>
      <c r="X386" s="25"/>
      <c r="Y386" s="25"/>
      <c r="Z386" s="25"/>
      <c r="AA386" s="25"/>
      <c r="AB386" s="25"/>
      <c r="AC386" s="25"/>
      <c r="AD386" s="25"/>
    </row>
    <row r="387" spans="1:30" x14ac:dyDescent="0.25">
      <c r="A387" s="18" t="str">
        <f t="shared" si="8"/>
        <v/>
      </c>
      <c r="B387" s="25"/>
      <c r="C387" s="25"/>
      <c r="D387" s="37"/>
      <c r="E387" s="25"/>
      <c r="F387" s="25"/>
      <c r="G387" s="38"/>
      <c r="H387" s="37"/>
      <c r="I387" s="25"/>
      <c r="J387" s="38"/>
      <c r="O387" s="37"/>
      <c r="P387" s="25"/>
      <c r="Q387" s="38"/>
      <c r="R387" s="37"/>
      <c r="S387" s="25"/>
      <c r="T387" s="25"/>
      <c r="U387" s="38"/>
      <c r="V387" s="26"/>
      <c r="W387" s="25"/>
      <c r="X387" s="25"/>
      <c r="Y387" s="25"/>
      <c r="Z387" s="25"/>
      <c r="AA387" s="25"/>
      <c r="AB387" s="25"/>
      <c r="AC387" s="25"/>
      <c r="AD387" s="25"/>
    </row>
    <row r="388" spans="1:30" x14ac:dyDescent="0.25">
      <c r="A388" s="18" t="str">
        <f t="shared" si="8"/>
        <v/>
      </c>
      <c r="B388" s="25"/>
      <c r="C388" s="25"/>
      <c r="D388" s="37"/>
      <c r="E388" s="25"/>
      <c r="F388" s="25"/>
      <c r="G388" s="38"/>
      <c r="H388" s="37"/>
      <c r="I388" s="25"/>
      <c r="J388" s="38"/>
      <c r="O388" s="37"/>
      <c r="P388" s="25"/>
      <c r="Q388" s="38"/>
      <c r="R388" s="37"/>
      <c r="S388" s="25"/>
      <c r="T388" s="25"/>
      <c r="U388" s="38"/>
      <c r="V388" s="26"/>
      <c r="W388" s="25"/>
      <c r="X388" s="25"/>
      <c r="Y388" s="25"/>
      <c r="Z388" s="25"/>
      <c r="AA388" s="25"/>
      <c r="AB388" s="25"/>
      <c r="AC388" s="25"/>
      <c r="AD388" s="25"/>
    </row>
    <row r="389" spans="1:30" x14ac:dyDescent="0.25">
      <c r="A389" s="18" t="str">
        <f t="shared" si="8"/>
        <v/>
      </c>
      <c r="B389" s="25"/>
      <c r="C389" s="25"/>
      <c r="D389" s="37"/>
      <c r="E389" s="25"/>
      <c r="F389" s="25"/>
      <c r="G389" s="38"/>
      <c r="H389" s="37"/>
      <c r="I389" s="25"/>
      <c r="J389" s="38"/>
      <c r="O389" s="37"/>
      <c r="P389" s="25"/>
      <c r="Q389" s="38"/>
      <c r="R389" s="37"/>
      <c r="S389" s="25"/>
      <c r="T389" s="25"/>
      <c r="U389" s="38"/>
      <c r="V389" s="26"/>
      <c r="W389" s="25"/>
      <c r="X389" s="25"/>
      <c r="Y389" s="25"/>
      <c r="Z389" s="25"/>
      <c r="AA389" s="25"/>
      <c r="AB389" s="25"/>
      <c r="AC389" s="25"/>
      <c r="AD389" s="25"/>
    </row>
    <row r="390" spans="1:30" x14ac:dyDescent="0.25">
      <c r="A390" s="18" t="str">
        <f t="shared" si="8"/>
        <v/>
      </c>
      <c r="B390" s="25"/>
      <c r="C390" s="25"/>
      <c r="D390" s="37"/>
      <c r="E390" s="25"/>
      <c r="F390" s="25"/>
      <c r="G390" s="38"/>
      <c r="H390" s="37"/>
      <c r="I390" s="25"/>
      <c r="J390" s="38"/>
      <c r="O390" s="37"/>
      <c r="P390" s="25"/>
      <c r="Q390" s="38"/>
      <c r="R390" s="37"/>
      <c r="S390" s="25"/>
      <c r="T390" s="25"/>
      <c r="U390" s="38"/>
      <c r="V390" s="26"/>
      <c r="W390" s="25"/>
      <c r="X390" s="25"/>
      <c r="Y390" s="25"/>
      <c r="Z390" s="25"/>
      <c r="AA390" s="25"/>
      <c r="AB390" s="25"/>
      <c r="AC390" s="25"/>
      <c r="AD390" s="25"/>
    </row>
    <row r="391" spans="1:30" x14ac:dyDescent="0.25">
      <c r="A391" s="18" t="str">
        <f t="shared" si="8"/>
        <v/>
      </c>
      <c r="B391" s="25"/>
      <c r="C391" s="25"/>
      <c r="D391" s="37"/>
      <c r="E391" s="25"/>
      <c r="F391" s="25"/>
      <c r="G391" s="38"/>
      <c r="H391" s="37"/>
      <c r="I391" s="25"/>
      <c r="J391" s="38"/>
      <c r="O391" s="37"/>
      <c r="P391" s="25"/>
      <c r="Q391" s="38"/>
      <c r="R391" s="37"/>
      <c r="S391" s="25"/>
      <c r="T391" s="25"/>
      <c r="U391" s="38"/>
      <c r="V391" s="26"/>
      <c r="W391" s="25"/>
      <c r="X391" s="25"/>
      <c r="Y391" s="25"/>
      <c r="Z391" s="25"/>
      <c r="AA391" s="25"/>
      <c r="AB391" s="25"/>
      <c r="AC391" s="25"/>
      <c r="AD391" s="25"/>
    </row>
    <row r="392" spans="1:30" x14ac:dyDescent="0.25">
      <c r="A392" s="18" t="str">
        <f t="shared" si="8"/>
        <v/>
      </c>
      <c r="B392" s="25"/>
      <c r="C392" s="25"/>
      <c r="D392" s="37"/>
      <c r="E392" s="25"/>
      <c r="F392" s="25"/>
      <c r="G392" s="38"/>
      <c r="H392" s="37"/>
      <c r="I392" s="25"/>
      <c r="J392" s="38"/>
      <c r="O392" s="37"/>
      <c r="P392" s="25"/>
      <c r="Q392" s="38"/>
      <c r="R392" s="37"/>
      <c r="S392" s="25"/>
      <c r="T392" s="25"/>
      <c r="U392" s="38"/>
      <c r="V392" s="26"/>
      <c r="W392" s="25"/>
      <c r="X392" s="25"/>
      <c r="Y392" s="25"/>
      <c r="Z392" s="25"/>
      <c r="AA392" s="25"/>
      <c r="AB392" s="25"/>
      <c r="AC392" s="25"/>
      <c r="AD392" s="25"/>
    </row>
    <row r="393" spans="1:30" x14ac:dyDescent="0.25">
      <c r="A393" s="18" t="str">
        <f t="shared" si="8"/>
        <v/>
      </c>
      <c r="B393" s="25"/>
      <c r="C393" s="25"/>
      <c r="D393" s="37"/>
      <c r="E393" s="25"/>
      <c r="F393" s="25"/>
      <c r="G393" s="38"/>
      <c r="H393" s="37"/>
      <c r="I393" s="25"/>
      <c r="J393" s="38"/>
      <c r="O393" s="37"/>
      <c r="P393" s="25"/>
      <c r="Q393" s="38"/>
      <c r="R393" s="37"/>
      <c r="S393" s="25"/>
      <c r="T393" s="25"/>
      <c r="U393" s="38"/>
      <c r="V393" s="26"/>
      <c r="W393" s="25"/>
      <c r="X393" s="25"/>
      <c r="Y393" s="25"/>
      <c r="Z393" s="25"/>
      <c r="AA393" s="25"/>
      <c r="AB393" s="25"/>
      <c r="AC393" s="25"/>
      <c r="AD393" s="25"/>
    </row>
    <row r="394" spans="1:30" x14ac:dyDescent="0.25">
      <c r="A394" s="18" t="str">
        <f t="shared" si="8"/>
        <v/>
      </c>
      <c r="B394" s="25"/>
      <c r="C394" s="25"/>
      <c r="D394" s="37"/>
      <c r="E394" s="25"/>
      <c r="F394" s="25"/>
      <c r="G394" s="38"/>
      <c r="H394" s="37"/>
      <c r="I394" s="25"/>
      <c r="J394" s="38"/>
      <c r="O394" s="37"/>
      <c r="P394" s="25"/>
      <c r="Q394" s="38"/>
      <c r="R394" s="37"/>
      <c r="S394" s="25"/>
      <c r="T394" s="25"/>
      <c r="U394" s="38"/>
      <c r="V394" s="26"/>
      <c r="W394" s="25"/>
      <c r="X394" s="25"/>
      <c r="Y394" s="25"/>
      <c r="Z394" s="25"/>
      <c r="AA394" s="25"/>
      <c r="AB394" s="25"/>
      <c r="AC394" s="25"/>
      <c r="AD394" s="25"/>
    </row>
    <row r="395" spans="1:30" x14ac:dyDescent="0.25">
      <c r="A395" s="18" t="str">
        <f t="shared" si="8"/>
        <v/>
      </c>
      <c r="B395" s="25"/>
      <c r="C395" s="25"/>
      <c r="D395" s="37"/>
      <c r="E395" s="25"/>
      <c r="F395" s="25"/>
      <c r="G395" s="38"/>
      <c r="H395" s="37"/>
      <c r="I395" s="25"/>
      <c r="J395" s="38"/>
      <c r="O395" s="37"/>
      <c r="P395" s="25"/>
      <c r="Q395" s="38"/>
      <c r="R395" s="37"/>
      <c r="S395" s="25"/>
      <c r="T395" s="25"/>
      <c r="U395" s="38"/>
      <c r="V395" s="26"/>
      <c r="W395" s="25"/>
      <c r="X395" s="25"/>
      <c r="Y395" s="25"/>
      <c r="Z395" s="25"/>
      <c r="AA395" s="25"/>
      <c r="AB395" s="25"/>
      <c r="AC395" s="25"/>
      <c r="AD395" s="25"/>
    </row>
    <row r="396" spans="1:30" x14ac:dyDescent="0.25">
      <c r="A396" s="18" t="str">
        <f t="shared" si="8"/>
        <v/>
      </c>
      <c r="B396" s="25"/>
      <c r="C396" s="25"/>
      <c r="D396" s="37"/>
      <c r="E396" s="25"/>
      <c r="F396" s="25"/>
      <c r="G396" s="38"/>
      <c r="H396" s="37"/>
      <c r="I396" s="25"/>
      <c r="J396" s="38"/>
      <c r="O396" s="37"/>
      <c r="P396" s="25"/>
      <c r="Q396" s="38"/>
      <c r="R396" s="37"/>
      <c r="S396" s="25"/>
      <c r="T396" s="25"/>
      <c r="U396" s="38"/>
      <c r="V396" s="26"/>
      <c r="W396" s="25"/>
      <c r="X396" s="25"/>
      <c r="Y396" s="25"/>
      <c r="Z396" s="25"/>
      <c r="AA396" s="25"/>
      <c r="AB396" s="25"/>
      <c r="AC396" s="25"/>
      <c r="AD396" s="25"/>
    </row>
    <row r="397" spans="1:30" x14ac:dyDescent="0.25">
      <c r="A397" s="18" t="str">
        <f t="shared" si="8"/>
        <v/>
      </c>
      <c r="B397" s="25"/>
      <c r="C397" s="25"/>
      <c r="D397" s="37"/>
      <c r="E397" s="25"/>
      <c r="F397" s="25"/>
      <c r="G397" s="38"/>
      <c r="H397" s="37"/>
      <c r="I397" s="25"/>
      <c r="J397" s="38"/>
      <c r="O397" s="37"/>
      <c r="P397" s="25"/>
      <c r="Q397" s="38"/>
      <c r="R397" s="37"/>
      <c r="S397" s="25"/>
      <c r="T397" s="25"/>
      <c r="U397" s="38"/>
      <c r="V397" s="26"/>
      <c r="W397" s="25"/>
      <c r="X397" s="25"/>
      <c r="Y397" s="25"/>
      <c r="Z397" s="25"/>
      <c r="AA397" s="25"/>
      <c r="AB397" s="25"/>
      <c r="AC397" s="25"/>
      <c r="AD397" s="25"/>
    </row>
    <row r="398" spans="1:30" x14ac:dyDescent="0.25">
      <c r="A398" s="18" t="str">
        <f t="shared" si="8"/>
        <v/>
      </c>
      <c r="B398" s="25"/>
      <c r="C398" s="25"/>
      <c r="D398" s="37"/>
      <c r="E398" s="25"/>
      <c r="F398" s="25"/>
      <c r="G398" s="38"/>
      <c r="H398" s="37"/>
      <c r="I398" s="25"/>
      <c r="J398" s="38"/>
      <c r="O398" s="37"/>
      <c r="P398" s="25"/>
      <c r="Q398" s="38"/>
      <c r="R398" s="37"/>
      <c r="S398" s="25"/>
      <c r="T398" s="25"/>
      <c r="U398" s="38"/>
      <c r="V398" s="26"/>
      <c r="W398" s="25"/>
      <c r="X398" s="25"/>
      <c r="Y398" s="25"/>
      <c r="Z398" s="25"/>
      <c r="AA398" s="25"/>
      <c r="AB398" s="25"/>
      <c r="AC398" s="25"/>
      <c r="AD398" s="25"/>
    </row>
    <row r="399" spans="1:30" x14ac:dyDescent="0.25">
      <c r="A399" s="18" t="str">
        <f t="shared" si="8"/>
        <v/>
      </c>
      <c r="B399" s="25"/>
      <c r="C399" s="25"/>
      <c r="D399" s="37"/>
      <c r="E399" s="25"/>
      <c r="F399" s="25"/>
      <c r="G399" s="38"/>
      <c r="H399" s="37"/>
      <c r="I399" s="25"/>
      <c r="J399" s="38"/>
      <c r="O399" s="37"/>
      <c r="P399" s="25"/>
      <c r="Q399" s="38"/>
      <c r="R399" s="37"/>
      <c r="S399" s="25"/>
      <c r="T399" s="25"/>
      <c r="U399" s="38"/>
      <c r="V399" s="26"/>
      <c r="W399" s="25"/>
      <c r="X399" s="25"/>
      <c r="Y399" s="25"/>
      <c r="Z399" s="25"/>
      <c r="AA399" s="25"/>
      <c r="AB399" s="25"/>
      <c r="AC399" s="25"/>
      <c r="AD399" s="25"/>
    </row>
    <row r="400" spans="1:30" x14ac:dyDescent="0.25">
      <c r="A400" s="18" t="str">
        <f t="shared" si="8"/>
        <v/>
      </c>
      <c r="B400" s="25"/>
      <c r="C400" s="25"/>
      <c r="D400" s="37"/>
      <c r="E400" s="25"/>
      <c r="F400" s="25"/>
      <c r="G400" s="38"/>
      <c r="H400" s="37"/>
      <c r="I400" s="25"/>
      <c r="J400" s="38"/>
      <c r="O400" s="37"/>
      <c r="P400" s="25"/>
      <c r="Q400" s="38"/>
      <c r="R400" s="37"/>
      <c r="S400" s="25"/>
      <c r="T400" s="25"/>
      <c r="U400" s="38"/>
      <c r="V400" s="26"/>
      <c r="W400" s="25"/>
      <c r="X400" s="25"/>
      <c r="Y400" s="25"/>
      <c r="Z400" s="25"/>
      <c r="AA400" s="25"/>
      <c r="AB400" s="25"/>
      <c r="AC400" s="25"/>
      <c r="AD400" s="25"/>
    </row>
    <row r="401" spans="1:30" x14ac:dyDescent="0.25">
      <c r="A401" s="18" t="str">
        <f t="shared" si="8"/>
        <v/>
      </c>
      <c r="B401" s="25"/>
      <c r="C401" s="25"/>
      <c r="D401" s="37"/>
      <c r="E401" s="25"/>
      <c r="F401" s="25"/>
      <c r="G401" s="38"/>
      <c r="H401" s="37"/>
      <c r="I401" s="25"/>
      <c r="J401" s="38"/>
      <c r="O401" s="37"/>
      <c r="P401" s="25"/>
      <c r="Q401" s="38"/>
      <c r="R401" s="37"/>
      <c r="S401" s="25"/>
      <c r="T401" s="25"/>
      <c r="U401" s="38"/>
      <c r="V401" s="26"/>
      <c r="W401" s="25"/>
      <c r="X401" s="25"/>
      <c r="Y401" s="25"/>
      <c r="Z401" s="25"/>
      <c r="AA401" s="25"/>
      <c r="AB401" s="25"/>
      <c r="AC401" s="25"/>
      <c r="AD401" s="25"/>
    </row>
    <row r="402" spans="1:30" x14ac:dyDescent="0.25">
      <c r="A402" s="18" t="str">
        <f t="shared" si="8"/>
        <v/>
      </c>
      <c r="B402" s="25"/>
      <c r="C402" s="25"/>
      <c r="D402" s="37"/>
      <c r="E402" s="25"/>
      <c r="F402" s="25"/>
      <c r="G402" s="38"/>
      <c r="H402" s="37"/>
      <c r="I402" s="25"/>
      <c r="J402" s="38"/>
      <c r="O402" s="37"/>
      <c r="P402" s="25"/>
      <c r="Q402" s="38"/>
      <c r="R402" s="37"/>
      <c r="S402" s="25"/>
      <c r="T402" s="25"/>
      <c r="U402" s="38"/>
      <c r="V402" s="26"/>
      <c r="W402" s="25"/>
      <c r="X402" s="25"/>
      <c r="Y402" s="25"/>
      <c r="Z402" s="25"/>
      <c r="AA402" s="25"/>
      <c r="AB402" s="25"/>
      <c r="AC402" s="25"/>
      <c r="AD402" s="25"/>
    </row>
    <row r="403" spans="1:30" x14ac:dyDescent="0.25">
      <c r="A403" s="18" t="str">
        <f t="shared" si="8"/>
        <v/>
      </c>
      <c r="B403" s="25"/>
      <c r="C403" s="25"/>
      <c r="D403" s="37"/>
      <c r="E403" s="25"/>
      <c r="F403" s="25"/>
      <c r="G403" s="38"/>
      <c r="H403" s="37"/>
      <c r="I403" s="25"/>
      <c r="J403" s="38"/>
      <c r="O403" s="37"/>
      <c r="P403" s="25"/>
      <c r="Q403" s="38"/>
      <c r="R403" s="37"/>
      <c r="S403" s="25"/>
      <c r="T403" s="25"/>
      <c r="U403" s="38"/>
      <c r="V403" s="26"/>
      <c r="W403" s="25"/>
      <c r="X403" s="25"/>
      <c r="Y403" s="25"/>
      <c r="Z403" s="25"/>
      <c r="AA403" s="25"/>
      <c r="AB403" s="25"/>
      <c r="AC403" s="25"/>
      <c r="AD403" s="25"/>
    </row>
    <row r="404" spans="1:30" x14ac:dyDescent="0.25">
      <c r="A404" s="18" t="str">
        <f t="shared" si="8"/>
        <v/>
      </c>
      <c r="B404" s="25"/>
      <c r="C404" s="25"/>
      <c r="D404" s="37"/>
      <c r="E404" s="25"/>
      <c r="F404" s="25"/>
      <c r="G404" s="38"/>
      <c r="H404" s="37"/>
      <c r="I404" s="25"/>
      <c r="J404" s="38"/>
      <c r="O404" s="37"/>
      <c r="P404" s="25"/>
      <c r="Q404" s="38"/>
      <c r="R404" s="37"/>
      <c r="S404" s="25"/>
      <c r="T404" s="25"/>
      <c r="U404" s="38"/>
      <c r="V404" s="26"/>
      <c r="W404" s="25"/>
      <c r="X404" s="25"/>
      <c r="Y404" s="25"/>
      <c r="Z404" s="25"/>
      <c r="AA404" s="25"/>
      <c r="AB404" s="25"/>
      <c r="AC404" s="25"/>
      <c r="AD404" s="25"/>
    </row>
    <row r="405" spans="1:30" x14ac:dyDescent="0.25">
      <c r="A405" s="18" t="str">
        <f t="shared" si="8"/>
        <v/>
      </c>
      <c r="B405" s="25"/>
      <c r="C405" s="25"/>
      <c r="D405" s="37"/>
      <c r="E405" s="25"/>
      <c r="F405" s="25"/>
      <c r="G405" s="38"/>
      <c r="H405" s="37"/>
      <c r="I405" s="25"/>
      <c r="J405" s="38"/>
      <c r="O405" s="37"/>
      <c r="P405" s="25"/>
      <c r="Q405" s="38"/>
      <c r="R405" s="37"/>
      <c r="S405" s="25"/>
      <c r="T405" s="25"/>
      <c r="U405" s="38"/>
      <c r="V405" s="26"/>
      <c r="W405" s="25"/>
      <c r="X405" s="25"/>
      <c r="Y405" s="25"/>
      <c r="Z405" s="25"/>
      <c r="AA405" s="25"/>
      <c r="AB405" s="25"/>
      <c r="AC405" s="25"/>
      <c r="AD405" s="25"/>
    </row>
    <row r="406" spans="1:30" x14ac:dyDescent="0.25">
      <c r="A406" s="18" t="str">
        <f t="shared" si="8"/>
        <v/>
      </c>
      <c r="B406" s="25"/>
      <c r="C406" s="25"/>
      <c r="D406" s="37"/>
      <c r="E406" s="25"/>
      <c r="F406" s="25"/>
      <c r="G406" s="38"/>
      <c r="H406" s="37"/>
      <c r="I406" s="25"/>
      <c r="J406" s="38"/>
      <c r="O406" s="37"/>
      <c r="P406" s="25"/>
      <c r="Q406" s="38"/>
      <c r="R406" s="37"/>
      <c r="S406" s="25"/>
      <c r="T406" s="25"/>
      <c r="U406" s="38"/>
      <c r="V406" s="26"/>
      <c r="W406" s="25"/>
      <c r="X406" s="25"/>
      <c r="Y406" s="25"/>
      <c r="Z406" s="25"/>
      <c r="AA406" s="25"/>
      <c r="AB406" s="25"/>
      <c r="AC406" s="25"/>
      <c r="AD406" s="25"/>
    </row>
    <row r="407" spans="1:30" x14ac:dyDescent="0.25">
      <c r="A407" s="18" t="str">
        <f t="shared" si="8"/>
        <v/>
      </c>
      <c r="B407" s="25"/>
      <c r="C407" s="25"/>
      <c r="D407" s="37"/>
      <c r="E407" s="25"/>
      <c r="F407" s="25"/>
      <c r="G407" s="38"/>
      <c r="H407" s="37"/>
      <c r="I407" s="25"/>
      <c r="J407" s="38"/>
      <c r="O407" s="37"/>
      <c r="P407" s="25"/>
      <c r="Q407" s="38"/>
      <c r="R407" s="37"/>
      <c r="S407" s="25"/>
      <c r="T407" s="25"/>
      <c r="U407" s="38"/>
      <c r="V407" s="26"/>
      <c r="W407" s="25"/>
      <c r="X407" s="25"/>
      <c r="Y407" s="25"/>
      <c r="Z407" s="25"/>
      <c r="AA407" s="25"/>
      <c r="AB407" s="25"/>
      <c r="AC407" s="25"/>
      <c r="AD407" s="25"/>
    </row>
    <row r="408" spans="1:30" x14ac:dyDescent="0.25">
      <c r="A408" s="18" t="str">
        <f t="shared" si="8"/>
        <v/>
      </c>
      <c r="B408" s="25"/>
      <c r="C408" s="25"/>
      <c r="D408" s="37"/>
      <c r="E408" s="25"/>
      <c r="F408" s="25"/>
      <c r="G408" s="38"/>
      <c r="H408" s="37"/>
      <c r="I408" s="25"/>
      <c r="J408" s="38"/>
      <c r="O408" s="37"/>
      <c r="P408" s="25"/>
      <c r="Q408" s="38"/>
      <c r="R408" s="37"/>
      <c r="S408" s="25"/>
      <c r="T408" s="25"/>
      <c r="U408" s="38"/>
      <c r="V408" s="26"/>
      <c r="W408" s="25"/>
      <c r="X408" s="25"/>
      <c r="Y408" s="25"/>
      <c r="Z408" s="25"/>
      <c r="AA408" s="25"/>
      <c r="AB408" s="25"/>
      <c r="AC408" s="25"/>
      <c r="AD408" s="25"/>
    </row>
    <row r="409" spans="1:30" x14ac:dyDescent="0.25">
      <c r="A409" s="18" t="str">
        <f t="shared" si="8"/>
        <v/>
      </c>
      <c r="B409" s="25"/>
      <c r="C409" s="25"/>
      <c r="D409" s="37"/>
      <c r="E409" s="25"/>
      <c r="F409" s="25"/>
      <c r="G409" s="38"/>
      <c r="H409" s="37"/>
      <c r="I409" s="25"/>
      <c r="J409" s="38"/>
      <c r="O409" s="37"/>
      <c r="P409" s="25"/>
      <c r="Q409" s="38"/>
      <c r="R409" s="37"/>
      <c r="S409" s="25"/>
      <c r="T409" s="25"/>
      <c r="U409" s="38"/>
      <c r="V409" s="26"/>
      <c r="W409" s="25"/>
      <c r="X409" s="25"/>
      <c r="Y409" s="25"/>
      <c r="Z409" s="25"/>
      <c r="AA409" s="25"/>
      <c r="AB409" s="25"/>
      <c r="AC409" s="25"/>
      <c r="AD409" s="25"/>
    </row>
    <row r="410" spans="1:30" x14ac:dyDescent="0.25">
      <c r="A410" s="18" t="str">
        <f t="shared" si="8"/>
        <v/>
      </c>
      <c r="B410" s="25"/>
      <c r="C410" s="25"/>
      <c r="D410" s="37"/>
      <c r="E410" s="25"/>
      <c r="F410" s="25"/>
      <c r="G410" s="38"/>
      <c r="H410" s="37"/>
      <c r="I410" s="25"/>
      <c r="J410" s="38"/>
      <c r="O410" s="37"/>
      <c r="P410" s="25"/>
      <c r="Q410" s="38"/>
      <c r="R410" s="37"/>
      <c r="S410" s="25"/>
      <c r="T410" s="25"/>
      <c r="U410" s="38"/>
      <c r="V410" s="26"/>
      <c r="W410" s="25"/>
      <c r="X410" s="25"/>
      <c r="Y410" s="25"/>
      <c r="Z410" s="25"/>
      <c r="AA410" s="25"/>
      <c r="AB410" s="25"/>
      <c r="AC410" s="25"/>
      <c r="AD410" s="25"/>
    </row>
    <row r="411" spans="1:30" x14ac:dyDescent="0.25">
      <c r="A411" s="18" t="str">
        <f t="shared" si="8"/>
        <v/>
      </c>
      <c r="B411" s="25"/>
      <c r="C411" s="25"/>
      <c r="D411" s="37"/>
      <c r="E411" s="25"/>
      <c r="F411" s="25"/>
      <c r="G411" s="38"/>
      <c r="H411" s="37"/>
      <c r="I411" s="25"/>
      <c r="J411" s="38"/>
      <c r="O411" s="37"/>
      <c r="P411" s="25"/>
      <c r="Q411" s="38"/>
      <c r="R411" s="37"/>
      <c r="S411" s="25"/>
      <c r="T411" s="25"/>
      <c r="U411" s="38"/>
      <c r="V411" s="26"/>
      <c r="W411" s="25"/>
      <c r="X411" s="25"/>
      <c r="Y411" s="25"/>
      <c r="Z411" s="25"/>
      <c r="AA411" s="25"/>
      <c r="AB411" s="25"/>
      <c r="AC411" s="25"/>
      <c r="AD411" s="25"/>
    </row>
    <row r="412" spans="1:30" x14ac:dyDescent="0.25">
      <c r="A412" s="18" t="str">
        <f t="shared" si="8"/>
        <v/>
      </c>
      <c r="B412" s="25"/>
      <c r="C412" s="25"/>
      <c r="D412" s="37"/>
      <c r="E412" s="25"/>
      <c r="F412" s="25"/>
      <c r="G412" s="38"/>
      <c r="H412" s="37"/>
      <c r="I412" s="25"/>
      <c r="J412" s="38"/>
      <c r="O412" s="37"/>
      <c r="P412" s="25"/>
      <c r="Q412" s="38"/>
      <c r="R412" s="37"/>
      <c r="S412" s="25"/>
      <c r="T412" s="25"/>
      <c r="U412" s="38"/>
      <c r="V412" s="26"/>
      <c r="W412" s="25"/>
      <c r="X412" s="25"/>
      <c r="Y412" s="25"/>
      <c r="Z412" s="25"/>
      <c r="AA412" s="25"/>
      <c r="AB412" s="25"/>
      <c r="AC412" s="25"/>
      <c r="AD412" s="25"/>
    </row>
    <row r="413" spans="1:30" x14ac:dyDescent="0.25">
      <c r="A413" s="18" t="str">
        <f t="shared" si="8"/>
        <v/>
      </c>
      <c r="B413" s="25"/>
      <c r="C413" s="25"/>
      <c r="D413" s="37"/>
      <c r="E413" s="25"/>
      <c r="F413" s="25"/>
      <c r="G413" s="38"/>
      <c r="H413" s="37"/>
      <c r="I413" s="25"/>
      <c r="J413" s="38"/>
      <c r="O413" s="37"/>
      <c r="P413" s="25"/>
      <c r="Q413" s="38"/>
      <c r="R413" s="37"/>
      <c r="S413" s="25"/>
      <c r="T413" s="25"/>
      <c r="U413" s="38"/>
      <c r="V413" s="26"/>
      <c r="W413" s="25"/>
      <c r="X413" s="25"/>
      <c r="Y413" s="25"/>
      <c r="Z413" s="25"/>
      <c r="AA413" s="25"/>
      <c r="AB413" s="25"/>
      <c r="AC413" s="25"/>
      <c r="AD413" s="25"/>
    </row>
    <row r="414" spans="1:30" x14ac:dyDescent="0.25">
      <c r="A414" s="18" t="str">
        <f t="shared" si="8"/>
        <v/>
      </c>
      <c r="B414" s="25"/>
      <c r="C414" s="25"/>
      <c r="D414" s="37"/>
      <c r="E414" s="25"/>
      <c r="F414" s="25"/>
      <c r="G414" s="38"/>
      <c r="H414" s="37"/>
      <c r="I414" s="25"/>
      <c r="J414" s="38"/>
      <c r="O414" s="37"/>
      <c r="P414" s="25"/>
      <c r="Q414" s="38"/>
      <c r="R414" s="37"/>
      <c r="S414" s="25"/>
      <c r="T414" s="25"/>
      <c r="U414" s="38"/>
      <c r="V414" s="26"/>
      <c r="W414" s="25"/>
      <c r="X414" s="25"/>
      <c r="Y414" s="25"/>
      <c r="Z414" s="25"/>
      <c r="AA414" s="25"/>
      <c r="AB414" s="25"/>
      <c r="AC414" s="25"/>
      <c r="AD414" s="25"/>
    </row>
    <row r="415" spans="1:30" x14ac:dyDescent="0.25">
      <c r="A415" s="18" t="str">
        <f t="shared" si="8"/>
        <v/>
      </c>
      <c r="B415" s="25"/>
      <c r="C415" s="25"/>
      <c r="D415" s="37"/>
      <c r="E415" s="25"/>
      <c r="F415" s="25"/>
      <c r="G415" s="38"/>
      <c r="H415" s="37"/>
      <c r="I415" s="25"/>
      <c r="J415" s="38"/>
      <c r="O415" s="37"/>
      <c r="P415" s="25"/>
      <c r="Q415" s="38"/>
      <c r="R415" s="37"/>
      <c r="S415" s="25"/>
      <c r="T415" s="25"/>
      <c r="U415" s="38"/>
      <c r="V415" s="26"/>
      <c r="W415" s="25"/>
      <c r="X415" s="25"/>
      <c r="Y415" s="25"/>
      <c r="Z415" s="25"/>
      <c r="AA415" s="25"/>
      <c r="AB415" s="25"/>
      <c r="AC415" s="25"/>
      <c r="AD415" s="25"/>
    </row>
    <row r="416" spans="1:30" x14ac:dyDescent="0.25">
      <c r="A416" s="18" t="str">
        <f t="shared" si="8"/>
        <v/>
      </c>
      <c r="B416" s="25"/>
      <c r="C416" s="25"/>
      <c r="D416" s="37"/>
      <c r="E416" s="25"/>
      <c r="F416" s="25"/>
      <c r="G416" s="38"/>
      <c r="H416" s="37"/>
      <c r="I416" s="25"/>
      <c r="J416" s="38"/>
      <c r="O416" s="37"/>
      <c r="P416" s="25"/>
      <c r="Q416" s="38"/>
      <c r="R416" s="37"/>
      <c r="S416" s="25"/>
      <c r="T416" s="25"/>
      <c r="U416" s="38"/>
      <c r="V416" s="26"/>
      <c r="W416" s="25"/>
      <c r="X416" s="25"/>
      <c r="Y416" s="25"/>
      <c r="Z416" s="25"/>
      <c r="AA416" s="25"/>
      <c r="AB416" s="25"/>
      <c r="AC416" s="25"/>
      <c r="AD416" s="25"/>
    </row>
    <row r="417" spans="1:30" x14ac:dyDescent="0.25">
      <c r="A417" s="18" t="str">
        <f t="shared" si="8"/>
        <v/>
      </c>
      <c r="B417" s="25"/>
      <c r="C417" s="25"/>
      <c r="D417" s="37"/>
      <c r="E417" s="25"/>
      <c r="F417" s="25"/>
      <c r="G417" s="38"/>
      <c r="H417" s="37"/>
      <c r="I417" s="25"/>
      <c r="J417" s="38"/>
      <c r="O417" s="37"/>
      <c r="P417" s="25"/>
      <c r="Q417" s="38"/>
      <c r="R417" s="37"/>
      <c r="S417" s="25"/>
      <c r="T417" s="25"/>
      <c r="U417" s="38"/>
      <c r="V417" s="26"/>
      <c r="W417" s="25"/>
      <c r="X417" s="25"/>
      <c r="Y417" s="25"/>
      <c r="Z417" s="25"/>
      <c r="AA417" s="25"/>
      <c r="AB417" s="25"/>
      <c r="AC417" s="25"/>
      <c r="AD417" s="25"/>
    </row>
    <row r="418" spans="1:30" x14ac:dyDescent="0.25">
      <c r="A418" s="18" t="str">
        <f t="shared" si="8"/>
        <v/>
      </c>
      <c r="B418" s="25"/>
      <c r="C418" s="25"/>
      <c r="D418" s="37"/>
      <c r="E418" s="25"/>
      <c r="F418" s="25"/>
      <c r="G418" s="38"/>
      <c r="H418" s="37"/>
      <c r="I418" s="25"/>
      <c r="J418" s="38"/>
      <c r="O418" s="37"/>
      <c r="P418" s="25"/>
      <c r="Q418" s="38"/>
      <c r="R418" s="37"/>
      <c r="S418" s="25"/>
      <c r="T418" s="25"/>
      <c r="U418" s="38"/>
      <c r="V418" s="26"/>
      <c r="W418" s="25"/>
      <c r="X418" s="25"/>
      <c r="Y418" s="25"/>
      <c r="Z418" s="25"/>
      <c r="AA418" s="25"/>
      <c r="AB418" s="25"/>
      <c r="AC418" s="25"/>
      <c r="AD418" s="25"/>
    </row>
    <row r="419" spans="1:30" x14ac:dyDescent="0.25">
      <c r="A419" s="18" t="str">
        <f t="shared" si="8"/>
        <v/>
      </c>
      <c r="B419" s="25"/>
      <c r="C419" s="25"/>
      <c r="D419" s="37"/>
      <c r="E419" s="25"/>
      <c r="F419" s="25"/>
      <c r="G419" s="38"/>
      <c r="H419" s="37"/>
      <c r="I419" s="25"/>
      <c r="J419" s="38"/>
      <c r="O419" s="37"/>
      <c r="P419" s="25"/>
      <c r="Q419" s="38"/>
      <c r="R419" s="37"/>
      <c r="S419" s="25"/>
      <c r="T419" s="25"/>
      <c r="U419" s="38"/>
      <c r="V419" s="26"/>
      <c r="W419" s="25"/>
      <c r="X419" s="25"/>
      <c r="Y419" s="25"/>
      <c r="Z419" s="25"/>
      <c r="AA419" s="25"/>
      <c r="AB419" s="25"/>
      <c r="AC419" s="25"/>
      <c r="AD419" s="25"/>
    </row>
    <row r="420" spans="1:30" x14ac:dyDescent="0.25">
      <c r="A420" s="18" t="str">
        <f t="shared" si="8"/>
        <v/>
      </c>
      <c r="B420" s="25"/>
      <c r="C420" s="25"/>
      <c r="D420" s="37"/>
      <c r="E420" s="25"/>
      <c r="F420" s="25"/>
      <c r="G420" s="38"/>
      <c r="H420" s="37"/>
      <c r="I420" s="25"/>
      <c r="J420" s="38"/>
      <c r="O420" s="37"/>
      <c r="P420" s="25"/>
      <c r="Q420" s="38"/>
      <c r="R420" s="37"/>
      <c r="S420" s="25"/>
      <c r="T420" s="25"/>
      <c r="U420" s="38"/>
      <c r="V420" s="26"/>
      <c r="W420" s="25"/>
      <c r="X420" s="25"/>
      <c r="Y420" s="25"/>
      <c r="Z420" s="25"/>
      <c r="AA420" s="25"/>
      <c r="AB420" s="25"/>
      <c r="AC420" s="25"/>
      <c r="AD420" s="25"/>
    </row>
    <row r="421" spans="1:30" x14ac:dyDescent="0.25">
      <c r="A421" s="18" t="str">
        <f t="shared" si="8"/>
        <v/>
      </c>
      <c r="B421" s="25"/>
      <c r="C421" s="25"/>
      <c r="D421" s="37"/>
      <c r="E421" s="25"/>
      <c r="F421" s="25"/>
      <c r="G421" s="38"/>
      <c r="H421" s="37"/>
      <c r="I421" s="25"/>
      <c r="J421" s="38"/>
      <c r="O421" s="37"/>
      <c r="P421" s="25"/>
      <c r="Q421" s="38"/>
      <c r="R421" s="37"/>
      <c r="S421" s="25"/>
      <c r="T421" s="25"/>
      <c r="U421" s="38"/>
      <c r="V421" s="26"/>
      <c r="W421" s="25"/>
      <c r="X421" s="25"/>
      <c r="Y421" s="25"/>
      <c r="Z421" s="25"/>
      <c r="AA421" s="25"/>
      <c r="AB421" s="25"/>
      <c r="AC421" s="25"/>
      <c r="AD421" s="25"/>
    </row>
    <row r="422" spans="1:30" x14ac:dyDescent="0.25">
      <c r="A422" s="18" t="str">
        <f t="shared" si="8"/>
        <v/>
      </c>
      <c r="B422" s="25"/>
      <c r="C422" s="25"/>
      <c r="D422" s="37"/>
      <c r="E422" s="25"/>
      <c r="F422" s="25"/>
      <c r="G422" s="38"/>
      <c r="H422" s="37"/>
      <c r="I422" s="25"/>
      <c r="J422" s="38"/>
      <c r="O422" s="37"/>
      <c r="P422" s="25"/>
      <c r="Q422" s="38"/>
      <c r="R422" s="37"/>
      <c r="S422" s="25"/>
      <c r="T422" s="25"/>
      <c r="U422" s="38"/>
      <c r="V422" s="26"/>
      <c r="W422" s="25"/>
      <c r="X422" s="25"/>
      <c r="Y422" s="25"/>
      <c r="Z422" s="25"/>
      <c r="AA422" s="25"/>
      <c r="AB422" s="25"/>
      <c r="AC422" s="25"/>
      <c r="AD422" s="25"/>
    </row>
    <row r="423" spans="1:30" x14ac:dyDescent="0.25">
      <c r="A423" s="18" t="str">
        <f t="shared" si="8"/>
        <v/>
      </c>
      <c r="B423" s="25"/>
      <c r="C423" s="25"/>
      <c r="D423" s="37"/>
      <c r="E423" s="25"/>
      <c r="F423" s="25"/>
      <c r="G423" s="38"/>
      <c r="H423" s="37"/>
      <c r="I423" s="25"/>
      <c r="J423" s="38"/>
      <c r="O423" s="37"/>
      <c r="P423" s="25"/>
      <c r="Q423" s="38"/>
      <c r="R423" s="37"/>
      <c r="S423" s="25"/>
      <c r="T423" s="25"/>
      <c r="U423" s="38"/>
      <c r="V423" s="26"/>
      <c r="W423" s="25"/>
      <c r="X423" s="25"/>
      <c r="Y423" s="25"/>
      <c r="Z423" s="25"/>
      <c r="AA423" s="25"/>
      <c r="AB423" s="25"/>
      <c r="AC423" s="25"/>
      <c r="AD423" s="25"/>
    </row>
    <row r="424" spans="1:30" x14ac:dyDescent="0.25">
      <c r="A424" s="18" t="str">
        <f t="shared" si="8"/>
        <v/>
      </c>
      <c r="B424" s="25"/>
      <c r="C424" s="25"/>
      <c r="D424" s="37"/>
      <c r="E424" s="25"/>
      <c r="F424" s="25"/>
      <c r="G424" s="38"/>
      <c r="H424" s="37"/>
      <c r="I424" s="25"/>
      <c r="J424" s="38"/>
      <c r="O424" s="37"/>
      <c r="P424" s="25"/>
      <c r="Q424" s="38"/>
      <c r="R424" s="37"/>
      <c r="S424" s="25"/>
      <c r="T424" s="25"/>
      <c r="U424" s="38"/>
      <c r="V424" s="26"/>
      <c r="W424" s="25"/>
      <c r="X424" s="25"/>
      <c r="Y424" s="25"/>
      <c r="Z424" s="25"/>
      <c r="AA424" s="25"/>
      <c r="AB424" s="25"/>
      <c r="AC424" s="25"/>
      <c r="AD424" s="25"/>
    </row>
    <row r="425" spans="1:30" x14ac:dyDescent="0.25">
      <c r="A425" s="18" t="str">
        <f t="shared" si="8"/>
        <v/>
      </c>
      <c r="B425" s="25"/>
      <c r="C425" s="25"/>
      <c r="D425" s="37"/>
      <c r="E425" s="25"/>
      <c r="F425" s="25"/>
      <c r="G425" s="38"/>
      <c r="H425" s="37"/>
      <c r="I425" s="25"/>
      <c r="J425" s="38"/>
      <c r="O425" s="37"/>
      <c r="P425" s="25"/>
      <c r="Q425" s="38"/>
      <c r="R425" s="37"/>
      <c r="S425" s="25"/>
      <c r="T425" s="25"/>
      <c r="U425" s="38"/>
      <c r="V425" s="26"/>
      <c r="W425" s="25"/>
      <c r="X425" s="25"/>
      <c r="Y425" s="25"/>
      <c r="Z425" s="25"/>
      <c r="AA425" s="25"/>
      <c r="AB425" s="25"/>
      <c r="AC425" s="25"/>
      <c r="AD425" s="25"/>
    </row>
    <row r="426" spans="1:30" x14ac:dyDescent="0.25">
      <c r="A426" s="18" t="str">
        <f t="shared" si="8"/>
        <v/>
      </c>
      <c r="B426" s="25"/>
      <c r="C426" s="25"/>
      <c r="D426" s="37"/>
      <c r="E426" s="25"/>
      <c r="F426" s="25"/>
      <c r="G426" s="38"/>
      <c r="H426" s="37"/>
      <c r="I426" s="25"/>
      <c r="J426" s="38"/>
      <c r="O426" s="37"/>
      <c r="P426" s="25"/>
      <c r="Q426" s="38"/>
      <c r="R426" s="37"/>
      <c r="S426" s="25"/>
      <c r="T426" s="25"/>
      <c r="U426" s="38"/>
      <c r="V426" s="26"/>
      <c r="W426" s="25"/>
      <c r="X426" s="25"/>
      <c r="Y426" s="25"/>
      <c r="Z426" s="25"/>
      <c r="AA426" s="25"/>
      <c r="AB426" s="25"/>
      <c r="AC426" s="25"/>
      <c r="AD426" s="25"/>
    </row>
    <row r="427" spans="1:30" x14ac:dyDescent="0.25">
      <c r="A427" s="18" t="str">
        <f t="shared" si="8"/>
        <v/>
      </c>
      <c r="B427" s="25"/>
      <c r="C427" s="25"/>
      <c r="D427" s="37"/>
      <c r="E427" s="25"/>
      <c r="F427" s="25"/>
      <c r="G427" s="38"/>
      <c r="H427" s="37"/>
      <c r="I427" s="25"/>
      <c r="J427" s="38"/>
      <c r="O427" s="37"/>
      <c r="P427" s="25"/>
      <c r="Q427" s="38"/>
      <c r="R427" s="37"/>
      <c r="S427" s="25"/>
      <c r="T427" s="25"/>
      <c r="U427" s="38"/>
      <c r="V427" s="26"/>
      <c r="W427" s="25"/>
      <c r="X427" s="25"/>
      <c r="Y427" s="25"/>
      <c r="Z427" s="25"/>
      <c r="AA427" s="25"/>
      <c r="AB427" s="25"/>
      <c r="AC427" s="25"/>
      <c r="AD427" s="25"/>
    </row>
    <row r="428" spans="1:30" x14ac:dyDescent="0.25">
      <c r="A428" s="18" t="str">
        <f t="shared" si="8"/>
        <v/>
      </c>
      <c r="B428" s="25"/>
      <c r="C428" s="25"/>
      <c r="D428" s="37"/>
      <c r="E428" s="25"/>
      <c r="F428" s="25"/>
      <c r="G428" s="38"/>
      <c r="H428" s="37"/>
      <c r="I428" s="25"/>
      <c r="J428" s="38"/>
      <c r="O428" s="37"/>
      <c r="P428" s="25"/>
      <c r="Q428" s="38"/>
      <c r="R428" s="37"/>
      <c r="S428" s="25"/>
      <c r="T428" s="25"/>
      <c r="U428" s="38"/>
      <c r="V428" s="26"/>
      <c r="W428" s="25"/>
      <c r="X428" s="25"/>
      <c r="Y428" s="25"/>
      <c r="Z428" s="25"/>
      <c r="AA428" s="25"/>
      <c r="AB428" s="25"/>
      <c r="AC428" s="25"/>
      <c r="AD428" s="25"/>
    </row>
    <row r="429" spans="1:30" x14ac:dyDescent="0.25">
      <c r="A429" s="18" t="str">
        <f t="shared" si="8"/>
        <v/>
      </c>
      <c r="B429" s="25"/>
      <c r="C429" s="25"/>
      <c r="D429" s="37"/>
      <c r="E429" s="25"/>
      <c r="F429" s="25"/>
      <c r="G429" s="38"/>
      <c r="H429" s="37"/>
      <c r="I429" s="25"/>
      <c r="J429" s="38"/>
      <c r="O429" s="37"/>
      <c r="P429" s="25"/>
      <c r="Q429" s="38"/>
      <c r="R429" s="37"/>
      <c r="S429" s="25"/>
      <c r="T429" s="25"/>
      <c r="U429" s="38"/>
      <c r="V429" s="26"/>
      <c r="W429" s="25"/>
      <c r="X429" s="25"/>
      <c r="Y429" s="25"/>
      <c r="Z429" s="25"/>
      <c r="AA429" s="25"/>
      <c r="AB429" s="25"/>
      <c r="AC429" s="25"/>
      <c r="AD429" s="25"/>
    </row>
    <row r="430" spans="1:30" x14ac:dyDescent="0.25">
      <c r="A430" s="18" t="str">
        <f t="shared" si="8"/>
        <v/>
      </c>
      <c r="B430" s="25"/>
      <c r="C430" s="25"/>
      <c r="D430" s="37"/>
      <c r="E430" s="25"/>
      <c r="F430" s="25"/>
      <c r="G430" s="38"/>
      <c r="H430" s="37"/>
      <c r="I430" s="25"/>
      <c r="J430" s="38"/>
      <c r="O430" s="37"/>
      <c r="P430" s="25"/>
      <c r="Q430" s="38"/>
      <c r="R430" s="37"/>
      <c r="S430" s="25"/>
      <c r="T430" s="25"/>
      <c r="U430" s="38"/>
      <c r="V430" s="26"/>
      <c r="W430" s="25"/>
      <c r="X430" s="25"/>
      <c r="Y430" s="25"/>
      <c r="Z430" s="25"/>
      <c r="AA430" s="25"/>
      <c r="AB430" s="25"/>
      <c r="AC430" s="25"/>
      <c r="AD430" s="25"/>
    </row>
    <row r="431" spans="1:30" x14ac:dyDescent="0.25">
      <c r="A431" s="18" t="str">
        <f t="shared" si="8"/>
        <v/>
      </c>
      <c r="B431" s="25"/>
      <c r="C431" s="25"/>
      <c r="D431" s="37"/>
      <c r="E431" s="25"/>
      <c r="F431" s="25"/>
      <c r="G431" s="38"/>
      <c r="H431" s="37"/>
      <c r="I431" s="25"/>
      <c r="J431" s="38"/>
      <c r="O431" s="37"/>
      <c r="P431" s="25"/>
      <c r="Q431" s="38"/>
      <c r="R431" s="37"/>
      <c r="S431" s="25"/>
      <c r="T431" s="25"/>
      <c r="U431" s="38"/>
      <c r="V431" s="26"/>
      <c r="W431" s="25"/>
      <c r="X431" s="25"/>
      <c r="Y431" s="25"/>
      <c r="Z431" s="25"/>
      <c r="AA431" s="25"/>
      <c r="AB431" s="25"/>
      <c r="AC431" s="25"/>
      <c r="AD431" s="25"/>
    </row>
    <row r="432" spans="1:30" x14ac:dyDescent="0.25">
      <c r="A432" s="18" t="str">
        <f t="shared" si="8"/>
        <v/>
      </c>
      <c r="B432" s="25"/>
      <c r="C432" s="25"/>
      <c r="D432" s="37"/>
      <c r="E432" s="25"/>
      <c r="F432" s="25"/>
      <c r="G432" s="38"/>
      <c r="H432" s="37"/>
      <c r="I432" s="25"/>
      <c r="J432" s="38"/>
      <c r="O432" s="37"/>
      <c r="P432" s="25"/>
      <c r="Q432" s="38"/>
      <c r="R432" s="37"/>
      <c r="S432" s="25"/>
      <c r="T432" s="25"/>
      <c r="U432" s="38"/>
      <c r="V432" s="26"/>
      <c r="W432" s="25"/>
      <c r="X432" s="25"/>
      <c r="Y432" s="25"/>
      <c r="Z432" s="25"/>
      <c r="AA432" s="25"/>
      <c r="AB432" s="25"/>
      <c r="AC432" s="25"/>
      <c r="AD432" s="25"/>
    </row>
    <row r="433" spans="1:30" x14ac:dyDescent="0.25">
      <c r="A433" s="18" t="str">
        <f t="shared" si="8"/>
        <v/>
      </c>
      <c r="B433" s="25"/>
      <c r="C433" s="25"/>
      <c r="D433" s="37"/>
      <c r="E433" s="25"/>
      <c r="F433" s="25"/>
      <c r="G433" s="38"/>
      <c r="H433" s="37"/>
      <c r="I433" s="25"/>
      <c r="J433" s="38"/>
      <c r="O433" s="37"/>
      <c r="P433" s="25"/>
      <c r="Q433" s="38"/>
      <c r="R433" s="37"/>
      <c r="S433" s="25"/>
      <c r="T433" s="25"/>
      <c r="U433" s="38"/>
      <c r="V433" s="26"/>
      <c r="W433" s="25"/>
      <c r="X433" s="25"/>
      <c r="Y433" s="25"/>
      <c r="Z433" s="25"/>
      <c r="AA433" s="25"/>
      <c r="AB433" s="25"/>
      <c r="AC433" s="25"/>
      <c r="AD433" s="25"/>
    </row>
    <row r="434" spans="1:30" x14ac:dyDescent="0.25">
      <c r="A434" s="18" t="str">
        <f t="shared" si="8"/>
        <v/>
      </c>
      <c r="B434" s="25"/>
      <c r="C434" s="25"/>
      <c r="D434" s="37"/>
      <c r="E434" s="25"/>
      <c r="F434" s="25"/>
      <c r="G434" s="38"/>
      <c r="H434" s="37"/>
      <c r="I434" s="25"/>
      <c r="J434" s="38"/>
      <c r="O434" s="37"/>
      <c r="P434" s="25"/>
      <c r="Q434" s="38"/>
      <c r="R434" s="37"/>
      <c r="S434" s="25"/>
      <c r="T434" s="25"/>
      <c r="U434" s="38"/>
      <c r="V434" s="26"/>
      <c r="W434" s="25"/>
      <c r="X434" s="25"/>
      <c r="Y434" s="25"/>
      <c r="Z434" s="25"/>
      <c r="AA434" s="25"/>
      <c r="AB434" s="25"/>
      <c r="AC434" s="25"/>
      <c r="AD434" s="25"/>
    </row>
    <row r="435" spans="1:30" x14ac:dyDescent="0.25">
      <c r="A435" s="18" t="str">
        <f t="shared" si="8"/>
        <v/>
      </c>
      <c r="B435" s="25"/>
      <c r="C435" s="25"/>
      <c r="D435" s="37"/>
      <c r="E435" s="25"/>
      <c r="F435" s="25"/>
      <c r="G435" s="38"/>
      <c r="H435" s="37"/>
      <c r="I435" s="25"/>
      <c r="J435" s="38"/>
      <c r="O435" s="37"/>
      <c r="P435" s="25"/>
      <c r="Q435" s="38"/>
      <c r="R435" s="37"/>
      <c r="S435" s="25"/>
      <c r="T435" s="25"/>
      <c r="U435" s="38"/>
      <c r="V435" s="26"/>
      <c r="W435" s="25"/>
      <c r="X435" s="25"/>
      <c r="Y435" s="25"/>
      <c r="Z435" s="25"/>
      <c r="AA435" s="25"/>
      <c r="AB435" s="25"/>
      <c r="AC435" s="25"/>
      <c r="AD435" s="25"/>
    </row>
    <row r="436" spans="1:30" x14ac:dyDescent="0.25">
      <c r="A436" s="18" t="str">
        <f t="shared" si="8"/>
        <v/>
      </c>
      <c r="B436" s="25"/>
      <c r="C436" s="25"/>
      <c r="D436" s="37"/>
      <c r="E436" s="25"/>
      <c r="F436" s="25"/>
      <c r="G436" s="38"/>
      <c r="H436" s="37"/>
      <c r="I436" s="25"/>
      <c r="J436" s="38"/>
      <c r="O436" s="37"/>
      <c r="P436" s="25"/>
      <c r="Q436" s="38"/>
      <c r="R436" s="37"/>
      <c r="S436" s="25"/>
      <c r="T436" s="25"/>
      <c r="U436" s="38"/>
      <c r="V436" s="26"/>
      <c r="W436" s="25"/>
      <c r="X436" s="25"/>
      <c r="Y436" s="25"/>
      <c r="Z436" s="25"/>
      <c r="AA436" s="25"/>
      <c r="AB436" s="25"/>
      <c r="AC436" s="25"/>
      <c r="AD436" s="25"/>
    </row>
    <row r="437" spans="1:30" x14ac:dyDescent="0.25">
      <c r="A437" s="18" t="str">
        <f t="shared" si="8"/>
        <v/>
      </c>
      <c r="B437" s="25"/>
      <c r="C437" s="25"/>
      <c r="D437" s="37"/>
      <c r="E437" s="25"/>
      <c r="F437" s="25"/>
      <c r="G437" s="38"/>
      <c r="H437" s="37"/>
      <c r="I437" s="25"/>
      <c r="J437" s="38"/>
      <c r="O437" s="37"/>
      <c r="P437" s="25"/>
      <c r="Q437" s="38"/>
      <c r="R437" s="37"/>
      <c r="S437" s="25"/>
      <c r="T437" s="25"/>
      <c r="U437" s="38"/>
      <c r="V437" s="26"/>
      <c r="W437" s="25"/>
      <c r="X437" s="25"/>
      <c r="Y437" s="25"/>
      <c r="Z437" s="25"/>
      <c r="AA437" s="25"/>
      <c r="AB437" s="25"/>
      <c r="AC437" s="25"/>
      <c r="AD437" s="25"/>
    </row>
    <row r="438" spans="1:30" x14ac:dyDescent="0.25">
      <c r="A438" s="18" t="str">
        <f t="shared" si="8"/>
        <v/>
      </c>
      <c r="B438" s="25"/>
      <c r="C438" s="25"/>
      <c r="D438" s="37"/>
      <c r="E438" s="25"/>
      <c r="F438" s="25"/>
      <c r="G438" s="38"/>
      <c r="H438" s="37"/>
      <c r="I438" s="25"/>
      <c r="J438" s="38"/>
      <c r="O438" s="37"/>
      <c r="P438" s="25"/>
      <c r="Q438" s="38"/>
      <c r="R438" s="37"/>
      <c r="S438" s="25"/>
      <c r="T438" s="25"/>
      <c r="U438" s="38"/>
      <c r="V438" s="26"/>
      <c r="W438" s="25"/>
      <c r="X438" s="25"/>
      <c r="Y438" s="25"/>
      <c r="Z438" s="25"/>
      <c r="AA438" s="25"/>
      <c r="AB438" s="25"/>
      <c r="AC438" s="25"/>
      <c r="AD438" s="25"/>
    </row>
    <row r="439" spans="1:30" x14ac:dyDescent="0.25">
      <c r="A439" s="18" t="str">
        <f t="shared" si="8"/>
        <v/>
      </c>
      <c r="B439" s="25"/>
      <c r="C439" s="25"/>
      <c r="D439" s="37"/>
      <c r="E439" s="25"/>
      <c r="F439" s="25"/>
      <c r="G439" s="38"/>
      <c r="H439" s="37"/>
      <c r="I439" s="25"/>
      <c r="J439" s="38"/>
      <c r="O439" s="37"/>
      <c r="P439" s="25"/>
      <c r="Q439" s="38"/>
      <c r="R439" s="37"/>
      <c r="S439" s="25"/>
      <c r="T439" s="25"/>
      <c r="U439" s="38"/>
      <c r="V439" s="26"/>
      <c r="W439" s="25"/>
      <c r="X439" s="25"/>
      <c r="Y439" s="25"/>
      <c r="Z439" s="25"/>
      <c r="AA439" s="25"/>
      <c r="AB439" s="25"/>
      <c r="AC439" s="25"/>
      <c r="AD439" s="25"/>
    </row>
    <row r="440" spans="1:30" x14ac:dyDescent="0.25">
      <c r="A440" s="18" t="str">
        <f t="shared" si="8"/>
        <v/>
      </c>
      <c r="B440" s="25"/>
      <c r="C440" s="25"/>
      <c r="D440" s="37"/>
      <c r="E440" s="25"/>
      <c r="F440" s="25"/>
      <c r="G440" s="38"/>
      <c r="H440" s="37"/>
      <c r="I440" s="25"/>
      <c r="J440" s="38"/>
      <c r="O440" s="37"/>
      <c r="P440" s="25"/>
      <c r="Q440" s="38"/>
      <c r="R440" s="37"/>
      <c r="S440" s="25"/>
      <c r="T440" s="25"/>
      <c r="U440" s="38"/>
      <c r="V440" s="26"/>
      <c r="W440" s="25"/>
      <c r="X440" s="25"/>
      <c r="Y440" s="25"/>
      <c r="Z440" s="25"/>
      <c r="AA440" s="25"/>
      <c r="AB440" s="25"/>
      <c r="AC440" s="25"/>
      <c r="AD440" s="25"/>
    </row>
    <row r="441" spans="1:30" x14ac:dyDescent="0.25">
      <c r="A441" s="18" t="str">
        <f t="shared" si="8"/>
        <v/>
      </c>
      <c r="B441" s="25"/>
      <c r="C441" s="25"/>
      <c r="D441" s="37"/>
      <c r="E441" s="25"/>
      <c r="F441" s="25"/>
      <c r="G441" s="38"/>
      <c r="H441" s="37"/>
      <c r="I441" s="25"/>
      <c r="J441" s="38"/>
      <c r="O441" s="37"/>
      <c r="P441" s="25"/>
      <c r="Q441" s="38"/>
      <c r="R441" s="37"/>
      <c r="S441" s="25"/>
      <c r="T441" s="25"/>
      <c r="U441" s="38"/>
      <c r="V441" s="26"/>
      <c r="W441" s="25"/>
      <c r="X441" s="25"/>
      <c r="Y441" s="25"/>
      <c r="Z441" s="25"/>
      <c r="AA441" s="25"/>
      <c r="AB441" s="25"/>
      <c r="AC441" s="25"/>
      <c r="AD441" s="25"/>
    </row>
    <row r="442" spans="1:30" x14ac:dyDescent="0.25">
      <c r="A442" s="18" t="str">
        <f t="shared" si="8"/>
        <v/>
      </c>
      <c r="B442" s="25"/>
      <c r="C442" s="25"/>
      <c r="D442" s="37"/>
      <c r="E442" s="25"/>
      <c r="F442" s="25"/>
      <c r="G442" s="38"/>
      <c r="H442" s="37"/>
      <c r="I442" s="25"/>
      <c r="J442" s="38"/>
      <c r="O442" s="37"/>
      <c r="P442" s="25"/>
      <c r="Q442" s="38"/>
      <c r="R442" s="37"/>
      <c r="S442" s="25"/>
      <c r="T442" s="25"/>
      <c r="U442" s="38"/>
      <c r="V442" s="26"/>
      <c r="W442" s="25"/>
      <c r="X442" s="25"/>
      <c r="Y442" s="25"/>
      <c r="Z442" s="25"/>
      <c r="AA442" s="25"/>
      <c r="AB442" s="25"/>
      <c r="AC442" s="25"/>
      <c r="AD442" s="25"/>
    </row>
    <row r="443" spans="1:30" x14ac:dyDescent="0.25">
      <c r="A443" s="18" t="str">
        <f t="shared" si="8"/>
        <v/>
      </c>
      <c r="B443" s="25"/>
      <c r="C443" s="25"/>
      <c r="D443" s="37"/>
      <c r="E443" s="25"/>
      <c r="F443" s="25"/>
      <c r="G443" s="38"/>
      <c r="H443" s="37"/>
      <c r="I443" s="25"/>
      <c r="J443" s="38"/>
      <c r="O443" s="37"/>
      <c r="P443" s="25"/>
      <c r="Q443" s="38"/>
      <c r="R443" s="37"/>
      <c r="S443" s="25"/>
      <c r="T443" s="25"/>
      <c r="U443" s="38"/>
      <c r="V443" s="26"/>
      <c r="W443" s="25"/>
      <c r="X443" s="25"/>
      <c r="Y443" s="25"/>
      <c r="Z443" s="25"/>
      <c r="AA443" s="25"/>
      <c r="AB443" s="25"/>
      <c r="AC443" s="25"/>
      <c r="AD443" s="25"/>
    </row>
    <row r="444" spans="1:30" x14ac:dyDescent="0.25">
      <c r="A444" s="18" t="str">
        <f t="shared" si="8"/>
        <v/>
      </c>
      <c r="B444" s="25"/>
      <c r="C444" s="25"/>
      <c r="D444" s="37"/>
      <c r="E444" s="25"/>
      <c r="F444" s="25"/>
      <c r="G444" s="38"/>
      <c r="H444" s="37"/>
      <c r="I444" s="25"/>
      <c r="J444" s="38"/>
      <c r="O444" s="37"/>
      <c r="P444" s="25"/>
      <c r="Q444" s="38"/>
      <c r="R444" s="37"/>
      <c r="S444" s="25"/>
      <c r="T444" s="25"/>
      <c r="U444" s="38"/>
      <c r="V444" s="26"/>
      <c r="W444" s="25"/>
      <c r="X444" s="25"/>
      <c r="Y444" s="25"/>
      <c r="Z444" s="25"/>
      <c r="AA444" s="25"/>
      <c r="AB444" s="25"/>
      <c r="AC444" s="25"/>
      <c r="AD444" s="25"/>
    </row>
    <row r="445" spans="1:30" x14ac:dyDescent="0.25">
      <c r="A445" s="18" t="str">
        <f t="shared" si="8"/>
        <v/>
      </c>
      <c r="B445" s="25"/>
      <c r="C445" s="25"/>
      <c r="D445" s="37"/>
      <c r="E445" s="25"/>
      <c r="F445" s="25"/>
      <c r="G445" s="38"/>
      <c r="H445" s="37"/>
      <c r="I445" s="25"/>
      <c r="J445" s="38"/>
      <c r="O445" s="37"/>
      <c r="P445" s="25"/>
      <c r="Q445" s="38"/>
      <c r="R445" s="37"/>
      <c r="S445" s="25"/>
      <c r="T445" s="25"/>
      <c r="U445" s="38"/>
      <c r="V445" s="26"/>
      <c r="W445" s="25"/>
      <c r="X445" s="25"/>
      <c r="Y445" s="25"/>
      <c r="Z445" s="25"/>
      <c r="AA445" s="25"/>
      <c r="AB445" s="25"/>
      <c r="AC445" s="25"/>
      <c r="AD445" s="25"/>
    </row>
    <row r="446" spans="1:30" x14ac:dyDescent="0.25">
      <c r="A446" s="18" t="str">
        <f t="shared" ref="A446:A494" si="9">IF(ISBLANK($B446)=FALSE,IF(AND($H446&gt;0,$I446&lt;=0,$J446&lt;=0),_xlfn.CONCAT("ofw_",$B446),IF(AND($H446&lt;=0,$I446&gt;0,$J446&lt;=0),_xlfn.CONCAT("owc_",$B446),IF(AND($H446&lt;=0,$I446&lt;=0,$J446&gt;0),_xlfn.CONCAT("opv_",$B446),_xlfn.CONCAT("oce_",$B446)))),"")</f>
        <v/>
      </c>
      <c r="B446" s="25"/>
      <c r="C446" s="25"/>
      <c r="D446" s="37"/>
      <c r="E446" s="25"/>
      <c r="F446" s="25"/>
      <c r="G446" s="38"/>
      <c r="H446" s="37"/>
      <c r="I446" s="25"/>
      <c r="J446" s="38"/>
      <c r="O446" s="37"/>
      <c r="P446" s="25"/>
      <c r="Q446" s="38"/>
      <c r="R446" s="37"/>
      <c r="S446" s="25"/>
      <c r="T446" s="25"/>
      <c r="U446" s="38"/>
      <c r="V446" s="26"/>
      <c r="W446" s="25"/>
      <c r="X446" s="25"/>
      <c r="Y446" s="25"/>
      <c r="Z446" s="25"/>
      <c r="AA446" s="25"/>
      <c r="AB446" s="25"/>
      <c r="AC446" s="25"/>
      <c r="AD446" s="25"/>
    </row>
    <row r="447" spans="1:30" x14ac:dyDescent="0.25">
      <c r="A447" s="18" t="str">
        <f t="shared" si="9"/>
        <v/>
      </c>
      <c r="B447" s="25"/>
      <c r="C447" s="25"/>
      <c r="D447" s="37"/>
      <c r="E447" s="25"/>
      <c r="F447" s="25"/>
      <c r="G447" s="38"/>
      <c r="H447" s="37"/>
      <c r="I447" s="25"/>
      <c r="J447" s="38"/>
      <c r="O447" s="37"/>
      <c r="P447" s="25"/>
      <c r="Q447" s="38"/>
      <c r="R447" s="37"/>
      <c r="S447" s="25"/>
      <c r="T447" s="25"/>
      <c r="U447" s="38"/>
      <c r="V447" s="26"/>
      <c r="W447" s="25"/>
      <c r="X447" s="25"/>
      <c r="Y447" s="25"/>
      <c r="Z447" s="25"/>
      <c r="AA447" s="25"/>
      <c r="AB447" s="25"/>
      <c r="AC447" s="25"/>
      <c r="AD447" s="25"/>
    </row>
    <row r="448" spans="1:30" x14ac:dyDescent="0.25">
      <c r="A448" s="18" t="str">
        <f t="shared" si="9"/>
        <v/>
      </c>
      <c r="B448" s="25"/>
      <c r="C448" s="25"/>
      <c r="D448" s="37"/>
      <c r="E448" s="25"/>
      <c r="F448" s="25"/>
      <c r="G448" s="38"/>
      <c r="H448" s="37"/>
      <c r="I448" s="25"/>
      <c r="J448" s="38"/>
      <c r="O448" s="37"/>
      <c r="P448" s="25"/>
      <c r="Q448" s="38"/>
      <c r="R448" s="37"/>
      <c r="S448" s="25"/>
      <c r="T448" s="25"/>
      <c r="U448" s="38"/>
      <c r="V448" s="26"/>
      <c r="W448" s="25"/>
      <c r="X448" s="25"/>
      <c r="Y448" s="25"/>
      <c r="Z448" s="25"/>
      <c r="AA448" s="25"/>
      <c r="AB448" s="25"/>
      <c r="AC448" s="25"/>
      <c r="AD448" s="25"/>
    </row>
    <row r="449" spans="1:30" x14ac:dyDescent="0.25">
      <c r="A449" s="18" t="str">
        <f t="shared" si="9"/>
        <v/>
      </c>
      <c r="B449" s="25"/>
      <c r="C449" s="25"/>
      <c r="D449" s="37"/>
      <c r="E449" s="25"/>
      <c r="F449" s="25"/>
      <c r="G449" s="38"/>
      <c r="H449" s="37"/>
      <c r="I449" s="25"/>
      <c r="J449" s="38"/>
      <c r="O449" s="37"/>
      <c r="P449" s="25"/>
      <c r="Q449" s="38"/>
      <c r="R449" s="37"/>
      <c r="S449" s="25"/>
      <c r="T449" s="25"/>
      <c r="U449" s="38"/>
      <c r="V449" s="26"/>
      <c r="W449" s="25"/>
      <c r="X449" s="25"/>
      <c r="Y449" s="25"/>
      <c r="Z449" s="25"/>
      <c r="AA449" s="25"/>
      <c r="AB449" s="25"/>
      <c r="AC449" s="25"/>
      <c r="AD449" s="25"/>
    </row>
    <row r="450" spans="1:30" x14ac:dyDescent="0.25">
      <c r="A450" s="18" t="str">
        <f t="shared" si="9"/>
        <v/>
      </c>
      <c r="B450" s="25"/>
      <c r="C450" s="25"/>
      <c r="D450" s="37"/>
      <c r="E450" s="25"/>
      <c r="F450" s="25"/>
      <c r="G450" s="38"/>
      <c r="H450" s="37"/>
      <c r="I450" s="25"/>
      <c r="J450" s="38"/>
      <c r="O450" s="37"/>
      <c r="P450" s="25"/>
      <c r="Q450" s="38"/>
      <c r="R450" s="37"/>
      <c r="S450" s="25"/>
      <c r="T450" s="25"/>
      <c r="U450" s="38"/>
      <c r="V450" s="26"/>
      <c r="W450" s="25"/>
      <c r="X450" s="25"/>
      <c r="Y450" s="25"/>
      <c r="Z450" s="25"/>
      <c r="AA450" s="25"/>
      <c r="AB450" s="25"/>
      <c r="AC450" s="25"/>
      <c r="AD450" s="25"/>
    </row>
    <row r="451" spans="1:30" x14ac:dyDescent="0.25">
      <c r="A451" s="18" t="str">
        <f t="shared" si="9"/>
        <v/>
      </c>
      <c r="B451" s="25"/>
      <c r="C451" s="25"/>
      <c r="D451" s="37"/>
      <c r="E451" s="25"/>
      <c r="F451" s="25"/>
      <c r="G451" s="38"/>
      <c r="H451" s="37"/>
      <c r="I451" s="25"/>
      <c r="J451" s="38"/>
      <c r="O451" s="37"/>
      <c r="P451" s="25"/>
      <c r="Q451" s="38"/>
      <c r="R451" s="37"/>
      <c r="S451" s="25"/>
      <c r="T451" s="25"/>
      <c r="U451" s="38"/>
      <c r="V451" s="26"/>
      <c r="W451" s="25"/>
      <c r="X451" s="25"/>
      <c r="Y451" s="25"/>
      <c r="Z451" s="25"/>
      <c r="AA451" s="25"/>
      <c r="AB451" s="25"/>
      <c r="AC451" s="25"/>
      <c r="AD451" s="25"/>
    </row>
    <row r="452" spans="1:30" x14ac:dyDescent="0.25">
      <c r="A452" s="18" t="str">
        <f t="shared" si="9"/>
        <v/>
      </c>
      <c r="B452" s="25"/>
      <c r="C452" s="25"/>
      <c r="D452" s="37"/>
      <c r="E452" s="25"/>
      <c r="F452" s="25"/>
      <c r="G452" s="38"/>
      <c r="H452" s="37"/>
      <c r="I452" s="25"/>
      <c r="J452" s="38"/>
      <c r="O452" s="37"/>
      <c r="P452" s="25"/>
      <c r="Q452" s="38"/>
      <c r="R452" s="37"/>
      <c r="S452" s="25"/>
      <c r="T452" s="25"/>
      <c r="U452" s="38"/>
      <c r="V452" s="26"/>
      <c r="W452" s="25"/>
      <c r="X452" s="25"/>
      <c r="Y452" s="25"/>
      <c r="Z452" s="25"/>
      <c r="AA452" s="25"/>
      <c r="AB452" s="25"/>
      <c r="AC452" s="25"/>
      <c r="AD452" s="25"/>
    </row>
    <row r="453" spans="1:30" x14ac:dyDescent="0.25">
      <c r="A453" s="18" t="str">
        <f t="shared" si="9"/>
        <v/>
      </c>
      <c r="B453" s="25"/>
      <c r="C453" s="25"/>
      <c r="D453" s="37"/>
      <c r="E453" s="25"/>
      <c r="F453" s="25"/>
      <c r="G453" s="38"/>
      <c r="H453" s="37"/>
      <c r="I453" s="25"/>
      <c r="J453" s="38"/>
      <c r="O453" s="37"/>
      <c r="P453" s="25"/>
      <c r="Q453" s="38"/>
      <c r="R453" s="37"/>
      <c r="S453" s="25"/>
      <c r="T453" s="25"/>
      <c r="U453" s="38"/>
      <c r="V453" s="26"/>
      <c r="W453" s="25"/>
      <c r="X453" s="25"/>
      <c r="Y453" s="25"/>
      <c r="Z453" s="25"/>
      <c r="AA453" s="25"/>
      <c r="AB453" s="25"/>
      <c r="AC453" s="25"/>
      <c r="AD453" s="25"/>
    </row>
    <row r="454" spans="1:30" x14ac:dyDescent="0.25">
      <c r="A454" s="18" t="str">
        <f t="shared" si="9"/>
        <v/>
      </c>
      <c r="B454" s="25"/>
      <c r="C454" s="25"/>
      <c r="D454" s="37"/>
      <c r="E454" s="25"/>
      <c r="F454" s="25"/>
      <c r="G454" s="38"/>
      <c r="H454" s="37"/>
      <c r="I454" s="25"/>
      <c r="J454" s="38"/>
      <c r="O454" s="37"/>
      <c r="P454" s="25"/>
      <c r="Q454" s="38"/>
      <c r="R454" s="37"/>
      <c r="S454" s="25"/>
      <c r="T454" s="25"/>
      <c r="U454" s="38"/>
      <c r="V454" s="26"/>
      <c r="W454" s="25"/>
      <c r="X454" s="25"/>
      <c r="Y454" s="25"/>
      <c r="Z454" s="25"/>
      <c r="AA454" s="25"/>
      <c r="AB454" s="25"/>
      <c r="AC454" s="25"/>
      <c r="AD454" s="25"/>
    </row>
    <row r="455" spans="1:30" x14ac:dyDescent="0.25">
      <c r="A455" s="18" t="str">
        <f t="shared" si="9"/>
        <v/>
      </c>
      <c r="B455" s="25"/>
      <c r="C455" s="25"/>
      <c r="D455" s="37"/>
      <c r="E455" s="25"/>
      <c r="F455" s="25"/>
      <c r="G455" s="38"/>
      <c r="H455" s="37"/>
      <c r="I455" s="25"/>
      <c r="J455" s="38"/>
      <c r="O455" s="37"/>
      <c r="P455" s="25"/>
      <c r="Q455" s="38"/>
      <c r="R455" s="37"/>
      <c r="S455" s="25"/>
      <c r="T455" s="25"/>
      <c r="U455" s="38"/>
      <c r="V455" s="26"/>
      <c r="W455" s="25"/>
      <c r="X455" s="25"/>
      <c r="Y455" s="25"/>
      <c r="Z455" s="25"/>
      <c r="AA455" s="25"/>
      <c r="AB455" s="25"/>
      <c r="AC455" s="25"/>
      <c r="AD455" s="25"/>
    </row>
    <row r="456" spans="1:30" x14ac:dyDescent="0.25">
      <c r="A456" s="18" t="str">
        <f t="shared" si="9"/>
        <v/>
      </c>
      <c r="B456" s="25"/>
      <c r="C456" s="25"/>
      <c r="D456" s="37"/>
      <c r="E456" s="25"/>
      <c r="F456" s="25"/>
      <c r="G456" s="38"/>
      <c r="H456" s="37"/>
      <c r="I456" s="25"/>
      <c r="J456" s="38"/>
      <c r="O456" s="37"/>
      <c r="P456" s="25"/>
      <c r="Q456" s="38"/>
      <c r="R456" s="37"/>
      <c r="S456" s="25"/>
      <c r="T456" s="25"/>
      <c r="U456" s="38"/>
      <c r="V456" s="26"/>
      <c r="W456" s="25"/>
      <c r="X456" s="25"/>
      <c r="Y456" s="25"/>
      <c r="Z456" s="25"/>
      <c r="AA456" s="25"/>
      <c r="AB456" s="25"/>
      <c r="AC456" s="25"/>
      <c r="AD456" s="25"/>
    </row>
    <row r="457" spans="1:30" x14ac:dyDescent="0.25">
      <c r="A457" s="18" t="str">
        <f t="shared" si="9"/>
        <v/>
      </c>
      <c r="B457" s="25"/>
      <c r="C457" s="25"/>
      <c r="D457" s="37"/>
      <c r="E457" s="25"/>
      <c r="F457" s="25"/>
      <c r="G457" s="38"/>
      <c r="H457" s="37"/>
      <c r="I457" s="25"/>
      <c r="J457" s="38"/>
      <c r="O457" s="37"/>
      <c r="P457" s="25"/>
      <c r="Q457" s="38"/>
      <c r="R457" s="37"/>
      <c r="S457" s="25"/>
      <c r="T457" s="25"/>
      <c r="U457" s="38"/>
      <c r="V457" s="26"/>
      <c r="W457" s="25"/>
      <c r="X457" s="25"/>
      <c r="Y457" s="25"/>
      <c r="Z457" s="25"/>
      <c r="AA457" s="25"/>
      <c r="AB457" s="25"/>
      <c r="AC457" s="25"/>
      <c r="AD457" s="25"/>
    </row>
    <row r="458" spans="1:30" x14ac:dyDescent="0.25">
      <c r="A458" s="18" t="str">
        <f t="shared" si="9"/>
        <v/>
      </c>
      <c r="B458" s="25"/>
      <c r="C458" s="25"/>
      <c r="D458" s="37"/>
      <c r="E458" s="25"/>
      <c r="F458" s="25"/>
      <c r="G458" s="38"/>
      <c r="H458" s="37"/>
      <c r="I458" s="25"/>
      <c r="J458" s="38"/>
      <c r="O458" s="37"/>
      <c r="P458" s="25"/>
      <c r="Q458" s="38"/>
      <c r="R458" s="37"/>
      <c r="S458" s="25"/>
      <c r="T458" s="25"/>
      <c r="U458" s="38"/>
      <c r="V458" s="26"/>
      <c r="W458" s="25"/>
      <c r="X458" s="25"/>
      <c r="Y458" s="25"/>
      <c r="Z458" s="25"/>
      <c r="AA458" s="25"/>
      <c r="AB458" s="25"/>
      <c r="AC458" s="25"/>
      <c r="AD458" s="25"/>
    </row>
    <row r="459" spans="1:30" x14ac:dyDescent="0.25">
      <c r="A459" s="18" t="str">
        <f t="shared" si="9"/>
        <v/>
      </c>
      <c r="B459" s="25"/>
      <c r="C459" s="25"/>
      <c r="D459" s="37"/>
      <c r="E459" s="25"/>
      <c r="F459" s="25"/>
      <c r="G459" s="38"/>
      <c r="H459" s="37"/>
      <c r="I459" s="25"/>
      <c r="J459" s="38"/>
      <c r="O459" s="37"/>
      <c r="P459" s="25"/>
      <c r="Q459" s="38"/>
      <c r="R459" s="37"/>
      <c r="S459" s="25"/>
      <c r="T459" s="25"/>
      <c r="U459" s="38"/>
      <c r="V459" s="26"/>
      <c r="W459" s="25"/>
      <c r="X459" s="25"/>
      <c r="Y459" s="25"/>
      <c r="Z459" s="25"/>
      <c r="AA459" s="25"/>
      <c r="AB459" s="25"/>
      <c r="AC459" s="25"/>
      <c r="AD459" s="25"/>
    </row>
    <row r="460" spans="1:30" x14ac:dyDescent="0.25">
      <c r="A460" s="18" t="str">
        <f t="shared" si="9"/>
        <v/>
      </c>
      <c r="B460" s="25"/>
      <c r="C460" s="25"/>
      <c r="D460" s="37"/>
      <c r="E460" s="25"/>
      <c r="F460" s="25"/>
      <c r="G460" s="38"/>
      <c r="H460" s="37"/>
      <c r="I460" s="25"/>
      <c r="J460" s="38"/>
      <c r="O460" s="37"/>
      <c r="P460" s="25"/>
      <c r="Q460" s="38"/>
      <c r="R460" s="37"/>
      <c r="S460" s="25"/>
      <c r="T460" s="25"/>
      <c r="U460" s="38"/>
      <c r="V460" s="26"/>
      <c r="W460" s="25"/>
      <c r="X460" s="25"/>
      <c r="Y460" s="25"/>
      <c r="Z460" s="25"/>
      <c r="AA460" s="25"/>
      <c r="AB460" s="25"/>
      <c r="AC460" s="25"/>
      <c r="AD460" s="25"/>
    </row>
    <row r="461" spans="1:30" x14ac:dyDescent="0.25">
      <c r="A461" s="18" t="str">
        <f t="shared" si="9"/>
        <v/>
      </c>
      <c r="B461" s="25"/>
      <c r="C461" s="25"/>
      <c r="D461" s="37"/>
      <c r="E461" s="25"/>
      <c r="F461" s="25"/>
      <c r="G461" s="38"/>
      <c r="H461" s="37"/>
      <c r="I461" s="25"/>
      <c r="J461" s="38"/>
      <c r="O461" s="37"/>
      <c r="P461" s="25"/>
      <c r="Q461" s="38"/>
      <c r="R461" s="37"/>
      <c r="S461" s="25"/>
      <c r="T461" s="25"/>
      <c r="U461" s="38"/>
      <c r="V461" s="26"/>
      <c r="W461" s="25"/>
      <c r="X461" s="25"/>
      <c r="Y461" s="25"/>
      <c r="Z461" s="25"/>
      <c r="AA461" s="25"/>
      <c r="AB461" s="25"/>
      <c r="AC461" s="25"/>
      <c r="AD461" s="25"/>
    </row>
    <row r="462" spans="1:30" x14ac:dyDescent="0.25">
      <c r="A462" s="18" t="str">
        <f t="shared" si="9"/>
        <v/>
      </c>
      <c r="B462" s="25"/>
      <c r="C462" s="25"/>
      <c r="D462" s="37"/>
      <c r="E462" s="25"/>
      <c r="F462" s="25"/>
      <c r="G462" s="38"/>
      <c r="H462" s="37"/>
      <c r="I462" s="25"/>
      <c r="J462" s="38"/>
      <c r="O462" s="37"/>
      <c r="P462" s="25"/>
      <c r="Q462" s="38"/>
      <c r="R462" s="37"/>
      <c r="S462" s="25"/>
      <c r="T462" s="25"/>
      <c r="U462" s="38"/>
      <c r="V462" s="26"/>
      <c r="W462" s="25"/>
      <c r="X462" s="25"/>
      <c r="Y462" s="25"/>
      <c r="Z462" s="25"/>
      <c r="AA462" s="25"/>
      <c r="AB462" s="25"/>
      <c r="AC462" s="25"/>
      <c r="AD462" s="25"/>
    </row>
    <row r="463" spans="1:30" x14ac:dyDescent="0.25">
      <c r="A463" s="18" t="str">
        <f t="shared" si="9"/>
        <v/>
      </c>
      <c r="B463" s="25"/>
      <c r="C463" s="25"/>
      <c r="D463" s="37"/>
      <c r="E463" s="25"/>
      <c r="F463" s="25"/>
      <c r="G463" s="38"/>
      <c r="H463" s="37"/>
      <c r="I463" s="25"/>
      <c r="J463" s="38"/>
      <c r="O463" s="37"/>
      <c r="P463" s="25"/>
      <c r="Q463" s="38"/>
      <c r="R463" s="37"/>
      <c r="S463" s="25"/>
      <c r="T463" s="25"/>
      <c r="U463" s="38"/>
      <c r="V463" s="26"/>
      <c r="W463" s="25"/>
      <c r="X463" s="25"/>
      <c r="Y463" s="25"/>
      <c r="Z463" s="25"/>
      <c r="AA463" s="25"/>
      <c r="AB463" s="25"/>
      <c r="AC463" s="25"/>
      <c r="AD463" s="25"/>
    </row>
    <row r="464" spans="1:30" x14ac:dyDescent="0.25">
      <c r="A464" s="18" t="str">
        <f t="shared" si="9"/>
        <v/>
      </c>
      <c r="B464" s="25"/>
      <c r="C464" s="25"/>
      <c r="D464" s="37"/>
      <c r="E464" s="25"/>
      <c r="F464" s="25"/>
      <c r="G464" s="38"/>
      <c r="H464" s="37"/>
      <c r="I464" s="25"/>
      <c r="J464" s="38"/>
      <c r="O464" s="37"/>
      <c r="P464" s="25"/>
      <c r="Q464" s="38"/>
      <c r="R464" s="37"/>
      <c r="S464" s="25"/>
      <c r="T464" s="25"/>
      <c r="U464" s="38"/>
      <c r="V464" s="26"/>
      <c r="W464" s="25"/>
      <c r="X464" s="25"/>
      <c r="Y464" s="25"/>
      <c r="Z464" s="25"/>
      <c r="AA464" s="25"/>
      <c r="AB464" s="25"/>
      <c r="AC464" s="25"/>
      <c r="AD464" s="25"/>
    </row>
    <row r="465" spans="1:30" x14ac:dyDescent="0.25">
      <c r="A465" s="18" t="str">
        <f t="shared" si="9"/>
        <v/>
      </c>
      <c r="B465" s="25"/>
      <c r="C465" s="25"/>
      <c r="D465" s="37"/>
      <c r="E465" s="25"/>
      <c r="F465" s="25"/>
      <c r="G465" s="38"/>
      <c r="H465" s="37"/>
      <c r="I465" s="25"/>
      <c r="J465" s="38"/>
      <c r="O465" s="37"/>
      <c r="P465" s="25"/>
      <c r="Q465" s="38"/>
      <c r="R465" s="37"/>
      <c r="S465" s="25"/>
      <c r="T465" s="25"/>
      <c r="U465" s="38"/>
      <c r="V465" s="26"/>
      <c r="W465" s="25"/>
      <c r="X465" s="25"/>
      <c r="Y465" s="25"/>
      <c r="Z465" s="25"/>
      <c r="AA465" s="25"/>
      <c r="AB465" s="25"/>
      <c r="AC465" s="25"/>
      <c r="AD465" s="25"/>
    </row>
    <row r="466" spans="1:30" x14ac:dyDescent="0.25">
      <c r="A466" s="18" t="str">
        <f t="shared" si="9"/>
        <v/>
      </c>
      <c r="B466" s="25"/>
      <c r="C466" s="25"/>
      <c r="D466" s="37"/>
      <c r="E466" s="25"/>
      <c r="F466" s="25"/>
      <c r="G466" s="38"/>
      <c r="H466" s="37"/>
      <c r="I466" s="25"/>
      <c r="J466" s="38"/>
      <c r="O466" s="37"/>
      <c r="P466" s="25"/>
      <c r="Q466" s="38"/>
      <c r="R466" s="37"/>
      <c r="S466" s="25"/>
      <c r="T466" s="25"/>
      <c r="U466" s="38"/>
      <c r="V466" s="26"/>
      <c r="W466" s="25"/>
      <c r="X466" s="25"/>
      <c r="Y466" s="25"/>
      <c r="Z466" s="25"/>
      <c r="AA466" s="25"/>
      <c r="AB466" s="25"/>
      <c r="AC466" s="25"/>
      <c r="AD466" s="25"/>
    </row>
    <row r="467" spans="1:30" x14ac:dyDescent="0.25">
      <c r="A467" s="18" t="str">
        <f t="shared" si="9"/>
        <v/>
      </c>
      <c r="B467" s="25"/>
      <c r="C467" s="25"/>
      <c r="D467" s="37"/>
      <c r="E467" s="25"/>
      <c r="F467" s="25"/>
      <c r="G467" s="38"/>
      <c r="H467" s="37"/>
      <c r="I467" s="25"/>
      <c r="J467" s="38"/>
      <c r="O467" s="37"/>
      <c r="P467" s="25"/>
      <c r="Q467" s="38"/>
      <c r="R467" s="37"/>
      <c r="S467" s="25"/>
      <c r="T467" s="25"/>
      <c r="U467" s="38"/>
      <c r="V467" s="26"/>
      <c r="W467" s="25"/>
      <c r="X467" s="25"/>
      <c r="Y467" s="25"/>
      <c r="Z467" s="25"/>
      <c r="AA467" s="25"/>
      <c r="AB467" s="25"/>
      <c r="AC467" s="25"/>
      <c r="AD467" s="25"/>
    </row>
    <row r="468" spans="1:30" x14ac:dyDescent="0.25">
      <c r="A468" s="18" t="str">
        <f t="shared" si="9"/>
        <v/>
      </c>
      <c r="B468" s="25"/>
      <c r="C468" s="25"/>
      <c r="D468" s="37"/>
      <c r="E468" s="25"/>
      <c r="F468" s="25"/>
      <c r="G468" s="38"/>
      <c r="H468" s="37"/>
      <c r="I468" s="25"/>
      <c r="J468" s="38"/>
      <c r="O468" s="37"/>
      <c r="P468" s="25"/>
      <c r="Q468" s="38"/>
      <c r="R468" s="37"/>
      <c r="S468" s="25"/>
      <c r="T468" s="25"/>
      <c r="U468" s="38"/>
      <c r="V468" s="26"/>
      <c r="W468" s="25"/>
      <c r="X468" s="25"/>
      <c r="Y468" s="25"/>
      <c r="Z468" s="25"/>
      <c r="AA468" s="25"/>
      <c r="AB468" s="25"/>
      <c r="AC468" s="25"/>
      <c r="AD468" s="25"/>
    </row>
    <row r="469" spans="1:30" x14ac:dyDescent="0.25">
      <c r="A469" s="18" t="str">
        <f t="shared" si="9"/>
        <v/>
      </c>
      <c r="B469" s="25"/>
      <c r="C469" s="25"/>
      <c r="D469" s="37"/>
      <c r="E469" s="25"/>
      <c r="F469" s="25"/>
      <c r="G469" s="38"/>
      <c r="H469" s="37"/>
      <c r="I469" s="25"/>
      <c r="J469" s="38"/>
      <c r="O469" s="37"/>
      <c r="P469" s="25"/>
      <c r="Q469" s="38"/>
      <c r="R469" s="37"/>
      <c r="S469" s="25"/>
      <c r="T469" s="25"/>
      <c r="U469" s="38"/>
      <c r="V469" s="26"/>
      <c r="W469" s="25"/>
      <c r="X469" s="25"/>
      <c r="Y469" s="25"/>
      <c r="Z469" s="25"/>
      <c r="AA469" s="25"/>
      <c r="AB469" s="25"/>
      <c r="AC469" s="25"/>
      <c r="AD469" s="25"/>
    </row>
    <row r="470" spans="1:30" x14ac:dyDescent="0.25">
      <c r="A470" s="18" t="str">
        <f t="shared" si="9"/>
        <v/>
      </c>
      <c r="B470" s="25"/>
      <c r="C470" s="25"/>
      <c r="D470" s="37"/>
      <c r="E470" s="25"/>
      <c r="F470" s="25"/>
      <c r="G470" s="38"/>
      <c r="H470" s="37"/>
      <c r="I470" s="25"/>
      <c r="J470" s="38"/>
      <c r="O470" s="37"/>
      <c r="P470" s="25"/>
      <c r="Q470" s="38"/>
      <c r="R470" s="37"/>
      <c r="S470" s="25"/>
      <c r="T470" s="25"/>
      <c r="U470" s="38"/>
      <c r="V470" s="26"/>
      <c r="W470" s="25"/>
      <c r="X470" s="25"/>
      <c r="Y470" s="25"/>
      <c r="Z470" s="25"/>
      <c r="AA470" s="25"/>
      <c r="AB470" s="25"/>
      <c r="AC470" s="25"/>
      <c r="AD470" s="25"/>
    </row>
    <row r="471" spans="1:30" x14ac:dyDescent="0.25">
      <c r="A471" s="18" t="str">
        <f t="shared" si="9"/>
        <v/>
      </c>
      <c r="B471" s="25"/>
      <c r="C471" s="25"/>
      <c r="D471" s="37"/>
      <c r="E471" s="25"/>
      <c r="F471" s="25"/>
      <c r="G471" s="38"/>
      <c r="H471" s="37"/>
      <c r="I471" s="25"/>
      <c r="J471" s="38"/>
      <c r="O471" s="37"/>
      <c r="P471" s="25"/>
      <c r="Q471" s="38"/>
      <c r="R471" s="37"/>
      <c r="S471" s="25"/>
      <c r="T471" s="25"/>
      <c r="U471" s="38"/>
      <c r="V471" s="26"/>
      <c r="W471" s="25"/>
      <c r="X471" s="25"/>
      <c r="Y471" s="25"/>
      <c r="Z471" s="25"/>
      <c r="AA471" s="25"/>
      <c r="AB471" s="25"/>
      <c r="AC471" s="25"/>
      <c r="AD471" s="25"/>
    </row>
    <row r="472" spans="1:30" x14ac:dyDescent="0.25">
      <c r="A472" s="18" t="str">
        <f t="shared" si="9"/>
        <v/>
      </c>
      <c r="B472" s="25"/>
      <c r="C472" s="25"/>
      <c r="D472" s="37"/>
      <c r="E472" s="25"/>
      <c r="F472" s="25"/>
      <c r="G472" s="38"/>
      <c r="H472" s="37"/>
      <c r="I472" s="25"/>
      <c r="J472" s="38"/>
      <c r="O472" s="37"/>
      <c r="P472" s="25"/>
      <c r="Q472" s="38"/>
      <c r="R472" s="37"/>
      <c r="S472" s="25"/>
      <c r="T472" s="25"/>
      <c r="U472" s="38"/>
      <c r="V472" s="26"/>
      <c r="W472" s="25"/>
      <c r="X472" s="25"/>
      <c r="Y472" s="25"/>
      <c r="Z472" s="25"/>
      <c r="AA472" s="25"/>
      <c r="AB472" s="25"/>
      <c r="AC472" s="25"/>
      <c r="AD472" s="25"/>
    </row>
    <row r="473" spans="1:30" x14ac:dyDescent="0.25">
      <c r="A473" s="18" t="str">
        <f t="shared" si="9"/>
        <v/>
      </c>
      <c r="B473" s="25"/>
      <c r="C473" s="25"/>
      <c r="D473" s="37"/>
      <c r="E473" s="25"/>
      <c r="F473" s="25"/>
      <c r="G473" s="38"/>
      <c r="H473" s="37"/>
      <c r="I473" s="25"/>
      <c r="J473" s="38"/>
      <c r="O473" s="37"/>
      <c r="P473" s="25"/>
      <c r="Q473" s="38"/>
      <c r="R473" s="37"/>
      <c r="S473" s="25"/>
      <c r="T473" s="25"/>
      <c r="U473" s="38"/>
      <c r="V473" s="26"/>
      <c r="W473" s="25"/>
      <c r="X473" s="25"/>
      <c r="Y473" s="25"/>
      <c r="Z473" s="25"/>
      <c r="AA473" s="25"/>
      <c r="AB473" s="25"/>
      <c r="AC473" s="25"/>
      <c r="AD473" s="25"/>
    </row>
    <row r="474" spans="1:30" x14ac:dyDescent="0.25">
      <c r="A474" s="18" t="str">
        <f t="shared" si="9"/>
        <v/>
      </c>
      <c r="B474" s="25"/>
      <c r="C474" s="25"/>
      <c r="D474" s="37"/>
      <c r="E474" s="25"/>
      <c r="F474" s="25"/>
      <c r="G474" s="38"/>
      <c r="H474" s="37"/>
      <c r="I474" s="25"/>
      <c r="J474" s="38"/>
      <c r="O474" s="37"/>
      <c r="P474" s="25"/>
      <c r="Q474" s="38"/>
      <c r="R474" s="37"/>
      <c r="S474" s="25"/>
      <c r="T474" s="25"/>
      <c r="U474" s="38"/>
      <c r="V474" s="26"/>
      <c r="W474" s="25"/>
      <c r="X474" s="25"/>
      <c r="Y474" s="25"/>
      <c r="Z474" s="25"/>
      <c r="AA474" s="25"/>
      <c r="AB474" s="25"/>
      <c r="AC474" s="25"/>
      <c r="AD474" s="25"/>
    </row>
    <row r="475" spans="1:30" x14ac:dyDescent="0.25">
      <c r="A475" s="18" t="str">
        <f t="shared" si="9"/>
        <v/>
      </c>
      <c r="B475" s="25"/>
      <c r="C475" s="25"/>
      <c r="D475" s="37"/>
      <c r="E475" s="25"/>
      <c r="F475" s="25"/>
      <c r="G475" s="38"/>
      <c r="H475" s="37"/>
      <c r="I475" s="25"/>
      <c r="J475" s="38"/>
      <c r="O475" s="37"/>
      <c r="P475" s="25"/>
      <c r="Q475" s="38"/>
      <c r="R475" s="37"/>
      <c r="S475" s="25"/>
      <c r="T475" s="25"/>
      <c r="U475" s="38"/>
      <c r="V475" s="26"/>
      <c r="W475" s="25"/>
      <c r="X475" s="25"/>
      <c r="Y475" s="25"/>
      <c r="Z475" s="25"/>
      <c r="AA475" s="25"/>
      <c r="AB475" s="25"/>
      <c r="AC475" s="25"/>
      <c r="AD475" s="25"/>
    </row>
    <row r="476" spans="1:30" x14ac:dyDescent="0.25">
      <c r="A476" s="18" t="str">
        <f t="shared" si="9"/>
        <v/>
      </c>
      <c r="B476" s="25"/>
      <c r="C476" s="25"/>
      <c r="D476" s="37"/>
      <c r="E476" s="25"/>
      <c r="F476" s="25"/>
      <c r="G476" s="38"/>
      <c r="H476" s="37"/>
      <c r="I476" s="25"/>
      <c r="J476" s="38"/>
      <c r="O476" s="37"/>
      <c r="P476" s="25"/>
      <c r="Q476" s="38"/>
      <c r="R476" s="37"/>
      <c r="S476" s="25"/>
      <c r="T476" s="25"/>
      <c r="U476" s="38"/>
      <c r="V476" s="26"/>
      <c r="W476" s="25"/>
      <c r="X476" s="25"/>
      <c r="Y476" s="25"/>
      <c r="Z476" s="25"/>
      <c r="AA476" s="25"/>
      <c r="AB476" s="25"/>
      <c r="AC476" s="25"/>
      <c r="AD476" s="25"/>
    </row>
    <row r="477" spans="1:30" x14ac:dyDescent="0.25">
      <c r="A477" s="18" t="str">
        <f t="shared" si="9"/>
        <v/>
      </c>
      <c r="B477" s="25"/>
      <c r="C477" s="25"/>
      <c r="D477" s="37"/>
      <c r="E477" s="25"/>
      <c r="F477" s="25"/>
      <c r="G477" s="38"/>
      <c r="H477" s="37"/>
      <c r="I477" s="25"/>
      <c r="J477" s="38"/>
      <c r="O477" s="37"/>
      <c r="P477" s="25"/>
      <c r="Q477" s="38"/>
      <c r="R477" s="37"/>
      <c r="S477" s="25"/>
      <c r="T477" s="25"/>
      <c r="U477" s="38"/>
      <c r="V477" s="26"/>
      <c r="W477" s="25"/>
      <c r="X477" s="25"/>
      <c r="Y477" s="25"/>
      <c r="Z477" s="25"/>
      <c r="AA477" s="25"/>
      <c r="AB477" s="25"/>
      <c r="AC477" s="25"/>
      <c r="AD477" s="25"/>
    </row>
    <row r="478" spans="1:30" x14ac:dyDescent="0.25">
      <c r="A478" s="18" t="str">
        <f t="shared" si="9"/>
        <v/>
      </c>
      <c r="B478" s="25"/>
      <c r="C478" s="25"/>
      <c r="D478" s="37"/>
      <c r="E478" s="25"/>
      <c r="F478" s="25"/>
      <c r="G478" s="38"/>
      <c r="H478" s="37"/>
      <c r="I478" s="25"/>
      <c r="J478" s="38"/>
      <c r="O478" s="37"/>
      <c r="P478" s="25"/>
      <c r="Q478" s="38"/>
      <c r="R478" s="37"/>
      <c r="S478" s="25"/>
      <c r="T478" s="25"/>
      <c r="U478" s="38"/>
      <c r="V478" s="26"/>
      <c r="W478" s="25"/>
      <c r="X478" s="25"/>
      <c r="Y478" s="25"/>
      <c r="Z478" s="25"/>
      <c r="AA478" s="25"/>
      <c r="AB478" s="25"/>
      <c r="AC478" s="25"/>
      <c r="AD478" s="25"/>
    </row>
    <row r="479" spans="1:30" x14ac:dyDescent="0.25">
      <c r="A479" s="18" t="str">
        <f t="shared" si="9"/>
        <v/>
      </c>
      <c r="B479" s="25"/>
      <c r="C479" s="25"/>
      <c r="D479" s="37"/>
      <c r="E479" s="25"/>
      <c r="F479" s="25"/>
      <c r="G479" s="38"/>
      <c r="H479" s="37"/>
      <c r="I479" s="25"/>
      <c r="J479" s="38"/>
      <c r="O479" s="37"/>
      <c r="P479" s="25"/>
      <c r="Q479" s="38"/>
      <c r="R479" s="37"/>
      <c r="S479" s="25"/>
      <c r="T479" s="25"/>
      <c r="U479" s="38"/>
      <c r="V479" s="26"/>
      <c r="W479" s="25"/>
      <c r="X479" s="25"/>
      <c r="Y479" s="25"/>
      <c r="Z479" s="25"/>
      <c r="AA479" s="25"/>
      <c r="AB479" s="25"/>
      <c r="AC479" s="25"/>
      <c r="AD479" s="25"/>
    </row>
    <row r="480" spans="1:30" x14ac:dyDescent="0.25">
      <c r="A480" s="18" t="str">
        <f t="shared" si="9"/>
        <v/>
      </c>
      <c r="B480" s="25"/>
      <c r="C480" s="25"/>
      <c r="D480" s="37"/>
      <c r="E480" s="25"/>
      <c r="F480" s="25"/>
      <c r="G480" s="38"/>
      <c r="H480" s="37"/>
      <c r="I480" s="25"/>
      <c r="J480" s="38"/>
      <c r="O480" s="37"/>
      <c r="P480" s="25"/>
      <c r="Q480" s="38"/>
      <c r="R480" s="37"/>
      <c r="S480" s="25"/>
      <c r="T480" s="25"/>
      <c r="U480" s="38"/>
      <c r="V480" s="26"/>
      <c r="W480" s="25"/>
      <c r="X480" s="25"/>
      <c r="Y480" s="25"/>
      <c r="Z480" s="25"/>
      <c r="AA480" s="25"/>
      <c r="AB480" s="25"/>
      <c r="AC480" s="25"/>
      <c r="AD480" s="25"/>
    </row>
    <row r="481" spans="1:30" x14ac:dyDescent="0.25">
      <c r="A481" s="18" t="str">
        <f t="shared" si="9"/>
        <v/>
      </c>
      <c r="B481" s="25"/>
      <c r="C481" s="25"/>
      <c r="D481" s="37"/>
      <c r="E481" s="25"/>
      <c r="F481" s="25"/>
      <c r="G481" s="38"/>
      <c r="H481" s="37"/>
      <c r="I481" s="25"/>
      <c r="J481" s="38"/>
      <c r="O481" s="37"/>
      <c r="P481" s="25"/>
      <c r="Q481" s="38"/>
      <c r="R481" s="37"/>
      <c r="S481" s="25"/>
      <c r="T481" s="25"/>
      <c r="U481" s="38"/>
      <c r="V481" s="26"/>
      <c r="W481" s="25"/>
      <c r="X481" s="25"/>
      <c r="Y481" s="25"/>
      <c r="Z481" s="25"/>
      <c r="AA481" s="25"/>
      <c r="AB481" s="25"/>
      <c r="AC481" s="25"/>
      <c r="AD481" s="25"/>
    </row>
    <row r="482" spans="1:30" x14ac:dyDescent="0.25">
      <c r="A482" s="18" t="str">
        <f t="shared" si="9"/>
        <v/>
      </c>
      <c r="B482" s="25"/>
      <c r="C482" s="25"/>
      <c r="D482" s="37"/>
      <c r="E482" s="25"/>
      <c r="F482" s="25"/>
      <c r="G482" s="38"/>
      <c r="H482" s="37"/>
      <c r="I482" s="25"/>
      <c r="J482" s="38"/>
      <c r="O482" s="37"/>
      <c r="P482" s="25"/>
      <c r="Q482" s="38"/>
      <c r="R482" s="37"/>
      <c r="S482" s="25"/>
      <c r="T482" s="25"/>
      <c r="U482" s="38"/>
      <c r="V482" s="26"/>
      <c r="W482" s="25"/>
      <c r="X482" s="25"/>
      <c r="Y482" s="25"/>
      <c r="Z482" s="25"/>
      <c r="AA482" s="25"/>
      <c r="AB482" s="25"/>
      <c r="AC482" s="25"/>
      <c r="AD482" s="25"/>
    </row>
    <row r="483" spans="1:30" x14ac:dyDescent="0.25">
      <c r="A483" s="18" t="str">
        <f t="shared" si="9"/>
        <v/>
      </c>
      <c r="B483" s="25"/>
      <c r="C483" s="25"/>
      <c r="D483" s="37"/>
      <c r="E483" s="25"/>
      <c r="F483" s="25"/>
      <c r="G483" s="38"/>
      <c r="H483" s="37"/>
      <c r="I483" s="25"/>
      <c r="J483" s="38"/>
      <c r="O483" s="37"/>
      <c r="P483" s="25"/>
      <c r="Q483" s="38"/>
      <c r="R483" s="37"/>
      <c r="S483" s="25"/>
      <c r="T483" s="25"/>
      <c r="U483" s="38"/>
      <c r="V483" s="26"/>
      <c r="W483" s="25"/>
      <c r="X483" s="25"/>
      <c r="Y483" s="25"/>
      <c r="Z483" s="25"/>
      <c r="AA483" s="25"/>
      <c r="AB483" s="25"/>
      <c r="AC483" s="25"/>
      <c r="AD483" s="25"/>
    </row>
    <row r="484" spans="1:30" x14ac:dyDescent="0.25">
      <c r="A484" s="18" t="str">
        <f t="shared" si="9"/>
        <v/>
      </c>
      <c r="B484" s="25"/>
      <c r="C484" s="25"/>
      <c r="D484" s="37"/>
      <c r="E484" s="25"/>
      <c r="F484" s="25"/>
      <c r="G484" s="38"/>
      <c r="H484" s="37"/>
      <c r="I484" s="25"/>
      <c r="J484" s="38"/>
      <c r="O484" s="37"/>
      <c r="P484" s="25"/>
      <c r="Q484" s="38"/>
      <c r="R484" s="37"/>
      <c r="S484" s="25"/>
      <c r="T484" s="25"/>
      <c r="U484" s="38"/>
      <c r="V484" s="26"/>
      <c r="W484" s="25"/>
      <c r="X484" s="25"/>
      <c r="Y484" s="25"/>
      <c r="Z484" s="25"/>
      <c r="AA484" s="25"/>
      <c r="AB484" s="25"/>
      <c r="AC484" s="25"/>
      <c r="AD484" s="25"/>
    </row>
    <row r="485" spans="1:30" x14ac:dyDescent="0.25">
      <c r="A485" s="18" t="str">
        <f t="shared" si="9"/>
        <v/>
      </c>
      <c r="B485" s="25"/>
      <c r="C485" s="25"/>
      <c r="D485" s="37"/>
      <c r="E485" s="25"/>
      <c r="F485" s="25"/>
      <c r="G485" s="38"/>
      <c r="H485" s="37"/>
      <c r="I485" s="25"/>
      <c r="J485" s="38"/>
      <c r="O485" s="37"/>
      <c r="P485" s="25"/>
      <c r="Q485" s="38"/>
      <c r="R485" s="37"/>
      <c r="S485" s="25"/>
      <c r="T485" s="25"/>
      <c r="U485" s="38"/>
      <c r="V485" s="26"/>
      <c r="W485" s="25"/>
      <c r="X485" s="25"/>
      <c r="Y485" s="25"/>
      <c r="Z485" s="25"/>
      <c r="AA485" s="25"/>
      <c r="AB485" s="25"/>
      <c r="AC485" s="25"/>
      <c r="AD485" s="25"/>
    </row>
    <row r="486" spans="1:30" x14ac:dyDescent="0.25">
      <c r="A486" s="18" t="str">
        <f t="shared" si="9"/>
        <v/>
      </c>
      <c r="B486" s="25"/>
      <c r="C486" s="25"/>
      <c r="D486" s="37"/>
      <c r="E486" s="25"/>
      <c r="F486" s="25"/>
      <c r="G486" s="38"/>
      <c r="H486" s="37"/>
      <c r="I486" s="25"/>
      <c r="J486" s="38"/>
      <c r="O486" s="37"/>
      <c r="P486" s="25"/>
      <c r="Q486" s="38"/>
      <c r="R486" s="37"/>
      <c r="S486" s="25"/>
      <c r="T486" s="25"/>
      <c r="U486" s="38"/>
      <c r="V486" s="26"/>
      <c r="W486" s="25"/>
      <c r="X486" s="25"/>
      <c r="Y486" s="25"/>
      <c r="Z486" s="25"/>
      <c r="AA486" s="25"/>
      <c r="AB486" s="25"/>
      <c r="AC486" s="25"/>
      <c r="AD486" s="25"/>
    </row>
    <row r="487" spans="1:30" x14ac:dyDescent="0.25">
      <c r="A487" s="18" t="str">
        <f t="shared" si="9"/>
        <v/>
      </c>
      <c r="B487" s="25"/>
      <c r="C487" s="25"/>
      <c r="D487" s="37"/>
      <c r="E487" s="25"/>
      <c r="F487" s="25"/>
      <c r="G487" s="38"/>
      <c r="H487" s="37"/>
      <c r="I487" s="25"/>
      <c r="J487" s="38"/>
      <c r="O487" s="37"/>
      <c r="P487" s="25"/>
      <c r="Q487" s="38"/>
      <c r="R487" s="37"/>
      <c r="S487" s="25"/>
      <c r="T487" s="25"/>
      <c r="U487" s="38"/>
      <c r="V487" s="26"/>
      <c r="W487" s="25"/>
      <c r="X487" s="25"/>
      <c r="Y487" s="25"/>
      <c r="Z487" s="25"/>
      <c r="AA487" s="25"/>
      <c r="AB487" s="25"/>
      <c r="AC487" s="25"/>
      <c r="AD487" s="25"/>
    </row>
    <row r="488" spans="1:30" x14ac:dyDescent="0.25">
      <c r="A488" s="18" t="str">
        <f t="shared" si="9"/>
        <v/>
      </c>
      <c r="B488" s="25"/>
      <c r="C488" s="25"/>
      <c r="D488" s="37"/>
      <c r="E488" s="25"/>
      <c r="F488" s="25"/>
      <c r="G488" s="38"/>
      <c r="H488" s="37"/>
      <c r="I488" s="25"/>
      <c r="J488" s="38"/>
      <c r="O488" s="37"/>
      <c r="P488" s="25"/>
      <c r="Q488" s="38"/>
      <c r="R488" s="37"/>
      <c r="S488" s="25"/>
      <c r="T488" s="25"/>
      <c r="U488" s="38"/>
      <c r="V488" s="26"/>
      <c r="W488" s="25"/>
      <c r="X488" s="25"/>
      <c r="Y488" s="25"/>
      <c r="Z488" s="25"/>
      <c r="AA488" s="25"/>
      <c r="AB488" s="25"/>
      <c r="AC488" s="25"/>
      <c r="AD488" s="25"/>
    </row>
    <row r="489" spans="1:30" x14ac:dyDescent="0.25">
      <c r="A489" s="18" t="str">
        <f t="shared" si="9"/>
        <v/>
      </c>
      <c r="B489" s="25"/>
      <c r="C489" s="25"/>
      <c r="D489" s="37"/>
      <c r="E489" s="25"/>
      <c r="F489" s="25"/>
      <c r="G489" s="38"/>
      <c r="H489" s="37"/>
      <c r="I489" s="25"/>
      <c r="J489" s="38"/>
      <c r="O489" s="37"/>
      <c r="P489" s="25"/>
      <c r="Q489" s="38"/>
      <c r="R489" s="37"/>
      <c r="S489" s="25"/>
      <c r="T489" s="25"/>
      <c r="U489" s="38"/>
      <c r="V489" s="26"/>
      <c r="W489" s="25"/>
      <c r="X489" s="25"/>
      <c r="Y489" s="25"/>
      <c r="Z489" s="25"/>
      <c r="AA489" s="25"/>
      <c r="AB489" s="25"/>
      <c r="AC489" s="25"/>
      <c r="AD489" s="25"/>
    </row>
    <row r="490" spans="1:30" x14ac:dyDescent="0.25">
      <c r="A490" s="18" t="str">
        <f t="shared" si="9"/>
        <v/>
      </c>
      <c r="B490" s="25"/>
      <c r="C490" s="25"/>
      <c r="D490" s="37"/>
      <c r="E490" s="25"/>
      <c r="F490" s="25"/>
      <c r="G490" s="38"/>
      <c r="H490" s="37"/>
      <c r="I490" s="25"/>
      <c r="J490" s="38"/>
      <c r="O490" s="37"/>
      <c r="P490" s="25"/>
      <c r="Q490" s="38"/>
      <c r="R490" s="37"/>
      <c r="S490" s="25"/>
      <c r="T490" s="25"/>
      <c r="U490" s="38"/>
      <c r="V490" s="26"/>
      <c r="W490" s="25"/>
      <c r="X490" s="25"/>
      <c r="Y490" s="25"/>
      <c r="Z490" s="25"/>
      <c r="AA490" s="25"/>
      <c r="AB490" s="25"/>
      <c r="AC490" s="25"/>
      <c r="AD490" s="25"/>
    </row>
    <row r="491" spans="1:30" x14ac:dyDescent="0.25">
      <c r="A491" s="18" t="str">
        <f t="shared" si="9"/>
        <v/>
      </c>
      <c r="B491" s="25"/>
      <c r="C491" s="25"/>
      <c r="D491" s="37"/>
      <c r="E491" s="25"/>
      <c r="F491" s="25"/>
      <c r="G491" s="38"/>
      <c r="H491" s="37"/>
      <c r="I491" s="25"/>
      <c r="J491" s="38"/>
      <c r="O491" s="37"/>
      <c r="P491" s="25"/>
      <c r="Q491" s="38"/>
      <c r="R491" s="37"/>
      <c r="S491" s="25"/>
      <c r="T491" s="25"/>
      <c r="U491" s="38"/>
      <c r="V491" s="26"/>
      <c r="W491" s="25"/>
      <c r="X491" s="25"/>
      <c r="Y491" s="25"/>
      <c r="Z491" s="25"/>
      <c r="AA491" s="25"/>
      <c r="AB491" s="25"/>
      <c r="AC491" s="25"/>
      <c r="AD491" s="25"/>
    </row>
    <row r="492" spans="1:30" x14ac:dyDescent="0.25">
      <c r="A492" s="18" t="str">
        <f t="shared" si="9"/>
        <v/>
      </c>
      <c r="B492" s="25"/>
      <c r="C492" s="25"/>
      <c r="D492" s="37"/>
      <c r="E492" s="25"/>
      <c r="F492" s="25"/>
      <c r="G492" s="38"/>
      <c r="H492" s="37"/>
      <c r="I492" s="25"/>
      <c r="J492" s="38"/>
      <c r="O492" s="37"/>
      <c r="P492" s="25"/>
      <c r="Q492" s="38"/>
      <c r="R492" s="37"/>
      <c r="S492" s="25"/>
      <c r="T492" s="25"/>
      <c r="U492" s="38"/>
      <c r="V492" s="26"/>
      <c r="W492" s="25"/>
      <c r="X492" s="25"/>
      <c r="Y492" s="25"/>
      <c r="Z492" s="25"/>
      <c r="AA492" s="25"/>
      <c r="AB492" s="25"/>
      <c r="AC492" s="25"/>
      <c r="AD492" s="25"/>
    </row>
    <row r="493" spans="1:30" x14ac:dyDescent="0.25">
      <c r="A493" s="18" t="str">
        <f t="shared" si="9"/>
        <v/>
      </c>
      <c r="B493" s="25"/>
      <c r="C493" s="25"/>
      <c r="D493" s="37"/>
      <c r="E493" s="25"/>
      <c r="F493" s="25"/>
      <c r="G493" s="38"/>
      <c r="H493" s="37"/>
      <c r="I493" s="25"/>
      <c r="J493" s="38"/>
      <c r="O493" s="37"/>
      <c r="P493" s="25"/>
      <c r="Q493" s="38"/>
      <c r="R493" s="37"/>
      <c r="S493" s="25"/>
      <c r="T493" s="25"/>
      <c r="U493" s="38"/>
      <c r="V493" s="26"/>
      <c r="W493" s="25"/>
      <c r="X493" s="25"/>
      <c r="Y493" s="25"/>
      <c r="Z493" s="25"/>
      <c r="AA493" s="25"/>
      <c r="AB493" s="25"/>
      <c r="AC493" s="25"/>
      <c r="AD493" s="25"/>
    </row>
    <row r="494" spans="1:30" x14ac:dyDescent="0.25">
      <c r="A494" s="18" t="str">
        <f t="shared" si="9"/>
        <v/>
      </c>
      <c r="B494" s="25"/>
      <c r="C494" s="25"/>
      <c r="D494" s="37"/>
      <c r="E494" s="25"/>
      <c r="F494" s="25"/>
      <c r="G494" s="38"/>
      <c r="H494" s="37"/>
      <c r="I494" s="25"/>
      <c r="J494" s="38"/>
      <c r="O494" s="37"/>
      <c r="P494" s="25"/>
      <c r="Q494" s="38"/>
      <c r="R494" s="37"/>
      <c r="S494" s="25"/>
      <c r="T494" s="25"/>
      <c r="U494" s="38"/>
      <c r="V494" s="26"/>
      <c r="W494" s="25"/>
      <c r="X494" s="25"/>
      <c r="Y494" s="25"/>
      <c r="Z494" s="25"/>
      <c r="AA494" s="25"/>
      <c r="AB494" s="25"/>
      <c r="AC494" s="25"/>
      <c r="AD494" s="25"/>
    </row>
  </sheetData>
  <conditionalFormatting sqref="A1:B1048576">
    <cfRule type="expression" dxfId="68" priority="5">
      <formula>AND(COUNTIF(A:A,$A1)&gt;1,$A1&lt;&gt;"")</formula>
    </cfRule>
  </conditionalFormatting>
  <conditionalFormatting sqref="D3:E496">
    <cfRule type="expression" dxfId="67" priority="7">
      <formula>AND(NOT(ISBLANK(D3)),D3=$A3)</formula>
    </cfRule>
  </conditionalFormatting>
  <conditionalFormatting sqref="H3:J496">
    <cfRule type="expression" dxfId="66" priority="41">
      <formula>AND(NOT(ISBLANK($B3)),$H3=0,$I3=0,$J3=0)</formula>
    </cfRule>
  </conditionalFormatting>
  <dataValidations count="8">
    <dataValidation operator="greaterThan" allowBlank="1" showInputMessage="1" showErrorMessage="1" sqref="H2:J2" xr:uid="{15CAD71D-AE9D-485D-95A0-CEC611FCDFFD}"/>
    <dataValidation type="whole" operator="greaterThanOrEqual" allowBlank="1" showInputMessage="1" showErrorMessage="1" sqref="H491:J493" xr:uid="{D5B7FB57-100F-476B-8D42-9EF89CA49A8D}">
      <formula1>0</formula1>
    </dataValidation>
    <dataValidation type="decimal" operator="greaterThanOrEqual" allowBlank="1" showInputMessage="1" showErrorMessage="1" sqref="S3:U490" xr:uid="{46DF4146-AD01-433F-8526-0A6CC8F07E5B}">
      <formula1>0</formula1>
    </dataValidation>
    <dataValidation type="decimal" operator="greaterThan" allowBlank="1" showInputMessage="1" showErrorMessage="1" sqref="F3:F1048576" xr:uid="{0150EBD5-21FB-4BB1-926B-4D2A121E3144}">
      <formula1>0</formula1>
    </dataValidation>
    <dataValidation type="whole" operator="greaterThanOrEqual" allowBlank="1" showInputMessage="1" showErrorMessage="1" sqref="R3:R490" xr:uid="{06EFB968-70E9-4EA4-B625-37577276929B}">
      <formula1>1</formula1>
    </dataValidation>
    <dataValidation type="list" allowBlank="1" showInputMessage="1" showErrorMessage="1" sqref="D3:E490" xr:uid="{C814FB5D-175D-4721-87BF-F5C321D0D8E4}">
      <formula1>$A$3:$A$490</formula1>
    </dataValidation>
    <dataValidation type="decimal" operator="greaterThan" allowBlank="1" showInputMessage="1" showErrorMessage="1" errorTitle="Wrong input" error="Leave it empy or it must be a decimal greater than 0.0." sqref="K21:N515" xr:uid="{781712A2-401E-4F7A-A489-CA13EBCFA95E}">
      <formula1>0</formula1>
    </dataValidation>
    <dataValidation type="custom" operator="greaterThan" allowBlank="1" showInputMessage="1" showErrorMessage="1" errorTitle="Wrong input" error="If location is &quot;transit&quot;, leave this cell empty. If not, it must be decimal greater than 0.0." sqref="K3:N20" xr:uid="{374E9703-83C4-42F7-A702-B6DDFF9092F6}">
      <formula1>AND(ISNUMBER(K3),K3&gt;0)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8">
        <x14:dataValidation type="list" allowBlank="1" showInputMessage="1" showErrorMessage="1" xr:uid="{A0BCBED1-5147-4C4D-8243-4704ADCDB8C7}">
          <x14:formula1>
            <xm:f>Gen_ROVs!$D$3:$D$194</xm:f>
          </x14:formula1>
          <xm:sqref>Q3:Q490</xm:sqref>
        </x14:dataValidation>
        <x14:dataValidation type="list" allowBlank="1" showInputMessage="1" showErrorMessage="1" xr:uid="{451024B8-BD34-47EB-8684-E4D64AA26F40}">
          <x14:formula1>
            <xm:f>Gen_Vessels!$C$3:$C$500</xm:f>
          </x14:formula1>
          <xm:sqref>O3:P500</xm:sqref>
        </x14:dataValidation>
        <x14:dataValidation type="custom" operator="greaterThanOrEqual" allowBlank="1" showInputMessage="1" showErrorMessage="1" xr:uid="{2531449A-30D8-482F-BEEC-CD1ACC071783}">
          <x14:formula1>
            <xm:f>AND(ISNUMBER(I15),MOD(I15,1)=0,I15&gt;=0,I15&lt;=Gen_WEC!E23)</xm:f>
          </x14:formula1>
          <xm:sqref>I15:J16</xm:sqref>
        </x14:dataValidation>
        <x14:dataValidation type="custom" operator="greaterThanOrEqual" allowBlank="1" showInputMessage="1" showErrorMessage="1" xr:uid="{F28E3E54-E900-46E5-BA81-8B7967E781E3}">
          <x14:formula1>
            <xm:f>AND(ISNUMBER(I17),MOD(I17,1)=0,I17&gt;=0,I17&lt;=Gen_WEC!E26)</xm:f>
          </x14:formula1>
          <xm:sqref>I17:I18</xm:sqref>
        </x14:dataValidation>
        <x14:dataValidation type="custom" operator="greaterThanOrEqual" allowBlank="1" showInputMessage="1" showErrorMessage="1" xr:uid="{02A891BC-18F4-42EB-9DF2-A30A995DD1A5}">
          <x14:formula1>
            <xm:f>AND(ISNUMBER(I19),MOD(I19,1)=0,I19&gt;=0,I19&lt;=Gen_WEC!E29)</xm:f>
          </x14:formula1>
          <xm:sqref>I19:I490</xm:sqref>
        </x14:dataValidation>
        <x14:dataValidation type="custom" operator="greaterThanOrEqual" allowBlank="1" showInputMessage="1" showErrorMessage="1" xr:uid="{4A724697-F0CB-4AA1-8E71-913A6CA92966}">
          <x14:formula1>
            <xm:f>AND(ISNUMBER(I3),MOD(I3,1)=0,I3&gt;=0,I3&lt;=Gen_WEC!E10)</xm:f>
          </x14:formula1>
          <xm:sqref>I3:I7 I9:I14</xm:sqref>
        </x14:dataValidation>
        <x14:dataValidation type="custom" operator="greaterThanOrEqual" allowBlank="1" showInputMessage="1" showErrorMessage="1" xr:uid="{F4F54C99-EC7A-42EF-AA46-EC489F0D8748}">
          <x14:formula1>
            <xm:f>AND(ISNUMBER(I8),MOD(I8,1)=0,I8&gt;=0,I8&lt;=Gen_WEC!E14)</xm:f>
          </x14:formula1>
          <xm:sqref>I8</xm:sqref>
        </x14:dataValidation>
        <x14:dataValidation type="custom" operator="greaterThanOrEqual" allowBlank="1" showInputMessage="1" showErrorMessage="1" xr:uid="{F16D7062-9F7A-4CCB-BA6C-7B179EC076A9}">
          <x14:formula1>
            <xm:f>AND(ISNUMBER(J17),MOD(J17,1)=0,J17&gt;=0,J17&lt;=Gen_PV!E28)</xm:f>
          </x14:formula1>
          <xm:sqref>J17:J18</xm:sqref>
        </x14:dataValidation>
        <x14:dataValidation type="custom" operator="greaterThanOrEqual" allowBlank="1" showInputMessage="1" showErrorMessage="1" xr:uid="{ED4662E2-E432-434A-9481-A26397CA789A}">
          <x14:formula1>
            <xm:f>AND(ISNUMBER(J19),MOD(J19,1)=0,J19&gt;=0,J19&lt;=Gen_PV!E31)</xm:f>
          </x14:formula1>
          <xm:sqref>J19:J490</xm:sqref>
        </x14:dataValidation>
        <x14:dataValidation type="custom" operator="greaterThanOrEqual" allowBlank="1" showInputMessage="1" showErrorMessage="1" xr:uid="{D6909472-AD4C-4FF4-A637-597E20DED97A}">
          <x14:formula1>
            <xm:f>AND(ISNUMBER(J9),MOD(J9,1)=0,J9&gt;=0,J9&lt;=Gen_PV!E18)</xm:f>
          </x14:formula1>
          <xm:sqref>J9:J14</xm:sqref>
        </x14:dataValidation>
        <x14:dataValidation type="custom" operator="greaterThanOrEqual" allowBlank="1" showInputMessage="1" showErrorMessage="1" xr:uid="{14E3A375-2459-4E43-8003-B0A1E0EEA5F6}">
          <x14:formula1>
            <xm:f>AND(ISNUMBER(J3),MOD(J3,1)=0,J3&gt;=0,J3&lt;=Gen_PV!E11)</xm:f>
          </x14:formula1>
          <xm:sqref>J3:J7</xm:sqref>
        </x14:dataValidation>
        <x14:dataValidation type="custom" operator="greaterThanOrEqual" allowBlank="1" showInputMessage="1" showErrorMessage="1" xr:uid="{C3CEABDF-DD04-4B58-BEC7-E99BE144A53C}">
          <x14:formula1>
            <xm:f>AND(ISNUMBER(J8),MOD(J8,1)=0,J8&gt;=0,J8&lt;=Gen_PV!E15)</xm:f>
          </x14:formula1>
          <xm:sqref>J8</xm:sqref>
        </x14:dataValidation>
        <x14:dataValidation type="custom" operator="greaterThanOrEqual" allowBlank="1" showInputMessage="1" showErrorMessage="1" xr:uid="{4DA24F00-BF76-4655-A996-4A09A6F4CB27}">
          <x14:formula1>
            <xm:f>AND(ISNUMBER(H1048570),MOD(H1048570,1)=0,H1048570&gt;=0,H1048570&lt;=Gen_WTG!E1048573)</xm:f>
          </x14:formula1>
          <xm:sqref>H1048570:H1048576</xm:sqref>
        </x14:dataValidation>
        <x14:dataValidation type="custom" operator="greaterThanOrEqual" allowBlank="1" showInputMessage="1" showErrorMessage="1" xr:uid="{D43147BD-4DD8-4B21-9019-7F507A08738A}">
          <x14:formula1>
            <xm:f>AND(ISNUMBER(H3),MOD(H3,1)=0,H3&gt;=0,H3&lt;=Gen_WTG!E9)</xm:f>
          </x14:formula1>
          <xm:sqref>H3:H8</xm:sqref>
        </x14:dataValidation>
        <x14:dataValidation type="custom" operator="greaterThanOrEqual" allowBlank="1" showInputMessage="1" showErrorMessage="1" xr:uid="{5877A307-4CC6-4C1B-9389-5F2B5555D821}">
          <x14:formula1>
            <xm:f>AND(ISNUMBER(H9),MOD(H9,1)=0,H9&gt;=0,H9&lt;=Gen_WTG!E16)</xm:f>
          </x14:formula1>
          <xm:sqref>H9:H14</xm:sqref>
        </x14:dataValidation>
        <x14:dataValidation type="custom" operator="greaterThanOrEqual" allowBlank="1" showInputMessage="1" showErrorMessage="1" xr:uid="{167CECC1-5F43-4DCF-B282-698189B5E2E8}">
          <x14:formula1>
            <xm:f>AND(ISNUMBER(H15),MOD(H15,1)=0,H15&gt;=0,H15&lt;=Gen_WTG!E23)</xm:f>
          </x14:formula1>
          <xm:sqref>H15:H16</xm:sqref>
        </x14:dataValidation>
        <x14:dataValidation type="custom" operator="greaterThanOrEqual" allowBlank="1" showInputMessage="1" showErrorMessage="1" xr:uid="{E8BC6E77-30DE-49F0-9344-012D14AA643F}">
          <x14:formula1>
            <xm:f>AND(ISNUMBER(H17),MOD(H17,1)=0,H17&gt;=0,H17&lt;=Gen_WTG!E26)</xm:f>
          </x14:formula1>
          <xm:sqref>H17:H18</xm:sqref>
        </x14:dataValidation>
        <x14:dataValidation type="custom" operator="greaterThanOrEqual" allowBlank="1" showInputMessage="1" showErrorMessage="1" xr:uid="{22500A64-A080-4CC8-A259-3CEA928CDF73}">
          <x14:formula1>
            <xm:f>AND(ISNUMBER(H19),MOD(H19,1)=0,H19&gt;=0,H19&lt;=Gen_WTG!E29)</xm:f>
          </x14:formula1>
          <xm:sqref>H19:H490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16A5-6316-4C13-86FB-44E40322F895}">
  <sheetPr>
    <tabColor theme="4" tint="0.39997558519241921"/>
  </sheetPr>
  <dimension ref="A1:W500"/>
  <sheetViews>
    <sheetView tabSelected="1" zoomScaleNormal="100" workbookViewId="0">
      <pane xSplit="3" ySplit="2" topLeftCell="D3" activePane="bottomRight" state="frozen"/>
      <selection pane="topRight" activeCell="C1" sqref="C1"/>
      <selection pane="bottomLeft" activeCell="A3" sqref="A3"/>
      <selection pane="bottomRight" activeCell="I15" sqref="I15"/>
    </sheetView>
  </sheetViews>
  <sheetFormatPr defaultColWidth="9.28515625" defaultRowHeight="15" x14ac:dyDescent="0.25"/>
  <cols>
    <col min="1" max="1" width="18.7109375" style="18" customWidth="1"/>
    <col min="2" max="2" width="16.7109375" style="18" customWidth="1"/>
    <col min="3" max="3" width="40.7109375" style="18" customWidth="1"/>
    <col min="4" max="4" width="12.7109375" style="18" customWidth="1"/>
    <col min="5" max="6" width="19.42578125" style="18" customWidth="1"/>
    <col min="7" max="7" width="18.7109375" style="18" customWidth="1"/>
    <col min="8" max="9" width="13.7109375" style="18" customWidth="1"/>
    <col min="10" max="11" width="6.7109375" style="18" customWidth="1"/>
    <col min="12" max="13" width="21.42578125" style="18" customWidth="1"/>
    <col min="14" max="14" width="13.5703125" style="18" customWidth="1"/>
    <col min="15" max="15" width="12.7109375" style="18" customWidth="1"/>
    <col min="16" max="16384" width="9.28515625" style="18"/>
  </cols>
  <sheetData>
    <row r="1" spans="1:23" x14ac:dyDescent="0.25">
      <c r="A1" s="18" t="s">
        <v>66</v>
      </c>
      <c r="B1" s="18" t="s">
        <v>149</v>
      </c>
      <c r="C1" s="18" t="s">
        <v>150</v>
      </c>
      <c r="D1" s="18" t="s">
        <v>152</v>
      </c>
      <c r="E1" s="18" t="s">
        <v>153</v>
      </c>
      <c r="F1" s="49" t="s">
        <v>154</v>
      </c>
      <c r="G1" s="18" t="s">
        <v>238</v>
      </c>
      <c r="H1" s="18" t="s">
        <v>158</v>
      </c>
      <c r="I1" s="49" t="s">
        <v>175</v>
      </c>
      <c r="J1" s="18" t="s">
        <v>162</v>
      </c>
      <c r="K1" s="36" t="s">
        <v>165</v>
      </c>
      <c r="L1" s="18" t="s">
        <v>171</v>
      </c>
      <c r="M1" s="18" t="s">
        <v>172</v>
      </c>
      <c r="N1" s="18" t="s">
        <v>173</v>
      </c>
      <c r="O1" s="18" t="s">
        <v>174</v>
      </c>
      <c r="P1" s="18" t="s">
        <v>239</v>
      </c>
      <c r="Q1" s="18" t="s">
        <v>178</v>
      </c>
    </row>
    <row r="2" spans="1:23" x14ac:dyDescent="0.25">
      <c r="A2" s="18" t="s">
        <v>13</v>
      </c>
      <c r="B2" s="18" t="s">
        <v>13</v>
      </c>
      <c r="C2" s="18" t="s">
        <v>13</v>
      </c>
      <c r="D2" s="18" t="s">
        <v>179</v>
      </c>
      <c r="E2" s="18" t="s">
        <v>13</v>
      </c>
      <c r="F2" s="50" t="s">
        <v>13</v>
      </c>
      <c r="G2" s="18" t="s">
        <v>13</v>
      </c>
      <c r="H2" s="18" t="s">
        <v>91</v>
      </c>
      <c r="I2" s="50" t="s">
        <v>13</v>
      </c>
      <c r="J2" s="18" t="s">
        <v>27</v>
      </c>
      <c r="K2" s="36" t="s">
        <v>13</v>
      </c>
      <c r="L2" s="18" t="s">
        <v>13</v>
      </c>
      <c r="M2" s="18" t="s">
        <v>181</v>
      </c>
      <c r="N2" s="18" t="s">
        <v>90</v>
      </c>
      <c r="O2" s="18" t="s">
        <v>90</v>
      </c>
      <c r="P2" s="18" t="s">
        <v>240</v>
      </c>
      <c r="Q2" s="18" t="s">
        <v>13</v>
      </c>
    </row>
    <row r="3" spans="1:23" x14ac:dyDescent="0.25">
      <c r="A3" s="18" t="str">
        <f>IF(ISBLANK($B3)=FALSE,_xlfn.CONCAT("owc_",$B3),"")</f>
        <v>owc_CPO_P1</v>
      </c>
      <c r="B3" s="25" t="s">
        <v>241</v>
      </c>
      <c r="C3" s="25" t="s">
        <v>242</v>
      </c>
      <c r="D3" s="25">
        <v>1</v>
      </c>
      <c r="E3" s="25"/>
      <c r="F3" s="49"/>
      <c r="G3" s="25">
        <v>1</v>
      </c>
      <c r="H3" s="73">
        <v>168</v>
      </c>
      <c r="I3" s="25" t="s">
        <v>442</v>
      </c>
      <c r="K3" s="38"/>
      <c r="L3" s="25">
        <v>3</v>
      </c>
      <c r="M3" s="25">
        <v>0</v>
      </c>
      <c r="N3" s="61"/>
      <c r="O3" s="25"/>
      <c r="P3" s="25"/>
      <c r="Q3" s="25" t="b">
        <v>1</v>
      </c>
      <c r="R3" s="25"/>
      <c r="S3" s="25"/>
      <c r="T3" s="25"/>
      <c r="U3" s="25"/>
      <c r="V3" s="25"/>
      <c r="W3" s="25"/>
    </row>
    <row r="4" spans="1:23" x14ac:dyDescent="0.25">
      <c r="A4" s="18" t="str">
        <f t="shared" ref="A4:A67" si="0">IF(ISBLANK($B4)=FALSE,_xlfn.CONCAT("owc_",$B4),"")</f>
        <v/>
      </c>
      <c r="B4" s="25"/>
      <c r="C4" s="25"/>
      <c r="D4" s="25"/>
      <c r="E4" s="25"/>
      <c r="F4" s="49"/>
      <c r="G4" s="25"/>
      <c r="H4" s="40"/>
      <c r="I4" s="49"/>
      <c r="K4" s="38"/>
      <c r="L4"/>
      <c r="M4"/>
      <c r="N4" s="25"/>
      <c r="O4" s="25"/>
      <c r="P4" s="25"/>
      <c r="Q4" s="25"/>
      <c r="R4" s="25"/>
      <c r="S4" s="25"/>
      <c r="T4" s="25"/>
      <c r="U4" s="25"/>
      <c r="V4" s="25"/>
      <c r="W4" s="25"/>
    </row>
    <row r="5" spans="1:23" x14ac:dyDescent="0.25">
      <c r="A5" s="18" t="str">
        <f t="shared" si="0"/>
        <v/>
      </c>
      <c r="B5" s="25"/>
      <c r="C5" s="25"/>
      <c r="D5" s="25"/>
      <c r="E5" s="25"/>
      <c r="F5" s="49"/>
      <c r="G5" s="25"/>
      <c r="H5" s="40"/>
      <c r="I5" s="49"/>
      <c r="K5" s="38"/>
      <c r="L5" s="25"/>
      <c r="M5" s="25"/>
      <c r="N5" s="25"/>
      <c r="O5" s="25"/>
      <c r="P5" s="25"/>
      <c r="Q5" s="25"/>
      <c r="R5" s="25"/>
      <c r="S5" s="25"/>
      <c r="T5" s="25"/>
      <c r="U5" s="25"/>
      <c r="V5" s="25"/>
      <c r="W5" s="25"/>
    </row>
    <row r="6" spans="1:23" x14ac:dyDescent="0.25">
      <c r="A6" s="18" t="str">
        <f t="shared" si="0"/>
        <v/>
      </c>
      <c r="B6" s="25"/>
      <c r="C6" s="25"/>
      <c r="D6" s="25"/>
      <c r="E6" s="25"/>
      <c r="F6" s="49"/>
      <c r="G6" s="25"/>
      <c r="H6" s="40"/>
      <c r="I6" s="49"/>
      <c r="K6" s="38"/>
      <c r="L6" s="25"/>
      <c r="M6" s="25"/>
      <c r="N6" s="25"/>
      <c r="O6" s="25"/>
      <c r="P6" s="25"/>
      <c r="Q6" s="25"/>
      <c r="R6" s="25"/>
      <c r="S6" s="25"/>
      <c r="T6" s="25"/>
      <c r="U6" s="25"/>
      <c r="V6" s="25"/>
      <c r="W6" s="25"/>
    </row>
    <row r="7" spans="1:23" x14ac:dyDescent="0.25">
      <c r="A7" s="18" t="str">
        <f t="shared" si="0"/>
        <v/>
      </c>
      <c r="B7" s="25"/>
      <c r="C7" s="25"/>
      <c r="D7" s="25"/>
      <c r="E7" s="25"/>
      <c r="F7" s="49"/>
      <c r="G7" s="25"/>
      <c r="H7" s="40"/>
      <c r="I7" s="49"/>
      <c r="K7" s="38"/>
      <c r="L7" s="25"/>
      <c r="M7" s="25"/>
      <c r="N7" s="25"/>
      <c r="O7" s="25"/>
      <c r="P7" s="25"/>
      <c r="Q7" s="25"/>
      <c r="R7" s="25"/>
      <c r="S7" s="25"/>
      <c r="T7" s="25"/>
      <c r="U7" s="25"/>
      <c r="V7" s="25"/>
      <c r="W7" s="25"/>
    </row>
    <row r="8" spans="1:23" x14ac:dyDescent="0.25">
      <c r="A8" s="18" t="str">
        <f t="shared" si="0"/>
        <v/>
      </c>
      <c r="B8" s="25"/>
      <c r="C8" s="25"/>
      <c r="D8" s="25"/>
      <c r="E8" s="25"/>
      <c r="F8" s="49"/>
      <c r="G8" s="25"/>
      <c r="H8" s="40"/>
      <c r="I8" s="49"/>
      <c r="K8" s="38"/>
      <c r="L8" s="25"/>
      <c r="M8" s="25"/>
      <c r="N8" s="25"/>
      <c r="O8" s="25"/>
      <c r="P8" s="25"/>
      <c r="Q8" s="25"/>
      <c r="R8" s="25"/>
      <c r="S8" s="25"/>
      <c r="T8" s="25"/>
      <c r="U8" s="25"/>
      <c r="V8" s="25"/>
      <c r="W8" s="25"/>
    </row>
    <row r="9" spans="1:23" x14ac:dyDescent="0.25">
      <c r="A9" s="18" t="str">
        <f t="shared" si="0"/>
        <v/>
      </c>
      <c r="B9" s="25"/>
      <c r="C9" s="25"/>
      <c r="D9" s="25"/>
      <c r="E9" s="25"/>
      <c r="F9" s="49"/>
      <c r="G9" s="25"/>
      <c r="H9" s="40"/>
      <c r="I9" s="49"/>
      <c r="K9" s="36"/>
      <c r="L9" s="25"/>
      <c r="M9" s="25"/>
      <c r="N9" s="25"/>
      <c r="O9" s="25"/>
      <c r="P9" s="25"/>
      <c r="Q9" s="25"/>
      <c r="R9" s="25"/>
      <c r="S9" s="25"/>
      <c r="T9" s="25"/>
      <c r="U9" s="25"/>
      <c r="V9" s="25"/>
      <c r="W9" s="25"/>
    </row>
    <row r="10" spans="1:23" x14ac:dyDescent="0.25">
      <c r="A10" s="18" t="str">
        <f t="shared" si="0"/>
        <v/>
      </c>
      <c r="B10" s="25"/>
      <c r="C10" s="25"/>
      <c r="D10" s="25"/>
      <c r="E10" s="25"/>
      <c r="F10" s="49"/>
      <c r="G10" s="25"/>
      <c r="H10" s="40"/>
      <c r="I10" s="49"/>
      <c r="K10" s="36"/>
      <c r="L10" s="25"/>
      <c r="M10" s="25"/>
      <c r="N10" s="25"/>
      <c r="O10" s="25"/>
      <c r="P10" s="25"/>
      <c r="Q10" s="25"/>
      <c r="R10" s="25"/>
      <c r="S10" s="25"/>
      <c r="T10" s="25"/>
      <c r="U10" s="25"/>
      <c r="V10" s="25"/>
      <c r="W10" s="25"/>
    </row>
    <row r="11" spans="1:23" x14ac:dyDescent="0.25">
      <c r="A11" s="18" t="str">
        <f t="shared" si="0"/>
        <v/>
      </c>
      <c r="B11" s="25"/>
      <c r="C11" s="25"/>
      <c r="D11" s="25"/>
      <c r="E11" s="25"/>
      <c r="F11" s="49"/>
      <c r="G11" s="25"/>
      <c r="H11" s="40"/>
      <c r="I11" s="49"/>
      <c r="K11" s="36"/>
      <c r="L11" s="25"/>
      <c r="M11" s="25"/>
      <c r="N11" s="25"/>
      <c r="O11" s="25"/>
      <c r="P11" s="25"/>
      <c r="Q11" s="25"/>
      <c r="R11" s="25"/>
      <c r="S11" s="25"/>
      <c r="T11" s="25"/>
      <c r="U11" s="25"/>
      <c r="V11" s="25"/>
      <c r="W11" s="25"/>
    </row>
    <row r="12" spans="1:23" x14ac:dyDescent="0.25">
      <c r="A12" s="18" t="str">
        <f t="shared" si="0"/>
        <v/>
      </c>
      <c r="B12" s="25"/>
      <c r="C12" s="25"/>
      <c r="D12" s="25"/>
      <c r="E12" s="25"/>
      <c r="F12" s="49"/>
      <c r="G12" s="25"/>
      <c r="H12" s="40"/>
      <c r="I12" s="49"/>
      <c r="K12" s="36"/>
      <c r="L12" s="25"/>
      <c r="M12" s="25"/>
      <c r="N12" s="25"/>
      <c r="O12" s="25"/>
      <c r="P12" s="25"/>
      <c r="Q12" s="25"/>
      <c r="R12" s="25"/>
      <c r="S12" s="25"/>
      <c r="T12" s="25"/>
      <c r="U12" s="25"/>
      <c r="V12" s="25"/>
      <c r="W12" s="25"/>
    </row>
    <row r="13" spans="1:23" x14ac:dyDescent="0.25">
      <c r="A13" s="18" t="str">
        <f t="shared" si="0"/>
        <v/>
      </c>
      <c r="B13" s="25"/>
      <c r="C13" s="25"/>
      <c r="D13" s="25"/>
      <c r="E13" s="25"/>
      <c r="F13" s="49"/>
      <c r="G13" s="25"/>
      <c r="H13" s="40"/>
      <c r="I13" s="49"/>
      <c r="K13" s="36"/>
      <c r="L13" s="25"/>
      <c r="M13" s="25"/>
      <c r="N13" s="25"/>
      <c r="O13" s="25"/>
      <c r="P13" s="25"/>
      <c r="Q13" s="25"/>
      <c r="R13" s="25"/>
      <c r="S13" s="25"/>
      <c r="T13" s="25"/>
      <c r="U13" s="25"/>
      <c r="V13" s="25"/>
      <c r="W13" s="25"/>
    </row>
    <row r="14" spans="1:23" x14ac:dyDescent="0.25">
      <c r="A14" s="18" t="str">
        <f t="shared" si="0"/>
        <v/>
      </c>
      <c r="B14" s="25"/>
      <c r="C14" s="25"/>
      <c r="D14" s="25"/>
      <c r="E14" s="25"/>
      <c r="F14" s="49"/>
      <c r="G14" s="25"/>
      <c r="H14" s="40"/>
      <c r="I14" s="49"/>
      <c r="K14" s="36"/>
      <c r="L14" s="25"/>
      <c r="M14" s="25"/>
      <c r="N14" s="25"/>
      <c r="O14" s="25"/>
      <c r="P14" s="25"/>
      <c r="Q14" s="25"/>
      <c r="R14" s="25"/>
      <c r="S14" s="25"/>
      <c r="T14" s="25"/>
      <c r="U14" s="25"/>
      <c r="V14" s="25"/>
      <c r="W14" s="25"/>
    </row>
    <row r="15" spans="1:23" x14ac:dyDescent="0.25">
      <c r="A15" s="18" t="str">
        <f t="shared" si="0"/>
        <v/>
      </c>
      <c r="B15" s="25"/>
      <c r="C15" s="25"/>
      <c r="D15" s="25"/>
      <c r="E15" s="25"/>
      <c r="F15" s="49"/>
      <c r="G15" s="25"/>
      <c r="H15" s="40"/>
      <c r="I15" s="49"/>
      <c r="K15" s="36"/>
      <c r="L15" s="25"/>
      <c r="M15" s="25"/>
      <c r="N15" s="25"/>
      <c r="O15" s="25"/>
      <c r="P15" s="25"/>
      <c r="Q15" s="25"/>
      <c r="R15" s="25"/>
      <c r="S15" s="25"/>
      <c r="T15" s="25"/>
      <c r="U15" s="25"/>
      <c r="V15" s="25"/>
      <c r="W15" s="25"/>
    </row>
    <row r="16" spans="1:23" x14ac:dyDescent="0.25">
      <c r="A16" s="18" t="str">
        <f t="shared" si="0"/>
        <v/>
      </c>
      <c r="B16" s="25"/>
      <c r="C16" s="25"/>
      <c r="D16" s="25"/>
      <c r="E16" s="25"/>
      <c r="F16" s="49"/>
      <c r="G16" s="25"/>
      <c r="H16" s="40"/>
      <c r="I16" s="49"/>
      <c r="K16" s="36"/>
      <c r="L16" s="25"/>
      <c r="M16" s="25"/>
      <c r="N16" s="25"/>
      <c r="O16" s="25"/>
      <c r="P16" s="25"/>
      <c r="Q16" s="25"/>
      <c r="R16" s="25"/>
      <c r="S16" s="25"/>
      <c r="T16" s="25"/>
      <c r="U16" s="25"/>
      <c r="V16" s="25"/>
      <c r="W16" s="25"/>
    </row>
    <row r="17" spans="1:23" x14ac:dyDescent="0.25">
      <c r="A17" s="18" t="str">
        <f t="shared" si="0"/>
        <v/>
      </c>
      <c r="B17" s="25"/>
      <c r="C17" s="25"/>
      <c r="D17" s="25"/>
      <c r="E17" s="25"/>
      <c r="F17" s="49"/>
      <c r="G17" s="25"/>
      <c r="H17" s="40"/>
      <c r="I17" s="49"/>
      <c r="K17" s="36"/>
      <c r="L17" s="25"/>
      <c r="M17" s="25"/>
      <c r="N17" s="25"/>
      <c r="O17" s="25"/>
      <c r="P17" s="25"/>
      <c r="Q17" s="25"/>
      <c r="R17" s="25"/>
      <c r="S17" s="25"/>
      <c r="T17" s="25"/>
      <c r="U17" s="25"/>
      <c r="V17" s="25"/>
      <c r="W17" s="25"/>
    </row>
    <row r="18" spans="1:23" x14ac:dyDescent="0.25">
      <c r="A18" s="18" t="str">
        <f t="shared" si="0"/>
        <v/>
      </c>
      <c r="B18" s="25"/>
      <c r="C18" s="25"/>
      <c r="D18" s="25"/>
      <c r="E18" s="25"/>
      <c r="F18" s="49"/>
      <c r="G18" s="25"/>
      <c r="H18" s="40"/>
      <c r="I18" s="49"/>
      <c r="K18" s="36"/>
      <c r="L18" s="25"/>
      <c r="M18" s="25"/>
      <c r="N18" s="25"/>
      <c r="O18" s="25"/>
      <c r="P18" s="25"/>
      <c r="Q18" s="25"/>
      <c r="R18" s="25"/>
      <c r="S18" s="25"/>
      <c r="T18" s="25"/>
      <c r="U18" s="25"/>
      <c r="V18" s="25"/>
      <c r="W18" s="25"/>
    </row>
    <row r="19" spans="1:23" x14ac:dyDescent="0.25">
      <c r="A19" s="18" t="str">
        <f t="shared" si="0"/>
        <v/>
      </c>
      <c r="B19" s="25"/>
      <c r="C19" s="25"/>
      <c r="D19" s="25"/>
      <c r="E19" s="25"/>
      <c r="F19" s="49"/>
      <c r="G19" s="25"/>
      <c r="H19" s="40"/>
      <c r="I19" s="49"/>
      <c r="K19" s="36"/>
      <c r="L19" s="25"/>
      <c r="M19" s="25"/>
      <c r="N19" s="25"/>
      <c r="O19" s="25"/>
      <c r="P19" s="25"/>
      <c r="Q19" s="25"/>
      <c r="R19" s="25"/>
      <c r="S19" s="25"/>
      <c r="T19" s="25"/>
      <c r="U19" s="25"/>
      <c r="V19" s="25"/>
      <c r="W19" s="25"/>
    </row>
    <row r="20" spans="1:23" x14ac:dyDescent="0.25">
      <c r="A20" s="18" t="str">
        <f t="shared" si="0"/>
        <v/>
      </c>
      <c r="B20" s="25"/>
      <c r="C20" s="25"/>
      <c r="D20" s="25"/>
      <c r="E20" s="25"/>
      <c r="F20" s="49"/>
      <c r="G20" s="25"/>
      <c r="H20" s="40"/>
      <c r="I20" s="49"/>
      <c r="K20" s="36"/>
      <c r="L20" s="25"/>
      <c r="M20" s="25"/>
      <c r="N20" s="25"/>
      <c r="O20" s="25"/>
      <c r="P20" s="25"/>
      <c r="Q20" s="25"/>
      <c r="R20" s="25"/>
      <c r="S20" s="25"/>
      <c r="T20" s="25"/>
      <c r="U20" s="25"/>
      <c r="V20" s="25"/>
      <c r="W20" s="25"/>
    </row>
    <row r="21" spans="1:23" x14ac:dyDescent="0.25">
      <c r="A21" s="18" t="str">
        <f t="shared" si="0"/>
        <v/>
      </c>
      <c r="B21" s="25"/>
      <c r="C21" s="25"/>
      <c r="D21" s="25"/>
      <c r="E21" s="25"/>
      <c r="F21" s="49"/>
      <c r="G21" s="25"/>
      <c r="H21" s="40"/>
      <c r="I21" s="49"/>
      <c r="K21" s="36"/>
      <c r="L21" s="25"/>
      <c r="M21" s="25"/>
      <c r="N21" s="25"/>
      <c r="O21" s="25"/>
      <c r="P21" s="25"/>
      <c r="Q21" s="25"/>
      <c r="R21" s="25"/>
      <c r="S21" s="25"/>
      <c r="T21" s="25"/>
      <c r="U21" s="25"/>
      <c r="V21" s="25"/>
      <c r="W21" s="25"/>
    </row>
    <row r="22" spans="1:23" x14ac:dyDescent="0.25">
      <c r="A22" s="18" t="str">
        <f t="shared" si="0"/>
        <v/>
      </c>
      <c r="B22" s="25"/>
      <c r="C22" s="25"/>
      <c r="D22" s="25"/>
      <c r="E22" s="25"/>
      <c r="F22" s="49"/>
      <c r="G22" s="25"/>
      <c r="H22" s="40"/>
      <c r="I22" s="49"/>
      <c r="K22" s="36"/>
      <c r="L22" s="25"/>
      <c r="M22" s="25"/>
      <c r="N22" s="25"/>
      <c r="O22" s="25"/>
      <c r="P22" s="25"/>
      <c r="Q22" s="25"/>
      <c r="R22" s="25"/>
      <c r="S22" s="25"/>
      <c r="T22" s="25"/>
      <c r="U22" s="25"/>
      <c r="V22" s="25"/>
      <c r="W22" s="25"/>
    </row>
    <row r="23" spans="1:23" x14ac:dyDescent="0.25">
      <c r="A23" s="18" t="str">
        <f t="shared" si="0"/>
        <v/>
      </c>
      <c r="B23" s="25"/>
      <c r="C23" s="25"/>
      <c r="D23" s="25"/>
      <c r="E23" s="25"/>
      <c r="F23" s="49"/>
      <c r="G23" s="25"/>
      <c r="H23" s="40"/>
      <c r="I23" s="49"/>
      <c r="K23" s="36"/>
      <c r="L23" s="25"/>
      <c r="M23" s="25"/>
      <c r="N23" s="25"/>
      <c r="O23" s="25"/>
      <c r="P23" s="25"/>
      <c r="Q23" s="25"/>
      <c r="R23" s="25"/>
      <c r="S23" s="25"/>
      <c r="T23" s="25"/>
      <c r="U23" s="25"/>
      <c r="V23" s="25"/>
      <c r="W23" s="25"/>
    </row>
    <row r="24" spans="1:23" x14ac:dyDescent="0.25">
      <c r="A24" s="18" t="str">
        <f t="shared" si="0"/>
        <v/>
      </c>
      <c r="B24" s="25"/>
      <c r="C24" s="25"/>
      <c r="D24" s="25"/>
      <c r="E24" s="25"/>
      <c r="F24" s="49"/>
      <c r="G24" s="25"/>
      <c r="H24" s="40"/>
      <c r="I24" s="49"/>
      <c r="K24" s="36"/>
      <c r="L24" s="25"/>
      <c r="M24" s="25"/>
      <c r="N24" s="25"/>
      <c r="O24" s="25"/>
      <c r="P24" s="25"/>
      <c r="Q24" s="25"/>
      <c r="R24" s="25"/>
      <c r="S24" s="25"/>
      <c r="T24" s="25"/>
      <c r="U24" s="25"/>
      <c r="V24" s="25"/>
      <c r="W24" s="25"/>
    </row>
    <row r="25" spans="1:23" x14ac:dyDescent="0.25">
      <c r="A25" s="18" t="str">
        <f t="shared" si="0"/>
        <v/>
      </c>
      <c r="B25" s="25"/>
      <c r="C25" s="25"/>
      <c r="D25" s="25"/>
      <c r="E25" s="25"/>
      <c r="F25" s="49"/>
      <c r="G25" s="25"/>
      <c r="H25" s="40"/>
      <c r="I25" s="49"/>
      <c r="K25" s="36"/>
      <c r="L25" s="25"/>
      <c r="M25" s="25"/>
      <c r="N25" s="25"/>
      <c r="O25" s="25"/>
      <c r="P25" s="25"/>
      <c r="Q25" s="25"/>
      <c r="R25" s="25"/>
      <c r="S25" s="25"/>
      <c r="T25" s="25"/>
      <c r="U25" s="25"/>
      <c r="V25" s="25"/>
      <c r="W25" s="25"/>
    </row>
    <row r="26" spans="1:23" x14ac:dyDescent="0.25">
      <c r="A26" s="18" t="str">
        <f t="shared" si="0"/>
        <v/>
      </c>
      <c r="B26" s="25"/>
      <c r="C26" s="25"/>
      <c r="D26" s="25"/>
      <c r="E26" s="25"/>
      <c r="F26" s="49"/>
      <c r="G26" s="25"/>
      <c r="H26" s="40"/>
      <c r="I26" s="49"/>
      <c r="K26" s="36"/>
      <c r="L26" s="25"/>
      <c r="M26" s="25"/>
      <c r="N26" s="25"/>
      <c r="O26" s="25"/>
      <c r="P26" s="25"/>
      <c r="Q26" s="25"/>
      <c r="R26" s="25"/>
      <c r="S26" s="25"/>
      <c r="T26" s="25"/>
      <c r="U26" s="25"/>
      <c r="V26" s="25"/>
      <c r="W26" s="25"/>
    </row>
    <row r="27" spans="1:23" x14ac:dyDescent="0.25">
      <c r="A27" s="18" t="str">
        <f t="shared" si="0"/>
        <v/>
      </c>
      <c r="B27" s="25"/>
      <c r="C27" s="25"/>
      <c r="D27" s="25"/>
      <c r="E27" s="25"/>
      <c r="F27" s="49"/>
      <c r="G27" s="25"/>
      <c r="H27" s="40"/>
      <c r="I27" s="49"/>
      <c r="K27" s="36"/>
      <c r="L27" s="25"/>
      <c r="M27" s="25"/>
      <c r="N27" s="25"/>
      <c r="O27" s="25"/>
      <c r="P27" s="25"/>
      <c r="Q27" s="25"/>
      <c r="R27" s="25"/>
      <c r="S27" s="25"/>
      <c r="T27" s="25"/>
      <c r="U27" s="25"/>
      <c r="V27" s="25"/>
      <c r="W27" s="25"/>
    </row>
    <row r="28" spans="1:23" x14ac:dyDescent="0.25">
      <c r="A28" s="18" t="str">
        <f t="shared" si="0"/>
        <v/>
      </c>
      <c r="B28" s="25"/>
      <c r="C28" s="25"/>
      <c r="D28" s="25"/>
      <c r="E28" s="25"/>
      <c r="F28" s="49"/>
      <c r="G28" s="25"/>
      <c r="H28" s="40"/>
      <c r="I28" s="49"/>
      <c r="K28" s="36"/>
      <c r="L28" s="25"/>
      <c r="M28" s="25"/>
      <c r="N28" s="25"/>
      <c r="O28" s="25"/>
      <c r="P28" s="25"/>
      <c r="Q28" s="25"/>
      <c r="R28" s="25"/>
      <c r="S28" s="25"/>
      <c r="T28" s="25"/>
      <c r="U28" s="25"/>
      <c r="V28" s="25"/>
      <c r="W28" s="25"/>
    </row>
    <row r="29" spans="1:23" x14ac:dyDescent="0.25">
      <c r="A29" s="18" t="str">
        <f t="shared" si="0"/>
        <v/>
      </c>
      <c r="B29" s="25"/>
      <c r="C29" s="25"/>
      <c r="D29" s="25"/>
      <c r="E29" s="25"/>
      <c r="F29" s="49"/>
      <c r="G29" s="25"/>
      <c r="H29" s="40"/>
      <c r="I29" s="49"/>
      <c r="K29" s="36"/>
      <c r="L29" s="25"/>
      <c r="M29" s="25"/>
      <c r="N29" s="25"/>
      <c r="O29" s="25"/>
      <c r="P29" s="25"/>
      <c r="Q29" s="25"/>
      <c r="R29" s="25"/>
      <c r="S29" s="25"/>
      <c r="T29" s="25"/>
      <c r="U29" s="25"/>
      <c r="V29" s="25"/>
      <c r="W29" s="25"/>
    </row>
    <row r="30" spans="1:23" x14ac:dyDescent="0.25">
      <c r="A30" s="18" t="str">
        <f t="shared" si="0"/>
        <v/>
      </c>
      <c r="B30" s="25"/>
      <c r="C30" s="25"/>
      <c r="D30" s="25"/>
      <c r="E30" s="25"/>
      <c r="F30" s="49"/>
      <c r="G30" s="25"/>
      <c r="H30" s="40"/>
      <c r="I30" s="49"/>
      <c r="K30" s="36"/>
      <c r="L30" s="25"/>
      <c r="M30" s="25"/>
      <c r="N30" s="25"/>
      <c r="O30" s="25"/>
      <c r="P30" s="25"/>
      <c r="Q30" s="25"/>
      <c r="R30" s="25"/>
      <c r="S30" s="25"/>
      <c r="T30" s="25"/>
      <c r="U30" s="25"/>
      <c r="V30" s="25"/>
      <c r="W30" s="25"/>
    </row>
    <row r="31" spans="1:23" x14ac:dyDescent="0.25">
      <c r="A31" s="18" t="str">
        <f t="shared" si="0"/>
        <v/>
      </c>
      <c r="B31" s="25"/>
      <c r="C31" s="25"/>
      <c r="D31" s="25"/>
      <c r="E31" s="25"/>
      <c r="F31" s="49"/>
      <c r="G31" s="25"/>
      <c r="H31" s="40"/>
      <c r="I31" s="49"/>
      <c r="K31" s="36"/>
      <c r="L31" s="25"/>
      <c r="M31" s="25"/>
      <c r="N31" s="25"/>
      <c r="O31" s="25"/>
      <c r="P31" s="25"/>
      <c r="Q31" s="25"/>
      <c r="R31" s="25"/>
      <c r="S31" s="25"/>
      <c r="T31" s="25"/>
      <c r="U31" s="25"/>
      <c r="V31" s="25"/>
      <c r="W31" s="25"/>
    </row>
    <row r="32" spans="1:23" x14ac:dyDescent="0.25">
      <c r="A32" s="18" t="str">
        <f t="shared" si="0"/>
        <v/>
      </c>
      <c r="B32" s="25"/>
      <c r="C32" s="25"/>
      <c r="D32" s="25"/>
      <c r="E32" s="25"/>
      <c r="F32" s="49"/>
      <c r="G32" s="25"/>
      <c r="H32" s="40"/>
      <c r="I32" s="49"/>
      <c r="K32" s="36"/>
      <c r="L32" s="25"/>
      <c r="M32" s="25"/>
      <c r="N32" s="25"/>
      <c r="O32" s="25"/>
      <c r="P32" s="25"/>
      <c r="Q32" s="25"/>
      <c r="R32" s="25"/>
      <c r="S32" s="25"/>
      <c r="T32" s="25"/>
      <c r="U32" s="25"/>
      <c r="V32" s="25"/>
      <c r="W32" s="25"/>
    </row>
    <row r="33" spans="1:23" x14ac:dyDescent="0.25">
      <c r="A33" s="18" t="str">
        <f t="shared" si="0"/>
        <v/>
      </c>
      <c r="B33" s="25"/>
      <c r="C33" s="25"/>
      <c r="D33" s="25"/>
      <c r="E33" s="25"/>
      <c r="F33" s="49"/>
      <c r="G33" s="25"/>
      <c r="H33" s="40"/>
      <c r="I33" s="49"/>
      <c r="K33" s="36"/>
      <c r="L33" s="25"/>
      <c r="M33" s="25"/>
      <c r="N33" s="25"/>
      <c r="O33" s="25"/>
      <c r="P33" s="25"/>
      <c r="Q33" s="25"/>
      <c r="R33" s="25"/>
      <c r="S33" s="25"/>
      <c r="T33" s="25"/>
      <c r="U33" s="25"/>
      <c r="V33" s="25"/>
      <c r="W33" s="25"/>
    </row>
    <row r="34" spans="1:23" x14ac:dyDescent="0.25">
      <c r="A34" s="18" t="str">
        <f t="shared" si="0"/>
        <v/>
      </c>
      <c r="B34" s="25"/>
      <c r="C34" s="25"/>
      <c r="D34" s="25"/>
      <c r="E34" s="25"/>
      <c r="F34" s="49"/>
      <c r="G34" s="25"/>
      <c r="H34" s="40"/>
      <c r="I34" s="49"/>
      <c r="K34" s="36"/>
      <c r="L34" s="25"/>
      <c r="M34" s="25"/>
      <c r="N34" s="25"/>
      <c r="O34" s="25"/>
      <c r="P34" s="25"/>
      <c r="Q34" s="25"/>
      <c r="R34" s="25"/>
      <c r="S34" s="25"/>
      <c r="T34" s="25"/>
      <c r="U34" s="25"/>
      <c r="V34" s="25"/>
      <c r="W34" s="25"/>
    </row>
    <row r="35" spans="1:23" x14ac:dyDescent="0.25">
      <c r="A35" s="18" t="str">
        <f t="shared" si="0"/>
        <v/>
      </c>
      <c r="B35" s="25"/>
      <c r="C35" s="25"/>
      <c r="D35" s="25"/>
      <c r="E35" s="25"/>
      <c r="F35" s="49"/>
      <c r="G35" s="25"/>
      <c r="H35" s="40"/>
      <c r="I35" s="49"/>
      <c r="K35" s="36"/>
      <c r="L35" s="25"/>
      <c r="M35" s="25"/>
      <c r="N35" s="25"/>
      <c r="O35" s="25"/>
      <c r="P35" s="25"/>
      <c r="Q35" s="25"/>
      <c r="R35" s="25"/>
      <c r="S35" s="25"/>
      <c r="T35" s="25"/>
      <c r="U35" s="25"/>
      <c r="V35" s="25"/>
      <c r="W35" s="25"/>
    </row>
    <row r="36" spans="1:23" x14ac:dyDescent="0.25">
      <c r="A36" s="18" t="str">
        <f t="shared" si="0"/>
        <v/>
      </c>
      <c r="B36" s="25"/>
      <c r="C36" s="25"/>
      <c r="D36" s="25"/>
      <c r="E36" s="25"/>
      <c r="F36" s="49"/>
      <c r="G36" s="25"/>
      <c r="H36" s="40"/>
      <c r="I36" s="49"/>
      <c r="K36" s="36"/>
      <c r="L36" s="25"/>
      <c r="M36" s="25"/>
      <c r="N36" s="25"/>
      <c r="O36" s="25"/>
      <c r="P36" s="25"/>
      <c r="Q36" s="25"/>
      <c r="R36" s="25"/>
      <c r="S36" s="25"/>
      <c r="T36" s="25"/>
      <c r="U36" s="25"/>
      <c r="V36" s="25"/>
      <c r="W36" s="25"/>
    </row>
    <row r="37" spans="1:23" x14ac:dyDescent="0.25">
      <c r="A37" s="18" t="str">
        <f t="shared" si="0"/>
        <v/>
      </c>
      <c r="B37" s="25"/>
      <c r="C37" s="25"/>
      <c r="D37" s="25"/>
      <c r="E37" s="25"/>
      <c r="F37" s="49"/>
      <c r="G37" s="25"/>
      <c r="H37" s="40"/>
      <c r="I37" s="49"/>
      <c r="K37" s="36"/>
      <c r="L37" s="25"/>
      <c r="M37" s="25"/>
      <c r="N37" s="25"/>
      <c r="O37" s="25"/>
      <c r="P37" s="25"/>
      <c r="Q37" s="25"/>
      <c r="R37" s="25"/>
      <c r="S37" s="25"/>
      <c r="T37" s="25"/>
      <c r="U37" s="25"/>
      <c r="V37" s="25"/>
      <c r="W37" s="25"/>
    </row>
    <row r="38" spans="1:23" x14ac:dyDescent="0.25">
      <c r="A38" s="18" t="str">
        <f t="shared" si="0"/>
        <v/>
      </c>
      <c r="B38" s="25"/>
      <c r="C38" s="25"/>
      <c r="D38" s="25"/>
      <c r="E38" s="25"/>
      <c r="F38" s="49"/>
      <c r="G38" s="25"/>
      <c r="H38" s="40"/>
      <c r="I38" s="49"/>
      <c r="K38" s="36"/>
      <c r="L38" s="25"/>
      <c r="M38" s="25"/>
      <c r="N38" s="25"/>
      <c r="O38" s="25"/>
      <c r="P38" s="25"/>
      <c r="Q38" s="25"/>
      <c r="R38" s="25"/>
      <c r="S38" s="25"/>
      <c r="T38" s="25"/>
      <c r="U38" s="25"/>
      <c r="V38" s="25"/>
      <c r="W38" s="25"/>
    </row>
    <row r="39" spans="1:23" x14ac:dyDescent="0.25">
      <c r="A39" s="18" t="str">
        <f t="shared" si="0"/>
        <v/>
      </c>
      <c r="B39" s="25"/>
      <c r="C39" s="25"/>
      <c r="D39" s="25"/>
      <c r="E39" s="25"/>
      <c r="F39" s="49"/>
      <c r="G39" s="25"/>
      <c r="H39" s="40"/>
      <c r="I39" s="49"/>
      <c r="K39" s="36"/>
      <c r="L39" s="25"/>
      <c r="M39" s="25"/>
      <c r="N39" s="25"/>
      <c r="O39" s="25"/>
      <c r="P39" s="25"/>
      <c r="Q39" s="25"/>
      <c r="R39" s="25"/>
      <c r="S39" s="25"/>
      <c r="T39" s="25"/>
      <c r="U39" s="25"/>
      <c r="V39" s="25"/>
      <c r="W39" s="25"/>
    </row>
    <row r="40" spans="1:23" x14ac:dyDescent="0.25">
      <c r="A40" s="18" t="str">
        <f t="shared" si="0"/>
        <v/>
      </c>
      <c r="B40" s="25"/>
      <c r="C40" s="25"/>
      <c r="D40" s="25"/>
      <c r="E40" s="25"/>
      <c r="F40" s="49"/>
      <c r="G40" s="25"/>
      <c r="H40" s="40"/>
      <c r="I40" s="49"/>
      <c r="K40" s="36"/>
      <c r="L40" s="25"/>
      <c r="M40" s="25"/>
      <c r="N40" s="25"/>
      <c r="O40" s="25"/>
      <c r="P40" s="25"/>
      <c r="Q40" s="25"/>
      <c r="R40" s="25"/>
      <c r="S40" s="25"/>
      <c r="T40" s="25"/>
      <c r="U40" s="25"/>
      <c r="V40" s="25"/>
      <c r="W40" s="25"/>
    </row>
    <row r="41" spans="1:23" x14ac:dyDescent="0.25">
      <c r="A41" s="18" t="str">
        <f t="shared" si="0"/>
        <v/>
      </c>
      <c r="B41" s="25"/>
      <c r="C41" s="25"/>
      <c r="D41" s="25"/>
      <c r="E41" s="25"/>
      <c r="F41" s="49"/>
      <c r="G41" s="25"/>
      <c r="H41" s="40"/>
      <c r="I41" s="49"/>
      <c r="K41" s="36"/>
      <c r="L41" s="25"/>
      <c r="M41" s="25"/>
      <c r="N41" s="25"/>
      <c r="O41" s="25"/>
      <c r="P41" s="25"/>
      <c r="Q41" s="25"/>
      <c r="R41" s="25"/>
      <c r="S41" s="25"/>
      <c r="T41" s="25"/>
      <c r="U41" s="25"/>
      <c r="V41" s="25"/>
      <c r="W41" s="25"/>
    </row>
    <row r="42" spans="1:23" x14ac:dyDescent="0.25">
      <c r="A42" s="18" t="str">
        <f t="shared" si="0"/>
        <v/>
      </c>
      <c r="B42" s="25"/>
      <c r="C42" s="25"/>
      <c r="D42" s="25"/>
      <c r="E42" s="25"/>
      <c r="F42" s="49"/>
      <c r="G42" s="25"/>
      <c r="H42" s="40"/>
      <c r="I42" s="49"/>
      <c r="K42" s="36"/>
      <c r="L42" s="25"/>
      <c r="M42" s="25"/>
      <c r="N42" s="25"/>
      <c r="O42" s="25"/>
      <c r="P42" s="25"/>
      <c r="Q42" s="25"/>
      <c r="R42" s="25"/>
      <c r="S42" s="25"/>
      <c r="T42" s="25"/>
      <c r="U42" s="25"/>
      <c r="V42" s="25"/>
      <c r="W42" s="25"/>
    </row>
    <row r="43" spans="1:23" x14ac:dyDescent="0.25">
      <c r="A43" s="18" t="str">
        <f t="shared" si="0"/>
        <v/>
      </c>
      <c r="B43" s="25"/>
      <c r="C43" s="25"/>
      <c r="D43" s="25"/>
      <c r="E43" s="25"/>
      <c r="F43" s="49"/>
      <c r="G43" s="25"/>
      <c r="H43" s="40"/>
      <c r="I43" s="49"/>
      <c r="K43" s="36"/>
      <c r="L43" s="25"/>
      <c r="M43" s="25"/>
      <c r="N43" s="25"/>
      <c r="O43" s="25"/>
      <c r="P43" s="25"/>
      <c r="Q43" s="25"/>
      <c r="R43" s="25"/>
      <c r="S43" s="25"/>
      <c r="T43" s="25"/>
      <c r="U43" s="25"/>
      <c r="V43" s="25"/>
      <c r="W43" s="25"/>
    </row>
    <row r="44" spans="1:23" x14ac:dyDescent="0.25">
      <c r="A44" s="18" t="str">
        <f t="shared" si="0"/>
        <v/>
      </c>
      <c r="B44" s="25"/>
      <c r="C44" s="25"/>
      <c r="D44" s="25"/>
      <c r="E44" s="25"/>
      <c r="F44" s="49"/>
      <c r="G44" s="25"/>
      <c r="H44" s="40"/>
      <c r="I44" s="49"/>
      <c r="K44" s="36"/>
      <c r="L44" s="25"/>
      <c r="M44" s="25"/>
      <c r="N44" s="25"/>
      <c r="O44" s="25"/>
      <c r="P44" s="25"/>
      <c r="Q44" s="25"/>
      <c r="R44" s="25"/>
      <c r="S44" s="25"/>
      <c r="T44" s="25"/>
      <c r="U44" s="25"/>
      <c r="V44" s="25"/>
      <c r="W44" s="25"/>
    </row>
    <row r="45" spans="1:23" x14ac:dyDescent="0.25">
      <c r="A45" s="18" t="str">
        <f t="shared" si="0"/>
        <v/>
      </c>
      <c r="B45" s="25"/>
      <c r="C45" s="25"/>
      <c r="D45" s="25"/>
      <c r="E45" s="25"/>
      <c r="F45" s="49"/>
      <c r="G45" s="25"/>
      <c r="H45" s="40"/>
      <c r="I45" s="49"/>
      <c r="K45" s="36"/>
      <c r="L45" s="25"/>
      <c r="M45" s="25"/>
      <c r="N45" s="25"/>
      <c r="O45" s="25"/>
      <c r="P45" s="25"/>
      <c r="Q45" s="25"/>
      <c r="R45" s="25"/>
      <c r="S45" s="25"/>
      <c r="T45" s="25"/>
      <c r="U45" s="25"/>
      <c r="V45" s="25"/>
      <c r="W45" s="25"/>
    </row>
    <row r="46" spans="1:23" x14ac:dyDescent="0.25">
      <c r="A46" s="18" t="str">
        <f t="shared" si="0"/>
        <v/>
      </c>
      <c r="B46" s="25"/>
      <c r="C46" s="25"/>
      <c r="D46" s="25"/>
      <c r="E46" s="25"/>
      <c r="F46" s="49"/>
      <c r="G46" s="25"/>
      <c r="H46" s="40"/>
      <c r="I46" s="49"/>
      <c r="K46" s="36"/>
      <c r="L46" s="25"/>
      <c r="M46" s="25"/>
      <c r="N46" s="25"/>
      <c r="O46" s="25"/>
      <c r="P46" s="25"/>
      <c r="Q46" s="25"/>
      <c r="R46" s="25"/>
      <c r="S46" s="25"/>
      <c r="T46" s="25"/>
      <c r="U46" s="25"/>
      <c r="V46" s="25"/>
      <c r="W46" s="25"/>
    </row>
    <row r="47" spans="1:23" x14ac:dyDescent="0.25">
      <c r="A47" s="18" t="str">
        <f t="shared" si="0"/>
        <v/>
      </c>
      <c r="B47" s="25"/>
      <c r="C47" s="25"/>
      <c r="D47" s="25"/>
      <c r="E47" s="25"/>
      <c r="F47" s="49"/>
      <c r="G47" s="25"/>
      <c r="H47" s="40"/>
      <c r="I47" s="49"/>
      <c r="K47" s="36"/>
      <c r="L47" s="25"/>
      <c r="M47" s="25"/>
      <c r="N47" s="25"/>
      <c r="O47" s="25"/>
      <c r="P47" s="25"/>
      <c r="Q47" s="25"/>
      <c r="R47" s="25"/>
      <c r="S47" s="25"/>
      <c r="T47" s="25"/>
      <c r="U47" s="25"/>
      <c r="V47" s="25"/>
      <c r="W47" s="25"/>
    </row>
    <row r="48" spans="1:23" x14ac:dyDescent="0.25">
      <c r="A48" s="18" t="str">
        <f t="shared" si="0"/>
        <v/>
      </c>
      <c r="B48" s="25"/>
      <c r="C48" s="25"/>
      <c r="D48" s="25"/>
      <c r="E48" s="25"/>
      <c r="F48" s="49"/>
      <c r="G48" s="25"/>
      <c r="H48" s="40"/>
      <c r="I48" s="49"/>
      <c r="K48" s="36"/>
      <c r="L48" s="25"/>
      <c r="M48" s="25"/>
      <c r="N48" s="25"/>
      <c r="O48" s="25"/>
      <c r="P48" s="25"/>
      <c r="Q48" s="25"/>
      <c r="R48" s="25"/>
      <c r="S48" s="25"/>
      <c r="T48" s="25"/>
      <c r="U48" s="25"/>
      <c r="V48" s="25"/>
      <c r="W48" s="25"/>
    </row>
    <row r="49" spans="1:23" x14ac:dyDescent="0.25">
      <c r="A49" s="18" t="str">
        <f t="shared" si="0"/>
        <v/>
      </c>
      <c r="B49" s="25"/>
      <c r="C49" s="25"/>
      <c r="D49" s="25"/>
      <c r="E49" s="25"/>
      <c r="F49" s="49"/>
      <c r="G49" s="25"/>
      <c r="H49" s="40"/>
      <c r="I49" s="49"/>
      <c r="K49" s="36"/>
      <c r="L49" s="25"/>
      <c r="M49" s="25"/>
      <c r="N49" s="25"/>
      <c r="O49" s="25"/>
      <c r="P49" s="25"/>
      <c r="Q49" s="25"/>
      <c r="R49" s="25"/>
      <c r="S49" s="25"/>
      <c r="T49" s="25"/>
      <c r="U49" s="25"/>
      <c r="V49" s="25"/>
      <c r="W49" s="25"/>
    </row>
    <row r="50" spans="1:23" x14ac:dyDescent="0.25">
      <c r="A50" s="18" t="str">
        <f t="shared" si="0"/>
        <v/>
      </c>
      <c r="B50" s="25"/>
      <c r="C50" s="25"/>
      <c r="D50" s="25"/>
      <c r="E50" s="25"/>
      <c r="F50" s="49"/>
      <c r="G50" s="25"/>
      <c r="H50" s="40"/>
      <c r="I50" s="49"/>
      <c r="K50" s="36"/>
      <c r="L50" s="25"/>
      <c r="M50" s="25"/>
      <c r="N50" s="25"/>
      <c r="O50" s="25"/>
      <c r="P50" s="25"/>
      <c r="Q50" s="25"/>
      <c r="R50" s="25"/>
      <c r="S50" s="25"/>
      <c r="T50" s="25"/>
      <c r="U50" s="25"/>
      <c r="V50" s="25"/>
      <c r="W50" s="25"/>
    </row>
    <row r="51" spans="1:23" x14ac:dyDescent="0.25">
      <c r="A51" s="18" t="str">
        <f t="shared" si="0"/>
        <v/>
      </c>
      <c r="B51" s="25"/>
      <c r="C51" s="25"/>
      <c r="D51" s="25"/>
      <c r="E51" s="25"/>
      <c r="F51" s="49"/>
      <c r="G51" s="25"/>
      <c r="H51" s="40"/>
      <c r="I51" s="49"/>
      <c r="K51" s="36"/>
      <c r="L51" s="25"/>
      <c r="M51" s="25"/>
      <c r="N51" s="25"/>
      <c r="O51" s="25"/>
      <c r="P51" s="25"/>
      <c r="Q51" s="25"/>
      <c r="R51" s="25"/>
      <c r="S51" s="25"/>
      <c r="T51" s="25"/>
      <c r="U51" s="25"/>
      <c r="V51" s="25"/>
      <c r="W51" s="25"/>
    </row>
    <row r="52" spans="1:23" x14ac:dyDescent="0.25">
      <c r="A52" s="18" t="str">
        <f t="shared" si="0"/>
        <v/>
      </c>
      <c r="B52" s="25"/>
      <c r="C52" s="25"/>
      <c r="D52" s="25"/>
      <c r="E52" s="25"/>
      <c r="F52" s="49"/>
      <c r="G52" s="25"/>
      <c r="H52" s="40"/>
      <c r="I52" s="49"/>
      <c r="K52" s="36"/>
      <c r="L52" s="25"/>
      <c r="M52" s="25"/>
      <c r="N52" s="25"/>
      <c r="O52" s="25"/>
      <c r="P52" s="25"/>
      <c r="Q52" s="25"/>
      <c r="R52" s="25"/>
      <c r="S52" s="25"/>
      <c r="T52" s="25"/>
      <c r="U52" s="25"/>
      <c r="V52" s="25"/>
      <c r="W52" s="25"/>
    </row>
    <row r="53" spans="1:23" x14ac:dyDescent="0.25">
      <c r="A53" s="18" t="str">
        <f t="shared" si="0"/>
        <v/>
      </c>
      <c r="B53" s="25"/>
      <c r="C53" s="25"/>
      <c r="D53" s="25"/>
      <c r="E53" s="25"/>
      <c r="F53" s="49"/>
      <c r="G53" s="25"/>
      <c r="H53" s="40"/>
      <c r="I53" s="49"/>
      <c r="K53" s="36"/>
      <c r="L53" s="25"/>
      <c r="M53" s="25"/>
      <c r="N53" s="25"/>
      <c r="O53" s="25"/>
      <c r="P53" s="25"/>
      <c r="Q53" s="25"/>
      <c r="R53" s="25"/>
      <c r="S53" s="25"/>
      <c r="T53" s="25"/>
      <c r="U53" s="25"/>
      <c r="V53" s="25"/>
      <c r="W53" s="25"/>
    </row>
    <row r="54" spans="1:23" x14ac:dyDescent="0.25">
      <c r="A54" s="18" t="str">
        <f t="shared" si="0"/>
        <v/>
      </c>
      <c r="B54" s="25"/>
      <c r="C54" s="25"/>
      <c r="D54" s="25"/>
      <c r="E54" s="25"/>
      <c r="F54" s="49"/>
      <c r="G54" s="25"/>
      <c r="H54" s="40"/>
      <c r="I54" s="49"/>
      <c r="K54" s="36"/>
      <c r="L54" s="25"/>
      <c r="M54" s="25"/>
      <c r="N54" s="25"/>
      <c r="O54" s="25"/>
      <c r="P54" s="25"/>
      <c r="Q54" s="25"/>
      <c r="R54" s="25"/>
      <c r="S54" s="25"/>
      <c r="T54" s="25"/>
      <c r="U54" s="25"/>
      <c r="V54" s="25"/>
      <c r="W54" s="25"/>
    </row>
    <row r="55" spans="1:23" x14ac:dyDescent="0.25">
      <c r="A55" s="18" t="str">
        <f t="shared" si="0"/>
        <v/>
      </c>
      <c r="B55" s="25"/>
      <c r="C55" s="25"/>
      <c r="D55" s="25"/>
      <c r="E55" s="25"/>
      <c r="F55" s="49"/>
      <c r="G55" s="25"/>
      <c r="H55" s="40"/>
      <c r="I55" s="49"/>
      <c r="K55" s="36"/>
      <c r="L55" s="25"/>
      <c r="M55" s="25"/>
      <c r="N55" s="25"/>
      <c r="O55" s="25"/>
      <c r="P55" s="25"/>
      <c r="Q55" s="25"/>
      <c r="R55" s="25"/>
      <c r="S55" s="25"/>
      <c r="T55" s="25"/>
      <c r="U55" s="25"/>
      <c r="V55" s="25"/>
      <c r="W55" s="25"/>
    </row>
    <row r="56" spans="1:23" x14ac:dyDescent="0.25">
      <c r="A56" s="18" t="str">
        <f t="shared" si="0"/>
        <v/>
      </c>
      <c r="B56" s="25"/>
      <c r="C56" s="25"/>
      <c r="D56" s="25"/>
      <c r="E56" s="25"/>
      <c r="F56" s="49"/>
      <c r="G56" s="25"/>
      <c r="H56" s="40"/>
      <c r="I56" s="49"/>
      <c r="K56" s="36"/>
      <c r="L56" s="25"/>
      <c r="M56" s="25"/>
      <c r="N56" s="25"/>
      <c r="O56" s="25"/>
      <c r="P56" s="25"/>
      <c r="Q56" s="25"/>
      <c r="R56" s="25"/>
      <c r="S56" s="25"/>
      <c r="T56" s="25"/>
      <c r="U56" s="25"/>
      <c r="V56" s="25"/>
      <c r="W56" s="25"/>
    </row>
    <row r="57" spans="1:23" x14ac:dyDescent="0.25">
      <c r="A57" s="18" t="str">
        <f t="shared" si="0"/>
        <v/>
      </c>
      <c r="B57" s="25"/>
      <c r="C57" s="25"/>
      <c r="D57" s="25"/>
      <c r="E57" s="25"/>
      <c r="F57" s="49"/>
      <c r="G57" s="25"/>
      <c r="H57" s="40"/>
      <c r="I57" s="49"/>
      <c r="K57" s="36"/>
      <c r="L57" s="25"/>
      <c r="M57" s="25"/>
      <c r="N57" s="25"/>
      <c r="O57" s="25"/>
      <c r="P57" s="25"/>
      <c r="Q57" s="25"/>
      <c r="R57" s="25"/>
      <c r="S57" s="25"/>
      <c r="T57" s="25"/>
      <c r="U57" s="25"/>
      <c r="V57" s="25"/>
      <c r="W57" s="25"/>
    </row>
    <row r="58" spans="1:23" x14ac:dyDescent="0.25">
      <c r="A58" s="18" t="str">
        <f t="shared" si="0"/>
        <v/>
      </c>
      <c r="B58" s="25"/>
      <c r="C58" s="25"/>
      <c r="D58" s="25"/>
      <c r="E58" s="25"/>
      <c r="F58" s="49"/>
      <c r="G58" s="25"/>
      <c r="H58" s="40"/>
      <c r="I58" s="49"/>
      <c r="K58" s="36"/>
      <c r="L58" s="25"/>
      <c r="M58" s="25"/>
      <c r="N58" s="25"/>
      <c r="O58" s="25"/>
      <c r="P58" s="25"/>
      <c r="Q58" s="25"/>
      <c r="R58" s="25"/>
      <c r="S58" s="25"/>
      <c r="T58" s="25"/>
      <c r="U58" s="25"/>
      <c r="V58" s="25"/>
      <c r="W58" s="25"/>
    </row>
    <row r="59" spans="1:23" x14ac:dyDescent="0.25">
      <c r="A59" s="18" t="str">
        <f t="shared" si="0"/>
        <v/>
      </c>
      <c r="B59" s="25"/>
      <c r="C59" s="25"/>
      <c r="D59" s="25"/>
      <c r="E59" s="25"/>
      <c r="F59" s="49"/>
      <c r="G59" s="25"/>
      <c r="H59" s="40"/>
      <c r="I59" s="49"/>
      <c r="K59" s="36"/>
      <c r="L59" s="25"/>
      <c r="M59" s="25"/>
      <c r="N59" s="25"/>
      <c r="O59" s="25"/>
      <c r="P59" s="25"/>
      <c r="Q59" s="25"/>
      <c r="R59" s="25"/>
      <c r="S59" s="25"/>
      <c r="T59" s="25"/>
      <c r="U59" s="25"/>
      <c r="V59" s="25"/>
      <c r="W59" s="25"/>
    </row>
    <row r="60" spans="1:23" x14ac:dyDescent="0.25">
      <c r="A60" s="18" t="str">
        <f t="shared" si="0"/>
        <v/>
      </c>
      <c r="B60" s="25"/>
      <c r="C60" s="25"/>
      <c r="D60" s="25"/>
      <c r="E60" s="25"/>
      <c r="F60" s="49"/>
      <c r="G60" s="25"/>
      <c r="H60" s="40"/>
      <c r="I60" s="49"/>
      <c r="K60" s="36"/>
      <c r="L60" s="25"/>
      <c r="M60" s="25"/>
      <c r="N60" s="25"/>
      <c r="O60" s="25"/>
      <c r="P60" s="25"/>
      <c r="Q60" s="25"/>
      <c r="R60" s="25"/>
      <c r="S60" s="25"/>
      <c r="T60" s="25"/>
      <c r="U60" s="25"/>
      <c r="V60" s="25"/>
      <c r="W60" s="25"/>
    </row>
    <row r="61" spans="1:23" x14ac:dyDescent="0.25">
      <c r="A61" s="18" t="str">
        <f t="shared" si="0"/>
        <v/>
      </c>
      <c r="B61" s="25"/>
      <c r="C61" s="25"/>
      <c r="D61" s="25"/>
      <c r="E61" s="25"/>
      <c r="F61" s="49"/>
      <c r="G61" s="25"/>
      <c r="H61" s="40"/>
      <c r="I61" s="49"/>
      <c r="K61" s="36"/>
      <c r="L61" s="25"/>
      <c r="M61" s="25"/>
      <c r="N61" s="25"/>
      <c r="O61" s="25"/>
      <c r="P61" s="25"/>
      <c r="Q61" s="25"/>
      <c r="R61" s="25"/>
      <c r="S61" s="25"/>
      <c r="T61" s="25"/>
      <c r="U61" s="25"/>
      <c r="V61" s="25"/>
      <c r="W61" s="25"/>
    </row>
    <row r="62" spans="1:23" x14ac:dyDescent="0.25">
      <c r="A62" s="18" t="str">
        <f t="shared" si="0"/>
        <v/>
      </c>
      <c r="B62" s="25"/>
      <c r="C62" s="25"/>
      <c r="D62" s="25"/>
      <c r="E62" s="25"/>
      <c r="F62" s="49"/>
      <c r="G62" s="25"/>
      <c r="H62" s="40"/>
      <c r="I62" s="49"/>
      <c r="K62" s="36"/>
      <c r="L62" s="25"/>
      <c r="M62" s="25"/>
      <c r="N62" s="25"/>
      <c r="O62" s="25"/>
      <c r="P62" s="25"/>
      <c r="Q62" s="25"/>
      <c r="R62" s="25"/>
      <c r="S62" s="25"/>
      <c r="T62" s="25"/>
      <c r="U62" s="25"/>
      <c r="V62" s="25"/>
      <c r="W62" s="25"/>
    </row>
    <row r="63" spans="1:23" x14ac:dyDescent="0.25">
      <c r="A63" s="18" t="str">
        <f t="shared" si="0"/>
        <v/>
      </c>
      <c r="B63" s="25"/>
      <c r="C63" s="25"/>
      <c r="D63" s="25"/>
      <c r="E63" s="25"/>
      <c r="F63" s="49"/>
      <c r="G63" s="25"/>
      <c r="H63" s="40"/>
      <c r="I63" s="49"/>
      <c r="K63" s="36"/>
      <c r="L63" s="25"/>
      <c r="M63" s="25"/>
      <c r="N63" s="25"/>
      <c r="O63" s="25"/>
      <c r="P63" s="25"/>
      <c r="Q63" s="25"/>
      <c r="R63" s="25"/>
      <c r="S63" s="25"/>
      <c r="T63" s="25"/>
      <c r="U63" s="25"/>
      <c r="V63" s="25"/>
      <c r="W63" s="25"/>
    </row>
    <row r="64" spans="1:23" x14ac:dyDescent="0.25">
      <c r="A64" s="18" t="str">
        <f t="shared" si="0"/>
        <v/>
      </c>
      <c r="B64" s="25"/>
      <c r="C64" s="25"/>
      <c r="D64" s="25"/>
      <c r="E64" s="25"/>
      <c r="F64" s="49"/>
      <c r="G64" s="25"/>
      <c r="H64" s="40"/>
      <c r="I64" s="49"/>
      <c r="K64" s="36"/>
      <c r="L64" s="25"/>
      <c r="M64" s="25"/>
      <c r="N64" s="25"/>
      <c r="O64" s="25"/>
      <c r="P64" s="25"/>
      <c r="Q64" s="25"/>
      <c r="R64" s="25"/>
      <c r="S64" s="25"/>
      <c r="T64" s="25"/>
      <c r="U64" s="25"/>
      <c r="V64" s="25"/>
      <c r="W64" s="25"/>
    </row>
    <row r="65" spans="1:23" x14ac:dyDescent="0.25">
      <c r="A65" s="18" t="str">
        <f t="shared" si="0"/>
        <v/>
      </c>
      <c r="B65" s="25"/>
      <c r="C65" s="25"/>
      <c r="D65" s="25"/>
      <c r="E65" s="25"/>
      <c r="F65" s="49"/>
      <c r="G65" s="25"/>
      <c r="H65" s="40"/>
      <c r="I65" s="49"/>
      <c r="K65" s="36"/>
      <c r="L65" s="25"/>
      <c r="M65" s="25"/>
      <c r="N65" s="25"/>
      <c r="O65" s="25"/>
      <c r="P65" s="25"/>
      <c r="Q65" s="25"/>
      <c r="R65" s="25"/>
      <c r="S65" s="25"/>
      <c r="T65" s="25"/>
      <c r="U65" s="25"/>
      <c r="V65" s="25"/>
      <c r="W65" s="25"/>
    </row>
    <row r="66" spans="1:23" x14ac:dyDescent="0.25">
      <c r="A66" s="18" t="str">
        <f t="shared" si="0"/>
        <v/>
      </c>
      <c r="B66" s="25"/>
      <c r="C66" s="25"/>
      <c r="D66" s="25"/>
      <c r="E66" s="25"/>
      <c r="F66" s="49"/>
      <c r="G66" s="25"/>
      <c r="H66" s="40"/>
      <c r="I66" s="49"/>
      <c r="K66" s="36"/>
      <c r="L66" s="25"/>
      <c r="M66" s="25"/>
      <c r="N66" s="25"/>
      <c r="O66" s="25"/>
      <c r="P66" s="25"/>
      <c r="Q66" s="25"/>
      <c r="R66" s="25"/>
      <c r="S66" s="25"/>
      <c r="T66" s="25"/>
      <c r="U66" s="25"/>
      <c r="V66" s="25"/>
      <c r="W66" s="25"/>
    </row>
    <row r="67" spans="1:23" x14ac:dyDescent="0.25">
      <c r="A67" s="18" t="str">
        <f t="shared" si="0"/>
        <v/>
      </c>
      <c r="B67" s="25"/>
      <c r="C67" s="25"/>
      <c r="D67" s="25"/>
      <c r="E67" s="25"/>
      <c r="F67" s="49"/>
      <c r="G67" s="25"/>
      <c r="H67" s="40"/>
      <c r="I67" s="49"/>
      <c r="K67" s="36"/>
      <c r="L67" s="25"/>
      <c r="M67" s="25"/>
      <c r="N67" s="25"/>
      <c r="O67" s="25"/>
      <c r="P67" s="25"/>
      <c r="Q67" s="25"/>
      <c r="R67" s="25"/>
      <c r="S67" s="25"/>
      <c r="T67" s="25"/>
      <c r="U67" s="25"/>
      <c r="V67" s="25"/>
      <c r="W67" s="25"/>
    </row>
    <row r="68" spans="1:23" x14ac:dyDescent="0.25">
      <c r="A68" s="18" t="str">
        <f t="shared" ref="A68:A69" si="1">IF(ISBLANK($B68)=FALSE,_xlfn.CONCAT("owc_",$B68),"")</f>
        <v/>
      </c>
      <c r="B68" s="25"/>
      <c r="C68" s="25"/>
      <c r="D68" s="25"/>
      <c r="E68" s="25"/>
      <c r="F68" s="49"/>
      <c r="G68" s="25"/>
      <c r="H68" s="40"/>
      <c r="I68" s="49"/>
      <c r="K68" s="36"/>
      <c r="L68" s="25"/>
      <c r="M68" s="25"/>
      <c r="N68" s="25"/>
      <c r="O68" s="25"/>
      <c r="P68" s="25"/>
      <c r="Q68" s="25"/>
      <c r="R68" s="25"/>
      <c r="S68" s="25"/>
      <c r="T68" s="25"/>
      <c r="U68" s="25"/>
      <c r="V68" s="25"/>
      <c r="W68" s="25"/>
    </row>
    <row r="69" spans="1:23" x14ac:dyDescent="0.25">
      <c r="A69" s="18" t="str">
        <f t="shared" si="1"/>
        <v/>
      </c>
      <c r="B69" s="25"/>
      <c r="C69" s="25"/>
      <c r="D69" s="25"/>
      <c r="E69" s="25"/>
      <c r="F69" s="49"/>
      <c r="G69" s="25"/>
      <c r="H69" s="40"/>
      <c r="I69" s="49"/>
      <c r="K69" s="36"/>
      <c r="L69" s="25"/>
      <c r="M69" s="25"/>
      <c r="N69" s="25"/>
      <c r="O69" s="25"/>
      <c r="P69" s="25"/>
      <c r="Q69" s="25"/>
      <c r="R69" s="25"/>
      <c r="S69" s="25"/>
      <c r="T69" s="25"/>
      <c r="U69" s="25"/>
      <c r="V69" s="25"/>
      <c r="W69" s="25"/>
    </row>
    <row r="70" spans="1:23" x14ac:dyDescent="0.25">
      <c r="B70" s="25"/>
      <c r="C70" s="25"/>
      <c r="D70" s="25"/>
      <c r="E70" s="25"/>
      <c r="F70" s="49"/>
      <c r="G70" s="25"/>
      <c r="H70" s="40"/>
      <c r="I70" s="49"/>
      <c r="K70" s="36"/>
      <c r="L70" s="25"/>
      <c r="M70" s="25"/>
      <c r="N70" s="25"/>
      <c r="O70" s="25"/>
      <c r="P70" s="25"/>
      <c r="Q70" s="25"/>
      <c r="R70" s="25"/>
      <c r="S70" s="25"/>
      <c r="T70" s="25"/>
      <c r="U70" s="25"/>
      <c r="V70" s="25"/>
      <c r="W70" s="25"/>
    </row>
    <row r="71" spans="1:23" x14ac:dyDescent="0.25">
      <c r="B71" s="25"/>
      <c r="C71" s="25"/>
      <c r="D71" s="25"/>
      <c r="E71" s="25"/>
      <c r="F71" s="49"/>
      <c r="G71" s="25"/>
      <c r="H71" s="40"/>
      <c r="I71" s="49"/>
      <c r="K71" s="36"/>
      <c r="L71" s="25"/>
      <c r="M71" s="25"/>
      <c r="N71" s="25"/>
      <c r="O71" s="25"/>
      <c r="P71" s="25"/>
      <c r="Q71" s="25"/>
      <c r="R71" s="25"/>
      <c r="S71" s="25"/>
      <c r="T71" s="25"/>
      <c r="U71" s="25"/>
      <c r="V71" s="25"/>
      <c r="W71" s="25"/>
    </row>
    <row r="72" spans="1:23" x14ac:dyDescent="0.25">
      <c r="B72" s="25"/>
      <c r="C72" s="25"/>
      <c r="D72" s="25"/>
      <c r="E72" s="25"/>
      <c r="F72" s="49"/>
      <c r="G72" s="25"/>
      <c r="H72" s="40"/>
      <c r="I72" s="49"/>
      <c r="K72" s="36"/>
      <c r="L72" s="25"/>
      <c r="M72" s="25"/>
      <c r="N72" s="25"/>
      <c r="O72" s="25"/>
      <c r="P72" s="25"/>
      <c r="Q72" s="25"/>
      <c r="R72" s="25"/>
      <c r="S72" s="25"/>
      <c r="T72" s="25"/>
      <c r="U72" s="25"/>
      <c r="V72" s="25"/>
      <c r="W72" s="25"/>
    </row>
    <row r="73" spans="1:23" x14ac:dyDescent="0.25">
      <c r="B73" s="25"/>
      <c r="C73" s="25"/>
      <c r="D73" s="25"/>
      <c r="E73" s="25"/>
      <c r="F73" s="49"/>
      <c r="G73" s="25"/>
      <c r="H73" s="40"/>
      <c r="I73" s="49"/>
      <c r="K73" s="36"/>
      <c r="L73" s="25"/>
      <c r="M73" s="25"/>
      <c r="N73" s="25"/>
      <c r="O73" s="25"/>
      <c r="P73" s="25"/>
      <c r="Q73" s="25"/>
      <c r="R73" s="25"/>
      <c r="S73" s="25"/>
      <c r="T73" s="25"/>
      <c r="U73" s="25"/>
      <c r="V73" s="25"/>
      <c r="W73" s="25"/>
    </row>
    <row r="74" spans="1:23" x14ac:dyDescent="0.25">
      <c r="B74" s="25"/>
      <c r="C74" s="25"/>
      <c r="D74" s="25"/>
      <c r="E74" s="25"/>
      <c r="F74" s="49"/>
      <c r="G74" s="25"/>
      <c r="H74" s="40"/>
      <c r="I74" s="49"/>
      <c r="K74" s="36"/>
      <c r="L74" s="25"/>
      <c r="M74" s="25"/>
      <c r="N74" s="25"/>
      <c r="O74" s="25"/>
      <c r="P74" s="25"/>
      <c r="Q74" s="25"/>
      <c r="R74" s="25"/>
      <c r="S74" s="25"/>
      <c r="T74" s="25"/>
      <c r="U74" s="25"/>
      <c r="V74" s="25"/>
      <c r="W74" s="25"/>
    </row>
    <row r="75" spans="1:23" x14ac:dyDescent="0.25">
      <c r="B75" s="25"/>
      <c r="C75" s="25"/>
      <c r="D75" s="25"/>
      <c r="E75" s="25"/>
      <c r="F75" s="49"/>
      <c r="G75" s="25"/>
      <c r="H75" s="40"/>
      <c r="I75" s="49"/>
      <c r="K75" s="36"/>
      <c r="L75" s="25"/>
      <c r="M75" s="25"/>
      <c r="N75" s="25"/>
      <c r="O75" s="25"/>
      <c r="P75" s="25"/>
      <c r="Q75" s="25"/>
      <c r="R75" s="25"/>
      <c r="S75" s="25"/>
      <c r="T75" s="25"/>
      <c r="U75" s="25"/>
      <c r="V75" s="25"/>
      <c r="W75" s="25"/>
    </row>
    <row r="76" spans="1:23" x14ac:dyDescent="0.25">
      <c r="B76" s="25"/>
      <c r="C76" s="25"/>
      <c r="D76" s="25"/>
      <c r="E76" s="25"/>
      <c r="F76" s="49"/>
      <c r="G76" s="25"/>
      <c r="H76" s="40"/>
      <c r="I76" s="49"/>
      <c r="K76" s="36"/>
      <c r="L76" s="25"/>
      <c r="M76" s="25"/>
      <c r="N76" s="25"/>
      <c r="O76" s="25"/>
      <c r="P76" s="25"/>
      <c r="Q76" s="25"/>
      <c r="R76" s="25"/>
      <c r="S76" s="25"/>
      <c r="T76" s="25"/>
      <c r="U76" s="25"/>
      <c r="V76" s="25"/>
      <c r="W76" s="25"/>
    </row>
    <row r="77" spans="1:23" x14ac:dyDescent="0.25">
      <c r="B77" s="25"/>
      <c r="C77" s="25"/>
      <c r="D77" s="25"/>
      <c r="E77" s="25"/>
      <c r="F77" s="49"/>
      <c r="G77" s="25"/>
      <c r="H77" s="40"/>
      <c r="I77" s="49"/>
      <c r="K77" s="36"/>
      <c r="L77" s="25"/>
      <c r="M77" s="25"/>
      <c r="N77" s="25"/>
      <c r="O77" s="25"/>
      <c r="P77" s="25"/>
      <c r="Q77" s="25"/>
      <c r="R77" s="25"/>
      <c r="S77" s="25"/>
      <c r="T77" s="25"/>
      <c r="U77" s="25"/>
      <c r="V77" s="25"/>
      <c r="W77" s="25"/>
    </row>
    <row r="78" spans="1:23" x14ac:dyDescent="0.25">
      <c r="B78" s="25"/>
      <c r="C78" s="25"/>
      <c r="D78" s="25"/>
      <c r="E78" s="25"/>
      <c r="F78" s="49"/>
      <c r="G78" s="25"/>
      <c r="H78" s="40"/>
      <c r="I78" s="49"/>
      <c r="K78" s="36"/>
      <c r="L78" s="25"/>
      <c r="M78" s="25"/>
      <c r="N78" s="25"/>
      <c r="O78" s="25"/>
      <c r="P78" s="25"/>
      <c r="Q78" s="25"/>
      <c r="R78" s="25"/>
      <c r="S78" s="25"/>
      <c r="T78" s="25"/>
      <c r="U78" s="25"/>
      <c r="V78" s="25"/>
      <c r="W78" s="25"/>
    </row>
    <row r="79" spans="1:23" x14ac:dyDescent="0.25">
      <c r="B79" s="25"/>
      <c r="C79" s="25"/>
      <c r="D79" s="25"/>
      <c r="E79" s="25"/>
      <c r="F79" s="49"/>
      <c r="G79" s="25"/>
      <c r="H79" s="40"/>
      <c r="I79" s="49"/>
      <c r="K79" s="36"/>
      <c r="L79" s="25"/>
      <c r="M79" s="25"/>
      <c r="N79" s="25"/>
      <c r="O79" s="25"/>
      <c r="P79" s="25"/>
      <c r="Q79" s="25"/>
      <c r="R79" s="25"/>
      <c r="S79" s="25"/>
      <c r="T79" s="25"/>
      <c r="U79" s="25"/>
      <c r="V79" s="25"/>
      <c r="W79" s="25"/>
    </row>
    <row r="80" spans="1:23" x14ac:dyDescent="0.25">
      <c r="B80" s="25"/>
      <c r="C80" s="25"/>
      <c r="D80" s="25"/>
      <c r="E80" s="25"/>
      <c r="F80" s="49"/>
      <c r="G80" s="25"/>
      <c r="H80" s="40"/>
      <c r="I80" s="49"/>
      <c r="K80" s="36"/>
      <c r="L80" s="25"/>
      <c r="M80" s="25"/>
      <c r="N80" s="25"/>
      <c r="O80" s="25"/>
      <c r="P80" s="25"/>
      <c r="Q80" s="25"/>
      <c r="R80" s="25"/>
      <c r="S80" s="25"/>
      <c r="T80" s="25"/>
      <c r="U80" s="25"/>
      <c r="V80" s="25"/>
      <c r="W80" s="25"/>
    </row>
    <row r="81" spans="2:23" x14ac:dyDescent="0.25">
      <c r="B81" s="25"/>
      <c r="C81" s="25"/>
      <c r="D81" s="25"/>
      <c r="E81" s="25"/>
      <c r="F81" s="49"/>
      <c r="G81" s="25"/>
      <c r="H81" s="40"/>
      <c r="I81" s="49"/>
      <c r="K81" s="36"/>
      <c r="L81" s="25"/>
      <c r="M81" s="25"/>
      <c r="N81" s="25"/>
      <c r="O81" s="25"/>
      <c r="P81" s="25"/>
      <c r="Q81" s="25"/>
      <c r="R81" s="25"/>
      <c r="S81" s="25"/>
      <c r="T81" s="25"/>
      <c r="U81" s="25"/>
      <c r="V81" s="25"/>
      <c r="W81" s="25"/>
    </row>
    <row r="82" spans="2:23" x14ac:dyDescent="0.25">
      <c r="B82" s="25"/>
      <c r="C82" s="25"/>
      <c r="D82" s="25"/>
      <c r="E82" s="25"/>
      <c r="F82" s="49"/>
      <c r="G82" s="25"/>
      <c r="H82" s="40"/>
      <c r="I82" s="49"/>
      <c r="K82" s="36"/>
      <c r="L82" s="25"/>
      <c r="M82" s="25"/>
      <c r="N82" s="25"/>
      <c r="O82" s="25"/>
      <c r="P82" s="25"/>
      <c r="Q82" s="25"/>
      <c r="R82" s="25"/>
      <c r="S82" s="25"/>
      <c r="T82" s="25"/>
      <c r="U82" s="25"/>
      <c r="V82" s="25"/>
      <c r="W82" s="25"/>
    </row>
    <row r="83" spans="2:23" x14ac:dyDescent="0.25">
      <c r="B83" s="25"/>
      <c r="C83" s="25"/>
      <c r="D83" s="25"/>
      <c r="E83" s="25"/>
      <c r="F83" s="49"/>
      <c r="G83" s="25"/>
      <c r="H83" s="40"/>
      <c r="I83" s="49"/>
      <c r="K83" s="36"/>
      <c r="L83" s="25"/>
      <c r="M83" s="25"/>
      <c r="N83" s="25"/>
      <c r="O83" s="25"/>
      <c r="P83" s="25"/>
      <c r="Q83" s="25"/>
      <c r="R83" s="25"/>
      <c r="S83" s="25"/>
      <c r="T83" s="25"/>
      <c r="U83" s="25"/>
      <c r="V83" s="25"/>
      <c r="W83" s="25"/>
    </row>
    <row r="84" spans="2:23" x14ac:dyDescent="0.25">
      <c r="B84" s="25"/>
      <c r="C84" s="25"/>
      <c r="D84" s="25"/>
      <c r="E84" s="25"/>
      <c r="F84" s="49"/>
      <c r="G84" s="25"/>
      <c r="H84" s="40"/>
      <c r="I84" s="49"/>
      <c r="K84" s="36"/>
      <c r="L84" s="25"/>
      <c r="M84" s="25"/>
      <c r="N84" s="25"/>
      <c r="O84" s="25"/>
      <c r="P84" s="25"/>
      <c r="Q84" s="25"/>
      <c r="R84" s="25"/>
      <c r="S84" s="25"/>
      <c r="T84" s="25"/>
      <c r="U84" s="25"/>
      <c r="V84" s="25"/>
      <c r="W84" s="25"/>
    </row>
    <row r="85" spans="2:23" x14ac:dyDescent="0.25">
      <c r="B85" s="25"/>
      <c r="C85" s="25"/>
      <c r="D85" s="25"/>
      <c r="E85" s="25"/>
      <c r="F85" s="49"/>
      <c r="G85" s="25"/>
      <c r="H85" s="40"/>
      <c r="I85" s="49"/>
      <c r="K85" s="36"/>
      <c r="L85" s="25"/>
      <c r="M85" s="25"/>
      <c r="N85" s="25"/>
      <c r="O85" s="25"/>
      <c r="P85" s="25"/>
      <c r="Q85" s="25"/>
      <c r="R85" s="25"/>
      <c r="S85" s="25"/>
      <c r="T85" s="25"/>
      <c r="U85" s="25"/>
      <c r="V85" s="25"/>
      <c r="W85" s="25"/>
    </row>
    <row r="86" spans="2:23" x14ac:dyDescent="0.25">
      <c r="B86" s="25"/>
      <c r="C86" s="25"/>
      <c r="D86" s="25"/>
      <c r="E86" s="25"/>
      <c r="F86" s="49"/>
      <c r="G86" s="25"/>
      <c r="H86" s="40"/>
      <c r="I86" s="49"/>
      <c r="K86" s="36"/>
      <c r="L86" s="25"/>
      <c r="M86" s="25"/>
      <c r="N86" s="25"/>
      <c r="O86" s="25"/>
      <c r="P86" s="25"/>
      <c r="Q86" s="25"/>
      <c r="R86" s="25"/>
      <c r="S86" s="25"/>
      <c r="T86" s="25"/>
      <c r="U86" s="25"/>
      <c r="V86" s="25"/>
      <c r="W86" s="25"/>
    </row>
    <row r="87" spans="2:23" x14ac:dyDescent="0.25">
      <c r="B87" s="25"/>
      <c r="C87" s="25"/>
      <c r="D87" s="25"/>
      <c r="E87" s="25"/>
      <c r="F87" s="49"/>
      <c r="G87" s="25"/>
      <c r="H87" s="40"/>
      <c r="I87" s="49"/>
      <c r="K87" s="36"/>
      <c r="L87" s="25"/>
      <c r="M87" s="25"/>
      <c r="N87" s="25"/>
      <c r="O87" s="25"/>
      <c r="P87" s="25"/>
      <c r="Q87" s="25"/>
      <c r="R87" s="25"/>
      <c r="S87" s="25"/>
      <c r="T87" s="25"/>
      <c r="U87" s="25"/>
      <c r="V87" s="25"/>
      <c r="W87" s="25"/>
    </row>
    <row r="88" spans="2:23" x14ac:dyDescent="0.25">
      <c r="B88" s="25"/>
      <c r="C88" s="25"/>
      <c r="D88" s="25"/>
      <c r="E88" s="25"/>
      <c r="F88" s="49"/>
      <c r="G88" s="25"/>
      <c r="H88" s="40"/>
      <c r="I88" s="49"/>
      <c r="K88" s="36"/>
      <c r="L88" s="25"/>
      <c r="M88" s="25"/>
      <c r="N88" s="25"/>
      <c r="O88" s="25"/>
      <c r="P88" s="25"/>
      <c r="Q88" s="25"/>
      <c r="R88" s="25"/>
      <c r="S88" s="25"/>
      <c r="T88" s="25"/>
      <c r="U88" s="25"/>
      <c r="V88" s="25"/>
      <c r="W88" s="25"/>
    </row>
    <row r="89" spans="2:23" x14ac:dyDescent="0.25">
      <c r="B89" s="25"/>
      <c r="C89" s="25"/>
      <c r="D89" s="25"/>
      <c r="E89" s="25"/>
      <c r="F89" s="49"/>
      <c r="G89" s="25"/>
      <c r="H89" s="40"/>
      <c r="I89" s="49"/>
      <c r="K89" s="36"/>
      <c r="L89" s="25"/>
      <c r="M89" s="25"/>
      <c r="N89" s="25"/>
      <c r="O89" s="25"/>
      <c r="P89" s="25"/>
      <c r="Q89" s="25"/>
      <c r="R89" s="25"/>
      <c r="S89" s="25"/>
      <c r="T89" s="25"/>
      <c r="U89" s="25"/>
      <c r="V89" s="25"/>
      <c r="W89" s="25"/>
    </row>
    <row r="90" spans="2:23" x14ac:dyDescent="0.25">
      <c r="B90" s="25"/>
      <c r="C90" s="25"/>
      <c r="D90" s="25"/>
      <c r="E90" s="25"/>
      <c r="F90" s="49"/>
      <c r="G90" s="25"/>
      <c r="H90" s="40"/>
      <c r="I90" s="49"/>
      <c r="K90" s="36"/>
      <c r="L90" s="25"/>
      <c r="M90" s="25"/>
      <c r="N90" s="25"/>
      <c r="O90" s="25"/>
      <c r="P90" s="25"/>
      <c r="Q90" s="25"/>
      <c r="R90" s="25"/>
      <c r="S90" s="25"/>
      <c r="T90" s="25"/>
      <c r="U90" s="25"/>
      <c r="V90" s="25"/>
      <c r="W90" s="25"/>
    </row>
    <row r="91" spans="2:23" x14ac:dyDescent="0.25">
      <c r="B91" s="25"/>
      <c r="C91" s="25"/>
      <c r="D91" s="25"/>
      <c r="E91" s="25"/>
      <c r="F91" s="49"/>
      <c r="G91" s="25"/>
      <c r="H91" s="40"/>
      <c r="I91" s="49"/>
      <c r="K91" s="36"/>
      <c r="L91" s="25"/>
      <c r="M91" s="25"/>
      <c r="N91" s="25"/>
      <c r="O91" s="25"/>
      <c r="P91" s="25"/>
      <c r="Q91" s="25"/>
      <c r="R91" s="25"/>
      <c r="S91" s="25"/>
      <c r="T91" s="25"/>
      <c r="U91" s="25"/>
      <c r="V91" s="25"/>
      <c r="W91" s="25"/>
    </row>
    <row r="92" spans="2:23" x14ac:dyDescent="0.25">
      <c r="B92" s="25"/>
      <c r="C92" s="25"/>
      <c r="D92" s="25"/>
      <c r="E92" s="25"/>
      <c r="F92" s="49"/>
      <c r="G92" s="25"/>
      <c r="H92" s="40"/>
      <c r="I92" s="49"/>
      <c r="K92" s="36"/>
      <c r="L92" s="25"/>
      <c r="M92" s="25"/>
      <c r="N92" s="25"/>
      <c r="O92" s="25"/>
      <c r="P92" s="25"/>
      <c r="Q92" s="25"/>
      <c r="R92" s="25"/>
      <c r="S92" s="25"/>
      <c r="T92" s="25"/>
      <c r="U92" s="25"/>
      <c r="V92" s="25"/>
      <c r="W92" s="25"/>
    </row>
    <row r="93" spans="2:23" x14ac:dyDescent="0.25">
      <c r="B93" s="25"/>
      <c r="C93" s="25"/>
      <c r="D93" s="25"/>
      <c r="E93" s="25"/>
      <c r="F93" s="49"/>
      <c r="G93" s="25"/>
      <c r="H93" s="40"/>
      <c r="I93" s="49"/>
      <c r="K93" s="36"/>
      <c r="L93" s="25"/>
      <c r="M93" s="25"/>
      <c r="N93" s="25"/>
      <c r="O93" s="25"/>
      <c r="P93" s="25"/>
      <c r="Q93" s="25"/>
      <c r="R93" s="25"/>
      <c r="S93" s="25"/>
      <c r="T93" s="25"/>
      <c r="U93" s="25"/>
      <c r="V93" s="25"/>
      <c r="W93" s="25"/>
    </row>
    <row r="94" spans="2:23" x14ac:dyDescent="0.25">
      <c r="B94" s="25"/>
      <c r="C94" s="25"/>
      <c r="D94" s="25"/>
      <c r="E94" s="25"/>
      <c r="F94" s="49"/>
      <c r="G94" s="25"/>
      <c r="H94" s="40"/>
      <c r="I94" s="49"/>
      <c r="K94" s="36"/>
      <c r="L94" s="25"/>
      <c r="M94" s="25"/>
      <c r="N94" s="25"/>
      <c r="O94" s="25"/>
      <c r="P94" s="25"/>
      <c r="Q94" s="25"/>
      <c r="R94" s="25"/>
      <c r="S94" s="25"/>
      <c r="T94" s="25"/>
      <c r="U94" s="25"/>
      <c r="V94" s="25"/>
      <c r="W94" s="25"/>
    </row>
    <row r="95" spans="2:23" x14ac:dyDescent="0.25">
      <c r="B95" s="25"/>
      <c r="C95" s="25"/>
      <c r="D95" s="25"/>
      <c r="E95" s="25"/>
      <c r="F95" s="49"/>
      <c r="G95" s="25"/>
      <c r="H95" s="40"/>
      <c r="I95" s="49"/>
      <c r="K95" s="36"/>
      <c r="L95" s="25"/>
      <c r="M95" s="25"/>
      <c r="N95" s="25"/>
      <c r="O95" s="25"/>
      <c r="P95" s="25"/>
      <c r="Q95" s="25"/>
      <c r="R95" s="25"/>
      <c r="S95" s="25"/>
      <c r="T95" s="25"/>
      <c r="U95" s="25"/>
      <c r="V95" s="25"/>
      <c r="W95" s="25"/>
    </row>
    <row r="96" spans="2:23" x14ac:dyDescent="0.25">
      <c r="B96" s="25"/>
      <c r="C96" s="25"/>
      <c r="D96" s="25"/>
      <c r="E96" s="25"/>
      <c r="F96" s="49"/>
      <c r="G96" s="25"/>
      <c r="H96" s="40"/>
      <c r="I96" s="49"/>
      <c r="K96" s="36"/>
      <c r="L96" s="25"/>
      <c r="M96" s="25"/>
      <c r="N96" s="25"/>
      <c r="O96" s="25"/>
      <c r="P96" s="25"/>
      <c r="Q96" s="25"/>
      <c r="R96" s="25"/>
      <c r="S96" s="25"/>
      <c r="T96" s="25"/>
      <c r="U96" s="25"/>
      <c r="V96" s="25"/>
      <c r="W96" s="25"/>
    </row>
    <row r="97" spans="2:23" x14ac:dyDescent="0.25">
      <c r="B97" s="25"/>
      <c r="C97" s="25"/>
      <c r="D97" s="25"/>
      <c r="E97" s="25"/>
      <c r="F97" s="49"/>
      <c r="G97" s="25"/>
      <c r="H97" s="40"/>
      <c r="I97" s="49"/>
      <c r="K97" s="36"/>
      <c r="L97" s="25"/>
      <c r="M97" s="25"/>
      <c r="N97" s="25"/>
      <c r="O97" s="25"/>
      <c r="P97" s="25"/>
      <c r="Q97" s="25"/>
      <c r="R97" s="25"/>
      <c r="S97" s="25"/>
      <c r="T97" s="25"/>
      <c r="U97" s="25"/>
      <c r="V97" s="25"/>
      <c r="W97" s="25"/>
    </row>
    <row r="98" spans="2:23" x14ac:dyDescent="0.25">
      <c r="B98" s="25"/>
      <c r="C98" s="25"/>
      <c r="D98" s="25"/>
      <c r="E98" s="25"/>
      <c r="F98" s="49"/>
      <c r="G98" s="25"/>
      <c r="H98" s="40"/>
      <c r="I98" s="49"/>
      <c r="K98" s="36"/>
      <c r="L98" s="25"/>
      <c r="M98" s="25"/>
      <c r="N98" s="25"/>
      <c r="O98" s="25"/>
      <c r="P98" s="25"/>
      <c r="Q98" s="25"/>
      <c r="R98" s="25"/>
      <c r="S98" s="25"/>
      <c r="T98" s="25"/>
      <c r="U98" s="25"/>
      <c r="V98" s="25"/>
      <c r="W98" s="25"/>
    </row>
    <row r="99" spans="2:23" x14ac:dyDescent="0.25">
      <c r="B99" s="25"/>
      <c r="C99" s="25"/>
      <c r="D99" s="25"/>
      <c r="E99" s="25"/>
      <c r="F99" s="49"/>
      <c r="G99" s="25"/>
      <c r="H99" s="40"/>
      <c r="I99" s="49"/>
      <c r="K99" s="36"/>
      <c r="L99" s="25"/>
      <c r="M99" s="25"/>
      <c r="N99" s="25"/>
      <c r="O99" s="25"/>
      <c r="P99" s="25"/>
      <c r="Q99" s="25"/>
      <c r="R99" s="25"/>
      <c r="S99" s="25"/>
      <c r="T99" s="25"/>
      <c r="U99" s="25"/>
      <c r="V99" s="25"/>
      <c r="W99" s="25"/>
    </row>
    <row r="100" spans="2:23" x14ac:dyDescent="0.25">
      <c r="B100" s="25"/>
      <c r="C100" s="25"/>
      <c r="D100" s="25"/>
      <c r="E100" s="25"/>
      <c r="F100" s="49"/>
      <c r="G100" s="25"/>
      <c r="H100" s="40"/>
      <c r="I100" s="49"/>
      <c r="K100" s="36"/>
      <c r="L100" s="25"/>
      <c r="M100" s="25"/>
      <c r="N100" s="25"/>
      <c r="O100" s="25"/>
      <c r="P100" s="25"/>
      <c r="Q100" s="25"/>
      <c r="R100" s="25"/>
      <c r="S100" s="25"/>
      <c r="T100" s="25"/>
      <c r="U100" s="25"/>
      <c r="V100" s="25"/>
      <c r="W100" s="25"/>
    </row>
    <row r="101" spans="2:23" x14ac:dyDescent="0.25">
      <c r="B101" s="25"/>
      <c r="C101" s="25"/>
      <c r="D101" s="25"/>
      <c r="E101" s="25"/>
      <c r="F101" s="49"/>
      <c r="G101" s="25"/>
      <c r="H101" s="40"/>
      <c r="I101" s="49"/>
      <c r="K101" s="36"/>
      <c r="L101" s="25"/>
      <c r="M101" s="25"/>
      <c r="N101" s="25"/>
      <c r="O101" s="25"/>
      <c r="P101" s="25"/>
      <c r="Q101" s="25"/>
      <c r="R101" s="25"/>
      <c r="S101" s="25"/>
      <c r="T101" s="25"/>
      <c r="U101" s="25"/>
      <c r="V101" s="25"/>
      <c r="W101" s="25"/>
    </row>
    <row r="102" spans="2:23" x14ac:dyDescent="0.25">
      <c r="B102" s="25"/>
      <c r="C102" s="25"/>
      <c r="D102" s="25"/>
      <c r="E102" s="25"/>
      <c r="F102" s="49"/>
      <c r="G102" s="25"/>
      <c r="H102" s="40"/>
      <c r="I102" s="49"/>
      <c r="K102" s="36"/>
      <c r="L102" s="25"/>
      <c r="M102" s="25"/>
      <c r="N102" s="25"/>
      <c r="O102" s="25"/>
      <c r="P102" s="25"/>
      <c r="Q102" s="25"/>
      <c r="R102" s="25"/>
      <c r="S102" s="25"/>
      <c r="T102" s="25"/>
      <c r="U102" s="25"/>
      <c r="V102" s="25"/>
      <c r="W102" s="25"/>
    </row>
    <row r="103" spans="2:23" x14ac:dyDescent="0.25">
      <c r="B103" s="25"/>
      <c r="C103" s="25"/>
      <c r="D103" s="25"/>
      <c r="E103" s="25"/>
      <c r="F103" s="49"/>
      <c r="G103" s="25"/>
      <c r="H103" s="40"/>
      <c r="I103" s="49"/>
      <c r="K103" s="36"/>
      <c r="L103" s="25"/>
      <c r="M103" s="25"/>
      <c r="N103" s="25"/>
      <c r="O103" s="25"/>
      <c r="P103" s="25"/>
      <c r="Q103" s="25"/>
      <c r="R103" s="25"/>
      <c r="S103" s="25"/>
      <c r="T103" s="25"/>
      <c r="U103" s="25"/>
      <c r="V103" s="25"/>
      <c r="W103" s="25"/>
    </row>
    <row r="104" spans="2:23" x14ac:dyDescent="0.25">
      <c r="B104" s="25"/>
      <c r="C104" s="25"/>
      <c r="D104" s="25"/>
      <c r="E104" s="25"/>
      <c r="F104" s="49"/>
      <c r="G104" s="25"/>
      <c r="H104" s="40"/>
      <c r="I104" s="49"/>
      <c r="K104" s="36"/>
      <c r="L104" s="25"/>
      <c r="M104" s="25"/>
      <c r="N104" s="25"/>
      <c r="O104" s="25"/>
      <c r="P104" s="25"/>
      <c r="Q104" s="25"/>
      <c r="R104" s="25"/>
      <c r="S104" s="25"/>
      <c r="T104" s="25"/>
      <c r="U104" s="25"/>
      <c r="V104" s="25"/>
      <c r="W104" s="25"/>
    </row>
    <row r="105" spans="2:23" x14ac:dyDescent="0.25">
      <c r="B105" s="25"/>
      <c r="C105" s="25"/>
      <c r="D105" s="25"/>
      <c r="E105" s="25"/>
      <c r="F105" s="49"/>
      <c r="G105" s="25"/>
      <c r="H105" s="40"/>
      <c r="I105" s="49"/>
      <c r="K105" s="36"/>
      <c r="L105" s="25"/>
      <c r="M105" s="25"/>
      <c r="N105" s="25"/>
      <c r="O105" s="25"/>
      <c r="P105" s="25"/>
      <c r="Q105" s="25"/>
      <c r="R105" s="25"/>
      <c r="S105" s="25"/>
      <c r="T105" s="25"/>
      <c r="U105" s="25"/>
      <c r="V105" s="25"/>
      <c r="W105" s="25"/>
    </row>
    <row r="106" spans="2:23" x14ac:dyDescent="0.25">
      <c r="B106" s="25"/>
      <c r="C106" s="25"/>
      <c r="D106" s="25"/>
      <c r="E106" s="25"/>
      <c r="F106" s="49"/>
      <c r="G106" s="25"/>
      <c r="H106" s="40"/>
      <c r="I106" s="49"/>
      <c r="K106" s="36"/>
      <c r="L106" s="25"/>
      <c r="M106" s="25"/>
      <c r="N106" s="25"/>
      <c r="O106" s="25"/>
      <c r="P106" s="25"/>
      <c r="Q106" s="25"/>
      <c r="R106" s="25"/>
      <c r="S106" s="25"/>
      <c r="T106" s="25"/>
      <c r="U106" s="25"/>
      <c r="V106" s="25"/>
      <c r="W106" s="25"/>
    </row>
    <row r="107" spans="2:23" x14ac:dyDescent="0.25">
      <c r="B107" s="25"/>
      <c r="C107" s="25"/>
      <c r="D107" s="25"/>
      <c r="E107" s="25"/>
      <c r="F107" s="49"/>
      <c r="G107" s="25"/>
      <c r="H107" s="40"/>
      <c r="I107" s="49"/>
      <c r="K107" s="36"/>
      <c r="L107" s="25"/>
      <c r="M107" s="25"/>
      <c r="N107" s="25"/>
      <c r="O107" s="25"/>
      <c r="P107" s="25"/>
      <c r="Q107" s="25"/>
      <c r="R107" s="25"/>
      <c r="S107" s="25"/>
      <c r="T107" s="25"/>
      <c r="U107" s="25"/>
      <c r="V107" s="25"/>
      <c r="W107" s="25"/>
    </row>
    <row r="108" spans="2:23" x14ac:dyDescent="0.25">
      <c r="B108" s="25"/>
      <c r="C108" s="25"/>
      <c r="D108" s="25"/>
      <c r="E108" s="25"/>
      <c r="F108" s="49"/>
      <c r="G108" s="25"/>
      <c r="H108" s="40"/>
      <c r="I108" s="49"/>
      <c r="K108" s="36"/>
      <c r="L108" s="25"/>
      <c r="M108" s="25"/>
      <c r="N108" s="25"/>
      <c r="O108" s="25"/>
      <c r="P108" s="25"/>
      <c r="Q108" s="25"/>
      <c r="R108" s="25"/>
      <c r="S108" s="25"/>
      <c r="T108" s="25"/>
      <c r="U108" s="25"/>
      <c r="V108" s="25"/>
      <c r="W108" s="25"/>
    </row>
    <row r="109" spans="2:23" x14ac:dyDescent="0.25">
      <c r="B109" s="25"/>
      <c r="C109" s="25"/>
      <c r="D109" s="25"/>
      <c r="E109" s="25"/>
      <c r="F109" s="49"/>
      <c r="G109" s="25"/>
      <c r="H109" s="40"/>
      <c r="I109" s="49"/>
      <c r="K109" s="36"/>
      <c r="L109" s="25"/>
      <c r="M109" s="25"/>
      <c r="N109" s="25"/>
      <c r="O109" s="25"/>
      <c r="P109" s="25"/>
      <c r="Q109" s="25"/>
      <c r="R109" s="25"/>
      <c r="S109" s="25"/>
      <c r="T109" s="25"/>
      <c r="U109" s="25"/>
      <c r="V109" s="25"/>
      <c r="W109" s="25"/>
    </row>
    <row r="110" spans="2:23" x14ac:dyDescent="0.25">
      <c r="B110" s="25"/>
      <c r="C110" s="25"/>
      <c r="D110" s="25"/>
      <c r="E110" s="25"/>
      <c r="F110" s="49"/>
      <c r="G110" s="25"/>
      <c r="H110" s="40"/>
      <c r="I110" s="49"/>
      <c r="K110" s="36"/>
      <c r="L110" s="25"/>
      <c r="M110" s="25"/>
      <c r="N110" s="25"/>
      <c r="O110" s="25"/>
      <c r="P110" s="25"/>
      <c r="Q110" s="25"/>
      <c r="R110" s="25"/>
      <c r="S110" s="25"/>
      <c r="T110" s="25"/>
      <c r="U110" s="25"/>
      <c r="V110" s="25"/>
      <c r="W110" s="25"/>
    </row>
    <row r="111" spans="2:23" x14ac:dyDescent="0.25">
      <c r="B111" s="25"/>
      <c r="C111" s="25"/>
      <c r="D111" s="25"/>
      <c r="E111" s="25"/>
      <c r="F111" s="49"/>
      <c r="G111" s="25"/>
      <c r="H111" s="40"/>
      <c r="I111" s="49"/>
      <c r="K111" s="36"/>
      <c r="L111" s="25"/>
      <c r="M111" s="25"/>
      <c r="N111" s="25"/>
      <c r="O111" s="25"/>
      <c r="P111" s="25"/>
      <c r="Q111" s="25"/>
      <c r="R111" s="25"/>
      <c r="S111" s="25"/>
      <c r="T111" s="25"/>
      <c r="U111" s="25"/>
      <c r="V111" s="25"/>
      <c r="W111" s="25"/>
    </row>
    <row r="112" spans="2:23" x14ac:dyDescent="0.25">
      <c r="B112" s="25"/>
      <c r="C112" s="25"/>
      <c r="D112" s="25"/>
      <c r="E112" s="25"/>
      <c r="F112" s="49"/>
      <c r="G112" s="25"/>
      <c r="H112" s="40"/>
      <c r="I112" s="49"/>
      <c r="K112" s="36"/>
      <c r="L112" s="25"/>
      <c r="M112" s="25"/>
      <c r="N112" s="25"/>
      <c r="O112" s="25"/>
      <c r="P112" s="25"/>
      <c r="Q112" s="25"/>
      <c r="R112" s="25"/>
      <c r="S112" s="25"/>
      <c r="T112" s="25"/>
      <c r="U112" s="25"/>
      <c r="V112" s="25"/>
      <c r="W112" s="25"/>
    </row>
    <row r="113" spans="2:23" x14ac:dyDescent="0.25">
      <c r="B113" s="25"/>
      <c r="C113" s="25"/>
      <c r="D113" s="25"/>
      <c r="E113" s="25"/>
      <c r="F113" s="49"/>
      <c r="G113" s="25"/>
      <c r="H113" s="40"/>
      <c r="I113" s="49"/>
      <c r="K113" s="36"/>
      <c r="L113" s="25"/>
      <c r="M113" s="25"/>
      <c r="N113" s="25"/>
      <c r="O113" s="25"/>
      <c r="P113" s="25"/>
      <c r="Q113" s="25"/>
      <c r="R113" s="25"/>
      <c r="S113" s="25"/>
      <c r="T113" s="25"/>
      <c r="U113" s="25"/>
      <c r="V113" s="25"/>
      <c r="W113" s="25"/>
    </row>
    <row r="114" spans="2:23" x14ac:dyDescent="0.25">
      <c r="B114" s="25"/>
      <c r="C114" s="25"/>
      <c r="D114" s="25"/>
      <c r="E114" s="25"/>
      <c r="F114" s="49"/>
      <c r="G114" s="25"/>
      <c r="H114" s="40"/>
      <c r="I114" s="49"/>
      <c r="K114" s="36"/>
      <c r="L114" s="25"/>
      <c r="M114" s="25"/>
      <c r="N114" s="25"/>
      <c r="O114" s="25"/>
      <c r="P114" s="25"/>
      <c r="Q114" s="25"/>
      <c r="R114" s="25"/>
      <c r="S114" s="25"/>
      <c r="T114" s="25"/>
      <c r="U114" s="25"/>
      <c r="V114" s="25"/>
      <c r="W114" s="25"/>
    </row>
    <row r="115" spans="2:23" x14ac:dyDescent="0.25">
      <c r="B115" s="25"/>
      <c r="C115" s="25"/>
      <c r="D115" s="25"/>
      <c r="E115" s="25"/>
      <c r="F115" s="49"/>
      <c r="G115" s="25"/>
      <c r="H115" s="40"/>
      <c r="I115" s="49"/>
      <c r="K115" s="36"/>
      <c r="L115" s="25"/>
      <c r="M115" s="25"/>
      <c r="N115" s="25"/>
      <c r="O115" s="25"/>
      <c r="P115" s="25"/>
      <c r="Q115" s="25"/>
      <c r="R115" s="25"/>
      <c r="S115" s="25"/>
      <c r="T115" s="25"/>
      <c r="U115" s="25"/>
      <c r="V115" s="25"/>
      <c r="W115" s="25"/>
    </row>
    <row r="116" spans="2:23" x14ac:dyDescent="0.25">
      <c r="B116" s="25"/>
      <c r="C116" s="25"/>
      <c r="D116" s="25"/>
      <c r="E116" s="25"/>
      <c r="F116" s="49"/>
      <c r="G116" s="25"/>
      <c r="H116" s="40"/>
      <c r="I116" s="49"/>
      <c r="K116" s="36"/>
      <c r="L116" s="25"/>
      <c r="M116" s="25"/>
      <c r="N116" s="25"/>
      <c r="O116" s="25"/>
      <c r="P116" s="25"/>
      <c r="Q116" s="25"/>
      <c r="R116" s="25"/>
      <c r="S116" s="25"/>
      <c r="T116" s="25"/>
      <c r="U116" s="25"/>
      <c r="V116" s="25"/>
      <c r="W116" s="25"/>
    </row>
    <row r="117" spans="2:23" x14ac:dyDescent="0.25">
      <c r="B117" s="25"/>
      <c r="C117" s="25"/>
      <c r="D117" s="25"/>
      <c r="E117" s="25"/>
      <c r="F117" s="49"/>
      <c r="G117" s="25"/>
      <c r="H117" s="40"/>
      <c r="I117" s="49"/>
      <c r="K117" s="36"/>
      <c r="L117" s="25"/>
      <c r="M117" s="25"/>
      <c r="N117" s="25"/>
      <c r="O117" s="25"/>
      <c r="P117" s="25"/>
      <c r="Q117" s="25"/>
      <c r="R117" s="25"/>
      <c r="S117" s="25"/>
      <c r="T117" s="25"/>
      <c r="U117" s="25"/>
      <c r="V117" s="25"/>
      <c r="W117" s="25"/>
    </row>
    <row r="118" spans="2:23" x14ac:dyDescent="0.25">
      <c r="B118" s="25"/>
      <c r="C118" s="25"/>
      <c r="D118" s="25"/>
      <c r="E118" s="25"/>
      <c r="F118" s="49"/>
      <c r="G118" s="25"/>
      <c r="H118" s="40"/>
      <c r="I118" s="49"/>
      <c r="K118" s="36"/>
      <c r="L118" s="25"/>
      <c r="M118" s="25"/>
      <c r="N118" s="25"/>
      <c r="O118" s="25"/>
      <c r="P118" s="25"/>
      <c r="Q118" s="25"/>
      <c r="R118" s="25"/>
      <c r="S118" s="25"/>
      <c r="T118" s="25"/>
      <c r="U118" s="25"/>
      <c r="V118" s="25"/>
      <c r="W118" s="25"/>
    </row>
    <row r="119" spans="2:23" x14ac:dyDescent="0.25">
      <c r="B119" s="25"/>
      <c r="C119" s="25"/>
      <c r="D119" s="25"/>
      <c r="E119" s="25"/>
      <c r="F119" s="49"/>
      <c r="G119" s="25"/>
      <c r="H119" s="40"/>
      <c r="I119" s="49"/>
      <c r="K119" s="36"/>
      <c r="L119" s="25"/>
      <c r="M119" s="25"/>
      <c r="N119" s="25"/>
      <c r="O119" s="25"/>
      <c r="P119" s="25"/>
      <c r="Q119" s="25"/>
      <c r="R119" s="25"/>
      <c r="S119" s="25"/>
      <c r="T119" s="25"/>
      <c r="U119" s="25"/>
      <c r="V119" s="25"/>
      <c r="W119" s="25"/>
    </row>
    <row r="120" spans="2:23" x14ac:dyDescent="0.25">
      <c r="B120" s="25"/>
      <c r="C120" s="25"/>
      <c r="D120" s="25"/>
      <c r="E120" s="25"/>
      <c r="F120" s="49"/>
      <c r="G120" s="25"/>
      <c r="H120" s="40"/>
      <c r="I120" s="49"/>
      <c r="K120" s="36"/>
      <c r="L120" s="25"/>
      <c r="M120" s="25"/>
      <c r="N120" s="25"/>
      <c r="O120" s="25"/>
      <c r="P120" s="25"/>
      <c r="Q120" s="25"/>
      <c r="R120" s="25"/>
      <c r="S120" s="25"/>
      <c r="T120" s="25"/>
      <c r="U120" s="25"/>
      <c r="V120" s="25"/>
      <c r="W120" s="25"/>
    </row>
    <row r="121" spans="2:23" x14ac:dyDescent="0.25">
      <c r="B121" s="25"/>
      <c r="C121" s="25"/>
      <c r="D121" s="25"/>
      <c r="E121" s="25"/>
      <c r="F121" s="49"/>
      <c r="G121" s="25"/>
      <c r="H121" s="40"/>
      <c r="I121" s="49"/>
      <c r="K121" s="36"/>
      <c r="L121" s="25"/>
      <c r="M121" s="25"/>
      <c r="N121" s="25"/>
      <c r="O121" s="25"/>
      <c r="P121" s="25"/>
      <c r="Q121" s="25"/>
      <c r="R121" s="25"/>
      <c r="S121" s="25"/>
      <c r="T121" s="25"/>
      <c r="U121" s="25"/>
      <c r="V121" s="25"/>
      <c r="W121" s="25"/>
    </row>
    <row r="122" spans="2:23" x14ac:dyDescent="0.25">
      <c r="B122" s="25"/>
      <c r="C122" s="25"/>
      <c r="D122" s="25"/>
      <c r="E122" s="25"/>
      <c r="F122" s="49"/>
      <c r="G122" s="25"/>
      <c r="H122" s="40"/>
      <c r="I122" s="49"/>
      <c r="K122" s="36"/>
      <c r="L122" s="25"/>
      <c r="M122" s="25"/>
      <c r="N122" s="25"/>
      <c r="O122" s="25"/>
      <c r="P122" s="25"/>
      <c r="Q122" s="25"/>
      <c r="R122" s="25"/>
      <c r="S122" s="25"/>
      <c r="T122" s="25"/>
      <c r="U122" s="25"/>
      <c r="V122" s="25"/>
      <c r="W122" s="25"/>
    </row>
    <row r="123" spans="2:23" x14ac:dyDescent="0.25">
      <c r="B123" s="25"/>
      <c r="C123" s="25"/>
      <c r="D123" s="25"/>
      <c r="E123" s="25"/>
      <c r="F123" s="49"/>
      <c r="G123" s="25"/>
      <c r="H123" s="40"/>
      <c r="I123" s="49"/>
      <c r="K123" s="36"/>
      <c r="L123" s="25"/>
      <c r="M123" s="25"/>
      <c r="N123" s="25"/>
      <c r="O123" s="25"/>
      <c r="P123" s="25"/>
      <c r="Q123" s="25"/>
      <c r="R123" s="25"/>
      <c r="S123" s="25"/>
      <c r="T123" s="25"/>
      <c r="U123" s="25"/>
      <c r="V123" s="25"/>
      <c r="W123" s="25"/>
    </row>
    <row r="124" spans="2:23" x14ac:dyDescent="0.25">
      <c r="B124" s="25"/>
      <c r="C124" s="25"/>
      <c r="D124" s="25"/>
      <c r="E124" s="25"/>
      <c r="F124" s="49"/>
      <c r="G124" s="25"/>
      <c r="H124" s="40"/>
      <c r="I124" s="49"/>
      <c r="K124" s="36"/>
      <c r="L124" s="25"/>
      <c r="M124" s="25"/>
      <c r="N124" s="25"/>
      <c r="O124" s="25"/>
      <c r="P124" s="25"/>
      <c r="Q124" s="25"/>
      <c r="R124" s="25"/>
      <c r="S124" s="25"/>
      <c r="T124" s="25"/>
      <c r="U124" s="25"/>
      <c r="V124" s="25"/>
      <c r="W124" s="25"/>
    </row>
    <row r="125" spans="2:23" x14ac:dyDescent="0.25">
      <c r="B125" s="25"/>
      <c r="C125" s="25"/>
      <c r="D125" s="25"/>
      <c r="E125" s="25"/>
      <c r="F125" s="49"/>
      <c r="G125" s="25"/>
      <c r="H125" s="40"/>
      <c r="I125" s="49"/>
      <c r="K125" s="36"/>
      <c r="L125" s="25"/>
      <c r="M125" s="25"/>
      <c r="N125" s="25"/>
      <c r="O125" s="25"/>
      <c r="P125" s="25"/>
      <c r="Q125" s="25"/>
      <c r="R125" s="25"/>
      <c r="S125" s="25"/>
      <c r="T125" s="25"/>
      <c r="U125" s="25"/>
      <c r="V125" s="25"/>
      <c r="W125" s="25"/>
    </row>
    <row r="126" spans="2:23" x14ac:dyDescent="0.25">
      <c r="B126" s="25"/>
      <c r="C126" s="25"/>
      <c r="D126" s="25"/>
      <c r="E126" s="25"/>
      <c r="F126" s="49"/>
      <c r="G126" s="25"/>
      <c r="H126" s="40"/>
      <c r="I126" s="49"/>
      <c r="K126" s="36"/>
      <c r="L126" s="25"/>
      <c r="M126" s="25"/>
      <c r="N126" s="25"/>
      <c r="O126" s="25"/>
      <c r="P126" s="25"/>
      <c r="Q126" s="25"/>
      <c r="R126" s="25"/>
      <c r="S126" s="25"/>
      <c r="T126" s="25"/>
      <c r="U126" s="25"/>
      <c r="V126" s="25"/>
      <c r="W126" s="25"/>
    </row>
    <row r="127" spans="2:23" x14ac:dyDescent="0.25">
      <c r="B127" s="25"/>
      <c r="C127" s="25"/>
      <c r="D127" s="25"/>
      <c r="E127" s="25"/>
      <c r="F127" s="49"/>
      <c r="G127" s="25"/>
      <c r="H127" s="40"/>
      <c r="I127" s="49"/>
      <c r="K127" s="36"/>
      <c r="L127" s="25"/>
      <c r="M127" s="25"/>
      <c r="N127" s="25"/>
      <c r="O127" s="25"/>
      <c r="P127" s="25"/>
      <c r="Q127" s="25"/>
      <c r="R127" s="25"/>
      <c r="S127" s="25"/>
      <c r="T127" s="25"/>
      <c r="U127" s="25"/>
      <c r="V127" s="25"/>
      <c r="W127" s="25"/>
    </row>
    <row r="128" spans="2:23" x14ac:dyDescent="0.25">
      <c r="B128" s="25"/>
      <c r="C128" s="25"/>
      <c r="D128" s="25"/>
      <c r="E128" s="25"/>
      <c r="F128" s="49"/>
      <c r="G128" s="25"/>
      <c r="H128" s="40"/>
      <c r="I128" s="49"/>
      <c r="K128" s="36"/>
      <c r="L128" s="25"/>
      <c r="M128" s="25"/>
      <c r="N128" s="25"/>
      <c r="O128" s="25"/>
      <c r="P128" s="25"/>
      <c r="Q128" s="25"/>
      <c r="R128" s="25"/>
      <c r="S128" s="25"/>
      <c r="T128" s="25"/>
      <c r="U128" s="25"/>
      <c r="V128" s="25"/>
      <c r="W128" s="25"/>
    </row>
    <row r="129" spans="2:23" x14ac:dyDescent="0.25">
      <c r="B129" s="25"/>
      <c r="C129" s="25"/>
      <c r="D129" s="25"/>
      <c r="E129" s="25"/>
      <c r="F129" s="49"/>
      <c r="G129" s="25"/>
      <c r="H129" s="40"/>
      <c r="I129" s="49"/>
      <c r="K129" s="36"/>
      <c r="L129" s="25"/>
      <c r="M129" s="25"/>
      <c r="N129" s="25"/>
      <c r="O129" s="25"/>
      <c r="P129" s="25"/>
      <c r="Q129" s="25"/>
      <c r="R129" s="25"/>
      <c r="S129" s="25"/>
      <c r="T129" s="25"/>
      <c r="U129" s="25"/>
      <c r="V129" s="25"/>
      <c r="W129" s="25"/>
    </row>
    <row r="130" spans="2:23" x14ac:dyDescent="0.25">
      <c r="B130" s="25"/>
      <c r="C130" s="25"/>
      <c r="D130" s="25"/>
      <c r="E130" s="25"/>
      <c r="F130" s="49"/>
      <c r="G130" s="25"/>
      <c r="H130" s="40"/>
      <c r="I130" s="49"/>
      <c r="K130" s="36"/>
      <c r="L130" s="25"/>
      <c r="M130" s="25"/>
      <c r="N130" s="25"/>
      <c r="O130" s="25"/>
      <c r="P130" s="25"/>
      <c r="Q130" s="25"/>
      <c r="R130" s="25"/>
      <c r="S130" s="25"/>
      <c r="T130" s="25"/>
      <c r="U130" s="25"/>
      <c r="V130" s="25"/>
      <c r="W130" s="25"/>
    </row>
    <row r="131" spans="2:23" x14ac:dyDescent="0.25">
      <c r="B131" s="25"/>
      <c r="C131" s="25"/>
      <c r="D131" s="25"/>
      <c r="E131" s="25"/>
      <c r="F131" s="49"/>
      <c r="G131" s="25"/>
      <c r="H131" s="40"/>
      <c r="I131" s="49"/>
      <c r="K131" s="36"/>
      <c r="L131" s="25"/>
      <c r="M131" s="25"/>
      <c r="N131" s="25"/>
      <c r="O131" s="25"/>
      <c r="P131" s="25"/>
      <c r="Q131" s="25"/>
      <c r="R131" s="25"/>
      <c r="S131" s="25"/>
      <c r="T131" s="25"/>
      <c r="U131" s="25"/>
      <c r="V131" s="25"/>
      <c r="W131" s="25"/>
    </row>
    <row r="132" spans="2:23" x14ac:dyDescent="0.25">
      <c r="B132" s="25"/>
      <c r="C132" s="25"/>
      <c r="D132" s="25"/>
      <c r="E132" s="25"/>
      <c r="F132" s="49"/>
      <c r="G132" s="25"/>
      <c r="H132" s="40"/>
      <c r="I132" s="49"/>
      <c r="K132" s="36"/>
      <c r="L132" s="25"/>
      <c r="M132" s="25"/>
      <c r="N132" s="25"/>
      <c r="O132" s="25"/>
      <c r="P132" s="25"/>
      <c r="Q132" s="25"/>
      <c r="R132" s="25"/>
      <c r="S132" s="25"/>
      <c r="T132" s="25"/>
      <c r="U132" s="25"/>
      <c r="V132" s="25"/>
      <c r="W132" s="25"/>
    </row>
    <row r="133" spans="2:23" x14ac:dyDescent="0.25">
      <c r="B133" s="25"/>
      <c r="C133" s="25"/>
      <c r="D133" s="25"/>
      <c r="E133" s="25"/>
      <c r="F133" s="49"/>
      <c r="G133" s="25"/>
      <c r="H133" s="40"/>
      <c r="I133" s="49"/>
      <c r="K133" s="36"/>
      <c r="L133" s="25"/>
      <c r="M133" s="25"/>
      <c r="N133" s="25"/>
      <c r="O133" s="25"/>
      <c r="P133" s="25"/>
      <c r="Q133" s="25"/>
      <c r="R133" s="25"/>
      <c r="S133" s="25"/>
      <c r="T133" s="25"/>
      <c r="U133" s="25"/>
      <c r="V133" s="25"/>
      <c r="W133" s="25"/>
    </row>
    <row r="134" spans="2:23" x14ac:dyDescent="0.25">
      <c r="B134" s="25"/>
      <c r="C134" s="25"/>
      <c r="D134" s="25"/>
      <c r="E134" s="25"/>
      <c r="F134" s="49"/>
      <c r="G134" s="25"/>
      <c r="H134" s="40"/>
      <c r="I134" s="49"/>
      <c r="K134" s="36"/>
      <c r="L134" s="25"/>
      <c r="M134" s="25"/>
      <c r="N134" s="25"/>
      <c r="O134" s="25"/>
      <c r="P134" s="25"/>
      <c r="Q134" s="25"/>
      <c r="R134" s="25"/>
      <c r="S134" s="25"/>
      <c r="T134" s="25"/>
      <c r="U134" s="25"/>
      <c r="V134" s="25"/>
      <c r="W134" s="25"/>
    </row>
    <row r="135" spans="2:23" x14ac:dyDescent="0.25">
      <c r="B135" s="25"/>
      <c r="C135" s="25"/>
      <c r="D135" s="25"/>
      <c r="E135" s="25"/>
      <c r="F135" s="49"/>
      <c r="G135" s="25"/>
      <c r="H135" s="40"/>
      <c r="I135" s="49"/>
      <c r="K135" s="36"/>
      <c r="L135" s="25"/>
      <c r="M135" s="25"/>
      <c r="N135" s="25"/>
      <c r="O135" s="25"/>
      <c r="P135" s="25"/>
      <c r="Q135" s="25"/>
      <c r="R135" s="25"/>
      <c r="S135" s="25"/>
      <c r="T135" s="25"/>
      <c r="U135" s="25"/>
      <c r="V135" s="25"/>
      <c r="W135" s="25"/>
    </row>
    <row r="136" spans="2:23" x14ac:dyDescent="0.25">
      <c r="B136" s="25"/>
      <c r="C136" s="25"/>
      <c r="D136" s="25"/>
      <c r="E136" s="25"/>
      <c r="F136" s="49"/>
      <c r="G136" s="25"/>
      <c r="H136" s="40"/>
      <c r="I136" s="49"/>
      <c r="K136" s="36"/>
      <c r="L136" s="25"/>
      <c r="M136" s="25"/>
      <c r="N136" s="25"/>
      <c r="O136" s="25"/>
      <c r="P136" s="25"/>
      <c r="Q136" s="25"/>
      <c r="R136" s="25"/>
      <c r="S136" s="25"/>
      <c r="T136" s="25"/>
      <c r="U136" s="25"/>
      <c r="V136" s="25"/>
      <c r="W136" s="25"/>
    </row>
    <row r="137" spans="2:23" x14ac:dyDescent="0.25">
      <c r="B137" s="25"/>
      <c r="C137" s="25"/>
      <c r="D137" s="25"/>
      <c r="E137" s="25"/>
      <c r="F137" s="49"/>
      <c r="G137" s="25"/>
      <c r="H137" s="40"/>
      <c r="I137" s="49"/>
      <c r="K137" s="36"/>
      <c r="L137" s="25"/>
      <c r="M137" s="25"/>
      <c r="N137" s="25"/>
      <c r="O137" s="25"/>
      <c r="P137" s="25"/>
      <c r="Q137" s="25"/>
      <c r="R137" s="25"/>
      <c r="S137" s="25"/>
      <c r="T137" s="25"/>
      <c r="U137" s="25"/>
      <c r="V137" s="25"/>
      <c r="W137" s="25"/>
    </row>
    <row r="138" spans="2:23" x14ac:dyDescent="0.25">
      <c r="B138" s="25"/>
      <c r="C138" s="25"/>
      <c r="D138" s="25"/>
      <c r="E138" s="25"/>
      <c r="F138" s="49"/>
      <c r="G138" s="25"/>
      <c r="H138" s="40"/>
      <c r="I138" s="49"/>
      <c r="K138" s="36"/>
      <c r="L138" s="25"/>
      <c r="M138" s="25"/>
      <c r="N138" s="25"/>
      <c r="O138" s="25"/>
      <c r="P138" s="25"/>
      <c r="Q138" s="25"/>
      <c r="R138" s="25"/>
      <c r="S138" s="25"/>
      <c r="T138" s="25"/>
      <c r="U138" s="25"/>
      <c r="V138" s="25"/>
      <c r="W138" s="25"/>
    </row>
    <row r="139" spans="2:23" x14ac:dyDescent="0.25">
      <c r="B139" s="25"/>
      <c r="C139" s="25"/>
      <c r="D139" s="25"/>
      <c r="E139" s="25"/>
      <c r="F139" s="49"/>
      <c r="G139" s="25"/>
      <c r="H139" s="40"/>
      <c r="I139" s="49"/>
      <c r="K139" s="36"/>
      <c r="L139" s="25"/>
      <c r="M139" s="25"/>
      <c r="N139" s="25"/>
      <c r="O139" s="25"/>
      <c r="P139" s="25"/>
      <c r="Q139" s="25"/>
      <c r="R139" s="25"/>
      <c r="S139" s="25"/>
      <c r="T139" s="25"/>
      <c r="U139" s="25"/>
      <c r="V139" s="25"/>
      <c r="W139" s="25"/>
    </row>
    <row r="140" spans="2:23" x14ac:dyDescent="0.25">
      <c r="B140" s="25"/>
      <c r="C140" s="25"/>
      <c r="D140" s="25"/>
      <c r="E140" s="25"/>
      <c r="F140" s="49"/>
      <c r="G140" s="25"/>
      <c r="H140" s="40"/>
      <c r="I140" s="49"/>
      <c r="K140" s="36"/>
      <c r="L140" s="25"/>
      <c r="M140" s="25"/>
      <c r="N140" s="25"/>
      <c r="O140" s="25"/>
      <c r="P140" s="25"/>
      <c r="Q140" s="25"/>
      <c r="R140" s="25"/>
      <c r="S140" s="25"/>
      <c r="T140" s="25"/>
      <c r="U140" s="25"/>
      <c r="V140" s="25"/>
      <c r="W140" s="25"/>
    </row>
    <row r="141" spans="2:23" x14ac:dyDescent="0.25">
      <c r="B141" s="25"/>
      <c r="C141" s="25"/>
      <c r="D141" s="25"/>
      <c r="E141" s="25"/>
      <c r="F141" s="49"/>
      <c r="G141" s="25"/>
      <c r="H141" s="40"/>
      <c r="I141" s="49"/>
      <c r="K141" s="36"/>
      <c r="L141" s="25"/>
      <c r="M141" s="25"/>
      <c r="N141" s="25"/>
      <c r="O141" s="25"/>
      <c r="P141" s="25"/>
      <c r="Q141" s="25"/>
      <c r="R141" s="25"/>
      <c r="S141" s="25"/>
      <c r="T141" s="25"/>
      <c r="U141" s="25"/>
      <c r="V141" s="25"/>
      <c r="W141" s="25"/>
    </row>
    <row r="142" spans="2:23" x14ac:dyDescent="0.25">
      <c r="B142" s="25"/>
      <c r="C142" s="25"/>
      <c r="D142" s="25"/>
      <c r="E142" s="25"/>
      <c r="F142" s="49"/>
      <c r="G142" s="25"/>
      <c r="H142" s="40"/>
      <c r="I142" s="49"/>
      <c r="K142" s="36"/>
      <c r="L142" s="25"/>
      <c r="M142" s="25"/>
      <c r="N142" s="25"/>
      <c r="O142" s="25"/>
      <c r="P142" s="25"/>
      <c r="Q142" s="25"/>
      <c r="R142" s="25"/>
      <c r="S142" s="25"/>
      <c r="T142" s="25"/>
      <c r="U142" s="25"/>
      <c r="V142" s="25"/>
      <c r="W142" s="25"/>
    </row>
    <row r="143" spans="2:23" x14ac:dyDescent="0.25">
      <c r="B143" s="25"/>
      <c r="C143" s="25"/>
      <c r="D143" s="25"/>
      <c r="E143" s="25"/>
      <c r="F143" s="49"/>
      <c r="G143" s="25"/>
      <c r="H143" s="40"/>
      <c r="I143" s="49"/>
      <c r="K143" s="36"/>
      <c r="L143" s="25"/>
      <c r="M143" s="25"/>
      <c r="N143" s="25"/>
      <c r="O143" s="25"/>
      <c r="P143" s="25"/>
      <c r="Q143" s="25"/>
      <c r="R143" s="25"/>
      <c r="S143" s="25"/>
      <c r="T143" s="25"/>
      <c r="U143" s="25"/>
      <c r="V143" s="25"/>
      <c r="W143" s="25"/>
    </row>
    <row r="144" spans="2:23" x14ac:dyDescent="0.25">
      <c r="B144" s="25"/>
      <c r="C144" s="25"/>
      <c r="D144" s="25"/>
      <c r="E144" s="25"/>
      <c r="F144" s="49"/>
      <c r="G144" s="25"/>
      <c r="H144" s="40"/>
      <c r="I144" s="49"/>
      <c r="K144" s="36"/>
      <c r="L144" s="25"/>
      <c r="M144" s="25"/>
      <c r="N144" s="25"/>
      <c r="O144" s="25"/>
      <c r="P144" s="25"/>
      <c r="Q144" s="25"/>
      <c r="R144" s="25"/>
      <c r="S144" s="25"/>
      <c r="T144" s="25"/>
      <c r="U144" s="25"/>
      <c r="V144" s="25"/>
      <c r="W144" s="25"/>
    </row>
    <row r="145" spans="2:23" x14ac:dyDescent="0.25">
      <c r="B145" s="25"/>
      <c r="C145" s="25"/>
      <c r="D145" s="25"/>
      <c r="E145" s="25"/>
      <c r="F145" s="49"/>
      <c r="G145" s="25"/>
      <c r="H145" s="40"/>
      <c r="I145" s="49"/>
      <c r="K145" s="36"/>
      <c r="L145" s="25"/>
      <c r="M145" s="25"/>
      <c r="N145" s="25"/>
      <c r="O145" s="25"/>
      <c r="P145" s="25"/>
      <c r="Q145" s="25"/>
      <c r="R145" s="25"/>
      <c r="S145" s="25"/>
      <c r="T145" s="25"/>
      <c r="U145" s="25"/>
      <c r="V145" s="25"/>
      <c r="W145" s="25"/>
    </row>
    <row r="146" spans="2:23" x14ac:dyDescent="0.25">
      <c r="B146" s="25"/>
      <c r="C146" s="25"/>
      <c r="D146" s="25"/>
      <c r="E146" s="25"/>
      <c r="F146" s="49"/>
      <c r="G146" s="25"/>
      <c r="H146" s="40"/>
      <c r="I146" s="49"/>
      <c r="K146" s="36"/>
      <c r="L146" s="25"/>
      <c r="M146" s="25"/>
      <c r="N146" s="25"/>
      <c r="O146" s="25"/>
      <c r="P146" s="25"/>
      <c r="Q146" s="25"/>
      <c r="R146" s="25"/>
      <c r="S146" s="25"/>
      <c r="T146" s="25"/>
      <c r="U146" s="25"/>
      <c r="V146" s="25"/>
      <c r="W146" s="25"/>
    </row>
    <row r="147" spans="2:23" x14ac:dyDescent="0.25">
      <c r="B147" s="25"/>
      <c r="C147" s="25"/>
      <c r="D147" s="25"/>
      <c r="E147" s="25"/>
      <c r="F147" s="49"/>
      <c r="G147" s="25"/>
      <c r="H147" s="40"/>
      <c r="I147" s="49"/>
      <c r="K147" s="36"/>
      <c r="L147" s="25"/>
      <c r="M147" s="25"/>
      <c r="N147" s="25"/>
      <c r="O147" s="25"/>
      <c r="P147" s="25"/>
      <c r="Q147" s="25"/>
      <c r="R147" s="25"/>
      <c r="S147" s="25"/>
      <c r="T147" s="25"/>
      <c r="U147" s="25"/>
      <c r="V147" s="25"/>
      <c r="W147" s="25"/>
    </row>
    <row r="148" spans="2:23" x14ac:dyDescent="0.25">
      <c r="B148" s="25"/>
      <c r="C148" s="25"/>
      <c r="D148" s="25"/>
      <c r="E148" s="25"/>
      <c r="F148" s="49"/>
      <c r="G148" s="25"/>
      <c r="H148" s="40"/>
      <c r="I148" s="49"/>
      <c r="K148" s="36"/>
      <c r="L148" s="25"/>
      <c r="M148" s="25"/>
      <c r="N148" s="25"/>
      <c r="O148" s="25"/>
      <c r="P148" s="25"/>
      <c r="Q148" s="25"/>
      <c r="R148" s="25"/>
      <c r="S148" s="25"/>
      <c r="T148" s="25"/>
      <c r="U148" s="25"/>
      <c r="V148" s="25"/>
      <c r="W148" s="25"/>
    </row>
    <row r="149" spans="2:23" x14ac:dyDescent="0.25">
      <c r="B149" s="25"/>
      <c r="C149" s="25"/>
      <c r="D149" s="25"/>
      <c r="E149" s="25"/>
      <c r="F149" s="49"/>
      <c r="G149" s="25"/>
      <c r="H149" s="40"/>
      <c r="I149" s="49"/>
      <c r="K149" s="36"/>
      <c r="L149" s="25"/>
      <c r="M149" s="25"/>
      <c r="N149" s="25"/>
      <c r="O149" s="25"/>
      <c r="P149" s="25"/>
      <c r="Q149" s="25"/>
      <c r="R149" s="25"/>
      <c r="S149" s="25"/>
      <c r="T149" s="25"/>
      <c r="U149" s="25"/>
      <c r="V149" s="25"/>
      <c r="W149" s="25"/>
    </row>
    <row r="150" spans="2:23" x14ac:dyDescent="0.25">
      <c r="B150" s="25"/>
      <c r="C150" s="25"/>
      <c r="D150" s="25"/>
      <c r="E150" s="25"/>
      <c r="F150" s="49"/>
      <c r="G150" s="25"/>
      <c r="H150" s="40"/>
      <c r="I150" s="49"/>
      <c r="K150" s="36"/>
      <c r="L150" s="25"/>
      <c r="M150" s="25"/>
      <c r="N150" s="25"/>
      <c r="O150" s="25"/>
      <c r="P150" s="25"/>
      <c r="Q150" s="25"/>
      <c r="R150" s="25"/>
      <c r="S150" s="25"/>
      <c r="T150" s="25"/>
      <c r="U150" s="25"/>
      <c r="V150" s="25"/>
      <c r="W150" s="25"/>
    </row>
    <row r="151" spans="2:23" x14ac:dyDescent="0.25">
      <c r="B151" s="25"/>
      <c r="C151" s="25"/>
      <c r="D151" s="25"/>
      <c r="E151" s="25"/>
      <c r="F151" s="49"/>
      <c r="G151" s="25"/>
      <c r="H151" s="40"/>
      <c r="I151" s="49"/>
      <c r="K151" s="36"/>
      <c r="L151" s="25"/>
      <c r="M151" s="25"/>
      <c r="N151" s="25"/>
      <c r="O151" s="25"/>
      <c r="P151" s="25"/>
      <c r="Q151" s="25"/>
      <c r="R151" s="25"/>
      <c r="S151" s="25"/>
      <c r="T151" s="25"/>
      <c r="U151" s="25"/>
      <c r="V151" s="25"/>
      <c r="W151" s="25"/>
    </row>
    <row r="152" spans="2:23" x14ac:dyDescent="0.25">
      <c r="B152" s="25"/>
      <c r="C152" s="25"/>
      <c r="D152" s="25"/>
      <c r="E152" s="25"/>
      <c r="F152" s="49"/>
      <c r="G152" s="25"/>
      <c r="H152" s="40"/>
      <c r="I152" s="49"/>
      <c r="K152" s="36"/>
      <c r="L152" s="25"/>
      <c r="M152" s="25"/>
      <c r="N152" s="25"/>
      <c r="O152" s="25"/>
      <c r="P152" s="25"/>
      <c r="Q152" s="25"/>
      <c r="R152" s="25"/>
      <c r="S152" s="25"/>
      <c r="T152" s="25"/>
      <c r="U152" s="25"/>
      <c r="V152" s="25"/>
      <c r="W152" s="25"/>
    </row>
    <row r="153" spans="2:23" x14ac:dyDescent="0.25">
      <c r="B153" s="25"/>
      <c r="C153" s="25"/>
      <c r="D153" s="25"/>
      <c r="E153" s="25"/>
      <c r="F153" s="49"/>
      <c r="G153" s="25"/>
      <c r="H153" s="40"/>
      <c r="I153" s="49"/>
      <c r="K153" s="36"/>
      <c r="L153" s="25"/>
      <c r="M153" s="25"/>
      <c r="N153" s="25"/>
      <c r="O153" s="25"/>
      <c r="P153" s="25"/>
      <c r="Q153" s="25"/>
      <c r="R153" s="25"/>
      <c r="S153" s="25"/>
      <c r="T153" s="25"/>
      <c r="U153" s="25"/>
      <c r="V153" s="25"/>
      <c r="W153" s="25"/>
    </row>
    <row r="154" spans="2:23" x14ac:dyDescent="0.25">
      <c r="B154" s="25"/>
      <c r="C154" s="25"/>
      <c r="D154" s="25"/>
      <c r="E154" s="25"/>
      <c r="F154" s="49"/>
      <c r="G154" s="25"/>
      <c r="H154" s="40"/>
      <c r="I154" s="49"/>
      <c r="K154" s="36"/>
      <c r="L154" s="25"/>
      <c r="M154" s="25"/>
      <c r="N154" s="25"/>
      <c r="O154" s="25"/>
      <c r="P154" s="25"/>
      <c r="Q154" s="25"/>
      <c r="R154" s="25"/>
      <c r="S154" s="25"/>
      <c r="T154" s="25"/>
      <c r="U154" s="25"/>
      <c r="V154" s="25"/>
      <c r="W154" s="25"/>
    </row>
    <row r="155" spans="2:23" x14ac:dyDescent="0.25">
      <c r="B155" s="25"/>
      <c r="C155" s="25"/>
      <c r="D155" s="25"/>
      <c r="E155" s="25"/>
      <c r="F155" s="49"/>
      <c r="G155" s="25"/>
      <c r="H155" s="40"/>
      <c r="I155" s="49"/>
      <c r="K155" s="36"/>
      <c r="L155" s="25"/>
      <c r="M155" s="25"/>
      <c r="N155" s="25"/>
      <c r="O155" s="25"/>
      <c r="P155" s="25"/>
      <c r="Q155" s="25"/>
      <c r="R155" s="25"/>
      <c r="S155" s="25"/>
      <c r="T155" s="25"/>
      <c r="U155" s="25"/>
      <c r="V155" s="25"/>
      <c r="W155" s="25"/>
    </row>
    <row r="156" spans="2:23" x14ac:dyDescent="0.25">
      <c r="B156" s="25"/>
      <c r="C156" s="25"/>
      <c r="D156" s="25"/>
      <c r="E156" s="25"/>
      <c r="F156" s="49"/>
      <c r="G156" s="25"/>
      <c r="H156" s="40"/>
      <c r="I156" s="49"/>
      <c r="K156" s="36"/>
      <c r="L156" s="25"/>
      <c r="M156" s="25"/>
      <c r="N156" s="25"/>
      <c r="O156" s="25"/>
      <c r="P156" s="25"/>
      <c r="Q156" s="25"/>
      <c r="R156" s="25"/>
      <c r="S156" s="25"/>
      <c r="T156" s="25"/>
      <c r="U156" s="25"/>
      <c r="V156" s="25"/>
      <c r="W156" s="25"/>
    </row>
    <row r="157" spans="2:23" x14ac:dyDescent="0.25">
      <c r="B157" s="25"/>
      <c r="C157" s="25"/>
      <c r="D157" s="25"/>
      <c r="E157" s="25"/>
      <c r="F157" s="49"/>
      <c r="G157" s="25"/>
      <c r="H157" s="40"/>
      <c r="I157" s="49"/>
      <c r="K157" s="36"/>
      <c r="L157" s="25"/>
      <c r="M157" s="25"/>
      <c r="N157" s="25"/>
      <c r="O157" s="25"/>
      <c r="P157" s="25"/>
      <c r="Q157" s="25"/>
      <c r="R157" s="25"/>
      <c r="S157" s="25"/>
      <c r="T157" s="25"/>
      <c r="U157" s="25"/>
      <c r="V157" s="25"/>
      <c r="W157" s="25"/>
    </row>
    <row r="158" spans="2:23" x14ac:dyDescent="0.25">
      <c r="B158" s="25"/>
      <c r="C158" s="25"/>
      <c r="D158" s="25"/>
      <c r="E158" s="25"/>
      <c r="F158" s="49"/>
      <c r="G158" s="25"/>
      <c r="H158" s="40"/>
      <c r="I158" s="49"/>
      <c r="K158" s="36"/>
      <c r="L158" s="25"/>
      <c r="M158" s="25"/>
      <c r="N158" s="25"/>
      <c r="O158" s="25"/>
      <c r="P158" s="25"/>
      <c r="Q158" s="25"/>
      <c r="R158" s="25"/>
      <c r="S158" s="25"/>
      <c r="T158" s="25"/>
      <c r="U158" s="25"/>
      <c r="V158" s="25"/>
      <c r="W158" s="25"/>
    </row>
    <row r="159" spans="2:23" x14ac:dyDescent="0.25">
      <c r="B159" s="25"/>
      <c r="C159" s="25"/>
      <c r="D159" s="25"/>
      <c r="E159" s="25"/>
      <c r="F159" s="49"/>
      <c r="G159" s="25"/>
      <c r="H159" s="40"/>
      <c r="I159" s="49"/>
      <c r="K159" s="36"/>
      <c r="L159" s="25"/>
      <c r="M159" s="25"/>
      <c r="N159" s="25"/>
      <c r="O159" s="25"/>
      <c r="P159" s="25"/>
      <c r="Q159" s="25"/>
      <c r="R159" s="25"/>
      <c r="S159" s="25"/>
      <c r="T159" s="25"/>
      <c r="U159" s="25"/>
      <c r="V159" s="25"/>
      <c r="W159" s="25"/>
    </row>
    <row r="160" spans="2:23" x14ac:dyDescent="0.25">
      <c r="B160" s="25"/>
      <c r="C160" s="25"/>
      <c r="D160" s="25"/>
      <c r="E160" s="25"/>
      <c r="F160" s="49"/>
      <c r="G160" s="25"/>
      <c r="H160" s="40"/>
      <c r="I160" s="49"/>
      <c r="K160" s="36"/>
      <c r="L160" s="25"/>
      <c r="M160" s="25"/>
      <c r="N160" s="25"/>
      <c r="O160" s="25"/>
      <c r="P160" s="25"/>
      <c r="Q160" s="25"/>
      <c r="R160" s="25"/>
      <c r="S160" s="25"/>
      <c r="T160" s="25"/>
      <c r="U160" s="25"/>
      <c r="V160" s="25"/>
      <c r="W160" s="25"/>
    </row>
    <row r="161" spans="2:23" x14ac:dyDescent="0.25">
      <c r="B161" s="25"/>
      <c r="C161" s="25"/>
      <c r="D161" s="25"/>
      <c r="E161" s="25"/>
      <c r="F161" s="49"/>
      <c r="G161" s="25"/>
      <c r="H161" s="40"/>
      <c r="I161" s="49"/>
      <c r="K161" s="36"/>
      <c r="L161" s="25"/>
      <c r="M161" s="25"/>
      <c r="N161" s="25"/>
      <c r="O161" s="25"/>
      <c r="P161" s="25"/>
      <c r="Q161" s="25"/>
      <c r="R161" s="25"/>
      <c r="S161" s="25"/>
      <c r="T161" s="25"/>
      <c r="U161" s="25"/>
      <c r="V161" s="25"/>
      <c r="W161" s="25"/>
    </row>
    <row r="162" spans="2:23" x14ac:dyDescent="0.25">
      <c r="B162" s="25"/>
      <c r="C162" s="25"/>
      <c r="D162" s="25"/>
      <c r="E162" s="25"/>
      <c r="F162" s="49"/>
      <c r="G162" s="25"/>
      <c r="H162" s="40"/>
      <c r="I162" s="49"/>
      <c r="K162" s="36"/>
      <c r="L162" s="25"/>
      <c r="M162" s="25"/>
      <c r="N162" s="25"/>
      <c r="O162" s="25"/>
      <c r="P162" s="25"/>
      <c r="Q162" s="25"/>
      <c r="R162" s="25"/>
      <c r="S162" s="25"/>
      <c r="T162" s="25"/>
      <c r="U162" s="25"/>
      <c r="V162" s="25"/>
      <c r="W162" s="25"/>
    </row>
    <row r="163" spans="2:23" x14ac:dyDescent="0.25">
      <c r="B163" s="25"/>
      <c r="C163" s="25"/>
      <c r="D163" s="25"/>
      <c r="E163" s="25"/>
      <c r="F163" s="49"/>
      <c r="G163" s="25"/>
      <c r="H163" s="40"/>
      <c r="I163" s="49"/>
      <c r="K163" s="36"/>
      <c r="L163" s="25"/>
      <c r="M163" s="25"/>
      <c r="N163" s="25"/>
      <c r="O163" s="25"/>
      <c r="P163" s="25"/>
      <c r="Q163" s="25"/>
      <c r="R163" s="25"/>
      <c r="S163" s="25"/>
      <c r="T163" s="25"/>
      <c r="U163" s="25"/>
      <c r="V163" s="25"/>
      <c r="W163" s="25"/>
    </row>
    <row r="164" spans="2:23" x14ac:dyDescent="0.25">
      <c r="B164" s="25"/>
      <c r="C164" s="25"/>
      <c r="D164" s="25"/>
      <c r="E164" s="25"/>
      <c r="F164" s="49"/>
      <c r="G164" s="25"/>
      <c r="H164" s="40"/>
      <c r="I164" s="49"/>
      <c r="K164" s="36"/>
      <c r="L164" s="25"/>
      <c r="M164" s="25"/>
      <c r="N164" s="25"/>
      <c r="O164" s="25"/>
      <c r="P164" s="25"/>
      <c r="Q164" s="25"/>
      <c r="R164" s="25"/>
      <c r="S164" s="25"/>
      <c r="T164" s="25"/>
      <c r="U164" s="25"/>
      <c r="V164" s="25"/>
      <c r="W164" s="25"/>
    </row>
    <row r="165" spans="2:23" x14ac:dyDescent="0.25">
      <c r="B165" s="25"/>
      <c r="C165" s="25"/>
      <c r="D165" s="25"/>
      <c r="E165" s="25"/>
      <c r="F165" s="49"/>
      <c r="G165" s="25"/>
      <c r="H165" s="40"/>
      <c r="I165" s="49"/>
      <c r="K165" s="36"/>
      <c r="L165" s="25"/>
      <c r="M165" s="25"/>
      <c r="N165" s="25"/>
      <c r="O165" s="25"/>
      <c r="P165" s="25"/>
      <c r="Q165" s="25"/>
      <c r="R165" s="25"/>
      <c r="S165" s="25"/>
      <c r="T165" s="25"/>
      <c r="U165" s="25"/>
      <c r="V165" s="25"/>
      <c r="W165" s="25"/>
    </row>
    <row r="166" spans="2:23" x14ac:dyDescent="0.25">
      <c r="B166" s="25"/>
      <c r="C166" s="25"/>
      <c r="D166" s="25"/>
      <c r="E166" s="25"/>
      <c r="F166" s="49"/>
      <c r="G166" s="25"/>
      <c r="H166" s="40"/>
      <c r="I166" s="49"/>
      <c r="K166" s="36"/>
      <c r="L166" s="25"/>
      <c r="M166" s="25"/>
      <c r="N166" s="25"/>
      <c r="O166" s="25"/>
      <c r="P166" s="25"/>
      <c r="Q166" s="25"/>
      <c r="R166" s="25"/>
      <c r="S166" s="25"/>
      <c r="T166" s="25"/>
      <c r="U166" s="25"/>
      <c r="V166" s="25"/>
      <c r="W166" s="25"/>
    </row>
    <row r="167" spans="2:23" x14ac:dyDescent="0.25">
      <c r="B167" s="25"/>
      <c r="C167" s="25"/>
      <c r="D167" s="25"/>
      <c r="E167" s="25"/>
      <c r="F167" s="49"/>
      <c r="G167" s="25"/>
      <c r="H167" s="40"/>
      <c r="I167" s="49"/>
      <c r="K167" s="36"/>
      <c r="L167" s="25"/>
      <c r="M167" s="25"/>
      <c r="N167" s="25"/>
      <c r="O167" s="25"/>
      <c r="P167" s="25"/>
      <c r="Q167" s="25"/>
      <c r="R167" s="25"/>
      <c r="S167" s="25"/>
      <c r="T167" s="25"/>
      <c r="U167" s="25"/>
      <c r="V167" s="25"/>
      <c r="W167" s="25"/>
    </row>
    <row r="168" spans="2:23" x14ac:dyDescent="0.25">
      <c r="B168" s="25"/>
      <c r="C168" s="25"/>
      <c r="D168" s="25"/>
      <c r="E168" s="25"/>
      <c r="F168" s="49"/>
      <c r="G168" s="25"/>
      <c r="H168" s="40"/>
      <c r="I168" s="49"/>
      <c r="K168" s="36"/>
      <c r="L168" s="25"/>
      <c r="M168" s="25"/>
      <c r="N168" s="25"/>
      <c r="O168" s="25"/>
      <c r="P168" s="25"/>
      <c r="Q168" s="25"/>
      <c r="R168" s="25"/>
      <c r="S168" s="25"/>
      <c r="T168" s="25"/>
      <c r="U168" s="25"/>
      <c r="V168" s="25"/>
      <c r="W168" s="25"/>
    </row>
    <row r="169" spans="2:23" x14ac:dyDescent="0.25">
      <c r="B169" s="25"/>
      <c r="C169" s="25"/>
      <c r="D169" s="25"/>
      <c r="E169" s="25"/>
      <c r="F169" s="49"/>
      <c r="G169" s="25"/>
      <c r="H169" s="40"/>
      <c r="I169" s="49"/>
      <c r="K169" s="36"/>
      <c r="L169" s="25"/>
      <c r="M169" s="25"/>
      <c r="N169" s="25"/>
      <c r="O169" s="25"/>
      <c r="P169" s="25"/>
      <c r="Q169" s="25"/>
      <c r="R169" s="25"/>
      <c r="S169" s="25"/>
      <c r="T169" s="25"/>
      <c r="U169" s="25"/>
      <c r="V169" s="25"/>
      <c r="W169" s="25"/>
    </row>
    <row r="170" spans="2:23" x14ac:dyDescent="0.25">
      <c r="B170" s="25"/>
      <c r="C170" s="25"/>
      <c r="D170" s="25"/>
      <c r="E170" s="25"/>
      <c r="F170" s="49"/>
      <c r="G170" s="25"/>
      <c r="H170" s="40"/>
      <c r="I170" s="49"/>
      <c r="K170" s="36"/>
      <c r="L170" s="25"/>
      <c r="M170" s="25"/>
      <c r="N170" s="25"/>
      <c r="O170" s="25"/>
      <c r="P170" s="25"/>
      <c r="Q170" s="25"/>
      <c r="R170" s="25"/>
      <c r="S170" s="25"/>
      <c r="T170" s="25"/>
      <c r="U170" s="25"/>
      <c r="V170" s="25"/>
      <c r="W170" s="25"/>
    </row>
    <row r="171" spans="2:23" x14ac:dyDescent="0.25">
      <c r="B171" s="25"/>
      <c r="C171" s="25"/>
      <c r="D171" s="25"/>
      <c r="E171" s="25"/>
      <c r="F171" s="49"/>
      <c r="G171" s="25"/>
      <c r="H171" s="40"/>
      <c r="I171" s="49"/>
      <c r="K171" s="36"/>
      <c r="L171" s="25"/>
      <c r="M171" s="25"/>
      <c r="N171" s="25"/>
      <c r="O171" s="25"/>
      <c r="P171" s="25"/>
      <c r="Q171" s="25"/>
      <c r="R171" s="25"/>
      <c r="S171" s="25"/>
      <c r="T171" s="25"/>
      <c r="U171" s="25"/>
      <c r="V171" s="25"/>
      <c r="W171" s="25"/>
    </row>
    <row r="172" spans="2:23" x14ac:dyDescent="0.25">
      <c r="B172" s="25"/>
      <c r="C172" s="25"/>
      <c r="D172" s="25"/>
      <c r="E172" s="25"/>
      <c r="F172" s="49"/>
      <c r="G172" s="25"/>
      <c r="H172" s="40"/>
      <c r="I172" s="49"/>
      <c r="K172" s="36"/>
      <c r="L172" s="25"/>
      <c r="M172" s="25"/>
      <c r="N172" s="25"/>
      <c r="O172" s="25"/>
      <c r="P172" s="25"/>
      <c r="Q172" s="25"/>
      <c r="R172" s="25"/>
      <c r="S172" s="25"/>
      <c r="T172" s="25"/>
      <c r="U172" s="25"/>
      <c r="V172" s="25"/>
      <c r="W172" s="25"/>
    </row>
    <row r="173" spans="2:23" x14ac:dyDescent="0.25">
      <c r="B173" s="25"/>
      <c r="C173" s="25"/>
      <c r="D173" s="25"/>
      <c r="E173" s="25"/>
      <c r="F173" s="49"/>
      <c r="G173" s="25"/>
      <c r="H173" s="40"/>
      <c r="I173" s="49"/>
      <c r="K173" s="36"/>
      <c r="L173" s="25"/>
      <c r="M173" s="25"/>
      <c r="N173" s="25"/>
      <c r="O173" s="25"/>
      <c r="P173" s="25"/>
      <c r="Q173" s="25"/>
      <c r="R173" s="25"/>
      <c r="S173" s="25"/>
      <c r="T173" s="25"/>
      <c r="U173" s="25"/>
      <c r="V173" s="25"/>
      <c r="W173" s="25"/>
    </row>
    <row r="174" spans="2:23" x14ac:dyDescent="0.25">
      <c r="B174" s="25"/>
      <c r="C174" s="25"/>
      <c r="D174" s="25"/>
      <c r="E174" s="25"/>
      <c r="F174" s="49"/>
      <c r="G174" s="25"/>
      <c r="H174" s="40"/>
      <c r="I174" s="49"/>
      <c r="K174" s="36"/>
      <c r="L174" s="25"/>
      <c r="M174" s="25"/>
      <c r="N174" s="25"/>
      <c r="O174" s="25"/>
      <c r="P174" s="25"/>
      <c r="Q174" s="25"/>
      <c r="R174" s="25"/>
      <c r="S174" s="25"/>
      <c r="T174" s="25"/>
      <c r="U174" s="25"/>
      <c r="V174" s="25"/>
      <c r="W174" s="25"/>
    </row>
    <row r="175" spans="2:23" x14ac:dyDescent="0.25">
      <c r="B175" s="25"/>
      <c r="C175" s="25"/>
      <c r="D175" s="25"/>
      <c r="E175" s="25"/>
      <c r="F175" s="49"/>
      <c r="G175" s="25"/>
      <c r="H175" s="40"/>
      <c r="I175" s="49"/>
      <c r="K175" s="36"/>
      <c r="L175" s="25"/>
      <c r="M175" s="25"/>
      <c r="N175" s="25"/>
      <c r="O175" s="25"/>
      <c r="P175" s="25"/>
      <c r="Q175" s="25"/>
      <c r="R175" s="25"/>
      <c r="S175" s="25"/>
      <c r="T175" s="25"/>
      <c r="U175" s="25"/>
      <c r="V175" s="25"/>
      <c r="W175" s="25"/>
    </row>
    <row r="176" spans="2:23" x14ac:dyDescent="0.25">
      <c r="B176" s="25"/>
      <c r="C176" s="25"/>
      <c r="D176" s="25"/>
      <c r="E176" s="25"/>
      <c r="F176" s="49"/>
      <c r="G176" s="25"/>
      <c r="H176" s="40"/>
      <c r="I176" s="49"/>
      <c r="K176" s="36"/>
      <c r="L176" s="25"/>
      <c r="M176" s="25"/>
      <c r="N176" s="25"/>
      <c r="O176" s="25"/>
      <c r="P176" s="25"/>
      <c r="Q176" s="25"/>
      <c r="R176" s="25"/>
      <c r="S176" s="25"/>
      <c r="T176" s="25"/>
      <c r="U176" s="25"/>
      <c r="V176" s="25"/>
      <c r="W176" s="25"/>
    </row>
    <row r="177" spans="2:23" x14ac:dyDescent="0.25">
      <c r="B177" s="25"/>
      <c r="C177" s="25"/>
      <c r="D177" s="25"/>
      <c r="E177" s="25"/>
      <c r="F177" s="49"/>
      <c r="G177" s="25"/>
      <c r="H177" s="40"/>
      <c r="I177" s="49"/>
      <c r="K177" s="36"/>
      <c r="L177" s="25"/>
      <c r="M177" s="25"/>
      <c r="N177" s="25"/>
      <c r="O177" s="25"/>
      <c r="P177" s="25"/>
      <c r="Q177" s="25"/>
      <c r="R177" s="25"/>
      <c r="S177" s="25"/>
      <c r="T177" s="25"/>
      <c r="U177" s="25"/>
      <c r="V177" s="25"/>
      <c r="W177" s="25"/>
    </row>
    <row r="178" spans="2:23" x14ac:dyDescent="0.25">
      <c r="B178" s="25"/>
      <c r="C178" s="25"/>
      <c r="D178" s="25"/>
      <c r="E178" s="25"/>
      <c r="F178" s="49"/>
      <c r="G178" s="25"/>
      <c r="H178" s="40"/>
      <c r="I178" s="49"/>
      <c r="K178" s="36"/>
      <c r="L178" s="25"/>
      <c r="M178" s="25"/>
      <c r="N178" s="25"/>
      <c r="O178" s="25"/>
      <c r="P178" s="25"/>
      <c r="Q178" s="25"/>
      <c r="R178" s="25"/>
      <c r="S178" s="25"/>
      <c r="T178" s="25"/>
      <c r="U178" s="25"/>
      <c r="V178" s="25"/>
      <c r="W178" s="25"/>
    </row>
    <row r="179" spans="2:23" x14ac:dyDescent="0.25">
      <c r="B179" s="25"/>
      <c r="C179" s="25"/>
      <c r="D179" s="25"/>
      <c r="E179" s="25"/>
      <c r="F179" s="49"/>
      <c r="G179" s="25"/>
      <c r="H179" s="40"/>
      <c r="I179" s="49"/>
      <c r="K179" s="36"/>
      <c r="L179" s="25"/>
      <c r="M179" s="25"/>
      <c r="N179" s="25"/>
      <c r="O179" s="25"/>
      <c r="P179" s="25"/>
      <c r="Q179" s="25"/>
      <c r="R179" s="25"/>
      <c r="S179" s="25"/>
      <c r="T179" s="25"/>
      <c r="U179" s="25"/>
      <c r="V179" s="25"/>
      <c r="W179" s="25"/>
    </row>
    <row r="180" spans="2:23" x14ac:dyDescent="0.25">
      <c r="B180" s="25"/>
      <c r="C180" s="25"/>
      <c r="D180" s="25"/>
      <c r="E180" s="25"/>
      <c r="F180" s="49"/>
      <c r="G180" s="25"/>
      <c r="H180" s="40"/>
      <c r="I180" s="49"/>
      <c r="K180" s="36"/>
      <c r="L180" s="25"/>
      <c r="M180" s="25"/>
      <c r="N180" s="25"/>
      <c r="O180" s="25"/>
      <c r="P180" s="25"/>
      <c r="Q180" s="25"/>
      <c r="R180" s="25"/>
      <c r="S180" s="25"/>
      <c r="T180" s="25"/>
      <c r="U180" s="25"/>
      <c r="V180" s="25"/>
      <c r="W180" s="25"/>
    </row>
    <row r="181" spans="2:23" x14ac:dyDescent="0.25">
      <c r="B181" s="25"/>
      <c r="C181" s="25"/>
      <c r="D181" s="25"/>
      <c r="E181" s="25"/>
      <c r="F181" s="49"/>
      <c r="G181" s="25"/>
      <c r="H181" s="40"/>
      <c r="I181" s="49"/>
      <c r="K181" s="36"/>
      <c r="L181" s="25"/>
      <c r="M181" s="25"/>
      <c r="N181" s="25"/>
      <c r="O181" s="25"/>
      <c r="P181" s="25"/>
      <c r="Q181" s="25"/>
      <c r="R181" s="25"/>
      <c r="S181" s="25"/>
      <c r="T181" s="25"/>
      <c r="U181" s="25"/>
      <c r="V181" s="25"/>
      <c r="W181" s="25"/>
    </row>
    <row r="182" spans="2:23" x14ac:dyDescent="0.25">
      <c r="B182" s="25"/>
      <c r="C182" s="25"/>
      <c r="D182" s="25"/>
      <c r="E182" s="25"/>
      <c r="F182" s="49"/>
      <c r="G182" s="25"/>
      <c r="H182" s="40"/>
      <c r="I182" s="49"/>
      <c r="K182" s="36"/>
      <c r="L182" s="25"/>
      <c r="M182" s="25"/>
      <c r="N182" s="25"/>
      <c r="O182" s="25"/>
      <c r="P182" s="25"/>
      <c r="Q182" s="25"/>
      <c r="R182" s="25"/>
      <c r="S182" s="25"/>
      <c r="T182" s="25"/>
      <c r="U182" s="25"/>
      <c r="V182" s="25"/>
      <c r="W182" s="25"/>
    </row>
    <row r="183" spans="2:23" x14ac:dyDescent="0.25">
      <c r="B183" s="25"/>
      <c r="C183" s="25"/>
      <c r="D183" s="25"/>
      <c r="E183" s="25"/>
      <c r="F183" s="49"/>
      <c r="G183" s="25"/>
      <c r="H183" s="40"/>
      <c r="I183" s="49"/>
      <c r="K183" s="36"/>
      <c r="L183" s="25"/>
      <c r="M183" s="25"/>
      <c r="N183" s="25"/>
      <c r="O183" s="25"/>
      <c r="P183" s="25"/>
      <c r="Q183" s="25"/>
      <c r="R183" s="25"/>
      <c r="S183" s="25"/>
      <c r="T183" s="25"/>
      <c r="U183" s="25"/>
      <c r="V183" s="25"/>
      <c r="W183" s="25"/>
    </row>
    <row r="184" spans="2:23" x14ac:dyDescent="0.25">
      <c r="B184" s="25"/>
      <c r="C184" s="25"/>
      <c r="D184" s="25"/>
      <c r="E184" s="25"/>
      <c r="F184" s="49"/>
      <c r="G184" s="25"/>
      <c r="H184" s="40"/>
      <c r="I184" s="49"/>
      <c r="K184" s="36"/>
      <c r="L184" s="25"/>
      <c r="M184" s="25"/>
      <c r="N184" s="25"/>
      <c r="O184" s="25"/>
      <c r="P184" s="25"/>
      <c r="Q184" s="25"/>
      <c r="R184" s="25"/>
      <c r="S184" s="25"/>
      <c r="T184" s="25"/>
      <c r="U184" s="25"/>
      <c r="V184" s="25"/>
      <c r="W184" s="25"/>
    </row>
    <row r="185" spans="2:23" x14ac:dyDescent="0.25">
      <c r="B185" s="25"/>
      <c r="C185" s="25"/>
      <c r="D185" s="25"/>
      <c r="E185" s="25"/>
      <c r="F185" s="49"/>
      <c r="G185" s="25"/>
      <c r="H185" s="40"/>
      <c r="I185" s="49"/>
      <c r="K185" s="36"/>
      <c r="L185" s="25"/>
      <c r="M185" s="25"/>
      <c r="N185" s="25"/>
      <c r="O185" s="25"/>
      <c r="P185" s="25"/>
      <c r="Q185" s="25"/>
      <c r="R185" s="25"/>
      <c r="S185" s="25"/>
      <c r="T185" s="25"/>
      <c r="U185" s="25"/>
      <c r="V185" s="25"/>
      <c r="W185" s="25"/>
    </row>
    <row r="186" spans="2:23" x14ac:dyDescent="0.25">
      <c r="B186" s="25"/>
      <c r="C186" s="25"/>
      <c r="D186" s="25"/>
      <c r="E186" s="25"/>
      <c r="F186" s="49"/>
      <c r="G186" s="25"/>
      <c r="H186" s="40"/>
      <c r="I186" s="49"/>
      <c r="K186" s="36"/>
      <c r="L186" s="25"/>
      <c r="M186" s="25"/>
      <c r="N186" s="25"/>
      <c r="O186" s="25"/>
      <c r="P186" s="25"/>
      <c r="Q186" s="25"/>
      <c r="R186" s="25"/>
      <c r="S186" s="25"/>
      <c r="T186" s="25"/>
      <c r="U186" s="25"/>
      <c r="V186" s="25"/>
      <c r="W186" s="25"/>
    </row>
    <row r="187" spans="2:23" x14ac:dyDescent="0.25">
      <c r="B187" s="25"/>
      <c r="C187" s="25"/>
      <c r="D187" s="25"/>
      <c r="E187" s="25"/>
      <c r="F187" s="49"/>
      <c r="G187" s="25"/>
      <c r="H187" s="40"/>
      <c r="I187" s="49"/>
      <c r="K187" s="36"/>
      <c r="L187" s="25"/>
      <c r="M187" s="25"/>
      <c r="N187" s="25"/>
      <c r="O187" s="25"/>
      <c r="P187" s="25"/>
      <c r="Q187" s="25"/>
      <c r="R187" s="25"/>
      <c r="S187" s="25"/>
      <c r="T187" s="25"/>
      <c r="U187" s="25"/>
      <c r="V187" s="25"/>
      <c r="W187" s="25"/>
    </row>
    <row r="188" spans="2:23" x14ac:dyDescent="0.25">
      <c r="B188" s="25"/>
      <c r="C188" s="25"/>
      <c r="D188" s="25"/>
      <c r="E188" s="25"/>
      <c r="F188" s="49"/>
      <c r="G188" s="25"/>
      <c r="H188" s="40"/>
      <c r="I188" s="49"/>
      <c r="K188" s="36"/>
      <c r="L188" s="25"/>
      <c r="M188" s="25"/>
      <c r="N188" s="25"/>
      <c r="O188" s="25"/>
      <c r="P188" s="25"/>
      <c r="Q188" s="25"/>
      <c r="R188" s="25"/>
      <c r="S188" s="25"/>
      <c r="T188" s="25"/>
      <c r="U188" s="25"/>
      <c r="V188" s="25"/>
      <c r="W188" s="25"/>
    </row>
    <row r="189" spans="2:23" x14ac:dyDescent="0.25">
      <c r="B189" s="25"/>
      <c r="C189" s="25"/>
      <c r="D189" s="25"/>
      <c r="E189" s="25"/>
      <c r="F189" s="49"/>
      <c r="G189" s="25"/>
      <c r="H189" s="40"/>
      <c r="I189" s="49"/>
      <c r="K189" s="36"/>
      <c r="L189" s="25"/>
      <c r="M189" s="25"/>
      <c r="N189" s="25"/>
      <c r="O189" s="25"/>
      <c r="P189" s="25"/>
      <c r="Q189" s="25"/>
      <c r="R189" s="25"/>
      <c r="S189" s="25"/>
      <c r="T189" s="25"/>
      <c r="U189" s="25"/>
      <c r="V189" s="25"/>
      <c r="W189" s="25"/>
    </row>
    <row r="190" spans="2:23" x14ac:dyDescent="0.25">
      <c r="B190" s="25"/>
      <c r="C190" s="25"/>
      <c r="D190" s="25"/>
      <c r="E190" s="25"/>
      <c r="F190" s="49"/>
      <c r="G190" s="25"/>
      <c r="H190" s="40"/>
      <c r="I190" s="49"/>
      <c r="K190" s="36"/>
      <c r="L190" s="25"/>
      <c r="M190" s="25"/>
      <c r="N190" s="25"/>
      <c r="O190" s="25"/>
      <c r="P190" s="25"/>
      <c r="Q190" s="25"/>
      <c r="R190" s="25"/>
      <c r="S190" s="25"/>
      <c r="T190" s="25"/>
      <c r="U190" s="25"/>
      <c r="V190" s="25"/>
      <c r="W190" s="25"/>
    </row>
    <row r="191" spans="2:23" x14ac:dyDescent="0.25">
      <c r="B191" s="25"/>
      <c r="C191" s="25"/>
      <c r="D191" s="25"/>
      <c r="E191" s="25"/>
      <c r="F191" s="49"/>
      <c r="G191" s="25"/>
      <c r="H191" s="40"/>
      <c r="I191" s="49"/>
      <c r="K191" s="36"/>
      <c r="L191" s="25"/>
      <c r="M191" s="25"/>
      <c r="N191" s="25"/>
      <c r="O191" s="25"/>
      <c r="P191" s="25"/>
      <c r="Q191" s="25"/>
      <c r="R191" s="25"/>
      <c r="S191" s="25"/>
      <c r="T191" s="25"/>
      <c r="U191" s="25"/>
      <c r="V191" s="25"/>
      <c r="W191" s="25"/>
    </row>
    <row r="192" spans="2:23" x14ac:dyDescent="0.25">
      <c r="B192" s="25"/>
      <c r="C192" s="25"/>
      <c r="D192" s="25"/>
      <c r="E192" s="25"/>
      <c r="F192" s="49"/>
      <c r="G192" s="25"/>
      <c r="H192" s="40"/>
      <c r="I192" s="49"/>
      <c r="K192" s="36"/>
      <c r="L192" s="25"/>
      <c r="M192" s="25"/>
      <c r="N192" s="25"/>
      <c r="O192" s="25"/>
      <c r="P192" s="25"/>
      <c r="Q192" s="25"/>
      <c r="R192" s="25"/>
      <c r="S192" s="25"/>
      <c r="T192" s="25"/>
      <c r="U192" s="25"/>
      <c r="V192" s="25"/>
      <c r="W192" s="25"/>
    </row>
    <row r="193" spans="2:23" x14ac:dyDescent="0.25">
      <c r="B193" s="25"/>
      <c r="C193" s="25"/>
      <c r="D193" s="25"/>
      <c r="E193" s="25"/>
      <c r="F193" s="49"/>
      <c r="G193" s="25"/>
      <c r="H193" s="40"/>
      <c r="I193" s="49"/>
      <c r="K193" s="36"/>
      <c r="L193" s="25"/>
      <c r="M193" s="25"/>
      <c r="N193" s="25"/>
      <c r="O193" s="25"/>
      <c r="P193" s="25"/>
      <c r="Q193" s="25"/>
      <c r="R193" s="25"/>
      <c r="S193" s="25"/>
      <c r="T193" s="25"/>
      <c r="U193" s="25"/>
      <c r="V193" s="25"/>
      <c r="W193" s="25"/>
    </row>
    <row r="194" spans="2:23" x14ac:dyDescent="0.25">
      <c r="B194" s="25"/>
      <c r="C194" s="25"/>
      <c r="D194" s="25"/>
      <c r="E194" s="25"/>
      <c r="F194" s="49"/>
      <c r="G194" s="25"/>
      <c r="H194" s="40"/>
      <c r="I194" s="49"/>
      <c r="K194" s="36"/>
      <c r="L194" s="25"/>
      <c r="M194" s="25"/>
      <c r="N194" s="25"/>
      <c r="O194" s="25"/>
      <c r="P194" s="25"/>
      <c r="Q194" s="25"/>
      <c r="R194" s="25"/>
      <c r="S194" s="25"/>
      <c r="T194" s="25"/>
      <c r="U194" s="25"/>
      <c r="V194" s="25"/>
      <c r="W194" s="25"/>
    </row>
    <row r="195" spans="2:23" x14ac:dyDescent="0.25">
      <c r="B195" s="25"/>
      <c r="C195" s="25"/>
      <c r="D195" s="25"/>
      <c r="E195" s="25"/>
      <c r="F195" s="49"/>
      <c r="G195" s="25"/>
      <c r="H195" s="40"/>
      <c r="I195" s="49"/>
      <c r="K195" s="36"/>
      <c r="L195" s="25"/>
      <c r="M195" s="25"/>
      <c r="N195" s="25"/>
      <c r="O195" s="25"/>
      <c r="P195" s="25"/>
      <c r="Q195" s="25"/>
      <c r="R195" s="25"/>
      <c r="S195" s="25"/>
      <c r="T195" s="25"/>
      <c r="U195" s="25"/>
      <c r="V195" s="25"/>
      <c r="W195" s="25"/>
    </row>
    <row r="196" spans="2:23" x14ac:dyDescent="0.25">
      <c r="B196" s="25"/>
      <c r="C196" s="25"/>
      <c r="D196" s="25"/>
      <c r="E196" s="25"/>
      <c r="F196" s="49"/>
      <c r="G196" s="25"/>
      <c r="H196" s="40"/>
      <c r="I196" s="49"/>
      <c r="K196" s="36"/>
      <c r="L196" s="25"/>
      <c r="M196" s="25"/>
      <c r="N196" s="25"/>
      <c r="O196" s="25"/>
      <c r="P196" s="25"/>
      <c r="Q196" s="25"/>
      <c r="R196" s="25"/>
      <c r="S196" s="25"/>
      <c r="T196" s="25"/>
      <c r="U196" s="25"/>
      <c r="V196" s="25"/>
      <c r="W196" s="25"/>
    </row>
    <row r="197" spans="2:23" x14ac:dyDescent="0.25">
      <c r="B197" s="25"/>
      <c r="C197" s="25"/>
      <c r="D197" s="25"/>
      <c r="E197" s="25"/>
      <c r="F197" s="49"/>
      <c r="G197" s="25"/>
      <c r="H197" s="40"/>
      <c r="I197" s="49"/>
      <c r="K197" s="36"/>
      <c r="L197" s="25"/>
      <c r="M197" s="25"/>
      <c r="N197" s="25"/>
      <c r="O197" s="25"/>
      <c r="P197" s="25"/>
      <c r="Q197" s="25"/>
      <c r="R197" s="25"/>
      <c r="S197" s="25"/>
      <c r="T197" s="25"/>
      <c r="U197" s="25"/>
      <c r="V197" s="25"/>
      <c r="W197" s="25"/>
    </row>
    <row r="198" spans="2:23" x14ac:dyDescent="0.25">
      <c r="B198" s="25"/>
      <c r="C198" s="25"/>
      <c r="D198" s="25"/>
      <c r="E198" s="25"/>
      <c r="F198" s="49"/>
      <c r="G198" s="25"/>
      <c r="H198" s="40"/>
      <c r="I198" s="49"/>
      <c r="K198" s="36"/>
      <c r="L198" s="25"/>
      <c r="M198" s="25"/>
      <c r="N198" s="25"/>
      <c r="O198" s="25"/>
      <c r="P198" s="25"/>
      <c r="Q198" s="25"/>
      <c r="R198" s="25"/>
      <c r="S198" s="25"/>
      <c r="T198" s="25"/>
      <c r="U198" s="25"/>
      <c r="V198" s="25"/>
      <c r="W198" s="25"/>
    </row>
    <row r="199" spans="2:23" x14ac:dyDescent="0.25">
      <c r="B199" s="25"/>
      <c r="C199" s="25"/>
      <c r="D199" s="25"/>
      <c r="E199" s="25"/>
      <c r="F199" s="49"/>
      <c r="G199" s="25"/>
      <c r="H199" s="40"/>
      <c r="I199" s="49"/>
      <c r="K199" s="36"/>
      <c r="L199" s="25"/>
      <c r="M199" s="25"/>
      <c r="N199" s="25"/>
      <c r="O199" s="25"/>
      <c r="P199" s="25"/>
      <c r="Q199" s="25"/>
      <c r="R199" s="25"/>
      <c r="S199" s="25"/>
      <c r="T199" s="25"/>
      <c r="U199" s="25"/>
      <c r="V199" s="25"/>
      <c r="W199" s="25"/>
    </row>
    <row r="200" spans="2:23" x14ac:dyDescent="0.25">
      <c r="B200" s="25"/>
      <c r="C200" s="25"/>
      <c r="D200" s="25"/>
      <c r="E200" s="25"/>
      <c r="F200" s="49"/>
      <c r="G200" s="25"/>
      <c r="H200" s="40"/>
      <c r="I200" s="49"/>
      <c r="K200" s="36"/>
      <c r="L200" s="25"/>
      <c r="M200" s="25"/>
      <c r="N200" s="25"/>
      <c r="O200" s="25"/>
      <c r="P200" s="25"/>
      <c r="Q200" s="25"/>
      <c r="R200" s="25"/>
      <c r="S200" s="25"/>
      <c r="T200" s="25"/>
      <c r="U200" s="25"/>
      <c r="V200" s="25"/>
      <c r="W200" s="25"/>
    </row>
    <row r="201" spans="2:23" x14ac:dyDescent="0.25">
      <c r="B201" s="25"/>
      <c r="C201" s="25"/>
      <c r="D201" s="25"/>
      <c r="E201" s="25"/>
      <c r="F201" s="49"/>
      <c r="G201" s="25"/>
      <c r="H201" s="40"/>
      <c r="I201" s="49"/>
      <c r="K201" s="36"/>
      <c r="L201" s="25"/>
      <c r="M201" s="25"/>
      <c r="N201" s="25"/>
      <c r="O201" s="25"/>
      <c r="P201" s="25"/>
      <c r="Q201" s="25"/>
      <c r="R201" s="25"/>
      <c r="S201" s="25"/>
      <c r="T201" s="25"/>
      <c r="U201" s="25"/>
      <c r="V201" s="25"/>
      <c r="W201" s="25"/>
    </row>
    <row r="202" spans="2:23" x14ac:dyDescent="0.25">
      <c r="B202" s="25"/>
      <c r="C202" s="25"/>
      <c r="D202" s="25"/>
      <c r="E202" s="25"/>
      <c r="F202" s="49"/>
      <c r="G202" s="25"/>
      <c r="H202" s="40"/>
      <c r="I202" s="49"/>
      <c r="K202" s="36"/>
      <c r="L202" s="25"/>
      <c r="M202" s="25"/>
      <c r="N202" s="25"/>
      <c r="O202" s="25"/>
      <c r="P202" s="25"/>
      <c r="Q202" s="25"/>
      <c r="R202" s="25"/>
      <c r="S202" s="25"/>
      <c r="T202" s="25"/>
      <c r="U202" s="25"/>
      <c r="V202" s="25"/>
      <c r="W202" s="25"/>
    </row>
    <row r="203" spans="2:23" x14ac:dyDescent="0.25">
      <c r="B203" s="25"/>
      <c r="C203" s="25"/>
      <c r="D203" s="25"/>
      <c r="E203" s="25"/>
      <c r="F203" s="49"/>
      <c r="G203" s="25"/>
      <c r="H203" s="40"/>
      <c r="I203" s="49"/>
      <c r="K203" s="36"/>
      <c r="L203" s="25"/>
      <c r="M203" s="25"/>
      <c r="N203" s="25"/>
      <c r="O203" s="25"/>
      <c r="P203" s="25"/>
      <c r="Q203" s="25"/>
      <c r="R203" s="25"/>
      <c r="S203" s="25"/>
      <c r="T203" s="25"/>
      <c r="U203" s="25"/>
      <c r="V203" s="25"/>
      <c r="W203" s="25"/>
    </row>
    <row r="204" spans="2:23" x14ac:dyDescent="0.25">
      <c r="B204" s="25"/>
      <c r="C204" s="25"/>
      <c r="D204" s="25"/>
      <c r="E204" s="25"/>
      <c r="F204" s="49"/>
      <c r="G204" s="25"/>
      <c r="H204" s="40"/>
      <c r="I204" s="49"/>
      <c r="K204" s="36"/>
      <c r="L204" s="25"/>
      <c r="M204" s="25"/>
      <c r="N204" s="25"/>
      <c r="O204" s="25"/>
      <c r="P204" s="25"/>
      <c r="Q204" s="25"/>
      <c r="R204" s="25"/>
      <c r="S204" s="25"/>
      <c r="T204" s="25"/>
      <c r="U204" s="25"/>
      <c r="V204" s="25"/>
      <c r="W204" s="25"/>
    </row>
    <row r="205" spans="2:23" x14ac:dyDescent="0.25">
      <c r="B205" s="25"/>
      <c r="C205" s="25"/>
      <c r="D205" s="25"/>
      <c r="E205" s="25"/>
      <c r="F205" s="49"/>
      <c r="G205" s="25"/>
      <c r="H205" s="40"/>
      <c r="I205" s="49"/>
      <c r="K205" s="36"/>
      <c r="L205" s="25"/>
      <c r="M205" s="25"/>
      <c r="N205" s="25"/>
      <c r="O205" s="25"/>
      <c r="P205" s="25"/>
      <c r="Q205" s="25"/>
      <c r="R205" s="25"/>
      <c r="S205" s="25"/>
      <c r="T205" s="25"/>
      <c r="U205" s="25"/>
      <c r="V205" s="25"/>
      <c r="W205" s="25"/>
    </row>
    <row r="206" spans="2:23" x14ac:dyDescent="0.25">
      <c r="B206" s="25"/>
      <c r="C206" s="25"/>
      <c r="D206" s="25"/>
      <c r="E206" s="25"/>
      <c r="F206" s="49"/>
      <c r="G206" s="25"/>
      <c r="H206" s="40"/>
      <c r="I206" s="49"/>
      <c r="K206" s="36"/>
      <c r="L206" s="25"/>
      <c r="M206" s="25"/>
      <c r="N206" s="25"/>
      <c r="O206" s="25"/>
      <c r="P206" s="25"/>
      <c r="Q206" s="25"/>
      <c r="R206" s="25"/>
      <c r="S206" s="25"/>
      <c r="T206" s="25"/>
      <c r="U206" s="25"/>
      <c r="V206" s="25"/>
      <c r="W206" s="25"/>
    </row>
    <row r="207" spans="2:23" x14ac:dyDescent="0.25">
      <c r="B207" s="25"/>
      <c r="C207" s="25"/>
      <c r="D207" s="25"/>
      <c r="E207" s="25"/>
      <c r="F207" s="49"/>
      <c r="G207" s="25"/>
      <c r="H207" s="40"/>
      <c r="I207" s="49"/>
      <c r="K207" s="36"/>
      <c r="L207" s="25"/>
      <c r="M207" s="25"/>
      <c r="N207" s="25"/>
      <c r="O207" s="25"/>
      <c r="P207" s="25"/>
      <c r="Q207" s="25"/>
      <c r="R207" s="25"/>
      <c r="S207" s="25"/>
      <c r="T207" s="25"/>
      <c r="U207" s="25"/>
      <c r="V207" s="25"/>
      <c r="W207" s="25"/>
    </row>
    <row r="208" spans="2:23" x14ac:dyDescent="0.25">
      <c r="B208" s="25"/>
      <c r="C208" s="25"/>
      <c r="D208" s="25"/>
      <c r="E208" s="25"/>
      <c r="F208" s="49"/>
      <c r="G208" s="25"/>
      <c r="H208" s="40"/>
      <c r="I208" s="49"/>
      <c r="K208" s="36"/>
      <c r="L208" s="25"/>
      <c r="M208" s="25"/>
      <c r="N208" s="25"/>
      <c r="O208" s="25"/>
      <c r="P208" s="25"/>
      <c r="Q208" s="25"/>
      <c r="R208" s="25"/>
      <c r="S208" s="25"/>
      <c r="T208" s="25"/>
      <c r="U208" s="25"/>
      <c r="V208" s="25"/>
      <c r="W208" s="25"/>
    </row>
    <row r="209" spans="2:23" x14ac:dyDescent="0.25">
      <c r="B209" s="25"/>
      <c r="C209" s="25"/>
      <c r="D209" s="25"/>
      <c r="E209" s="25"/>
      <c r="F209" s="49"/>
      <c r="G209" s="25"/>
      <c r="H209" s="40"/>
      <c r="I209" s="49"/>
      <c r="K209" s="36"/>
      <c r="L209" s="25"/>
      <c r="M209" s="25"/>
      <c r="N209" s="25"/>
      <c r="O209" s="25"/>
      <c r="P209" s="25"/>
      <c r="Q209" s="25"/>
      <c r="R209" s="25"/>
      <c r="S209" s="25"/>
      <c r="T209" s="25"/>
      <c r="U209" s="25"/>
      <c r="V209" s="25"/>
      <c r="W209" s="25"/>
    </row>
    <row r="210" spans="2:23" x14ac:dyDescent="0.25">
      <c r="B210" s="25"/>
      <c r="C210" s="25"/>
      <c r="D210" s="25"/>
      <c r="E210" s="25"/>
      <c r="F210" s="49"/>
      <c r="G210" s="25"/>
      <c r="H210" s="40"/>
      <c r="I210" s="49"/>
      <c r="K210" s="36"/>
      <c r="L210" s="25"/>
      <c r="M210" s="25"/>
      <c r="N210" s="25"/>
      <c r="O210" s="25"/>
      <c r="P210" s="25"/>
      <c r="Q210" s="25"/>
      <c r="R210" s="25"/>
      <c r="S210" s="25"/>
      <c r="T210" s="25"/>
      <c r="U210" s="25"/>
      <c r="V210" s="25"/>
      <c r="W210" s="25"/>
    </row>
    <row r="211" spans="2:23" x14ac:dyDescent="0.25">
      <c r="B211" s="25"/>
      <c r="C211" s="25"/>
      <c r="D211" s="25"/>
      <c r="E211" s="25"/>
      <c r="F211" s="49"/>
      <c r="G211" s="25"/>
      <c r="H211" s="40"/>
      <c r="I211" s="49"/>
      <c r="K211" s="36"/>
      <c r="L211" s="25"/>
      <c r="M211" s="25"/>
      <c r="N211" s="25"/>
      <c r="O211" s="25"/>
      <c r="P211" s="25"/>
      <c r="Q211" s="25"/>
      <c r="R211" s="25"/>
      <c r="S211" s="25"/>
      <c r="T211" s="25"/>
      <c r="U211" s="25"/>
      <c r="V211" s="25"/>
      <c r="W211" s="25"/>
    </row>
    <row r="212" spans="2:23" x14ac:dyDescent="0.25">
      <c r="B212" s="25"/>
      <c r="C212" s="25"/>
      <c r="D212" s="25"/>
      <c r="E212" s="25"/>
      <c r="F212" s="49"/>
      <c r="G212" s="25"/>
      <c r="H212" s="40"/>
      <c r="I212" s="49"/>
      <c r="K212" s="36"/>
      <c r="L212" s="25"/>
      <c r="M212" s="25"/>
      <c r="N212" s="25"/>
      <c r="O212" s="25"/>
      <c r="P212" s="25"/>
      <c r="Q212" s="25"/>
      <c r="R212" s="25"/>
      <c r="S212" s="25"/>
      <c r="T212" s="25"/>
      <c r="U212" s="25"/>
      <c r="V212" s="25"/>
      <c r="W212" s="25"/>
    </row>
    <row r="213" spans="2:23" x14ac:dyDescent="0.25">
      <c r="B213" s="25"/>
      <c r="C213" s="25"/>
      <c r="D213" s="25"/>
      <c r="E213" s="25"/>
      <c r="F213" s="49"/>
      <c r="G213" s="25"/>
      <c r="H213" s="40"/>
      <c r="I213" s="49"/>
      <c r="K213" s="36"/>
      <c r="L213" s="25"/>
      <c r="M213" s="25"/>
      <c r="N213" s="25"/>
      <c r="O213" s="25"/>
      <c r="P213" s="25"/>
      <c r="Q213" s="25"/>
      <c r="R213" s="25"/>
      <c r="S213" s="25"/>
      <c r="T213" s="25"/>
      <c r="U213" s="25"/>
      <c r="V213" s="25"/>
      <c r="W213" s="25"/>
    </row>
    <row r="214" spans="2:23" x14ac:dyDescent="0.25">
      <c r="B214" s="25"/>
      <c r="C214" s="25"/>
      <c r="D214" s="25"/>
      <c r="E214" s="25"/>
      <c r="F214" s="49"/>
      <c r="G214" s="25"/>
      <c r="H214" s="40"/>
      <c r="I214" s="49"/>
      <c r="K214" s="36"/>
      <c r="L214" s="25"/>
      <c r="M214" s="25"/>
      <c r="N214" s="25"/>
      <c r="O214" s="25"/>
      <c r="P214" s="25"/>
      <c r="Q214" s="25"/>
      <c r="R214" s="25"/>
      <c r="S214" s="25"/>
      <c r="T214" s="25"/>
      <c r="U214" s="25"/>
      <c r="V214" s="25"/>
      <c r="W214" s="25"/>
    </row>
    <row r="215" spans="2:23" x14ac:dyDescent="0.25">
      <c r="B215" s="25"/>
      <c r="C215" s="25"/>
      <c r="D215" s="25"/>
      <c r="E215" s="25"/>
      <c r="F215" s="49"/>
      <c r="G215" s="25"/>
      <c r="H215" s="40"/>
      <c r="I215" s="49"/>
      <c r="K215" s="36"/>
      <c r="L215" s="25"/>
      <c r="M215" s="25"/>
      <c r="N215" s="25"/>
      <c r="O215" s="25"/>
      <c r="P215" s="25"/>
      <c r="Q215" s="25"/>
      <c r="R215" s="25"/>
      <c r="S215" s="25"/>
      <c r="T215" s="25"/>
      <c r="U215" s="25"/>
      <c r="V215" s="25"/>
      <c r="W215" s="25"/>
    </row>
    <row r="216" spans="2:23" x14ac:dyDescent="0.25">
      <c r="B216" s="25"/>
      <c r="C216" s="25"/>
      <c r="D216" s="25"/>
      <c r="E216" s="25"/>
      <c r="F216" s="49"/>
      <c r="G216" s="25"/>
      <c r="H216" s="40"/>
      <c r="I216" s="49"/>
      <c r="K216" s="36"/>
      <c r="L216" s="25"/>
      <c r="M216" s="25"/>
      <c r="N216" s="25"/>
      <c r="O216" s="25"/>
      <c r="P216" s="25"/>
      <c r="Q216" s="25"/>
      <c r="R216" s="25"/>
      <c r="S216" s="25"/>
      <c r="T216" s="25"/>
      <c r="U216" s="25"/>
      <c r="V216" s="25"/>
      <c r="W216" s="25"/>
    </row>
    <row r="217" spans="2:23" x14ac:dyDescent="0.25">
      <c r="B217" s="25"/>
      <c r="C217" s="25"/>
      <c r="D217" s="25"/>
      <c r="E217" s="25"/>
      <c r="F217" s="49"/>
      <c r="G217" s="25"/>
      <c r="H217" s="40"/>
      <c r="I217" s="49"/>
      <c r="K217" s="36"/>
      <c r="L217" s="25"/>
      <c r="M217" s="25"/>
      <c r="N217" s="25"/>
      <c r="O217" s="25"/>
      <c r="P217" s="25"/>
      <c r="Q217" s="25"/>
      <c r="R217" s="25"/>
      <c r="S217" s="25"/>
      <c r="T217" s="25"/>
      <c r="U217" s="25"/>
      <c r="V217" s="25"/>
      <c r="W217" s="25"/>
    </row>
    <row r="218" spans="2:23" x14ac:dyDescent="0.25">
      <c r="B218" s="25"/>
      <c r="C218" s="25"/>
      <c r="D218" s="25"/>
      <c r="E218" s="25"/>
      <c r="F218" s="49"/>
      <c r="G218" s="25"/>
      <c r="H218" s="40"/>
      <c r="I218" s="49"/>
      <c r="K218" s="36"/>
      <c r="L218" s="25"/>
      <c r="M218" s="25"/>
      <c r="N218" s="25"/>
      <c r="O218" s="25"/>
      <c r="P218" s="25"/>
      <c r="Q218" s="25"/>
      <c r="R218" s="25"/>
      <c r="S218" s="25"/>
      <c r="T218" s="25"/>
      <c r="U218" s="25"/>
      <c r="V218" s="25"/>
      <c r="W218" s="25"/>
    </row>
    <row r="219" spans="2:23" x14ac:dyDescent="0.25">
      <c r="B219" s="25"/>
      <c r="C219" s="25"/>
      <c r="D219" s="25"/>
      <c r="E219" s="25"/>
      <c r="F219" s="49"/>
      <c r="G219" s="25"/>
      <c r="H219" s="40"/>
      <c r="I219" s="49"/>
      <c r="K219" s="36"/>
      <c r="L219" s="25"/>
      <c r="M219" s="25"/>
      <c r="N219" s="25"/>
      <c r="O219" s="25"/>
      <c r="P219" s="25"/>
      <c r="Q219" s="25"/>
      <c r="R219" s="25"/>
      <c r="S219" s="25"/>
      <c r="T219" s="25"/>
      <c r="U219" s="25"/>
      <c r="V219" s="25"/>
      <c r="W219" s="25"/>
    </row>
    <row r="220" spans="2:23" x14ac:dyDescent="0.25">
      <c r="B220" s="25"/>
      <c r="C220" s="25"/>
      <c r="D220" s="25"/>
      <c r="E220" s="25"/>
      <c r="F220" s="49"/>
      <c r="G220" s="25"/>
      <c r="H220" s="40"/>
      <c r="I220" s="49"/>
      <c r="K220" s="36"/>
      <c r="L220" s="25"/>
      <c r="M220" s="25"/>
      <c r="N220" s="25"/>
      <c r="O220" s="25"/>
      <c r="P220" s="25"/>
      <c r="Q220" s="25"/>
      <c r="R220" s="25"/>
      <c r="S220" s="25"/>
      <c r="T220" s="25"/>
      <c r="U220" s="25"/>
      <c r="V220" s="25"/>
      <c r="W220" s="25"/>
    </row>
    <row r="221" spans="2:23" x14ac:dyDescent="0.25">
      <c r="B221" s="25"/>
      <c r="C221" s="25"/>
      <c r="D221" s="25"/>
      <c r="E221" s="25"/>
      <c r="F221" s="49"/>
      <c r="G221" s="25"/>
      <c r="H221" s="40"/>
      <c r="I221" s="49"/>
      <c r="K221" s="36"/>
      <c r="L221" s="25"/>
      <c r="M221" s="25"/>
      <c r="N221" s="25"/>
      <c r="O221" s="25"/>
      <c r="P221" s="25"/>
      <c r="Q221" s="25"/>
      <c r="R221" s="25"/>
      <c r="S221" s="25"/>
      <c r="T221" s="25"/>
      <c r="U221" s="25"/>
      <c r="V221" s="25"/>
      <c r="W221" s="25"/>
    </row>
    <row r="222" spans="2:23" x14ac:dyDescent="0.25">
      <c r="B222" s="25"/>
      <c r="C222" s="25"/>
      <c r="D222" s="25"/>
      <c r="E222" s="25"/>
      <c r="F222" s="49"/>
      <c r="G222" s="25"/>
      <c r="H222" s="40"/>
      <c r="I222" s="49"/>
      <c r="K222" s="36"/>
      <c r="L222" s="25"/>
      <c r="M222" s="25"/>
      <c r="N222" s="25"/>
      <c r="O222" s="25"/>
      <c r="P222" s="25"/>
      <c r="Q222" s="25"/>
      <c r="R222" s="25"/>
      <c r="S222" s="25"/>
      <c r="T222" s="25"/>
      <c r="U222" s="25"/>
      <c r="V222" s="25"/>
      <c r="W222" s="25"/>
    </row>
    <row r="223" spans="2:23" x14ac:dyDescent="0.25">
      <c r="B223" s="25"/>
      <c r="C223" s="25"/>
      <c r="D223" s="25"/>
      <c r="E223" s="25"/>
      <c r="F223" s="49"/>
      <c r="G223" s="25"/>
      <c r="H223" s="40"/>
      <c r="I223" s="49"/>
      <c r="K223" s="36"/>
      <c r="L223" s="25"/>
      <c r="M223" s="25"/>
      <c r="N223" s="25"/>
      <c r="O223" s="25"/>
      <c r="P223" s="25"/>
      <c r="Q223" s="25"/>
      <c r="R223" s="25"/>
      <c r="S223" s="25"/>
      <c r="T223" s="25"/>
      <c r="U223" s="25"/>
      <c r="V223" s="25"/>
      <c r="W223" s="25"/>
    </row>
    <row r="224" spans="2:23" x14ac:dyDescent="0.25">
      <c r="B224" s="25"/>
      <c r="C224" s="25"/>
      <c r="D224" s="25"/>
      <c r="E224" s="25"/>
      <c r="F224" s="49"/>
      <c r="G224" s="25"/>
      <c r="H224" s="40"/>
      <c r="I224" s="49"/>
      <c r="K224" s="36"/>
      <c r="L224" s="25"/>
      <c r="M224" s="25"/>
      <c r="N224" s="25"/>
      <c r="O224" s="25"/>
      <c r="P224" s="25"/>
      <c r="Q224" s="25"/>
      <c r="R224" s="25"/>
      <c r="S224" s="25"/>
      <c r="T224" s="25"/>
      <c r="U224" s="25"/>
      <c r="V224" s="25"/>
      <c r="W224" s="25"/>
    </row>
    <row r="225" spans="2:23" x14ac:dyDescent="0.25">
      <c r="B225" s="25"/>
      <c r="C225" s="25"/>
      <c r="D225" s="25"/>
      <c r="E225" s="25"/>
      <c r="F225" s="49"/>
      <c r="G225" s="25"/>
      <c r="H225" s="40"/>
      <c r="I225" s="49"/>
      <c r="K225" s="36"/>
      <c r="L225" s="25"/>
      <c r="M225" s="25"/>
      <c r="N225" s="25"/>
      <c r="O225" s="25"/>
      <c r="P225" s="25"/>
      <c r="Q225" s="25"/>
      <c r="R225" s="25"/>
      <c r="S225" s="25"/>
      <c r="T225" s="25"/>
      <c r="U225" s="25"/>
      <c r="V225" s="25"/>
      <c r="W225" s="25"/>
    </row>
    <row r="226" spans="2:23" x14ac:dyDescent="0.25">
      <c r="B226" s="25"/>
      <c r="C226" s="25"/>
      <c r="D226" s="25"/>
      <c r="E226" s="25"/>
      <c r="F226" s="49"/>
      <c r="G226" s="25"/>
      <c r="H226" s="40"/>
      <c r="I226" s="49"/>
      <c r="K226" s="36"/>
      <c r="L226" s="25"/>
      <c r="M226" s="25"/>
      <c r="N226" s="25"/>
      <c r="O226" s="25"/>
      <c r="P226" s="25"/>
      <c r="Q226" s="25"/>
      <c r="R226" s="25"/>
      <c r="S226" s="25"/>
      <c r="T226" s="25"/>
      <c r="U226" s="25"/>
      <c r="V226" s="25"/>
      <c r="W226" s="25"/>
    </row>
    <row r="227" spans="2:23" x14ac:dyDescent="0.25">
      <c r="B227" s="25"/>
      <c r="C227" s="25"/>
      <c r="D227" s="25"/>
      <c r="E227" s="25"/>
      <c r="F227" s="49"/>
      <c r="G227" s="25"/>
      <c r="H227" s="40"/>
      <c r="I227" s="49"/>
      <c r="K227" s="36"/>
      <c r="L227" s="25"/>
      <c r="M227" s="25"/>
      <c r="N227" s="25"/>
      <c r="O227" s="25"/>
      <c r="P227" s="25"/>
      <c r="Q227" s="25"/>
      <c r="R227" s="25"/>
      <c r="S227" s="25"/>
      <c r="T227" s="25"/>
      <c r="U227" s="25"/>
      <c r="V227" s="25"/>
      <c r="W227" s="25"/>
    </row>
    <row r="228" spans="2:23" x14ac:dyDescent="0.25">
      <c r="B228" s="25"/>
      <c r="C228" s="25"/>
      <c r="D228" s="25"/>
      <c r="E228" s="25"/>
      <c r="F228" s="49"/>
      <c r="G228" s="25"/>
      <c r="H228" s="40"/>
      <c r="I228" s="49"/>
      <c r="K228" s="36"/>
      <c r="L228" s="25"/>
      <c r="M228" s="25"/>
      <c r="N228" s="25"/>
      <c r="O228" s="25"/>
      <c r="P228" s="25"/>
      <c r="Q228" s="25"/>
      <c r="R228" s="25"/>
      <c r="S228" s="25"/>
      <c r="T228" s="25"/>
      <c r="U228" s="25"/>
      <c r="V228" s="25"/>
      <c r="W228" s="25"/>
    </row>
    <row r="229" spans="2:23" x14ac:dyDescent="0.25">
      <c r="B229" s="25"/>
      <c r="C229" s="25"/>
      <c r="D229" s="25"/>
      <c r="E229" s="25"/>
      <c r="F229" s="49"/>
      <c r="G229" s="25"/>
      <c r="H229" s="40"/>
      <c r="I229" s="49"/>
      <c r="K229" s="36"/>
      <c r="L229" s="25"/>
      <c r="M229" s="25"/>
      <c r="N229" s="25"/>
      <c r="O229" s="25"/>
      <c r="P229" s="25"/>
      <c r="Q229" s="25"/>
      <c r="R229" s="25"/>
      <c r="S229" s="25"/>
      <c r="T229" s="25"/>
      <c r="U229" s="25"/>
      <c r="V229" s="25"/>
      <c r="W229" s="25"/>
    </row>
    <row r="230" spans="2:23" x14ac:dyDescent="0.25">
      <c r="B230" s="25"/>
      <c r="C230" s="25"/>
      <c r="D230" s="25"/>
      <c r="E230" s="25"/>
      <c r="F230" s="49"/>
      <c r="G230" s="25"/>
      <c r="H230" s="40"/>
      <c r="I230" s="49"/>
      <c r="K230" s="36"/>
      <c r="L230" s="25"/>
      <c r="M230" s="25"/>
      <c r="N230" s="25"/>
      <c r="O230" s="25"/>
      <c r="P230" s="25"/>
      <c r="Q230" s="25"/>
      <c r="R230" s="25"/>
      <c r="S230" s="25"/>
      <c r="T230" s="25"/>
      <c r="U230" s="25"/>
      <c r="V230" s="25"/>
      <c r="W230" s="25"/>
    </row>
    <row r="231" spans="2:23" x14ac:dyDescent="0.25">
      <c r="B231" s="25"/>
      <c r="C231" s="25"/>
      <c r="D231" s="25"/>
      <c r="E231" s="25"/>
      <c r="F231" s="49"/>
      <c r="G231" s="25"/>
      <c r="H231" s="40"/>
      <c r="I231" s="49"/>
      <c r="K231" s="36"/>
      <c r="L231" s="25"/>
      <c r="M231" s="25"/>
      <c r="N231" s="25"/>
      <c r="O231" s="25"/>
      <c r="P231" s="25"/>
      <c r="Q231" s="25"/>
      <c r="R231" s="25"/>
      <c r="S231" s="25"/>
      <c r="T231" s="25"/>
      <c r="U231" s="25"/>
      <c r="V231" s="25"/>
      <c r="W231" s="25"/>
    </row>
    <row r="232" spans="2:23" x14ac:dyDescent="0.25">
      <c r="B232" s="25"/>
      <c r="C232" s="25"/>
      <c r="D232" s="25"/>
      <c r="E232" s="25"/>
      <c r="F232" s="49"/>
      <c r="G232" s="25"/>
      <c r="H232" s="40"/>
      <c r="I232" s="49"/>
      <c r="K232" s="36"/>
      <c r="L232" s="25"/>
      <c r="M232" s="25"/>
      <c r="N232" s="25"/>
      <c r="O232" s="25"/>
      <c r="P232" s="25"/>
      <c r="Q232" s="25"/>
      <c r="R232" s="25"/>
      <c r="S232" s="25"/>
      <c r="T232" s="25"/>
      <c r="U232" s="25"/>
      <c r="V232" s="25"/>
      <c r="W232" s="25"/>
    </row>
    <row r="233" spans="2:23" x14ac:dyDescent="0.25">
      <c r="B233" s="25"/>
      <c r="C233" s="25"/>
      <c r="D233" s="25"/>
      <c r="E233" s="25"/>
      <c r="F233" s="49"/>
      <c r="G233" s="25"/>
      <c r="H233" s="40"/>
      <c r="I233" s="49"/>
      <c r="K233" s="36"/>
      <c r="L233" s="25"/>
      <c r="M233" s="25"/>
      <c r="N233" s="25"/>
      <c r="O233" s="25"/>
      <c r="P233" s="25"/>
      <c r="Q233" s="25"/>
      <c r="R233" s="25"/>
      <c r="S233" s="25"/>
      <c r="T233" s="25"/>
      <c r="U233" s="25"/>
      <c r="V233" s="25"/>
      <c r="W233" s="25"/>
    </row>
    <row r="234" spans="2:23" x14ac:dyDescent="0.25">
      <c r="B234" s="25"/>
      <c r="C234" s="25"/>
      <c r="D234" s="25"/>
      <c r="E234" s="25"/>
      <c r="F234" s="49"/>
      <c r="G234" s="25"/>
      <c r="H234" s="40"/>
      <c r="I234" s="49"/>
      <c r="K234" s="36"/>
      <c r="L234" s="25"/>
      <c r="M234" s="25"/>
      <c r="N234" s="25"/>
      <c r="O234" s="25"/>
      <c r="P234" s="25"/>
      <c r="Q234" s="25"/>
      <c r="R234" s="25"/>
      <c r="S234" s="25"/>
      <c r="T234" s="25"/>
      <c r="U234" s="25"/>
      <c r="V234" s="25"/>
      <c r="W234" s="25"/>
    </row>
    <row r="235" spans="2:23" x14ac:dyDescent="0.25">
      <c r="B235" s="25"/>
      <c r="C235" s="25"/>
      <c r="D235" s="25"/>
      <c r="E235" s="25"/>
      <c r="F235" s="49"/>
      <c r="G235" s="25"/>
      <c r="H235" s="40"/>
      <c r="I235" s="49"/>
      <c r="K235" s="36"/>
      <c r="L235" s="25"/>
      <c r="M235" s="25"/>
      <c r="N235" s="25"/>
      <c r="O235" s="25"/>
      <c r="P235" s="25"/>
      <c r="Q235" s="25"/>
      <c r="R235" s="25"/>
      <c r="S235" s="25"/>
      <c r="T235" s="25"/>
      <c r="U235" s="25"/>
      <c r="V235" s="25"/>
      <c r="W235" s="25"/>
    </row>
    <row r="236" spans="2:23" x14ac:dyDescent="0.25">
      <c r="B236" s="25"/>
      <c r="C236" s="25"/>
      <c r="D236" s="25"/>
      <c r="E236" s="25"/>
      <c r="F236" s="49"/>
      <c r="G236" s="25"/>
      <c r="H236" s="40"/>
      <c r="I236" s="49"/>
      <c r="K236" s="36"/>
      <c r="L236" s="25"/>
      <c r="M236" s="25"/>
      <c r="N236" s="25"/>
      <c r="O236" s="25"/>
      <c r="P236" s="25"/>
      <c r="Q236" s="25"/>
      <c r="R236" s="25"/>
      <c r="S236" s="25"/>
      <c r="T236" s="25"/>
      <c r="U236" s="25"/>
      <c r="V236" s="25"/>
      <c r="W236" s="25"/>
    </row>
    <row r="237" spans="2:23" x14ac:dyDescent="0.25">
      <c r="B237" s="25"/>
      <c r="C237" s="25"/>
      <c r="D237" s="25"/>
      <c r="E237" s="25"/>
      <c r="F237" s="49"/>
      <c r="G237" s="25"/>
      <c r="H237" s="40"/>
      <c r="I237" s="49"/>
      <c r="K237" s="36"/>
      <c r="L237" s="25"/>
      <c r="M237" s="25"/>
      <c r="N237" s="25"/>
      <c r="O237" s="25"/>
      <c r="P237" s="25"/>
      <c r="Q237" s="25"/>
      <c r="R237" s="25"/>
      <c r="S237" s="25"/>
      <c r="T237" s="25"/>
      <c r="U237" s="25"/>
      <c r="V237" s="25"/>
      <c r="W237" s="25"/>
    </row>
    <row r="238" spans="2:23" x14ac:dyDescent="0.25">
      <c r="B238" s="25"/>
      <c r="C238" s="25"/>
      <c r="D238" s="25"/>
      <c r="E238" s="25"/>
      <c r="F238" s="49"/>
      <c r="G238" s="25"/>
      <c r="H238" s="40"/>
      <c r="I238" s="49"/>
      <c r="K238" s="36"/>
      <c r="L238" s="25"/>
      <c r="M238" s="25"/>
      <c r="N238" s="25"/>
      <c r="O238" s="25"/>
      <c r="P238" s="25"/>
      <c r="Q238" s="25"/>
      <c r="R238" s="25"/>
      <c r="S238" s="25"/>
      <c r="T238" s="25"/>
      <c r="U238" s="25"/>
      <c r="V238" s="25"/>
      <c r="W238" s="25"/>
    </row>
    <row r="239" spans="2:23" x14ac:dyDescent="0.25">
      <c r="B239" s="25"/>
      <c r="C239" s="25"/>
      <c r="D239" s="25"/>
      <c r="E239" s="25"/>
      <c r="F239" s="49"/>
      <c r="G239" s="25"/>
      <c r="H239" s="40"/>
      <c r="I239" s="49"/>
      <c r="K239" s="36"/>
      <c r="L239" s="25"/>
      <c r="M239" s="25"/>
      <c r="N239" s="25"/>
      <c r="O239" s="25"/>
      <c r="P239" s="25"/>
      <c r="Q239" s="25"/>
      <c r="R239" s="25"/>
      <c r="S239" s="25"/>
      <c r="T239" s="25"/>
      <c r="U239" s="25"/>
      <c r="V239" s="25"/>
      <c r="W239" s="25"/>
    </row>
    <row r="240" spans="2:23" x14ac:dyDescent="0.25">
      <c r="B240" s="25"/>
      <c r="C240" s="25"/>
      <c r="D240" s="25"/>
      <c r="E240" s="25"/>
      <c r="F240" s="49"/>
      <c r="G240" s="25"/>
      <c r="H240" s="40"/>
      <c r="I240" s="49"/>
      <c r="K240" s="36"/>
      <c r="L240" s="25"/>
      <c r="M240" s="25"/>
      <c r="N240" s="25"/>
      <c r="O240" s="25"/>
      <c r="P240" s="25"/>
      <c r="Q240" s="25"/>
      <c r="R240" s="25"/>
      <c r="S240" s="25"/>
      <c r="T240" s="25"/>
      <c r="U240" s="25"/>
      <c r="V240" s="25"/>
      <c r="W240" s="25"/>
    </row>
    <row r="241" spans="2:23" x14ac:dyDescent="0.25">
      <c r="B241" s="25"/>
      <c r="C241" s="25"/>
      <c r="D241" s="25"/>
      <c r="E241" s="25"/>
      <c r="F241" s="49"/>
      <c r="G241" s="25"/>
      <c r="H241" s="40"/>
      <c r="I241" s="49"/>
      <c r="K241" s="36"/>
      <c r="L241" s="25"/>
      <c r="M241" s="25"/>
      <c r="N241" s="25"/>
      <c r="O241" s="25"/>
      <c r="P241" s="25"/>
      <c r="Q241" s="25"/>
      <c r="R241" s="25"/>
      <c r="S241" s="25"/>
      <c r="T241" s="25"/>
      <c r="U241" s="25"/>
      <c r="V241" s="25"/>
      <c r="W241" s="25"/>
    </row>
    <row r="242" spans="2:23" x14ac:dyDescent="0.25">
      <c r="B242" s="25"/>
      <c r="C242" s="25"/>
      <c r="D242" s="25"/>
      <c r="E242" s="25"/>
      <c r="F242" s="49"/>
      <c r="G242" s="25"/>
      <c r="H242" s="40"/>
      <c r="I242" s="49"/>
      <c r="K242" s="36"/>
      <c r="L242" s="25"/>
      <c r="M242" s="25"/>
      <c r="N242" s="25"/>
      <c r="O242" s="25"/>
      <c r="P242" s="25"/>
      <c r="Q242" s="25"/>
      <c r="R242" s="25"/>
      <c r="S242" s="25"/>
      <c r="T242" s="25"/>
      <c r="U242" s="25"/>
      <c r="V242" s="25"/>
      <c r="W242" s="25"/>
    </row>
    <row r="243" spans="2:23" x14ac:dyDescent="0.25">
      <c r="B243" s="25"/>
      <c r="C243" s="25"/>
      <c r="D243" s="25"/>
      <c r="E243" s="25"/>
      <c r="F243" s="49"/>
      <c r="G243" s="25"/>
      <c r="H243" s="40"/>
      <c r="I243" s="49"/>
      <c r="K243" s="36"/>
      <c r="L243" s="25"/>
      <c r="M243" s="25"/>
      <c r="N243" s="25"/>
      <c r="O243" s="25"/>
      <c r="P243" s="25"/>
      <c r="Q243" s="25"/>
      <c r="R243" s="25"/>
      <c r="S243" s="25"/>
      <c r="T243" s="25"/>
      <c r="U243" s="25"/>
      <c r="V243" s="25"/>
      <c r="W243" s="25"/>
    </row>
    <row r="244" spans="2:23" x14ac:dyDescent="0.25">
      <c r="B244" s="25"/>
      <c r="C244" s="25"/>
      <c r="D244" s="25"/>
      <c r="E244" s="25"/>
      <c r="F244" s="49"/>
      <c r="G244" s="25"/>
      <c r="H244" s="40"/>
      <c r="I244" s="49"/>
      <c r="K244" s="36"/>
      <c r="L244" s="25"/>
      <c r="M244" s="25"/>
      <c r="N244" s="25"/>
      <c r="O244" s="25"/>
      <c r="P244" s="25"/>
      <c r="Q244" s="25"/>
      <c r="R244" s="25"/>
      <c r="S244" s="25"/>
      <c r="T244" s="25"/>
      <c r="U244" s="25"/>
      <c r="V244" s="25"/>
      <c r="W244" s="25"/>
    </row>
    <row r="245" spans="2:23" x14ac:dyDescent="0.25">
      <c r="B245" s="25"/>
      <c r="C245" s="25"/>
      <c r="D245" s="25"/>
      <c r="E245" s="25"/>
      <c r="F245" s="49"/>
      <c r="G245" s="25"/>
      <c r="H245" s="40"/>
      <c r="I245" s="49"/>
      <c r="K245" s="36"/>
      <c r="L245" s="25"/>
      <c r="M245" s="25"/>
      <c r="N245" s="25"/>
      <c r="O245" s="25"/>
      <c r="P245" s="25"/>
      <c r="Q245" s="25"/>
      <c r="R245" s="25"/>
      <c r="S245" s="25"/>
      <c r="T245" s="25"/>
      <c r="U245" s="25"/>
      <c r="V245" s="25"/>
      <c r="W245" s="25"/>
    </row>
    <row r="246" spans="2:23" x14ac:dyDescent="0.25">
      <c r="B246" s="25"/>
      <c r="C246" s="25"/>
      <c r="D246" s="25"/>
      <c r="E246" s="25"/>
      <c r="F246" s="49"/>
      <c r="G246" s="25"/>
      <c r="H246" s="40"/>
      <c r="I246" s="49"/>
      <c r="K246" s="36"/>
      <c r="L246" s="25"/>
      <c r="M246" s="25"/>
      <c r="N246" s="25"/>
      <c r="O246" s="25"/>
      <c r="P246" s="25"/>
      <c r="Q246" s="25"/>
      <c r="R246" s="25"/>
      <c r="S246" s="25"/>
      <c r="T246" s="25"/>
      <c r="U246" s="25"/>
      <c r="V246" s="25"/>
      <c r="W246" s="25"/>
    </row>
    <row r="247" spans="2:23" x14ac:dyDescent="0.25">
      <c r="B247" s="25"/>
      <c r="C247" s="25"/>
      <c r="D247" s="25"/>
      <c r="E247" s="25"/>
      <c r="F247" s="49"/>
      <c r="G247" s="25"/>
      <c r="H247" s="40"/>
      <c r="I247" s="49"/>
      <c r="K247" s="36"/>
      <c r="L247" s="25"/>
      <c r="M247" s="25"/>
      <c r="N247" s="25"/>
      <c r="O247" s="25"/>
      <c r="P247" s="25"/>
      <c r="Q247" s="25"/>
      <c r="R247" s="25"/>
      <c r="S247" s="25"/>
      <c r="T247" s="25"/>
      <c r="U247" s="25"/>
      <c r="V247" s="25"/>
      <c r="W247" s="25"/>
    </row>
    <row r="248" spans="2:23" x14ac:dyDescent="0.25">
      <c r="B248" s="25"/>
      <c r="C248" s="25"/>
      <c r="D248" s="25"/>
      <c r="E248" s="25"/>
      <c r="F248" s="49"/>
      <c r="G248" s="25"/>
      <c r="H248" s="40"/>
      <c r="I248" s="49"/>
      <c r="K248" s="36"/>
      <c r="L248" s="25"/>
      <c r="M248" s="25"/>
      <c r="N248" s="25"/>
      <c r="O248" s="25"/>
      <c r="P248" s="25"/>
      <c r="Q248" s="25"/>
      <c r="R248" s="25"/>
      <c r="S248" s="25"/>
      <c r="T248" s="25"/>
      <c r="U248" s="25"/>
      <c r="V248" s="25"/>
      <c r="W248" s="25"/>
    </row>
    <row r="249" spans="2:23" x14ac:dyDescent="0.25">
      <c r="B249" s="25"/>
      <c r="C249" s="25"/>
      <c r="D249" s="25"/>
      <c r="E249" s="25"/>
      <c r="F249" s="49"/>
      <c r="G249" s="25"/>
      <c r="H249" s="40"/>
      <c r="I249" s="49"/>
      <c r="K249" s="36"/>
      <c r="L249" s="25"/>
      <c r="M249" s="25"/>
      <c r="N249" s="25"/>
      <c r="O249" s="25"/>
      <c r="P249" s="25"/>
      <c r="Q249" s="25"/>
      <c r="R249" s="25"/>
      <c r="S249" s="25"/>
      <c r="T249" s="25"/>
      <c r="U249" s="25"/>
      <c r="V249" s="25"/>
      <c r="W249" s="25"/>
    </row>
    <row r="250" spans="2:23" x14ac:dyDescent="0.25">
      <c r="B250" s="25"/>
      <c r="C250" s="25"/>
      <c r="D250" s="25"/>
      <c r="E250" s="25"/>
      <c r="F250" s="49"/>
      <c r="G250" s="25"/>
      <c r="H250" s="40"/>
      <c r="I250" s="49"/>
      <c r="K250" s="36"/>
      <c r="L250" s="25"/>
      <c r="M250" s="25"/>
      <c r="N250" s="25"/>
      <c r="O250" s="25"/>
      <c r="P250" s="25"/>
      <c r="Q250" s="25"/>
      <c r="R250" s="25"/>
      <c r="S250" s="25"/>
      <c r="T250" s="25"/>
      <c r="U250" s="25"/>
      <c r="V250" s="25"/>
      <c r="W250" s="25"/>
    </row>
    <row r="251" spans="2:23" x14ac:dyDescent="0.25">
      <c r="B251" s="25"/>
      <c r="C251" s="25"/>
      <c r="D251" s="25"/>
      <c r="E251" s="25"/>
      <c r="F251" s="49"/>
      <c r="G251" s="25"/>
      <c r="H251" s="40"/>
      <c r="I251" s="49"/>
      <c r="K251" s="36"/>
      <c r="L251" s="25"/>
      <c r="M251" s="25"/>
      <c r="N251" s="25"/>
      <c r="O251" s="25"/>
      <c r="P251" s="25"/>
      <c r="Q251" s="25"/>
      <c r="R251" s="25"/>
      <c r="S251" s="25"/>
      <c r="T251" s="25"/>
      <c r="U251" s="25"/>
      <c r="V251" s="25"/>
      <c r="W251" s="25"/>
    </row>
    <row r="252" spans="2:23" x14ac:dyDescent="0.25">
      <c r="B252" s="25"/>
      <c r="C252" s="25"/>
      <c r="D252" s="25"/>
      <c r="E252" s="25"/>
      <c r="F252" s="49"/>
      <c r="G252" s="25"/>
      <c r="H252" s="40"/>
      <c r="I252" s="49"/>
      <c r="K252" s="36"/>
      <c r="L252" s="25"/>
      <c r="M252" s="25"/>
      <c r="N252" s="25"/>
      <c r="O252" s="25"/>
      <c r="P252" s="25"/>
      <c r="Q252" s="25"/>
      <c r="R252" s="25"/>
      <c r="S252" s="25"/>
      <c r="T252" s="25"/>
      <c r="U252" s="25"/>
      <c r="V252" s="25"/>
      <c r="W252" s="25"/>
    </row>
    <row r="253" spans="2:23" x14ac:dyDescent="0.25">
      <c r="B253" s="25"/>
      <c r="C253" s="25"/>
      <c r="D253" s="25"/>
      <c r="E253" s="25"/>
      <c r="F253" s="49"/>
      <c r="G253" s="25"/>
      <c r="H253" s="40"/>
      <c r="I253" s="49"/>
      <c r="K253" s="36"/>
      <c r="L253" s="25"/>
      <c r="M253" s="25"/>
      <c r="N253" s="25"/>
      <c r="O253" s="25"/>
      <c r="P253" s="25"/>
      <c r="Q253" s="25"/>
      <c r="R253" s="25"/>
      <c r="S253" s="25"/>
      <c r="T253" s="25"/>
      <c r="U253" s="25"/>
      <c r="V253" s="25"/>
      <c r="W253" s="25"/>
    </row>
    <row r="254" spans="2:23" x14ac:dyDescent="0.25">
      <c r="B254" s="25"/>
      <c r="C254" s="25"/>
      <c r="D254" s="25"/>
      <c r="E254" s="25"/>
      <c r="F254" s="49"/>
      <c r="G254" s="25"/>
      <c r="H254" s="40"/>
      <c r="I254" s="49"/>
      <c r="K254" s="36"/>
      <c r="L254" s="25"/>
      <c r="M254" s="25"/>
      <c r="N254" s="25"/>
      <c r="O254" s="25"/>
      <c r="P254" s="25"/>
      <c r="Q254" s="25"/>
      <c r="R254" s="25"/>
      <c r="S254" s="25"/>
      <c r="T254" s="25"/>
      <c r="U254" s="25"/>
      <c r="V254" s="25"/>
      <c r="W254" s="25"/>
    </row>
    <row r="255" spans="2:23" x14ac:dyDescent="0.25">
      <c r="B255" s="25"/>
      <c r="C255" s="25"/>
      <c r="D255" s="25"/>
      <c r="E255" s="25"/>
      <c r="F255" s="49"/>
      <c r="G255" s="25"/>
      <c r="H255" s="40"/>
      <c r="I255" s="49"/>
      <c r="K255" s="36"/>
      <c r="L255" s="25"/>
      <c r="M255" s="25"/>
      <c r="N255" s="25"/>
      <c r="O255" s="25"/>
      <c r="P255" s="25"/>
      <c r="Q255" s="25"/>
      <c r="R255" s="25"/>
      <c r="S255" s="25"/>
      <c r="T255" s="25"/>
      <c r="U255" s="25"/>
      <c r="V255" s="25"/>
      <c r="W255" s="25"/>
    </row>
    <row r="256" spans="2:23" x14ac:dyDescent="0.25">
      <c r="B256" s="25"/>
      <c r="C256" s="25"/>
      <c r="D256" s="25"/>
      <c r="E256" s="25"/>
      <c r="F256" s="49"/>
      <c r="G256" s="25"/>
      <c r="H256" s="40"/>
      <c r="I256" s="49"/>
      <c r="K256" s="36"/>
      <c r="L256" s="25"/>
      <c r="M256" s="25"/>
      <c r="N256" s="25"/>
      <c r="O256" s="25"/>
      <c r="P256" s="25"/>
      <c r="Q256" s="25"/>
      <c r="R256" s="25"/>
      <c r="S256" s="25"/>
      <c r="T256" s="25"/>
      <c r="U256" s="25"/>
      <c r="V256" s="25"/>
      <c r="W256" s="25"/>
    </row>
    <row r="257" spans="2:23" x14ac:dyDescent="0.25">
      <c r="B257" s="25"/>
      <c r="C257" s="25"/>
      <c r="D257" s="25"/>
      <c r="E257" s="25"/>
      <c r="F257" s="49"/>
      <c r="G257" s="25"/>
      <c r="H257" s="40"/>
      <c r="I257" s="49"/>
      <c r="K257" s="36"/>
      <c r="L257" s="25"/>
      <c r="M257" s="25"/>
      <c r="N257" s="25"/>
      <c r="O257" s="25"/>
      <c r="P257" s="25"/>
      <c r="Q257" s="25"/>
      <c r="R257" s="25"/>
      <c r="S257" s="25"/>
      <c r="T257" s="25"/>
      <c r="U257" s="25"/>
      <c r="V257" s="25"/>
      <c r="W257" s="25"/>
    </row>
    <row r="258" spans="2:23" x14ac:dyDescent="0.25">
      <c r="B258" s="25"/>
      <c r="C258" s="25"/>
      <c r="D258" s="25"/>
      <c r="E258" s="25"/>
      <c r="F258" s="49"/>
      <c r="G258" s="25"/>
      <c r="H258" s="40"/>
      <c r="I258" s="49"/>
      <c r="K258" s="36"/>
      <c r="L258" s="25"/>
      <c r="M258" s="25"/>
      <c r="N258" s="25"/>
      <c r="O258" s="25"/>
      <c r="P258" s="25"/>
      <c r="Q258" s="25"/>
      <c r="R258" s="25"/>
      <c r="S258" s="25"/>
      <c r="T258" s="25"/>
      <c r="U258" s="25"/>
      <c r="V258" s="25"/>
      <c r="W258" s="25"/>
    </row>
    <row r="259" spans="2:23" x14ac:dyDescent="0.25">
      <c r="B259" s="25"/>
      <c r="C259" s="25"/>
      <c r="D259" s="25"/>
      <c r="E259" s="25"/>
      <c r="F259" s="49"/>
      <c r="G259" s="25"/>
      <c r="H259" s="40"/>
      <c r="I259" s="49"/>
      <c r="K259" s="36"/>
      <c r="L259" s="25"/>
      <c r="M259" s="25"/>
      <c r="N259" s="25"/>
      <c r="O259" s="25"/>
      <c r="P259" s="25"/>
      <c r="Q259" s="25"/>
      <c r="R259" s="25"/>
      <c r="S259" s="25"/>
      <c r="T259" s="25"/>
      <c r="U259" s="25"/>
      <c r="V259" s="25"/>
      <c r="W259" s="25"/>
    </row>
    <row r="260" spans="2:23" x14ac:dyDescent="0.25">
      <c r="B260" s="25"/>
      <c r="C260" s="25"/>
      <c r="D260" s="25"/>
      <c r="E260" s="25"/>
      <c r="F260" s="49"/>
      <c r="G260" s="25"/>
      <c r="H260" s="40"/>
      <c r="I260" s="49"/>
      <c r="K260" s="36"/>
      <c r="L260" s="25"/>
      <c r="M260" s="25"/>
      <c r="N260" s="25"/>
      <c r="O260" s="25"/>
      <c r="P260" s="25"/>
      <c r="Q260" s="25"/>
      <c r="R260" s="25"/>
      <c r="S260" s="25"/>
      <c r="T260" s="25"/>
      <c r="U260" s="25"/>
      <c r="V260" s="25"/>
      <c r="W260" s="25"/>
    </row>
    <row r="261" spans="2:23" x14ac:dyDescent="0.25">
      <c r="B261" s="25"/>
      <c r="C261" s="25"/>
      <c r="D261" s="25"/>
      <c r="E261" s="25"/>
      <c r="F261" s="49"/>
      <c r="G261" s="25"/>
      <c r="H261" s="40"/>
      <c r="I261" s="49"/>
      <c r="K261" s="36"/>
      <c r="L261" s="25"/>
      <c r="M261" s="25"/>
      <c r="N261" s="25"/>
      <c r="O261" s="25"/>
      <c r="P261" s="25"/>
      <c r="Q261" s="25"/>
      <c r="R261" s="25"/>
      <c r="S261" s="25"/>
      <c r="T261" s="25"/>
      <c r="U261" s="25"/>
      <c r="V261" s="25"/>
      <c r="W261" s="25"/>
    </row>
    <row r="262" spans="2:23" x14ac:dyDescent="0.25">
      <c r="B262" s="25"/>
      <c r="C262" s="25"/>
      <c r="D262" s="25"/>
      <c r="E262" s="25"/>
      <c r="F262" s="49"/>
      <c r="G262" s="25"/>
      <c r="H262" s="40"/>
      <c r="I262" s="49"/>
      <c r="K262" s="36"/>
      <c r="L262" s="25"/>
      <c r="M262" s="25"/>
      <c r="N262" s="25"/>
      <c r="O262" s="25"/>
      <c r="P262" s="25"/>
      <c r="Q262" s="25"/>
      <c r="R262" s="25"/>
      <c r="S262" s="25"/>
      <c r="T262" s="25"/>
      <c r="U262" s="25"/>
      <c r="V262" s="25"/>
      <c r="W262" s="25"/>
    </row>
    <row r="263" spans="2:23" x14ac:dyDescent="0.25">
      <c r="B263" s="25"/>
      <c r="C263" s="25"/>
      <c r="D263" s="25"/>
      <c r="E263" s="25"/>
      <c r="F263" s="49"/>
      <c r="G263" s="25"/>
      <c r="H263" s="40"/>
      <c r="I263" s="49"/>
      <c r="K263" s="36"/>
      <c r="L263" s="25"/>
      <c r="M263" s="25"/>
      <c r="N263" s="25"/>
      <c r="O263" s="25"/>
      <c r="P263" s="25"/>
      <c r="Q263" s="25"/>
      <c r="R263" s="25"/>
      <c r="S263" s="25"/>
      <c r="T263" s="25"/>
      <c r="U263" s="25"/>
      <c r="V263" s="25"/>
      <c r="W263" s="25"/>
    </row>
    <row r="264" spans="2:23" x14ac:dyDescent="0.25">
      <c r="B264" s="25"/>
      <c r="C264" s="25"/>
      <c r="D264" s="25"/>
      <c r="E264" s="25"/>
      <c r="F264" s="49"/>
      <c r="G264" s="25"/>
      <c r="H264" s="40"/>
      <c r="I264" s="49"/>
      <c r="K264" s="36"/>
      <c r="L264" s="25"/>
      <c r="M264" s="25"/>
      <c r="N264" s="25"/>
      <c r="O264" s="25"/>
      <c r="P264" s="25"/>
      <c r="Q264" s="25"/>
      <c r="R264" s="25"/>
      <c r="S264" s="25"/>
      <c r="T264" s="25"/>
      <c r="U264" s="25"/>
      <c r="V264" s="25"/>
      <c r="W264" s="25"/>
    </row>
    <row r="265" spans="2:23" x14ac:dyDescent="0.25">
      <c r="B265" s="25"/>
      <c r="C265" s="25"/>
      <c r="D265" s="25"/>
      <c r="E265" s="25"/>
      <c r="F265" s="49"/>
      <c r="G265" s="25"/>
      <c r="H265" s="40"/>
      <c r="I265" s="49"/>
      <c r="K265" s="36"/>
      <c r="L265" s="25"/>
      <c r="M265" s="25"/>
      <c r="N265" s="25"/>
      <c r="O265" s="25"/>
      <c r="P265" s="25"/>
      <c r="Q265" s="25"/>
      <c r="R265" s="25"/>
      <c r="S265" s="25"/>
      <c r="T265" s="25"/>
      <c r="U265" s="25"/>
      <c r="V265" s="25"/>
      <c r="W265" s="25"/>
    </row>
    <row r="266" spans="2:23" x14ac:dyDescent="0.25">
      <c r="B266" s="25"/>
      <c r="C266" s="25"/>
      <c r="D266" s="25"/>
      <c r="E266" s="25"/>
      <c r="F266" s="49"/>
      <c r="G266" s="25"/>
      <c r="H266" s="40"/>
      <c r="I266" s="49"/>
      <c r="K266" s="36"/>
      <c r="L266" s="25"/>
      <c r="M266" s="25"/>
      <c r="N266" s="25"/>
      <c r="O266" s="25"/>
      <c r="P266" s="25"/>
      <c r="Q266" s="25"/>
      <c r="R266" s="25"/>
      <c r="S266" s="25"/>
      <c r="T266" s="25"/>
      <c r="U266" s="25"/>
      <c r="V266" s="25"/>
      <c r="W266" s="25"/>
    </row>
    <row r="267" spans="2:23" x14ac:dyDescent="0.25">
      <c r="B267" s="25"/>
      <c r="C267" s="25"/>
      <c r="D267" s="25"/>
      <c r="E267" s="25"/>
      <c r="F267" s="49"/>
      <c r="G267" s="25"/>
      <c r="H267" s="40"/>
      <c r="I267" s="49"/>
      <c r="K267" s="36"/>
      <c r="L267" s="25"/>
      <c r="M267" s="25"/>
      <c r="N267" s="25"/>
      <c r="O267" s="25"/>
      <c r="P267" s="25"/>
      <c r="Q267" s="25"/>
      <c r="R267" s="25"/>
      <c r="S267" s="25"/>
      <c r="T267" s="25"/>
      <c r="U267" s="25"/>
      <c r="V267" s="25"/>
      <c r="W267" s="25"/>
    </row>
    <row r="268" spans="2:23" x14ac:dyDescent="0.25">
      <c r="B268" s="25"/>
      <c r="C268" s="25"/>
      <c r="D268" s="25"/>
      <c r="E268" s="25"/>
      <c r="F268" s="49"/>
      <c r="G268" s="25"/>
      <c r="H268" s="40"/>
      <c r="I268" s="49"/>
      <c r="K268" s="36"/>
      <c r="L268" s="25"/>
      <c r="M268" s="25"/>
      <c r="N268" s="25"/>
      <c r="O268" s="25"/>
      <c r="P268" s="25"/>
      <c r="Q268" s="25"/>
      <c r="R268" s="25"/>
      <c r="S268" s="25"/>
      <c r="T268" s="25"/>
      <c r="U268" s="25"/>
      <c r="V268" s="25"/>
      <c r="W268" s="25"/>
    </row>
    <row r="269" spans="2:23" x14ac:dyDescent="0.25">
      <c r="B269" s="25"/>
      <c r="C269" s="25"/>
      <c r="D269" s="25"/>
      <c r="E269" s="25"/>
      <c r="F269" s="49"/>
      <c r="G269" s="25"/>
      <c r="H269" s="40"/>
      <c r="I269" s="49"/>
      <c r="K269" s="36"/>
      <c r="L269" s="25"/>
      <c r="M269" s="25"/>
      <c r="N269" s="25"/>
      <c r="O269" s="25"/>
      <c r="P269" s="25"/>
      <c r="Q269" s="25"/>
      <c r="R269" s="25"/>
      <c r="S269" s="25"/>
      <c r="T269" s="25"/>
      <c r="U269" s="25"/>
      <c r="V269" s="25"/>
      <c r="W269" s="25"/>
    </row>
    <row r="270" spans="2:23" x14ac:dyDescent="0.25">
      <c r="B270" s="25"/>
      <c r="C270" s="25"/>
      <c r="D270" s="25"/>
      <c r="E270" s="25"/>
      <c r="F270" s="49"/>
      <c r="G270" s="25"/>
      <c r="H270" s="40"/>
      <c r="I270" s="49"/>
      <c r="K270" s="36"/>
      <c r="L270" s="25"/>
      <c r="M270" s="25"/>
      <c r="N270" s="25"/>
      <c r="O270" s="25"/>
      <c r="P270" s="25"/>
      <c r="Q270" s="25"/>
      <c r="R270" s="25"/>
      <c r="S270" s="25"/>
      <c r="T270" s="25"/>
      <c r="U270" s="25"/>
      <c r="V270" s="25"/>
      <c r="W270" s="25"/>
    </row>
    <row r="271" spans="2:23" x14ac:dyDescent="0.25">
      <c r="B271" s="25"/>
      <c r="C271" s="25"/>
      <c r="D271" s="25"/>
      <c r="E271" s="25"/>
      <c r="F271" s="49"/>
      <c r="G271" s="25"/>
      <c r="H271" s="40"/>
      <c r="I271" s="49"/>
      <c r="K271" s="36"/>
      <c r="L271" s="25"/>
      <c r="M271" s="25"/>
      <c r="N271" s="25"/>
      <c r="O271" s="25"/>
      <c r="P271" s="25"/>
      <c r="Q271" s="25"/>
      <c r="R271" s="25"/>
      <c r="S271" s="25"/>
      <c r="T271" s="25"/>
      <c r="U271" s="25"/>
      <c r="V271" s="25"/>
      <c r="W271" s="25"/>
    </row>
    <row r="272" spans="2:23" x14ac:dyDescent="0.25">
      <c r="B272" s="25"/>
      <c r="C272" s="25"/>
      <c r="D272" s="25"/>
      <c r="E272" s="25"/>
      <c r="F272" s="49"/>
      <c r="G272" s="25"/>
      <c r="H272" s="40"/>
      <c r="I272" s="49"/>
      <c r="K272" s="36"/>
      <c r="L272" s="25"/>
      <c r="M272" s="25"/>
      <c r="N272" s="25"/>
      <c r="O272" s="25"/>
      <c r="P272" s="25"/>
      <c r="Q272" s="25"/>
      <c r="R272" s="25"/>
      <c r="S272" s="25"/>
      <c r="T272" s="25"/>
      <c r="U272" s="25"/>
      <c r="V272" s="25"/>
      <c r="W272" s="25"/>
    </row>
    <row r="273" spans="2:23" x14ac:dyDescent="0.25">
      <c r="B273" s="25"/>
      <c r="C273" s="25"/>
      <c r="D273" s="25"/>
      <c r="E273" s="25"/>
      <c r="F273" s="49"/>
      <c r="G273" s="25"/>
      <c r="H273" s="40"/>
      <c r="I273" s="49"/>
      <c r="K273" s="36"/>
      <c r="L273" s="25"/>
      <c r="M273" s="25"/>
      <c r="N273" s="25"/>
      <c r="O273" s="25"/>
      <c r="P273" s="25"/>
      <c r="Q273" s="25"/>
      <c r="R273" s="25"/>
      <c r="S273" s="25"/>
      <c r="T273" s="25"/>
      <c r="U273" s="25"/>
      <c r="V273" s="25"/>
      <c r="W273" s="25"/>
    </row>
    <row r="274" spans="2:23" x14ac:dyDescent="0.25">
      <c r="B274" s="25"/>
      <c r="C274" s="25"/>
      <c r="D274" s="25"/>
      <c r="E274" s="25"/>
      <c r="F274" s="49"/>
      <c r="G274" s="25"/>
      <c r="H274" s="40"/>
      <c r="I274" s="49"/>
      <c r="K274" s="36"/>
      <c r="L274" s="25"/>
      <c r="M274" s="25"/>
      <c r="N274" s="25"/>
      <c r="O274" s="25"/>
      <c r="P274" s="25"/>
      <c r="Q274" s="25"/>
      <c r="R274" s="25"/>
      <c r="S274" s="25"/>
      <c r="T274" s="25"/>
      <c r="U274" s="25"/>
      <c r="V274" s="25"/>
      <c r="W274" s="25"/>
    </row>
    <row r="275" spans="2:23" x14ac:dyDescent="0.25">
      <c r="B275" s="25"/>
      <c r="C275" s="25"/>
      <c r="D275" s="25"/>
      <c r="E275" s="25"/>
      <c r="F275" s="49"/>
      <c r="G275" s="25"/>
      <c r="H275" s="40"/>
      <c r="I275" s="49"/>
      <c r="K275" s="36"/>
      <c r="L275" s="25"/>
      <c r="M275" s="25"/>
      <c r="N275" s="25"/>
      <c r="O275" s="25"/>
      <c r="P275" s="25"/>
      <c r="Q275" s="25"/>
      <c r="R275" s="25"/>
      <c r="S275" s="25"/>
      <c r="T275" s="25"/>
      <c r="U275" s="25"/>
      <c r="V275" s="25"/>
      <c r="W275" s="25"/>
    </row>
    <row r="276" spans="2:23" x14ac:dyDescent="0.25">
      <c r="B276" s="25"/>
      <c r="C276" s="25"/>
      <c r="D276" s="25"/>
      <c r="E276" s="25"/>
      <c r="F276" s="49"/>
      <c r="G276" s="25"/>
      <c r="H276" s="40"/>
      <c r="I276" s="49"/>
      <c r="K276" s="36"/>
      <c r="L276" s="25"/>
      <c r="M276" s="25"/>
      <c r="N276" s="25"/>
      <c r="O276" s="25"/>
      <c r="P276" s="25"/>
      <c r="Q276" s="25"/>
      <c r="R276" s="25"/>
      <c r="S276" s="25"/>
      <c r="T276" s="25"/>
      <c r="U276" s="25"/>
      <c r="V276" s="25"/>
      <c r="W276" s="25"/>
    </row>
    <row r="277" spans="2:23" x14ac:dyDescent="0.25">
      <c r="B277" s="25"/>
      <c r="C277" s="25"/>
      <c r="D277" s="25"/>
      <c r="E277" s="25"/>
      <c r="F277" s="49"/>
      <c r="G277" s="25"/>
      <c r="H277" s="40"/>
      <c r="I277" s="49"/>
      <c r="K277" s="36"/>
      <c r="L277" s="25"/>
      <c r="M277" s="25"/>
      <c r="N277" s="25"/>
      <c r="O277" s="25"/>
      <c r="P277" s="25"/>
      <c r="Q277" s="25"/>
      <c r="R277" s="25"/>
      <c r="S277" s="25"/>
      <c r="T277" s="25"/>
      <c r="U277" s="25"/>
      <c r="V277" s="25"/>
      <c r="W277" s="25"/>
    </row>
    <row r="278" spans="2:23" x14ac:dyDescent="0.25">
      <c r="B278" s="25"/>
      <c r="C278" s="25"/>
      <c r="D278" s="25"/>
      <c r="E278" s="25"/>
      <c r="F278" s="49"/>
      <c r="G278" s="25"/>
      <c r="H278" s="40"/>
      <c r="I278" s="49"/>
      <c r="K278" s="36"/>
      <c r="L278" s="25"/>
      <c r="M278" s="25"/>
      <c r="N278" s="25"/>
      <c r="O278" s="25"/>
      <c r="P278" s="25"/>
      <c r="Q278" s="25"/>
      <c r="R278" s="25"/>
      <c r="S278" s="25"/>
      <c r="T278" s="25"/>
      <c r="U278" s="25"/>
      <c r="V278" s="25"/>
      <c r="W278" s="25"/>
    </row>
    <row r="279" spans="2:23" x14ac:dyDescent="0.25">
      <c r="B279" s="25"/>
      <c r="C279" s="25"/>
      <c r="D279" s="25"/>
      <c r="E279" s="25"/>
      <c r="F279" s="49"/>
      <c r="G279" s="25"/>
      <c r="H279" s="40"/>
      <c r="I279" s="49"/>
      <c r="K279" s="36"/>
      <c r="L279" s="25"/>
      <c r="M279" s="25"/>
      <c r="N279" s="25"/>
      <c r="O279" s="25"/>
      <c r="P279" s="25"/>
      <c r="Q279" s="25"/>
      <c r="R279" s="25"/>
      <c r="S279" s="25"/>
      <c r="T279" s="25"/>
      <c r="U279" s="25"/>
      <c r="V279" s="25"/>
      <c r="W279" s="25"/>
    </row>
    <row r="280" spans="2:23" x14ac:dyDescent="0.25">
      <c r="B280" s="25"/>
      <c r="C280" s="25"/>
      <c r="D280" s="25"/>
      <c r="E280" s="25"/>
      <c r="F280" s="49"/>
      <c r="G280" s="25"/>
      <c r="H280" s="40"/>
      <c r="I280" s="49"/>
      <c r="K280" s="36"/>
      <c r="L280" s="25"/>
      <c r="M280" s="25"/>
      <c r="N280" s="25"/>
      <c r="O280" s="25"/>
      <c r="P280" s="25"/>
      <c r="Q280" s="25"/>
      <c r="R280" s="25"/>
      <c r="S280" s="25"/>
      <c r="T280" s="25"/>
      <c r="U280" s="25"/>
      <c r="V280" s="25"/>
      <c r="W280" s="25"/>
    </row>
    <row r="281" spans="2:23" x14ac:dyDescent="0.25">
      <c r="B281" s="25"/>
      <c r="C281" s="25"/>
      <c r="D281" s="25"/>
      <c r="E281" s="25"/>
      <c r="F281" s="49"/>
      <c r="G281" s="25"/>
      <c r="H281" s="40"/>
      <c r="I281" s="49"/>
      <c r="K281" s="36"/>
      <c r="L281" s="25"/>
      <c r="M281" s="25"/>
      <c r="N281" s="25"/>
      <c r="O281" s="25"/>
      <c r="P281" s="25"/>
      <c r="Q281" s="25"/>
      <c r="R281" s="25"/>
      <c r="S281" s="25"/>
      <c r="T281" s="25"/>
      <c r="U281" s="25"/>
      <c r="V281" s="25"/>
      <c r="W281" s="25"/>
    </row>
    <row r="282" spans="2:23" x14ac:dyDescent="0.25">
      <c r="B282" s="25"/>
      <c r="C282" s="25"/>
      <c r="D282" s="25"/>
      <c r="E282" s="25"/>
      <c r="F282" s="49"/>
      <c r="G282" s="25"/>
      <c r="H282" s="40"/>
      <c r="I282" s="49"/>
      <c r="K282" s="36"/>
      <c r="L282" s="25"/>
      <c r="M282" s="25"/>
      <c r="N282" s="25"/>
      <c r="O282" s="25"/>
      <c r="P282" s="25"/>
      <c r="Q282" s="25"/>
      <c r="R282" s="25"/>
      <c r="S282" s="25"/>
      <c r="T282" s="25"/>
      <c r="U282" s="25"/>
      <c r="V282" s="25"/>
      <c r="W282" s="25"/>
    </row>
    <row r="283" spans="2:23" x14ac:dyDescent="0.25">
      <c r="B283" s="25"/>
      <c r="C283" s="25"/>
      <c r="D283" s="25"/>
      <c r="E283" s="25"/>
      <c r="F283" s="49"/>
      <c r="G283" s="25"/>
      <c r="H283" s="40"/>
      <c r="I283" s="49"/>
      <c r="K283" s="36"/>
      <c r="L283" s="25"/>
      <c r="M283" s="25"/>
      <c r="N283" s="25"/>
      <c r="O283" s="25"/>
      <c r="P283" s="25"/>
      <c r="Q283" s="25"/>
      <c r="R283" s="25"/>
      <c r="S283" s="25"/>
      <c r="T283" s="25"/>
      <c r="U283" s="25"/>
      <c r="V283" s="25"/>
      <c r="W283" s="25"/>
    </row>
    <row r="284" spans="2:23" x14ac:dyDescent="0.25">
      <c r="B284" s="25"/>
      <c r="C284" s="25"/>
      <c r="D284" s="25"/>
      <c r="E284" s="25"/>
      <c r="F284" s="49"/>
      <c r="G284" s="25"/>
      <c r="H284" s="40"/>
      <c r="I284" s="49"/>
      <c r="K284" s="36"/>
      <c r="L284" s="25"/>
      <c r="M284" s="25"/>
      <c r="N284" s="25"/>
      <c r="O284" s="25"/>
      <c r="P284" s="25"/>
      <c r="Q284" s="25"/>
      <c r="R284" s="25"/>
      <c r="S284" s="25"/>
      <c r="T284" s="25"/>
      <c r="U284" s="25"/>
      <c r="V284" s="25"/>
      <c r="W284" s="25"/>
    </row>
    <row r="285" spans="2:23" x14ac:dyDescent="0.25">
      <c r="B285" s="25"/>
      <c r="C285" s="25"/>
      <c r="D285" s="25"/>
      <c r="E285" s="25"/>
      <c r="F285" s="49"/>
      <c r="G285" s="25"/>
      <c r="H285" s="40"/>
      <c r="I285" s="49"/>
      <c r="K285" s="36"/>
      <c r="L285" s="25"/>
      <c r="M285" s="25"/>
      <c r="N285" s="25"/>
      <c r="O285" s="25"/>
      <c r="P285" s="25"/>
      <c r="Q285" s="25"/>
      <c r="R285" s="25"/>
      <c r="S285" s="25"/>
      <c r="T285" s="25"/>
      <c r="U285" s="25"/>
      <c r="V285" s="25"/>
      <c r="W285" s="25"/>
    </row>
    <row r="286" spans="2:23" x14ac:dyDescent="0.25">
      <c r="B286" s="25"/>
      <c r="C286" s="25"/>
      <c r="D286" s="25"/>
      <c r="E286" s="25"/>
      <c r="F286" s="49"/>
      <c r="G286" s="25"/>
      <c r="H286" s="40"/>
      <c r="I286" s="49"/>
      <c r="K286" s="36"/>
      <c r="L286" s="25"/>
      <c r="M286" s="25"/>
      <c r="N286" s="25"/>
      <c r="O286" s="25"/>
      <c r="P286" s="25"/>
      <c r="Q286" s="25"/>
      <c r="R286" s="25"/>
      <c r="S286" s="25"/>
      <c r="T286" s="25"/>
      <c r="U286" s="25"/>
      <c r="V286" s="25"/>
      <c r="W286" s="25"/>
    </row>
    <row r="287" spans="2:23" x14ac:dyDescent="0.25">
      <c r="B287" s="25"/>
      <c r="C287" s="25"/>
      <c r="D287" s="25"/>
      <c r="E287" s="25"/>
      <c r="F287" s="49"/>
      <c r="G287" s="25"/>
      <c r="H287" s="40"/>
      <c r="I287" s="49"/>
      <c r="K287" s="36"/>
      <c r="L287" s="25"/>
      <c r="M287" s="25"/>
      <c r="N287" s="25"/>
      <c r="O287" s="25"/>
      <c r="P287" s="25"/>
      <c r="Q287" s="25"/>
      <c r="R287" s="25"/>
      <c r="S287" s="25"/>
      <c r="T287" s="25"/>
      <c r="U287" s="25"/>
      <c r="V287" s="25"/>
      <c r="W287" s="25"/>
    </row>
    <row r="288" spans="2:23" x14ac:dyDescent="0.25">
      <c r="B288" s="25"/>
      <c r="C288" s="25"/>
      <c r="D288" s="25"/>
      <c r="E288" s="25"/>
      <c r="F288" s="49"/>
      <c r="G288" s="25"/>
      <c r="H288" s="40"/>
      <c r="I288" s="49"/>
      <c r="K288" s="36"/>
      <c r="L288" s="25"/>
      <c r="M288" s="25"/>
      <c r="N288" s="25"/>
      <c r="O288" s="25"/>
      <c r="P288" s="25"/>
      <c r="Q288" s="25"/>
      <c r="R288" s="25"/>
      <c r="S288" s="25"/>
      <c r="T288" s="25"/>
      <c r="U288" s="25"/>
      <c r="V288" s="25"/>
      <c r="W288" s="25"/>
    </row>
    <row r="289" spans="2:23" x14ac:dyDescent="0.25">
      <c r="B289" s="25"/>
      <c r="C289" s="25"/>
      <c r="D289" s="25"/>
      <c r="E289" s="25"/>
      <c r="F289" s="49"/>
      <c r="G289" s="25"/>
      <c r="H289" s="40"/>
      <c r="I289" s="49"/>
      <c r="K289" s="36"/>
      <c r="L289" s="25"/>
      <c r="M289" s="25"/>
      <c r="N289" s="25"/>
      <c r="O289" s="25"/>
      <c r="P289" s="25"/>
      <c r="Q289" s="25"/>
      <c r="R289" s="25"/>
      <c r="S289" s="25"/>
      <c r="T289" s="25"/>
      <c r="U289" s="25"/>
      <c r="V289" s="25"/>
      <c r="W289" s="25"/>
    </row>
    <row r="290" spans="2:23" x14ac:dyDescent="0.25">
      <c r="B290" s="25"/>
      <c r="C290" s="25"/>
      <c r="D290" s="25"/>
      <c r="E290" s="25"/>
      <c r="F290" s="49"/>
      <c r="G290" s="25"/>
      <c r="H290" s="40"/>
      <c r="I290" s="49"/>
      <c r="K290" s="36"/>
      <c r="L290" s="25"/>
      <c r="M290" s="25"/>
      <c r="N290" s="25"/>
      <c r="O290" s="25"/>
      <c r="P290" s="25"/>
      <c r="Q290" s="25"/>
      <c r="R290" s="25"/>
      <c r="S290" s="25"/>
      <c r="T290" s="25"/>
      <c r="U290" s="25"/>
      <c r="V290" s="25"/>
      <c r="W290" s="25"/>
    </row>
    <row r="291" spans="2:23" x14ac:dyDescent="0.25">
      <c r="B291" s="25"/>
      <c r="C291" s="25"/>
      <c r="D291" s="25"/>
      <c r="E291" s="25"/>
      <c r="F291" s="49"/>
      <c r="G291" s="25"/>
      <c r="H291" s="40"/>
      <c r="I291" s="49"/>
      <c r="K291" s="36"/>
      <c r="L291" s="25"/>
      <c r="M291" s="25"/>
      <c r="N291" s="25"/>
      <c r="O291" s="25"/>
      <c r="P291" s="25"/>
      <c r="Q291" s="25"/>
      <c r="R291" s="25"/>
      <c r="S291" s="25"/>
      <c r="T291" s="25"/>
      <c r="U291" s="25"/>
      <c r="V291" s="25"/>
      <c r="W291" s="25"/>
    </row>
    <row r="292" spans="2:23" x14ac:dyDescent="0.25">
      <c r="B292" s="25"/>
      <c r="C292" s="25"/>
      <c r="D292" s="25"/>
      <c r="E292" s="25"/>
      <c r="F292" s="49"/>
      <c r="G292" s="25"/>
      <c r="H292" s="40"/>
      <c r="I292" s="49"/>
      <c r="K292" s="36"/>
      <c r="L292" s="25"/>
      <c r="M292" s="25"/>
      <c r="N292" s="25"/>
      <c r="O292" s="25"/>
      <c r="P292" s="25"/>
      <c r="Q292" s="25"/>
      <c r="R292" s="25"/>
      <c r="S292" s="25"/>
      <c r="T292" s="25"/>
      <c r="U292" s="25"/>
      <c r="V292" s="25"/>
      <c r="W292" s="25"/>
    </row>
    <row r="293" spans="2:23" x14ac:dyDescent="0.25">
      <c r="B293" s="25"/>
      <c r="C293" s="25"/>
      <c r="D293" s="25"/>
      <c r="E293" s="25"/>
      <c r="F293" s="49"/>
      <c r="G293" s="25"/>
      <c r="H293" s="40"/>
      <c r="I293" s="49"/>
      <c r="K293" s="36"/>
      <c r="L293" s="25"/>
      <c r="M293" s="25"/>
      <c r="N293" s="25"/>
      <c r="O293" s="25"/>
      <c r="P293" s="25"/>
      <c r="Q293" s="25"/>
      <c r="R293" s="25"/>
      <c r="S293" s="25"/>
      <c r="T293" s="25"/>
      <c r="U293" s="25"/>
      <c r="V293" s="25"/>
      <c r="W293" s="25"/>
    </row>
    <row r="294" spans="2:23" x14ac:dyDescent="0.25">
      <c r="B294" s="25"/>
      <c r="C294" s="25"/>
      <c r="D294" s="25"/>
      <c r="E294" s="25"/>
      <c r="F294" s="49"/>
      <c r="G294" s="25"/>
      <c r="H294" s="40"/>
      <c r="I294" s="49"/>
      <c r="K294" s="36"/>
      <c r="L294" s="25"/>
      <c r="M294" s="25"/>
      <c r="N294" s="25"/>
      <c r="O294" s="25"/>
      <c r="P294" s="25"/>
      <c r="Q294" s="25"/>
      <c r="R294" s="25"/>
      <c r="S294" s="25"/>
      <c r="T294" s="25"/>
      <c r="U294" s="25"/>
      <c r="V294" s="25"/>
      <c r="W294" s="25"/>
    </row>
    <row r="295" spans="2:23" x14ac:dyDescent="0.25">
      <c r="B295" s="25"/>
      <c r="C295" s="25"/>
      <c r="D295" s="25"/>
      <c r="E295" s="25"/>
      <c r="F295" s="49"/>
      <c r="G295" s="25"/>
      <c r="H295" s="40"/>
      <c r="I295" s="49"/>
      <c r="K295" s="36"/>
      <c r="L295" s="25"/>
      <c r="M295" s="25"/>
      <c r="N295" s="25"/>
      <c r="O295" s="25"/>
      <c r="P295" s="25"/>
      <c r="Q295" s="25"/>
      <c r="R295" s="25"/>
      <c r="S295" s="25"/>
      <c r="T295" s="25"/>
      <c r="U295" s="25"/>
      <c r="V295" s="25"/>
      <c r="W295" s="25"/>
    </row>
    <row r="296" spans="2:23" x14ac:dyDescent="0.25">
      <c r="B296" s="25"/>
      <c r="C296" s="25"/>
      <c r="D296" s="25"/>
      <c r="E296" s="25"/>
      <c r="F296" s="49"/>
      <c r="G296" s="25"/>
      <c r="H296" s="40"/>
      <c r="I296" s="49"/>
      <c r="K296" s="36"/>
      <c r="L296" s="25"/>
      <c r="M296" s="25"/>
      <c r="N296" s="25"/>
      <c r="O296" s="25"/>
      <c r="P296" s="25"/>
      <c r="Q296" s="25"/>
      <c r="R296" s="25"/>
      <c r="S296" s="25"/>
      <c r="T296" s="25"/>
      <c r="U296" s="25"/>
      <c r="V296" s="25"/>
      <c r="W296" s="25"/>
    </row>
    <row r="297" spans="2:23" x14ac:dyDescent="0.25">
      <c r="B297" s="25"/>
      <c r="C297" s="25"/>
      <c r="D297" s="25"/>
      <c r="E297" s="25"/>
      <c r="F297" s="49"/>
      <c r="G297" s="25"/>
      <c r="H297" s="40"/>
      <c r="I297" s="49"/>
      <c r="K297" s="36"/>
      <c r="L297" s="25"/>
      <c r="M297" s="25"/>
      <c r="N297" s="25"/>
      <c r="O297" s="25"/>
      <c r="P297" s="25"/>
      <c r="Q297" s="25"/>
      <c r="R297" s="25"/>
      <c r="S297" s="25"/>
      <c r="T297" s="25"/>
      <c r="U297" s="25"/>
      <c r="V297" s="25"/>
      <c r="W297" s="25"/>
    </row>
    <row r="298" spans="2:23" x14ac:dyDescent="0.25">
      <c r="B298" s="25"/>
      <c r="C298" s="25"/>
      <c r="D298" s="25"/>
      <c r="E298" s="25"/>
      <c r="F298" s="49"/>
      <c r="G298" s="25"/>
      <c r="H298" s="40"/>
      <c r="I298" s="49"/>
      <c r="K298" s="36"/>
      <c r="L298" s="25"/>
      <c r="M298" s="25"/>
      <c r="N298" s="25"/>
      <c r="O298" s="25"/>
      <c r="P298" s="25"/>
      <c r="Q298" s="25"/>
      <c r="R298" s="25"/>
      <c r="S298" s="25"/>
      <c r="T298" s="25"/>
      <c r="U298" s="25"/>
      <c r="V298" s="25"/>
      <c r="W298" s="25"/>
    </row>
    <row r="299" spans="2:23" x14ac:dyDescent="0.25">
      <c r="B299" s="25"/>
      <c r="C299" s="25"/>
      <c r="D299" s="25"/>
      <c r="E299" s="25"/>
      <c r="F299" s="49"/>
      <c r="G299" s="25"/>
      <c r="H299" s="40"/>
      <c r="I299" s="49"/>
      <c r="K299" s="36"/>
      <c r="L299" s="25"/>
      <c r="M299" s="25"/>
      <c r="N299" s="25"/>
      <c r="O299" s="25"/>
      <c r="P299" s="25"/>
      <c r="Q299" s="25"/>
      <c r="R299" s="25"/>
      <c r="S299" s="25"/>
      <c r="T299" s="25"/>
      <c r="U299" s="25"/>
      <c r="V299" s="25"/>
      <c r="W299" s="25"/>
    </row>
    <row r="300" spans="2:23" x14ac:dyDescent="0.25">
      <c r="B300" s="25"/>
      <c r="C300" s="25"/>
      <c r="D300" s="25"/>
      <c r="E300" s="25"/>
      <c r="F300" s="49"/>
      <c r="G300" s="25"/>
      <c r="H300" s="40"/>
      <c r="I300" s="49"/>
      <c r="K300" s="36"/>
      <c r="L300" s="25"/>
      <c r="M300" s="25"/>
      <c r="N300" s="25"/>
      <c r="O300" s="25"/>
      <c r="P300" s="25"/>
      <c r="Q300" s="25"/>
      <c r="R300" s="25"/>
      <c r="S300" s="25"/>
      <c r="T300" s="25"/>
      <c r="U300" s="25"/>
      <c r="V300" s="25"/>
      <c r="W300" s="25"/>
    </row>
    <row r="301" spans="2:23" x14ac:dyDescent="0.25">
      <c r="B301" s="25"/>
      <c r="C301" s="25"/>
      <c r="D301" s="25"/>
      <c r="E301" s="25"/>
      <c r="F301" s="49"/>
      <c r="G301" s="25"/>
      <c r="H301" s="40"/>
      <c r="I301" s="49"/>
      <c r="K301" s="36"/>
      <c r="L301" s="25"/>
      <c r="M301" s="25"/>
      <c r="N301" s="25"/>
      <c r="O301" s="25"/>
      <c r="P301" s="25"/>
      <c r="Q301" s="25"/>
      <c r="R301" s="25"/>
      <c r="S301" s="25"/>
      <c r="T301" s="25"/>
      <c r="U301" s="25"/>
      <c r="V301" s="25"/>
      <c r="W301" s="25"/>
    </row>
    <row r="302" spans="2:23" x14ac:dyDescent="0.25">
      <c r="B302" s="25"/>
      <c r="C302" s="25"/>
      <c r="D302" s="25"/>
      <c r="E302" s="25"/>
      <c r="F302" s="49"/>
      <c r="G302" s="25"/>
      <c r="H302" s="40"/>
      <c r="I302" s="49"/>
      <c r="K302" s="36"/>
      <c r="L302" s="25"/>
      <c r="M302" s="25"/>
      <c r="N302" s="25"/>
      <c r="O302" s="25"/>
      <c r="P302" s="25"/>
      <c r="Q302" s="25"/>
      <c r="R302" s="25"/>
      <c r="S302" s="25"/>
      <c r="T302" s="25"/>
      <c r="U302" s="25"/>
      <c r="V302" s="25"/>
      <c r="W302" s="25"/>
    </row>
    <row r="303" spans="2:23" x14ac:dyDescent="0.25">
      <c r="B303" s="25"/>
      <c r="C303" s="25"/>
      <c r="D303" s="25"/>
      <c r="E303" s="25"/>
      <c r="F303" s="49"/>
      <c r="G303" s="25"/>
      <c r="H303" s="40"/>
      <c r="I303" s="49"/>
      <c r="K303" s="36"/>
      <c r="L303" s="25"/>
      <c r="M303" s="25"/>
      <c r="N303" s="25"/>
      <c r="O303" s="25"/>
      <c r="P303" s="25"/>
      <c r="Q303" s="25"/>
      <c r="R303" s="25"/>
      <c r="S303" s="25"/>
      <c r="T303" s="25"/>
      <c r="U303" s="25"/>
      <c r="V303" s="25"/>
      <c r="W303" s="25"/>
    </row>
    <row r="304" spans="2:23" x14ac:dyDescent="0.25">
      <c r="B304" s="25"/>
      <c r="C304" s="25"/>
      <c r="D304" s="25"/>
      <c r="E304" s="25"/>
      <c r="F304" s="49"/>
      <c r="G304" s="25"/>
      <c r="H304" s="40"/>
      <c r="I304" s="49"/>
      <c r="K304" s="36"/>
      <c r="L304" s="25"/>
      <c r="M304" s="25"/>
      <c r="N304" s="25"/>
      <c r="O304" s="25"/>
      <c r="P304" s="25"/>
      <c r="Q304" s="25"/>
      <c r="R304" s="25"/>
      <c r="S304" s="25"/>
      <c r="T304" s="25"/>
      <c r="U304" s="25"/>
      <c r="V304" s="25"/>
      <c r="W304" s="25"/>
    </row>
    <row r="305" spans="2:23" x14ac:dyDescent="0.25">
      <c r="B305" s="25"/>
      <c r="C305" s="25"/>
      <c r="D305" s="25"/>
      <c r="E305" s="25"/>
      <c r="F305" s="49"/>
      <c r="G305" s="25"/>
      <c r="H305" s="40"/>
      <c r="I305" s="49"/>
      <c r="K305" s="36"/>
      <c r="L305" s="25"/>
      <c r="M305" s="25"/>
      <c r="N305" s="25"/>
      <c r="O305" s="25"/>
      <c r="P305" s="25"/>
      <c r="Q305" s="25"/>
      <c r="R305" s="25"/>
      <c r="S305" s="25"/>
      <c r="T305" s="25"/>
      <c r="U305" s="25"/>
      <c r="V305" s="25"/>
      <c r="W305" s="25"/>
    </row>
    <row r="306" spans="2:23" x14ac:dyDescent="0.25">
      <c r="B306" s="25"/>
      <c r="C306" s="25"/>
      <c r="D306" s="25"/>
      <c r="E306" s="25"/>
      <c r="F306" s="49"/>
      <c r="G306" s="25"/>
      <c r="H306" s="40"/>
      <c r="I306" s="49"/>
      <c r="K306" s="36"/>
      <c r="L306" s="25"/>
      <c r="M306" s="25"/>
      <c r="N306" s="25"/>
      <c r="O306" s="25"/>
      <c r="P306" s="25"/>
      <c r="Q306" s="25"/>
      <c r="R306" s="25"/>
      <c r="S306" s="25"/>
      <c r="T306" s="25"/>
      <c r="U306" s="25"/>
      <c r="V306" s="25"/>
      <c r="W306" s="25"/>
    </row>
    <row r="307" spans="2:23" x14ac:dyDescent="0.25">
      <c r="B307" s="25"/>
      <c r="C307" s="25"/>
      <c r="D307" s="25"/>
      <c r="E307" s="25"/>
      <c r="F307" s="49"/>
      <c r="G307" s="25"/>
      <c r="H307" s="40"/>
      <c r="I307" s="49"/>
      <c r="K307" s="36"/>
      <c r="L307" s="25"/>
      <c r="M307" s="25"/>
      <c r="N307" s="25"/>
      <c r="O307" s="25"/>
      <c r="P307" s="25"/>
      <c r="Q307" s="25"/>
      <c r="R307" s="25"/>
      <c r="S307" s="25"/>
      <c r="T307" s="25"/>
      <c r="U307" s="25"/>
      <c r="V307" s="25"/>
      <c r="W307" s="25"/>
    </row>
    <row r="308" spans="2:23" x14ac:dyDescent="0.25">
      <c r="B308" s="25"/>
      <c r="C308" s="25"/>
      <c r="D308" s="25"/>
      <c r="E308" s="25"/>
      <c r="F308" s="49"/>
      <c r="G308" s="25"/>
      <c r="H308" s="40"/>
      <c r="I308" s="49"/>
      <c r="K308" s="36"/>
      <c r="L308" s="25"/>
      <c r="M308" s="25"/>
      <c r="N308" s="25"/>
      <c r="O308" s="25"/>
      <c r="P308" s="25"/>
      <c r="Q308" s="25"/>
      <c r="R308" s="25"/>
      <c r="S308" s="25"/>
      <c r="T308" s="25"/>
      <c r="U308" s="25"/>
      <c r="V308" s="25"/>
      <c r="W308" s="25"/>
    </row>
    <row r="309" spans="2:23" x14ac:dyDescent="0.25">
      <c r="B309" s="25"/>
      <c r="C309" s="25"/>
      <c r="D309" s="25"/>
      <c r="E309" s="25"/>
      <c r="F309" s="49"/>
      <c r="G309" s="25"/>
      <c r="H309" s="40"/>
      <c r="I309" s="49"/>
      <c r="K309" s="36"/>
      <c r="L309" s="25"/>
      <c r="M309" s="25"/>
      <c r="N309" s="25"/>
      <c r="O309" s="25"/>
      <c r="P309" s="25"/>
      <c r="Q309" s="25"/>
      <c r="R309" s="25"/>
      <c r="S309" s="25"/>
      <c r="T309" s="25"/>
      <c r="U309" s="25"/>
      <c r="V309" s="25"/>
      <c r="W309" s="25"/>
    </row>
    <row r="310" spans="2:23" x14ac:dyDescent="0.25">
      <c r="B310" s="25"/>
      <c r="C310" s="25"/>
      <c r="D310" s="25"/>
      <c r="E310" s="25"/>
      <c r="F310" s="49"/>
      <c r="G310" s="25"/>
      <c r="H310" s="40"/>
      <c r="I310" s="49"/>
      <c r="K310" s="36"/>
      <c r="L310" s="25"/>
      <c r="M310" s="25"/>
      <c r="N310" s="25"/>
      <c r="O310" s="25"/>
      <c r="P310" s="25"/>
      <c r="Q310" s="25"/>
      <c r="R310" s="25"/>
      <c r="S310" s="25"/>
      <c r="T310" s="25"/>
      <c r="U310" s="25"/>
      <c r="V310" s="25"/>
      <c r="W310" s="25"/>
    </row>
    <row r="311" spans="2:23" x14ac:dyDescent="0.25">
      <c r="B311" s="25"/>
      <c r="C311" s="25"/>
      <c r="D311" s="25"/>
      <c r="E311" s="25"/>
      <c r="F311" s="49"/>
      <c r="G311" s="25"/>
      <c r="H311" s="40"/>
      <c r="I311" s="49"/>
      <c r="K311" s="36"/>
      <c r="L311" s="25"/>
      <c r="M311" s="25"/>
      <c r="N311" s="25"/>
      <c r="O311" s="25"/>
      <c r="P311" s="25"/>
      <c r="Q311" s="25"/>
      <c r="R311" s="25"/>
      <c r="S311" s="25"/>
      <c r="T311" s="25"/>
      <c r="U311" s="25"/>
      <c r="V311" s="25"/>
      <c r="W311" s="25"/>
    </row>
    <row r="312" spans="2:23" x14ac:dyDescent="0.25">
      <c r="B312" s="25"/>
      <c r="C312" s="25"/>
      <c r="D312" s="25"/>
      <c r="E312" s="25"/>
      <c r="F312" s="49"/>
      <c r="G312" s="25"/>
      <c r="H312" s="40"/>
      <c r="I312" s="49"/>
      <c r="K312" s="36"/>
      <c r="L312" s="25"/>
      <c r="M312" s="25"/>
      <c r="N312" s="25"/>
      <c r="O312" s="25"/>
      <c r="P312" s="25"/>
      <c r="Q312" s="25"/>
      <c r="R312" s="25"/>
      <c r="S312" s="25"/>
      <c r="T312" s="25"/>
      <c r="U312" s="25"/>
      <c r="V312" s="25"/>
      <c r="W312" s="25"/>
    </row>
    <row r="313" spans="2:23" x14ac:dyDescent="0.25">
      <c r="B313" s="25"/>
      <c r="C313" s="25"/>
      <c r="D313" s="25"/>
      <c r="E313" s="25"/>
      <c r="F313" s="49"/>
      <c r="G313" s="25"/>
      <c r="H313" s="40"/>
      <c r="I313" s="49"/>
      <c r="K313" s="36"/>
      <c r="L313" s="25"/>
      <c r="M313" s="25"/>
      <c r="N313" s="25"/>
      <c r="O313" s="25"/>
      <c r="P313" s="25"/>
      <c r="Q313" s="25"/>
      <c r="R313" s="25"/>
      <c r="S313" s="25"/>
      <c r="T313" s="25"/>
      <c r="U313" s="25"/>
      <c r="V313" s="25"/>
      <c r="W313" s="25"/>
    </row>
    <row r="314" spans="2:23" x14ac:dyDescent="0.25">
      <c r="B314" s="25"/>
      <c r="C314" s="25"/>
      <c r="D314" s="25"/>
      <c r="E314" s="25"/>
      <c r="F314" s="49"/>
      <c r="G314" s="25"/>
      <c r="H314" s="40"/>
      <c r="I314" s="49"/>
      <c r="K314" s="36"/>
      <c r="L314" s="25"/>
      <c r="M314" s="25"/>
      <c r="N314" s="25"/>
      <c r="O314" s="25"/>
      <c r="P314" s="25"/>
      <c r="Q314" s="25"/>
      <c r="R314" s="25"/>
      <c r="S314" s="25"/>
      <c r="T314" s="25"/>
      <c r="U314" s="25"/>
      <c r="V314" s="25"/>
      <c r="W314" s="25"/>
    </row>
    <row r="315" spans="2:23" x14ac:dyDescent="0.25">
      <c r="B315" s="25"/>
      <c r="C315" s="25"/>
      <c r="D315" s="25"/>
      <c r="E315" s="25"/>
      <c r="F315" s="49"/>
      <c r="G315" s="25"/>
      <c r="H315" s="40"/>
      <c r="I315" s="49"/>
      <c r="K315" s="36"/>
      <c r="L315" s="25"/>
      <c r="M315" s="25"/>
      <c r="N315" s="25"/>
      <c r="O315" s="25"/>
      <c r="P315" s="25"/>
      <c r="Q315" s="25"/>
      <c r="R315" s="25"/>
      <c r="S315" s="25"/>
      <c r="T315" s="25"/>
      <c r="U315" s="25"/>
      <c r="V315" s="25"/>
      <c r="W315" s="25"/>
    </row>
    <row r="316" spans="2:23" x14ac:dyDescent="0.25">
      <c r="B316" s="25"/>
      <c r="C316" s="25"/>
      <c r="D316" s="25"/>
      <c r="E316" s="25"/>
      <c r="F316" s="49"/>
      <c r="G316" s="25"/>
      <c r="H316" s="40"/>
      <c r="I316" s="49"/>
      <c r="K316" s="36"/>
      <c r="L316" s="25"/>
      <c r="M316" s="25"/>
      <c r="N316" s="25"/>
      <c r="O316" s="25"/>
      <c r="P316" s="25"/>
      <c r="Q316" s="25"/>
      <c r="R316" s="25"/>
      <c r="S316" s="25"/>
      <c r="T316" s="25"/>
      <c r="U316" s="25"/>
      <c r="V316" s="25"/>
      <c r="W316" s="25"/>
    </row>
    <row r="317" spans="2:23" x14ac:dyDescent="0.25">
      <c r="B317" s="25"/>
      <c r="C317" s="25"/>
      <c r="D317" s="25"/>
      <c r="E317" s="25"/>
      <c r="F317" s="49"/>
      <c r="G317" s="25"/>
      <c r="H317" s="40"/>
      <c r="I317" s="49"/>
      <c r="K317" s="36"/>
      <c r="L317" s="25"/>
      <c r="M317" s="25"/>
      <c r="N317" s="25"/>
      <c r="O317" s="25"/>
      <c r="P317" s="25"/>
      <c r="Q317" s="25"/>
      <c r="R317" s="25"/>
      <c r="S317" s="25"/>
      <c r="T317" s="25"/>
      <c r="U317" s="25"/>
      <c r="V317" s="25"/>
      <c r="W317" s="25"/>
    </row>
    <row r="318" spans="2:23" x14ac:dyDescent="0.25">
      <c r="B318" s="25"/>
      <c r="C318" s="25"/>
      <c r="D318" s="25"/>
      <c r="E318" s="25"/>
      <c r="F318" s="49"/>
      <c r="G318" s="25"/>
      <c r="H318" s="40"/>
      <c r="I318" s="49"/>
      <c r="K318" s="36"/>
      <c r="L318" s="25"/>
      <c r="M318" s="25"/>
      <c r="N318" s="25"/>
      <c r="O318" s="25"/>
      <c r="P318" s="25"/>
      <c r="Q318" s="25"/>
      <c r="R318" s="25"/>
      <c r="S318" s="25"/>
      <c r="T318" s="25"/>
      <c r="U318" s="25"/>
      <c r="V318" s="25"/>
      <c r="W318" s="25"/>
    </row>
    <row r="319" spans="2:23" x14ac:dyDescent="0.25">
      <c r="B319" s="25"/>
      <c r="C319" s="25"/>
      <c r="D319" s="25"/>
      <c r="E319" s="25"/>
      <c r="F319" s="49"/>
      <c r="G319" s="25"/>
      <c r="H319" s="40"/>
      <c r="I319" s="49"/>
      <c r="K319" s="36"/>
      <c r="L319" s="25"/>
      <c r="M319" s="25"/>
      <c r="N319" s="25"/>
      <c r="O319" s="25"/>
      <c r="P319" s="25"/>
      <c r="Q319" s="25"/>
      <c r="R319" s="25"/>
      <c r="S319" s="25"/>
      <c r="T319" s="25"/>
      <c r="U319" s="25"/>
      <c r="V319" s="25"/>
      <c r="W319" s="25"/>
    </row>
    <row r="320" spans="2:23" x14ac:dyDescent="0.25">
      <c r="B320" s="25"/>
      <c r="C320" s="25"/>
      <c r="D320" s="25"/>
      <c r="E320" s="25"/>
      <c r="F320" s="49"/>
      <c r="G320" s="25"/>
      <c r="H320" s="40"/>
      <c r="I320" s="49"/>
      <c r="K320" s="36"/>
      <c r="L320" s="25"/>
      <c r="M320" s="25"/>
      <c r="N320" s="25"/>
      <c r="O320" s="25"/>
      <c r="P320" s="25"/>
      <c r="Q320" s="25"/>
      <c r="R320" s="25"/>
      <c r="S320" s="25"/>
      <c r="T320" s="25"/>
      <c r="U320" s="25"/>
      <c r="V320" s="25"/>
      <c r="W320" s="25"/>
    </row>
    <row r="321" spans="2:23" x14ac:dyDescent="0.25">
      <c r="B321" s="25"/>
      <c r="C321" s="25"/>
      <c r="D321" s="25"/>
      <c r="E321" s="25"/>
      <c r="F321" s="49"/>
      <c r="G321" s="25"/>
      <c r="H321" s="40"/>
      <c r="I321" s="49"/>
      <c r="K321" s="36"/>
      <c r="L321" s="25"/>
      <c r="M321" s="25"/>
      <c r="N321" s="25"/>
      <c r="O321" s="25"/>
      <c r="P321" s="25"/>
      <c r="Q321" s="25"/>
      <c r="R321" s="25"/>
      <c r="S321" s="25"/>
      <c r="T321" s="25"/>
      <c r="U321" s="25"/>
      <c r="V321" s="25"/>
      <c r="W321" s="25"/>
    </row>
    <row r="322" spans="2:23" x14ac:dyDescent="0.25">
      <c r="B322" s="25"/>
      <c r="C322" s="25"/>
      <c r="D322" s="25"/>
      <c r="E322" s="25"/>
      <c r="F322" s="49"/>
      <c r="G322" s="25"/>
      <c r="H322" s="40"/>
      <c r="I322" s="49"/>
      <c r="K322" s="36"/>
      <c r="L322" s="25"/>
      <c r="M322" s="25"/>
      <c r="N322" s="25"/>
      <c r="O322" s="25"/>
      <c r="P322" s="25"/>
      <c r="Q322" s="25"/>
      <c r="R322" s="25"/>
      <c r="S322" s="25"/>
      <c r="T322" s="25"/>
      <c r="U322" s="25"/>
      <c r="V322" s="25"/>
      <c r="W322" s="25"/>
    </row>
    <row r="323" spans="2:23" x14ac:dyDescent="0.25">
      <c r="B323" s="25"/>
      <c r="C323" s="25"/>
      <c r="D323" s="25"/>
      <c r="E323" s="25"/>
      <c r="F323" s="49"/>
      <c r="G323" s="25"/>
      <c r="H323" s="40"/>
      <c r="I323" s="49"/>
      <c r="K323" s="36"/>
      <c r="L323" s="25"/>
      <c r="M323" s="25"/>
      <c r="N323" s="25"/>
      <c r="O323" s="25"/>
      <c r="P323" s="25"/>
      <c r="Q323" s="25"/>
      <c r="R323" s="25"/>
      <c r="S323" s="25"/>
      <c r="T323" s="25"/>
      <c r="U323" s="25"/>
      <c r="V323" s="25"/>
      <c r="W323" s="25"/>
    </row>
    <row r="324" spans="2:23" x14ac:dyDescent="0.25">
      <c r="B324" s="25"/>
      <c r="C324" s="25"/>
      <c r="D324" s="25"/>
      <c r="E324" s="25"/>
      <c r="F324" s="49"/>
      <c r="G324" s="25"/>
      <c r="H324" s="40"/>
      <c r="I324" s="49"/>
      <c r="K324" s="36"/>
      <c r="L324" s="25"/>
      <c r="M324" s="25"/>
      <c r="N324" s="25"/>
      <c r="O324" s="25"/>
      <c r="P324" s="25"/>
      <c r="Q324" s="25"/>
      <c r="R324" s="25"/>
      <c r="S324" s="25"/>
      <c r="T324" s="25"/>
      <c r="U324" s="25"/>
      <c r="V324" s="25"/>
      <c r="W324" s="25"/>
    </row>
    <row r="325" spans="2:23" x14ac:dyDescent="0.25">
      <c r="B325" s="25"/>
      <c r="C325" s="25"/>
      <c r="D325" s="25"/>
      <c r="E325" s="25"/>
      <c r="F325" s="49"/>
      <c r="G325" s="25"/>
      <c r="H325" s="40"/>
      <c r="I325" s="49"/>
      <c r="K325" s="36"/>
      <c r="L325" s="25"/>
      <c r="M325" s="25"/>
      <c r="N325" s="25"/>
      <c r="O325" s="25"/>
      <c r="P325" s="25"/>
      <c r="Q325" s="25"/>
      <c r="R325" s="25"/>
      <c r="S325" s="25"/>
      <c r="T325" s="25"/>
      <c r="U325" s="25"/>
      <c r="V325" s="25"/>
      <c r="W325" s="25"/>
    </row>
    <row r="326" spans="2:23" x14ac:dyDescent="0.25">
      <c r="B326" s="25"/>
      <c r="C326" s="25"/>
      <c r="D326" s="25"/>
      <c r="E326" s="25"/>
      <c r="F326" s="49"/>
      <c r="G326" s="25"/>
      <c r="H326" s="40"/>
      <c r="I326" s="49"/>
      <c r="K326" s="36"/>
      <c r="L326" s="25"/>
      <c r="M326" s="25"/>
      <c r="N326" s="25"/>
      <c r="O326" s="25"/>
      <c r="P326" s="25"/>
      <c r="Q326" s="25"/>
      <c r="R326" s="25"/>
      <c r="S326" s="25"/>
      <c r="T326" s="25"/>
      <c r="U326" s="25"/>
      <c r="V326" s="25"/>
      <c r="W326" s="25"/>
    </row>
    <row r="327" spans="2:23" x14ac:dyDescent="0.25">
      <c r="B327" s="25"/>
      <c r="C327" s="25"/>
      <c r="D327" s="25"/>
      <c r="E327" s="25"/>
      <c r="F327" s="49"/>
      <c r="G327" s="25"/>
      <c r="H327" s="40"/>
      <c r="I327" s="49"/>
      <c r="K327" s="36"/>
      <c r="L327" s="25"/>
      <c r="M327" s="25"/>
      <c r="N327" s="25"/>
      <c r="O327" s="25"/>
      <c r="P327" s="25"/>
      <c r="Q327" s="25"/>
      <c r="R327" s="25"/>
      <c r="S327" s="25"/>
      <c r="T327" s="25"/>
      <c r="U327" s="25"/>
      <c r="V327" s="25"/>
      <c r="W327" s="25"/>
    </row>
    <row r="328" spans="2:23" x14ac:dyDescent="0.25">
      <c r="B328" s="25"/>
      <c r="C328" s="25"/>
      <c r="D328" s="25"/>
      <c r="E328" s="25"/>
      <c r="F328" s="49"/>
      <c r="G328" s="25"/>
      <c r="H328" s="40"/>
      <c r="I328" s="49"/>
      <c r="K328" s="36"/>
      <c r="L328" s="25"/>
      <c r="M328" s="25"/>
      <c r="N328" s="25"/>
      <c r="O328" s="25"/>
      <c r="P328" s="25"/>
      <c r="Q328" s="25"/>
      <c r="R328" s="25"/>
      <c r="S328" s="25"/>
      <c r="T328" s="25"/>
      <c r="U328" s="25"/>
      <c r="V328" s="25"/>
      <c r="W328" s="25"/>
    </row>
    <row r="329" spans="2:23" x14ac:dyDescent="0.25">
      <c r="B329" s="25"/>
      <c r="C329" s="25"/>
      <c r="D329" s="25"/>
      <c r="E329" s="25"/>
      <c r="F329" s="49"/>
      <c r="G329" s="25"/>
      <c r="H329" s="40"/>
      <c r="I329" s="49"/>
      <c r="K329" s="36"/>
      <c r="L329" s="25"/>
      <c r="M329" s="25"/>
      <c r="N329" s="25"/>
      <c r="O329" s="25"/>
      <c r="P329" s="25"/>
      <c r="Q329" s="25"/>
      <c r="R329" s="25"/>
      <c r="S329" s="25"/>
      <c r="T329" s="25"/>
      <c r="U329" s="25"/>
      <c r="V329" s="25"/>
      <c r="W329" s="25"/>
    </row>
    <row r="330" spans="2:23" x14ac:dyDescent="0.25">
      <c r="B330" s="25"/>
      <c r="C330" s="25"/>
      <c r="D330" s="25"/>
      <c r="E330" s="25"/>
      <c r="F330" s="49"/>
      <c r="G330" s="25"/>
      <c r="H330" s="40"/>
      <c r="I330" s="49"/>
      <c r="K330" s="36"/>
      <c r="L330" s="25"/>
      <c r="M330" s="25"/>
      <c r="N330" s="25"/>
      <c r="O330" s="25"/>
      <c r="P330" s="25"/>
      <c r="Q330" s="25"/>
      <c r="R330" s="25"/>
      <c r="S330" s="25"/>
      <c r="T330" s="25"/>
      <c r="U330" s="25"/>
      <c r="V330" s="25"/>
      <c r="W330" s="25"/>
    </row>
    <row r="331" spans="2:23" x14ac:dyDescent="0.25">
      <c r="B331" s="25"/>
      <c r="C331" s="25"/>
      <c r="D331" s="25"/>
      <c r="E331" s="25"/>
      <c r="F331" s="49"/>
      <c r="G331" s="25"/>
      <c r="H331" s="40"/>
      <c r="I331" s="49"/>
      <c r="K331" s="36"/>
      <c r="L331" s="25"/>
      <c r="M331" s="25"/>
      <c r="N331" s="25"/>
      <c r="O331" s="25"/>
      <c r="P331" s="25"/>
      <c r="Q331" s="25"/>
      <c r="R331" s="25"/>
      <c r="S331" s="25"/>
      <c r="T331" s="25"/>
      <c r="U331" s="25"/>
      <c r="V331" s="25"/>
      <c r="W331" s="25"/>
    </row>
    <row r="332" spans="2:23" x14ac:dyDescent="0.25">
      <c r="B332" s="25"/>
      <c r="C332" s="25"/>
      <c r="D332" s="25"/>
      <c r="E332" s="25"/>
      <c r="F332" s="49"/>
      <c r="G332" s="25"/>
      <c r="H332" s="40"/>
      <c r="I332" s="49"/>
      <c r="K332" s="36"/>
      <c r="L332" s="25"/>
      <c r="M332" s="25"/>
      <c r="N332" s="25"/>
      <c r="O332" s="25"/>
      <c r="P332" s="25"/>
      <c r="Q332" s="25"/>
      <c r="R332" s="25"/>
      <c r="S332" s="25"/>
      <c r="T332" s="25"/>
      <c r="U332" s="25"/>
      <c r="V332" s="25"/>
      <c r="W332" s="25"/>
    </row>
    <row r="333" spans="2:23" x14ac:dyDescent="0.25">
      <c r="B333" s="25"/>
      <c r="C333" s="25"/>
      <c r="D333" s="25"/>
      <c r="E333" s="25"/>
      <c r="F333" s="49"/>
      <c r="G333" s="25"/>
      <c r="H333" s="40"/>
      <c r="I333" s="49"/>
      <c r="K333" s="36"/>
      <c r="L333" s="25"/>
      <c r="M333" s="25"/>
      <c r="N333" s="25"/>
      <c r="O333" s="25"/>
      <c r="P333" s="25"/>
      <c r="Q333" s="25"/>
      <c r="R333" s="25"/>
      <c r="S333" s="25"/>
      <c r="T333" s="25"/>
      <c r="U333" s="25"/>
      <c r="V333" s="25"/>
      <c r="W333" s="25"/>
    </row>
    <row r="334" spans="2:23" x14ac:dyDescent="0.25">
      <c r="B334" s="25"/>
      <c r="C334" s="25"/>
      <c r="D334" s="25"/>
      <c r="E334" s="25"/>
      <c r="F334" s="49"/>
      <c r="G334" s="25"/>
      <c r="H334" s="40"/>
      <c r="I334" s="49"/>
      <c r="K334" s="36"/>
      <c r="L334" s="25"/>
      <c r="M334" s="25"/>
      <c r="N334" s="25"/>
      <c r="O334" s="25"/>
      <c r="P334" s="25"/>
      <c r="Q334" s="25"/>
      <c r="R334" s="25"/>
      <c r="S334" s="25"/>
      <c r="T334" s="25"/>
      <c r="U334" s="25"/>
      <c r="V334" s="25"/>
      <c r="W334" s="25"/>
    </row>
    <row r="335" spans="2:23" x14ac:dyDescent="0.25">
      <c r="B335" s="25"/>
      <c r="C335" s="25"/>
      <c r="D335" s="25"/>
      <c r="E335" s="25"/>
      <c r="F335" s="49"/>
      <c r="G335" s="25"/>
      <c r="H335" s="40"/>
      <c r="I335" s="49"/>
      <c r="K335" s="36"/>
      <c r="L335" s="25"/>
      <c r="M335" s="25"/>
      <c r="N335" s="25"/>
      <c r="O335" s="25"/>
      <c r="P335" s="25"/>
      <c r="Q335" s="25"/>
      <c r="R335" s="25"/>
      <c r="S335" s="25"/>
      <c r="T335" s="25"/>
      <c r="U335" s="25"/>
      <c r="V335" s="25"/>
      <c r="W335" s="25"/>
    </row>
    <row r="336" spans="2:23" x14ac:dyDescent="0.25">
      <c r="B336" s="25"/>
      <c r="C336" s="25"/>
      <c r="D336" s="25"/>
      <c r="E336" s="25"/>
      <c r="F336" s="49"/>
      <c r="G336" s="25"/>
      <c r="H336" s="40"/>
      <c r="I336" s="49"/>
      <c r="K336" s="36"/>
      <c r="L336" s="25"/>
      <c r="M336" s="25"/>
      <c r="N336" s="25"/>
      <c r="O336" s="25"/>
      <c r="P336" s="25"/>
      <c r="Q336" s="25"/>
      <c r="R336" s="25"/>
      <c r="S336" s="25"/>
      <c r="T336" s="25"/>
      <c r="U336" s="25"/>
      <c r="V336" s="25"/>
      <c r="W336" s="25"/>
    </row>
    <row r="337" spans="2:23" x14ac:dyDescent="0.25">
      <c r="B337" s="25"/>
      <c r="C337" s="25"/>
      <c r="D337" s="25"/>
      <c r="E337" s="25"/>
      <c r="F337" s="49"/>
      <c r="G337" s="25"/>
      <c r="H337" s="40"/>
      <c r="I337" s="49"/>
      <c r="K337" s="36"/>
      <c r="L337" s="25"/>
      <c r="M337" s="25"/>
      <c r="N337" s="25"/>
      <c r="O337" s="25"/>
      <c r="P337" s="25"/>
      <c r="Q337" s="25"/>
      <c r="R337" s="25"/>
      <c r="S337" s="25"/>
      <c r="T337" s="25"/>
      <c r="U337" s="25"/>
      <c r="V337" s="25"/>
      <c r="W337" s="25"/>
    </row>
    <row r="338" spans="2:23" x14ac:dyDescent="0.25">
      <c r="B338" s="25"/>
      <c r="C338" s="25"/>
      <c r="D338" s="25"/>
      <c r="E338" s="25"/>
      <c r="F338" s="49"/>
      <c r="G338" s="25"/>
      <c r="H338" s="40"/>
      <c r="I338" s="49"/>
      <c r="K338" s="36"/>
      <c r="L338" s="25"/>
      <c r="M338" s="25"/>
      <c r="N338" s="25"/>
      <c r="O338" s="25"/>
      <c r="P338" s="25"/>
      <c r="Q338" s="25"/>
      <c r="R338" s="25"/>
      <c r="S338" s="25"/>
      <c r="T338" s="25"/>
      <c r="U338" s="25"/>
      <c r="V338" s="25"/>
      <c r="W338" s="25"/>
    </row>
    <row r="339" spans="2:23" x14ac:dyDescent="0.25">
      <c r="B339" s="25"/>
      <c r="C339" s="25"/>
      <c r="D339" s="25"/>
      <c r="E339" s="25"/>
      <c r="F339" s="49"/>
      <c r="G339" s="25"/>
      <c r="H339" s="40"/>
      <c r="I339" s="49"/>
      <c r="K339" s="36"/>
      <c r="L339" s="25"/>
      <c r="M339" s="25"/>
      <c r="N339" s="25"/>
      <c r="O339" s="25"/>
      <c r="P339" s="25"/>
      <c r="Q339" s="25"/>
      <c r="R339" s="25"/>
      <c r="S339" s="25"/>
      <c r="T339" s="25"/>
      <c r="U339" s="25"/>
      <c r="V339" s="25"/>
      <c r="W339" s="25"/>
    </row>
    <row r="340" spans="2:23" x14ac:dyDescent="0.25">
      <c r="B340" s="25"/>
      <c r="C340" s="25"/>
      <c r="D340" s="25"/>
      <c r="E340" s="25"/>
      <c r="F340" s="49"/>
      <c r="G340" s="25"/>
      <c r="H340" s="40"/>
      <c r="I340" s="49"/>
      <c r="K340" s="36"/>
      <c r="L340" s="25"/>
      <c r="M340" s="25"/>
      <c r="N340" s="25"/>
      <c r="O340" s="25"/>
      <c r="P340" s="25"/>
      <c r="Q340" s="25"/>
      <c r="R340" s="25"/>
      <c r="S340" s="25"/>
      <c r="T340" s="25"/>
      <c r="U340" s="25"/>
      <c r="V340" s="25"/>
      <c r="W340" s="25"/>
    </row>
    <row r="341" spans="2:23" x14ac:dyDescent="0.25">
      <c r="B341" s="25"/>
      <c r="C341" s="25"/>
      <c r="D341" s="25"/>
      <c r="E341" s="25"/>
      <c r="F341" s="49"/>
      <c r="G341" s="25"/>
      <c r="H341" s="40"/>
      <c r="I341" s="49"/>
      <c r="K341" s="36"/>
      <c r="L341" s="25"/>
      <c r="M341" s="25"/>
      <c r="N341" s="25"/>
      <c r="O341" s="25"/>
      <c r="P341" s="25"/>
      <c r="Q341" s="25"/>
      <c r="R341" s="25"/>
      <c r="S341" s="25"/>
      <c r="T341" s="25"/>
      <c r="U341" s="25"/>
      <c r="V341" s="25"/>
      <c r="W341" s="25"/>
    </row>
    <row r="342" spans="2:23" x14ac:dyDescent="0.25">
      <c r="B342" s="25"/>
      <c r="C342" s="25"/>
      <c r="D342" s="25"/>
      <c r="E342" s="25"/>
      <c r="F342" s="49"/>
      <c r="G342" s="25"/>
      <c r="H342" s="40"/>
      <c r="I342" s="49"/>
      <c r="K342" s="36"/>
      <c r="L342" s="25"/>
      <c r="M342" s="25"/>
      <c r="N342" s="25"/>
      <c r="O342" s="25"/>
      <c r="P342" s="25"/>
      <c r="Q342" s="25"/>
      <c r="R342" s="25"/>
      <c r="S342" s="25"/>
      <c r="T342" s="25"/>
      <c r="U342" s="25"/>
      <c r="V342" s="25"/>
      <c r="W342" s="25"/>
    </row>
    <row r="343" spans="2:23" x14ac:dyDescent="0.25">
      <c r="B343" s="25"/>
      <c r="C343" s="25"/>
      <c r="D343" s="25"/>
      <c r="E343" s="25"/>
      <c r="F343" s="49"/>
      <c r="G343" s="25"/>
      <c r="H343" s="40"/>
      <c r="I343" s="49"/>
      <c r="K343" s="36"/>
      <c r="L343" s="25"/>
      <c r="M343" s="25"/>
      <c r="N343" s="25"/>
      <c r="O343" s="25"/>
      <c r="P343" s="25"/>
      <c r="Q343" s="25"/>
      <c r="R343" s="25"/>
      <c r="S343" s="25"/>
      <c r="T343" s="25"/>
      <c r="U343" s="25"/>
      <c r="V343" s="25"/>
      <c r="W343" s="25"/>
    </row>
    <row r="344" spans="2:23" x14ac:dyDescent="0.25">
      <c r="B344" s="25"/>
      <c r="C344" s="25"/>
      <c r="D344" s="25"/>
      <c r="E344" s="25"/>
      <c r="F344" s="49"/>
      <c r="G344" s="25"/>
      <c r="H344" s="40"/>
      <c r="I344" s="49"/>
      <c r="K344" s="36"/>
      <c r="L344" s="25"/>
      <c r="M344" s="25"/>
      <c r="N344" s="25"/>
      <c r="O344" s="25"/>
      <c r="P344" s="25"/>
      <c r="Q344" s="25"/>
      <c r="R344" s="25"/>
      <c r="S344" s="25"/>
      <c r="T344" s="25"/>
      <c r="U344" s="25"/>
      <c r="V344" s="25"/>
      <c r="W344" s="25"/>
    </row>
    <row r="345" spans="2:23" x14ac:dyDescent="0.25">
      <c r="B345" s="25"/>
      <c r="C345" s="25"/>
      <c r="D345" s="25"/>
      <c r="E345" s="25"/>
      <c r="F345" s="49"/>
      <c r="G345" s="25"/>
      <c r="H345" s="40"/>
      <c r="I345" s="49"/>
      <c r="K345" s="36"/>
      <c r="L345" s="25"/>
      <c r="M345" s="25"/>
      <c r="N345" s="25"/>
      <c r="O345" s="25"/>
      <c r="P345" s="25"/>
      <c r="Q345" s="25"/>
      <c r="R345" s="25"/>
      <c r="S345" s="25"/>
      <c r="T345" s="25"/>
      <c r="U345" s="25"/>
      <c r="V345" s="25"/>
      <c r="W345" s="25"/>
    </row>
    <row r="346" spans="2:23" x14ac:dyDescent="0.25">
      <c r="B346" s="25"/>
      <c r="C346" s="25"/>
      <c r="D346" s="25"/>
      <c r="E346" s="25"/>
      <c r="F346" s="49"/>
      <c r="G346" s="25"/>
      <c r="H346" s="40"/>
      <c r="I346" s="49"/>
      <c r="K346" s="36"/>
      <c r="L346" s="25"/>
      <c r="M346" s="25"/>
      <c r="N346" s="25"/>
      <c r="O346" s="25"/>
      <c r="P346" s="25"/>
      <c r="Q346" s="25"/>
      <c r="R346" s="25"/>
      <c r="S346" s="25"/>
      <c r="T346" s="25"/>
      <c r="U346" s="25"/>
      <c r="V346" s="25"/>
      <c r="W346" s="25"/>
    </row>
    <row r="347" spans="2:23" x14ac:dyDescent="0.25">
      <c r="B347" s="25"/>
      <c r="C347" s="25"/>
      <c r="D347" s="25"/>
      <c r="E347" s="25"/>
      <c r="F347" s="49"/>
      <c r="G347" s="25"/>
      <c r="H347" s="40"/>
      <c r="I347" s="49"/>
      <c r="K347" s="36"/>
      <c r="L347" s="25"/>
      <c r="M347" s="25"/>
      <c r="N347" s="25"/>
      <c r="O347" s="25"/>
      <c r="P347" s="25"/>
      <c r="Q347" s="25"/>
      <c r="R347" s="25"/>
      <c r="S347" s="25"/>
      <c r="T347" s="25"/>
      <c r="U347" s="25"/>
      <c r="V347" s="25"/>
      <c r="W347" s="25"/>
    </row>
    <row r="348" spans="2:23" x14ac:dyDescent="0.25">
      <c r="B348" s="25"/>
      <c r="C348" s="25"/>
      <c r="D348" s="25"/>
      <c r="E348" s="25"/>
      <c r="F348" s="49"/>
      <c r="G348" s="25"/>
      <c r="H348" s="40"/>
      <c r="I348" s="49"/>
      <c r="K348" s="36"/>
      <c r="L348" s="25"/>
      <c r="M348" s="25"/>
      <c r="N348" s="25"/>
      <c r="O348" s="25"/>
      <c r="P348" s="25"/>
      <c r="Q348" s="25"/>
      <c r="R348" s="25"/>
      <c r="S348" s="25"/>
      <c r="T348" s="25"/>
      <c r="U348" s="25"/>
      <c r="V348" s="25"/>
      <c r="W348" s="25"/>
    </row>
    <row r="349" spans="2:23" x14ac:dyDescent="0.25">
      <c r="B349" s="25"/>
      <c r="C349" s="25"/>
      <c r="D349" s="25"/>
      <c r="E349" s="25"/>
      <c r="F349" s="49"/>
      <c r="G349" s="25"/>
      <c r="H349" s="40"/>
      <c r="I349" s="49"/>
      <c r="K349" s="36"/>
      <c r="L349" s="25"/>
      <c r="M349" s="25"/>
      <c r="N349" s="25"/>
      <c r="O349" s="25"/>
      <c r="P349" s="25"/>
      <c r="Q349" s="25"/>
      <c r="R349" s="25"/>
      <c r="S349" s="25"/>
      <c r="T349" s="25"/>
      <c r="U349" s="25"/>
      <c r="V349" s="25"/>
      <c r="W349" s="25"/>
    </row>
    <row r="350" spans="2:23" x14ac:dyDescent="0.25">
      <c r="B350" s="25"/>
      <c r="C350" s="25"/>
      <c r="D350" s="25"/>
      <c r="E350" s="25"/>
      <c r="F350" s="49"/>
      <c r="G350" s="25"/>
      <c r="H350" s="40"/>
      <c r="I350" s="49"/>
      <c r="K350" s="36"/>
      <c r="L350" s="25"/>
      <c r="M350" s="25"/>
      <c r="N350" s="25"/>
      <c r="O350" s="25"/>
      <c r="P350" s="25"/>
      <c r="Q350" s="25"/>
      <c r="R350" s="25"/>
      <c r="S350" s="25"/>
      <c r="T350" s="25"/>
      <c r="U350" s="25"/>
      <c r="V350" s="25"/>
      <c r="W350" s="25"/>
    </row>
    <row r="351" spans="2:23" x14ac:dyDescent="0.25">
      <c r="B351" s="25"/>
      <c r="C351" s="25"/>
      <c r="D351" s="25"/>
      <c r="E351" s="25"/>
      <c r="F351" s="49"/>
      <c r="G351" s="25"/>
      <c r="H351" s="40"/>
      <c r="I351" s="49"/>
      <c r="K351" s="36"/>
      <c r="L351" s="25"/>
      <c r="M351" s="25"/>
      <c r="N351" s="25"/>
      <c r="O351" s="25"/>
      <c r="P351" s="25"/>
      <c r="Q351" s="25"/>
      <c r="R351" s="25"/>
      <c r="S351" s="25"/>
      <c r="T351" s="25"/>
      <c r="U351" s="25"/>
      <c r="V351" s="25"/>
      <c r="W351" s="25"/>
    </row>
    <row r="352" spans="2:23" x14ac:dyDescent="0.25">
      <c r="B352" s="25"/>
      <c r="C352" s="25"/>
      <c r="D352" s="25"/>
      <c r="E352" s="25"/>
      <c r="F352" s="49"/>
      <c r="G352" s="25"/>
      <c r="H352" s="40"/>
      <c r="I352" s="49"/>
      <c r="K352" s="36"/>
      <c r="L352" s="25"/>
      <c r="M352" s="25"/>
      <c r="N352" s="25"/>
      <c r="O352" s="25"/>
      <c r="P352" s="25"/>
      <c r="Q352" s="25"/>
      <c r="R352" s="25"/>
      <c r="S352" s="25"/>
      <c r="T352" s="25"/>
      <c r="U352" s="25"/>
      <c r="V352" s="25"/>
      <c r="W352" s="25"/>
    </row>
    <row r="353" spans="2:23" x14ac:dyDescent="0.25">
      <c r="B353" s="25"/>
      <c r="C353" s="25"/>
      <c r="D353" s="25"/>
      <c r="E353" s="25"/>
      <c r="F353" s="49"/>
      <c r="G353" s="25"/>
      <c r="H353" s="40"/>
      <c r="I353" s="49"/>
      <c r="K353" s="36"/>
      <c r="L353" s="25"/>
      <c r="M353" s="25"/>
      <c r="N353" s="25"/>
      <c r="O353" s="25"/>
      <c r="P353" s="25"/>
      <c r="Q353" s="25"/>
      <c r="R353" s="25"/>
      <c r="S353" s="25"/>
      <c r="T353" s="25"/>
      <c r="U353" s="25"/>
      <c r="V353" s="25"/>
      <c r="W353" s="25"/>
    </row>
    <row r="354" spans="2:23" x14ac:dyDescent="0.25">
      <c r="B354" s="25"/>
      <c r="C354" s="25"/>
      <c r="D354" s="25"/>
      <c r="E354" s="25"/>
      <c r="F354" s="49"/>
      <c r="G354" s="25"/>
      <c r="H354" s="40"/>
      <c r="I354" s="49"/>
      <c r="K354" s="36"/>
      <c r="L354" s="25"/>
      <c r="M354" s="25"/>
      <c r="N354" s="25"/>
      <c r="O354" s="25"/>
      <c r="P354" s="25"/>
      <c r="Q354" s="25"/>
      <c r="R354" s="25"/>
      <c r="S354" s="25"/>
      <c r="T354" s="25"/>
      <c r="U354" s="25"/>
      <c r="V354" s="25"/>
      <c r="W354" s="25"/>
    </row>
    <row r="355" spans="2:23" x14ac:dyDescent="0.25">
      <c r="B355" s="25"/>
      <c r="C355" s="25"/>
      <c r="D355" s="25"/>
      <c r="E355" s="25"/>
      <c r="F355" s="49"/>
      <c r="G355" s="25"/>
      <c r="H355" s="40"/>
      <c r="I355" s="49"/>
      <c r="K355" s="36"/>
      <c r="L355" s="25"/>
      <c r="M355" s="25"/>
      <c r="N355" s="25"/>
      <c r="O355" s="25"/>
      <c r="P355" s="25"/>
      <c r="Q355" s="25"/>
      <c r="R355" s="25"/>
      <c r="S355" s="25"/>
      <c r="T355" s="25"/>
      <c r="U355" s="25"/>
      <c r="V355" s="25"/>
      <c r="W355" s="25"/>
    </row>
    <row r="356" spans="2:23" x14ac:dyDescent="0.25">
      <c r="B356" s="25"/>
      <c r="C356" s="25"/>
      <c r="D356" s="25"/>
      <c r="E356" s="25"/>
      <c r="F356" s="49"/>
      <c r="G356" s="25"/>
      <c r="H356" s="40"/>
      <c r="I356" s="49"/>
      <c r="K356" s="36"/>
      <c r="L356" s="25"/>
      <c r="M356" s="25"/>
      <c r="N356" s="25"/>
      <c r="O356" s="25"/>
      <c r="P356" s="25"/>
      <c r="Q356" s="25"/>
      <c r="R356" s="25"/>
      <c r="S356" s="25"/>
      <c r="T356" s="25"/>
      <c r="U356" s="25"/>
      <c r="V356" s="25"/>
      <c r="W356" s="25"/>
    </row>
    <row r="357" spans="2:23" x14ac:dyDescent="0.25">
      <c r="B357" s="25"/>
      <c r="C357" s="25"/>
      <c r="D357" s="25"/>
      <c r="E357" s="25"/>
      <c r="F357" s="49"/>
      <c r="G357" s="25"/>
      <c r="H357" s="40"/>
      <c r="I357" s="49"/>
      <c r="K357" s="36"/>
      <c r="L357" s="25"/>
      <c r="M357" s="25"/>
      <c r="N357" s="25"/>
      <c r="O357" s="25"/>
      <c r="P357" s="25"/>
      <c r="Q357" s="25"/>
      <c r="R357" s="25"/>
      <c r="S357" s="25"/>
      <c r="T357" s="25"/>
      <c r="U357" s="25"/>
      <c r="V357" s="25"/>
      <c r="W357" s="25"/>
    </row>
    <row r="358" spans="2:23" x14ac:dyDescent="0.25">
      <c r="B358" s="25"/>
      <c r="C358" s="25"/>
      <c r="D358" s="25"/>
      <c r="E358" s="25"/>
      <c r="F358" s="49"/>
      <c r="G358" s="25"/>
      <c r="H358" s="40"/>
      <c r="I358" s="49"/>
      <c r="K358" s="36"/>
      <c r="L358" s="25"/>
      <c r="M358" s="25"/>
      <c r="N358" s="25"/>
      <c r="O358" s="25"/>
      <c r="P358" s="25"/>
      <c r="Q358" s="25"/>
      <c r="R358" s="25"/>
      <c r="S358" s="25"/>
      <c r="T358" s="25"/>
      <c r="U358" s="25"/>
      <c r="V358" s="25"/>
      <c r="W358" s="25"/>
    </row>
    <row r="359" spans="2:23" x14ac:dyDescent="0.25">
      <c r="B359" s="25"/>
      <c r="C359" s="25"/>
      <c r="D359" s="25"/>
      <c r="E359" s="25"/>
      <c r="F359" s="49"/>
      <c r="G359" s="25"/>
      <c r="H359" s="40"/>
      <c r="I359" s="49"/>
      <c r="K359" s="36"/>
      <c r="L359" s="25"/>
      <c r="M359" s="25"/>
      <c r="N359" s="25"/>
      <c r="O359" s="25"/>
      <c r="P359" s="25"/>
      <c r="Q359" s="25"/>
      <c r="R359" s="25"/>
      <c r="S359" s="25"/>
      <c r="T359" s="25"/>
      <c r="U359" s="25"/>
      <c r="V359" s="25"/>
      <c r="W359" s="25"/>
    </row>
    <row r="360" spans="2:23" x14ac:dyDescent="0.25">
      <c r="B360" s="25"/>
      <c r="C360" s="25"/>
      <c r="D360" s="25"/>
      <c r="E360" s="25"/>
      <c r="F360" s="49"/>
      <c r="G360" s="25"/>
      <c r="H360" s="40"/>
      <c r="I360" s="49"/>
      <c r="K360" s="36"/>
      <c r="L360" s="25"/>
      <c r="M360" s="25"/>
      <c r="N360" s="25"/>
      <c r="O360" s="25"/>
      <c r="P360" s="25"/>
      <c r="Q360" s="25"/>
      <c r="R360" s="25"/>
      <c r="S360" s="25"/>
      <c r="T360" s="25"/>
      <c r="U360" s="25"/>
      <c r="V360" s="25"/>
      <c r="W360" s="25"/>
    </row>
    <row r="361" spans="2:23" x14ac:dyDescent="0.25">
      <c r="B361" s="25"/>
      <c r="C361" s="25"/>
      <c r="D361" s="25"/>
      <c r="E361" s="25"/>
      <c r="F361" s="49"/>
      <c r="G361" s="25"/>
      <c r="H361" s="40"/>
      <c r="I361" s="49"/>
      <c r="K361" s="36"/>
      <c r="L361" s="25"/>
      <c r="M361" s="25"/>
      <c r="N361" s="25"/>
      <c r="O361" s="25"/>
      <c r="P361" s="25"/>
      <c r="Q361" s="25"/>
      <c r="R361" s="25"/>
      <c r="S361" s="25"/>
      <c r="T361" s="25"/>
      <c r="U361" s="25"/>
      <c r="V361" s="25"/>
      <c r="W361" s="25"/>
    </row>
    <row r="362" spans="2:23" x14ac:dyDescent="0.25">
      <c r="B362" s="25"/>
      <c r="C362" s="25"/>
      <c r="D362" s="25"/>
      <c r="E362" s="25"/>
      <c r="F362" s="49"/>
      <c r="G362" s="25"/>
      <c r="H362" s="40"/>
      <c r="I362" s="49"/>
      <c r="K362" s="36"/>
      <c r="L362" s="25"/>
      <c r="M362" s="25"/>
      <c r="N362" s="25"/>
      <c r="O362" s="25"/>
      <c r="P362" s="25"/>
      <c r="Q362" s="25"/>
      <c r="R362" s="25"/>
      <c r="S362" s="25"/>
      <c r="T362" s="25"/>
      <c r="U362" s="25"/>
      <c r="V362" s="25"/>
      <c r="W362" s="25"/>
    </row>
    <row r="363" spans="2:23" x14ac:dyDescent="0.25">
      <c r="B363" s="25"/>
      <c r="C363" s="25"/>
      <c r="D363" s="25"/>
      <c r="E363" s="25"/>
      <c r="F363" s="49"/>
      <c r="G363" s="25"/>
      <c r="H363" s="40"/>
      <c r="I363" s="49"/>
      <c r="K363" s="36"/>
      <c r="L363" s="25"/>
      <c r="M363" s="25"/>
      <c r="N363" s="25"/>
      <c r="O363" s="25"/>
      <c r="P363" s="25"/>
      <c r="Q363" s="25"/>
      <c r="R363" s="25"/>
      <c r="S363" s="25"/>
      <c r="T363" s="25"/>
      <c r="U363" s="25"/>
      <c r="V363" s="25"/>
      <c r="W363" s="25"/>
    </row>
    <row r="364" spans="2:23" x14ac:dyDescent="0.25">
      <c r="B364" s="25"/>
      <c r="C364" s="25"/>
      <c r="D364" s="25"/>
      <c r="E364" s="25"/>
      <c r="F364" s="49"/>
      <c r="G364" s="25"/>
      <c r="H364" s="40"/>
      <c r="I364" s="49"/>
      <c r="K364" s="36"/>
      <c r="L364" s="25"/>
      <c r="M364" s="25"/>
      <c r="N364" s="25"/>
      <c r="O364" s="25"/>
      <c r="P364" s="25"/>
      <c r="Q364" s="25"/>
      <c r="R364" s="25"/>
      <c r="S364" s="25"/>
      <c r="T364" s="25"/>
      <c r="U364" s="25"/>
      <c r="V364" s="25"/>
      <c r="W364" s="25"/>
    </row>
    <row r="365" spans="2:23" x14ac:dyDescent="0.25">
      <c r="B365" s="25"/>
      <c r="C365" s="25"/>
      <c r="D365" s="25"/>
      <c r="E365" s="25"/>
      <c r="F365" s="49"/>
      <c r="G365" s="25"/>
      <c r="H365" s="40"/>
      <c r="I365" s="49"/>
      <c r="K365" s="36"/>
      <c r="L365" s="25"/>
      <c r="M365" s="25"/>
      <c r="N365" s="25"/>
      <c r="O365" s="25"/>
      <c r="P365" s="25"/>
      <c r="Q365" s="25"/>
      <c r="R365" s="25"/>
      <c r="S365" s="25"/>
      <c r="T365" s="25"/>
      <c r="U365" s="25"/>
      <c r="V365" s="25"/>
      <c r="W365" s="25"/>
    </row>
    <row r="366" spans="2:23" x14ac:dyDescent="0.25">
      <c r="B366" s="25"/>
      <c r="C366" s="25"/>
      <c r="D366" s="25"/>
      <c r="E366" s="25"/>
      <c r="F366" s="49"/>
      <c r="G366" s="25"/>
      <c r="H366" s="40"/>
      <c r="I366" s="49"/>
      <c r="K366" s="36"/>
      <c r="L366" s="25"/>
      <c r="M366" s="25"/>
      <c r="N366" s="25"/>
      <c r="O366" s="25"/>
      <c r="P366" s="25"/>
      <c r="Q366" s="25"/>
      <c r="R366" s="25"/>
      <c r="S366" s="25"/>
      <c r="T366" s="25"/>
      <c r="U366" s="25"/>
      <c r="V366" s="25"/>
      <c r="W366" s="25"/>
    </row>
    <row r="367" spans="2:23" x14ac:dyDescent="0.25">
      <c r="B367" s="25"/>
      <c r="C367" s="25"/>
      <c r="D367" s="25"/>
      <c r="E367" s="25"/>
      <c r="F367" s="49"/>
      <c r="G367" s="25"/>
      <c r="H367" s="40"/>
      <c r="I367" s="49"/>
      <c r="K367" s="36"/>
      <c r="L367" s="25"/>
      <c r="M367" s="25"/>
      <c r="N367" s="25"/>
      <c r="O367" s="25"/>
      <c r="P367" s="25"/>
      <c r="Q367" s="25"/>
      <c r="R367" s="25"/>
      <c r="S367" s="25"/>
      <c r="T367" s="25"/>
      <c r="U367" s="25"/>
      <c r="V367" s="25"/>
      <c r="W367" s="25"/>
    </row>
    <row r="368" spans="2:23" x14ac:dyDescent="0.25">
      <c r="B368" s="25"/>
      <c r="C368" s="25"/>
      <c r="D368" s="25"/>
      <c r="E368" s="25"/>
      <c r="F368" s="49"/>
      <c r="G368" s="25"/>
      <c r="H368" s="40"/>
      <c r="I368" s="49"/>
      <c r="K368" s="36"/>
      <c r="L368" s="25"/>
      <c r="M368" s="25"/>
      <c r="N368" s="25"/>
      <c r="O368" s="25"/>
      <c r="P368" s="25"/>
      <c r="Q368" s="25"/>
      <c r="R368" s="25"/>
      <c r="S368" s="25"/>
      <c r="T368" s="25"/>
      <c r="U368" s="25"/>
      <c r="V368" s="25"/>
      <c r="W368" s="25"/>
    </row>
    <row r="369" spans="2:23" x14ac:dyDescent="0.25">
      <c r="B369" s="25"/>
      <c r="C369" s="25"/>
      <c r="D369" s="25"/>
      <c r="E369" s="25"/>
      <c r="F369" s="49"/>
      <c r="G369" s="25"/>
      <c r="H369" s="40"/>
      <c r="I369" s="49"/>
      <c r="K369" s="36"/>
      <c r="L369" s="25"/>
      <c r="M369" s="25"/>
      <c r="N369" s="25"/>
      <c r="O369" s="25"/>
      <c r="P369" s="25"/>
      <c r="Q369" s="25"/>
      <c r="R369" s="25"/>
      <c r="S369" s="25"/>
      <c r="T369" s="25"/>
      <c r="U369" s="25"/>
      <c r="V369" s="25"/>
      <c r="W369" s="25"/>
    </row>
    <row r="370" spans="2:23" x14ac:dyDescent="0.25">
      <c r="B370" s="25"/>
      <c r="C370" s="25"/>
      <c r="D370" s="25"/>
      <c r="E370" s="25"/>
      <c r="F370" s="49"/>
      <c r="G370" s="25"/>
      <c r="H370" s="40"/>
      <c r="I370" s="49"/>
      <c r="K370" s="36"/>
      <c r="L370" s="25"/>
      <c r="M370" s="25"/>
      <c r="N370" s="25"/>
      <c r="O370" s="25"/>
      <c r="P370" s="25"/>
      <c r="Q370" s="25"/>
      <c r="R370" s="25"/>
      <c r="S370" s="25"/>
      <c r="T370" s="25"/>
      <c r="U370" s="25"/>
      <c r="V370" s="25"/>
      <c r="W370" s="25"/>
    </row>
    <row r="371" spans="2:23" x14ac:dyDescent="0.25">
      <c r="B371" s="25"/>
      <c r="C371" s="25"/>
      <c r="D371" s="25"/>
      <c r="E371" s="25"/>
      <c r="F371" s="49"/>
      <c r="G371" s="25"/>
      <c r="H371" s="40"/>
      <c r="I371" s="49"/>
      <c r="K371" s="36"/>
      <c r="L371" s="25"/>
      <c r="M371" s="25"/>
      <c r="N371" s="25"/>
      <c r="O371" s="25"/>
      <c r="P371" s="25"/>
      <c r="Q371" s="25"/>
      <c r="R371" s="25"/>
      <c r="S371" s="25"/>
      <c r="T371" s="25"/>
      <c r="U371" s="25"/>
      <c r="V371" s="25"/>
      <c r="W371" s="25"/>
    </row>
    <row r="372" spans="2:23" x14ac:dyDescent="0.25">
      <c r="B372" s="25"/>
      <c r="C372" s="25"/>
      <c r="D372" s="25"/>
      <c r="E372" s="25"/>
      <c r="F372" s="49"/>
      <c r="G372" s="25"/>
      <c r="H372" s="40"/>
      <c r="I372" s="49"/>
      <c r="K372" s="36"/>
      <c r="L372" s="25"/>
      <c r="M372" s="25"/>
      <c r="N372" s="25"/>
      <c r="O372" s="25"/>
      <c r="P372" s="25"/>
      <c r="Q372" s="25"/>
      <c r="R372" s="25"/>
      <c r="S372" s="25"/>
      <c r="T372" s="25"/>
      <c r="U372" s="25"/>
      <c r="V372" s="25"/>
      <c r="W372" s="25"/>
    </row>
    <row r="373" spans="2:23" x14ac:dyDescent="0.25">
      <c r="B373" s="25"/>
      <c r="C373" s="25"/>
      <c r="D373" s="25"/>
      <c r="E373" s="25"/>
      <c r="F373" s="49"/>
      <c r="G373" s="25"/>
      <c r="H373" s="40"/>
      <c r="I373" s="49"/>
      <c r="K373" s="36"/>
      <c r="L373" s="25"/>
      <c r="M373" s="25"/>
      <c r="N373" s="25"/>
      <c r="O373" s="25"/>
      <c r="P373" s="25"/>
      <c r="Q373" s="25"/>
      <c r="R373" s="25"/>
      <c r="S373" s="25"/>
      <c r="T373" s="25"/>
      <c r="U373" s="25"/>
      <c r="V373" s="25"/>
      <c r="W373" s="25"/>
    </row>
    <row r="374" spans="2:23" x14ac:dyDescent="0.25">
      <c r="B374" s="25"/>
      <c r="C374" s="25"/>
      <c r="D374" s="25"/>
      <c r="E374" s="25"/>
      <c r="F374" s="49"/>
      <c r="G374" s="25"/>
      <c r="H374" s="40"/>
      <c r="I374" s="49"/>
      <c r="K374" s="36"/>
      <c r="L374" s="25"/>
      <c r="M374" s="25"/>
      <c r="N374" s="25"/>
      <c r="O374" s="25"/>
      <c r="P374" s="25"/>
      <c r="Q374" s="25"/>
      <c r="R374" s="25"/>
      <c r="S374" s="25"/>
      <c r="T374" s="25"/>
      <c r="U374" s="25"/>
      <c r="V374" s="25"/>
      <c r="W374" s="25"/>
    </row>
    <row r="375" spans="2:23" x14ac:dyDescent="0.25">
      <c r="B375" s="25"/>
      <c r="C375" s="25"/>
      <c r="D375" s="25"/>
      <c r="E375" s="25"/>
      <c r="F375" s="49"/>
      <c r="G375" s="25"/>
      <c r="H375" s="40"/>
      <c r="I375" s="49"/>
      <c r="K375" s="36"/>
      <c r="L375" s="25"/>
      <c r="M375" s="25"/>
      <c r="N375" s="25"/>
      <c r="O375" s="25"/>
      <c r="P375" s="25"/>
      <c r="Q375" s="25"/>
      <c r="R375" s="25"/>
      <c r="S375" s="25"/>
      <c r="T375" s="25"/>
      <c r="U375" s="25"/>
      <c r="V375" s="25"/>
      <c r="W375" s="25"/>
    </row>
    <row r="376" spans="2:23" x14ac:dyDescent="0.25">
      <c r="B376" s="25"/>
      <c r="C376" s="25"/>
      <c r="D376" s="25"/>
      <c r="E376" s="25"/>
      <c r="F376" s="49"/>
      <c r="G376" s="25"/>
      <c r="H376" s="40"/>
      <c r="I376" s="49"/>
      <c r="K376" s="36"/>
      <c r="L376" s="25"/>
      <c r="M376" s="25"/>
      <c r="N376" s="25"/>
      <c r="O376" s="25"/>
      <c r="P376" s="25"/>
      <c r="Q376" s="25"/>
      <c r="R376" s="25"/>
      <c r="S376" s="25"/>
      <c r="T376" s="25"/>
      <c r="U376" s="25"/>
      <c r="V376" s="25"/>
      <c r="W376" s="25"/>
    </row>
    <row r="377" spans="2:23" x14ac:dyDescent="0.25">
      <c r="B377" s="25"/>
      <c r="C377" s="25"/>
      <c r="D377" s="25"/>
      <c r="E377" s="25"/>
      <c r="F377" s="49"/>
      <c r="G377" s="25"/>
      <c r="H377" s="40"/>
      <c r="I377" s="49"/>
      <c r="K377" s="36"/>
      <c r="L377" s="25"/>
      <c r="M377" s="25"/>
      <c r="N377" s="25"/>
      <c r="O377" s="25"/>
      <c r="P377" s="25"/>
      <c r="Q377" s="25"/>
      <c r="R377" s="25"/>
      <c r="S377" s="25"/>
      <c r="T377" s="25"/>
      <c r="U377" s="25"/>
      <c r="V377" s="25"/>
      <c r="W377" s="25"/>
    </row>
    <row r="378" spans="2:23" x14ac:dyDescent="0.25">
      <c r="B378" s="25"/>
      <c r="C378" s="25"/>
      <c r="D378" s="25"/>
      <c r="E378" s="25"/>
      <c r="F378" s="49"/>
      <c r="G378" s="25"/>
      <c r="H378" s="40"/>
      <c r="I378" s="49"/>
      <c r="K378" s="36"/>
      <c r="L378" s="25"/>
      <c r="M378" s="25"/>
      <c r="N378" s="25"/>
      <c r="O378" s="25"/>
      <c r="P378" s="25"/>
      <c r="Q378" s="25"/>
      <c r="R378" s="25"/>
      <c r="S378" s="25"/>
      <c r="T378" s="25"/>
      <c r="U378" s="25"/>
      <c r="V378" s="25"/>
      <c r="W378" s="25"/>
    </row>
    <row r="379" spans="2:23" x14ac:dyDescent="0.25">
      <c r="B379" s="25"/>
      <c r="C379" s="25"/>
      <c r="D379" s="25"/>
      <c r="E379" s="25"/>
      <c r="F379" s="49"/>
      <c r="G379" s="25"/>
      <c r="H379" s="40"/>
      <c r="I379" s="49"/>
      <c r="K379" s="36"/>
      <c r="L379" s="25"/>
      <c r="M379" s="25"/>
      <c r="N379" s="25"/>
      <c r="O379" s="25"/>
      <c r="P379" s="25"/>
      <c r="Q379" s="25"/>
      <c r="R379" s="25"/>
      <c r="S379" s="25"/>
      <c r="T379" s="25"/>
      <c r="U379" s="25"/>
      <c r="V379" s="25"/>
      <c r="W379" s="25"/>
    </row>
    <row r="380" spans="2:23" x14ac:dyDescent="0.25">
      <c r="B380" s="25"/>
      <c r="C380" s="25"/>
      <c r="D380" s="25"/>
      <c r="E380" s="25"/>
      <c r="F380" s="49"/>
      <c r="G380" s="25"/>
      <c r="H380" s="40"/>
      <c r="I380" s="49"/>
      <c r="K380" s="36"/>
      <c r="L380" s="25"/>
      <c r="M380" s="25"/>
      <c r="N380" s="25"/>
      <c r="O380" s="25"/>
      <c r="P380" s="25"/>
      <c r="Q380" s="25"/>
      <c r="R380" s="25"/>
      <c r="S380" s="25"/>
      <c r="T380" s="25"/>
      <c r="U380" s="25"/>
      <c r="V380" s="25"/>
      <c r="W380" s="25"/>
    </row>
    <row r="381" spans="2:23" x14ac:dyDescent="0.25">
      <c r="B381" s="25"/>
      <c r="C381" s="25"/>
      <c r="D381" s="25"/>
      <c r="E381" s="25"/>
      <c r="F381" s="49"/>
      <c r="G381" s="25"/>
      <c r="H381" s="40"/>
      <c r="I381" s="49"/>
      <c r="K381" s="36"/>
      <c r="L381" s="25"/>
      <c r="M381" s="25"/>
      <c r="N381" s="25"/>
      <c r="O381" s="25"/>
      <c r="P381" s="25"/>
      <c r="Q381" s="25"/>
      <c r="R381" s="25"/>
      <c r="S381" s="25"/>
      <c r="T381" s="25"/>
      <c r="U381" s="25"/>
      <c r="V381" s="25"/>
      <c r="W381" s="25"/>
    </row>
    <row r="382" spans="2:23" x14ac:dyDescent="0.25">
      <c r="B382" s="25"/>
      <c r="C382" s="25"/>
      <c r="D382" s="25"/>
      <c r="E382" s="25"/>
      <c r="F382" s="49"/>
      <c r="G382" s="25"/>
      <c r="H382" s="40"/>
      <c r="I382" s="49"/>
      <c r="K382" s="36"/>
      <c r="L382" s="25"/>
      <c r="M382" s="25"/>
      <c r="N382" s="25"/>
      <c r="O382" s="25"/>
      <c r="P382" s="25"/>
      <c r="Q382" s="25"/>
      <c r="R382" s="25"/>
      <c r="S382" s="25"/>
      <c r="T382" s="25"/>
      <c r="U382" s="25"/>
      <c r="V382" s="25"/>
      <c r="W382" s="25"/>
    </row>
    <row r="383" spans="2:23" x14ac:dyDescent="0.25">
      <c r="B383" s="25"/>
      <c r="C383" s="25"/>
      <c r="D383" s="25"/>
      <c r="E383" s="25"/>
      <c r="F383" s="49"/>
      <c r="G383" s="25"/>
      <c r="H383" s="40"/>
      <c r="I383" s="49"/>
      <c r="K383" s="36"/>
      <c r="L383" s="25"/>
      <c r="M383" s="25"/>
      <c r="N383" s="25"/>
      <c r="O383" s="25"/>
      <c r="P383" s="25"/>
      <c r="Q383" s="25"/>
      <c r="R383" s="25"/>
      <c r="S383" s="25"/>
      <c r="T383" s="25"/>
      <c r="U383" s="25"/>
      <c r="V383" s="25"/>
      <c r="W383" s="25"/>
    </row>
    <row r="384" spans="2:23" x14ac:dyDescent="0.25">
      <c r="B384" s="25"/>
      <c r="C384" s="25"/>
      <c r="D384" s="25"/>
      <c r="E384" s="25"/>
      <c r="F384" s="49"/>
      <c r="G384" s="25"/>
      <c r="H384" s="40"/>
      <c r="I384" s="49"/>
      <c r="K384" s="36"/>
      <c r="L384" s="25"/>
      <c r="M384" s="25"/>
      <c r="N384" s="25"/>
      <c r="O384" s="25"/>
      <c r="P384" s="25"/>
      <c r="Q384" s="25"/>
      <c r="R384" s="25"/>
      <c r="S384" s="25"/>
      <c r="T384" s="25"/>
      <c r="U384" s="25"/>
      <c r="V384" s="25"/>
      <c r="W384" s="25"/>
    </row>
    <row r="385" spans="2:23" x14ac:dyDescent="0.25">
      <c r="B385" s="25"/>
      <c r="C385" s="25"/>
      <c r="D385" s="25"/>
      <c r="E385" s="25"/>
      <c r="F385" s="49"/>
      <c r="G385" s="25"/>
      <c r="H385" s="40"/>
      <c r="I385" s="49"/>
      <c r="K385" s="36"/>
      <c r="L385" s="25"/>
      <c r="M385" s="25"/>
      <c r="N385" s="25"/>
      <c r="O385" s="25"/>
      <c r="P385" s="25"/>
      <c r="Q385" s="25"/>
      <c r="R385" s="25"/>
      <c r="S385" s="25"/>
      <c r="T385" s="25"/>
      <c r="U385" s="25"/>
      <c r="V385" s="25"/>
      <c r="W385" s="25"/>
    </row>
    <row r="386" spans="2:23" x14ac:dyDescent="0.25">
      <c r="B386" s="25"/>
      <c r="C386" s="25"/>
      <c r="D386" s="25"/>
      <c r="E386" s="25"/>
      <c r="F386" s="49"/>
      <c r="G386" s="25"/>
      <c r="H386" s="40"/>
      <c r="I386" s="49"/>
      <c r="K386" s="36"/>
      <c r="L386" s="25"/>
      <c r="M386" s="25"/>
      <c r="N386" s="25"/>
      <c r="O386" s="25"/>
      <c r="P386" s="25"/>
      <c r="Q386" s="25"/>
      <c r="R386" s="25"/>
      <c r="S386" s="25"/>
      <c r="T386" s="25"/>
      <c r="U386" s="25"/>
      <c r="V386" s="25"/>
      <c r="W386" s="25"/>
    </row>
    <row r="387" spans="2:23" x14ac:dyDescent="0.25">
      <c r="B387" s="25"/>
      <c r="C387" s="25"/>
      <c r="D387" s="25"/>
      <c r="E387" s="25"/>
      <c r="F387" s="49"/>
      <c r="G387" s="25"/>
      <c r="H387" s="40"/>
      <c r="I387" s="49"/>
      <c r="K387" s="36"/>
      <c r="L387" s="25"/>
      <c r="M387" s="25"/>
      <c r="N387" s="25"/>
      <c r="O387" s="25"/>
      <c r="P387" s="25"/>
      <c r="Q387" s="25"/>
      <c r="R387" s="25"/>
      <c r="S387" s="25"/>
      <c r="T387" s="25"/>
      <c r="U387" s="25"/>
      <c r="V387" s="25"/>
      <c r="W387" s="25"/>
    </row>
    <row r="388" spans="2:23" x14ac:dyDescent="0.25">
      <c r="B388" s="25"/>
      <c r="C388" s="25"/>
      <c r="D388" s="25"/>
      <c r="E388" s="25"/>
      <c r="F388" s="49"/>
      <c r="G388" s="25"/>
      <c r="H388" s="40"/>
      <c r="I388" s="49"/>
      <c r="K388" s="36"/>
      <c r="L388" s="25"/>
      <c r="M388" s="25"/>
      <c r="N388" s="25"/>
      <c r="O388" s="25"/>
      <c r="P388" s="25"/>
      <c r="Q388" s="25"/>
      <c r="R388" s="25"/>
      <c r="S388" s="25"/>
      <c r="T388" s="25"/>
      <c r="U388" s="25"/>
      <c r="V388" s="25"/>
      <c r="W388" s="25"/>
    </row>
    <row r="389" spans="2:23" x14ac:dyDescent="0.25">
      <c r="B389" s="25"/>
      <c r="C389" s="25"/>
      <c r="D389" s="25"/>
      <c r="E389" s="25"/>
      <c r="F389" s="49"/>
      <c r="G389" s="25"/>
      <c r="H389" s="40"/>
      <c r="I389" s="49"/>
      <c r="K389" s="36"/>
      <c r="L389" s="25"/>
      <c r="M389" s="25"/>
      <c r="N389" s="25"/>
      <c r="O389" s="25"/>
      <c r="P389" s="25"/>
      <c r="Q389" s="25"/>
      <c r="R389" s="25"/>
      <c r="S389" s="25"/>
      <c r="T389" s="25"/>
      <c r="U389" s="25"/>
      <c r="V389" s="25"/>
      <c r="W389" s="25"/>
    </row>
    <row r="390" spans="2:23" x14ac:dyDescent="0.25">
      <c r="B390" s="25"/>
      <c r="C390" s="25"/>
      <c r="D390" s="25"/>
      <c r="E390" s="25"/>
      <c r="F390" s="49"/>
      <c r="G390" s="25"/>
      <c r="H390" s="40"/>
      <c r="I390" s="49"/>
      <c r="K390" s="36"/>
      <c r="L390" s="25"/>
      <c r="M390" s="25"/>
      <c r="N390" s="25"/>
      <c r="O390" s="25"/>
      <c r="P390" s="25"/>
      <c r="Q390" s="25"/>
      <c r="R390" s="25"/>
      <c r="S390" s="25"/>
      <c r="T390" s="25"/>
      <c r="U390" s="25"/>
      <c r="V390" s="25"/>
      <c r="W390" s="25"/>
    </row>
    <row r="391" spans="2:23" x14ac:dyDescent="0.25">
      <c r="B391" s="25"/>
      <c r="C391" s="25"/>
      <c r="D391" s="25"/>
      <c r="E391" s="25"/>
      <c r="F391" s="49"/>
      <c r="G391" s="25"/>
      <c r="H391" s="40"/>
      <c r="I391" s="49"/>
      <c r="K391" s="36"/>
      <c r="L391" s="25"/>
      <c r="M391" s="25"/>
      <c r="N391" s="25"/>
      <c r="O391" s="25"/>
      <c r="P391" s="25"/>
      <c r="Q391" s="25"/>
      <c r="R391" s="25"/>
      <c r="S391" s="25"/>
      <c r="T391" s="25"/>
      <c r="U391" s="25"/>
      <c r="V391" s="25"/>
      <c r="W391" s="25"/>
    </row>
    <row r="392" spans="2:23" x14ac:dyDescent="0.25">
      <c r="B392" s="25"/>
      <c r="C392" s="25"/>
      <c r="D392" s="25"/>
      <c r="E392" s="25"/>
      <c r="F392" s="49"/>
      <c r="G392" s="25"/>
      <c r="H392" s="40"/>
      <c r="I392" s="49"/>
      <c r="K392" s="36"/>
      <c r="L392" s="25"/>
      <c r="M392" s="25"/>
      <c r="N392" s="25"/>
      <c r="O392" s="25"/>
      <c r="P392" s="25"/>
      <c r="Q392" s="25"/>
      <c r="R392" s="25"/>
      <c r="S392" s="25"/>
      <c r="T392" s="25"/>
      <c r="U392" s="25"/>
      <c r="V392" s="25"/>
      <c r="W392" s="25"/>
    </row>
    <row r="393" spans="2:23" x14ac:dyDescent="0.25">
      <c r="B393" s="25"/>
      <c r="C393" s="25"/>
      <c r="D393" s="25"/>
      <c r="E393" s="25"/>
      <c r="F393" s="49"/>
      <c r="G393" s="25"/>
      <c r="H393" s="40"/>
      <c r="I393" s="49"/>
      <c r="K393" s="36"/>
      <c r="L393" s="25"/>
      <c r="M393" s="25"/>
      <c r="N393" s="25"/>
      <c r="O393" s="25"/>
      <c r="P393" s="25"/>
      <c r="Q393" s="25"/>
      <c r="R393" s="25"/>
      <c r="S393" s="25"/>
      <c r="T393" s="25"/>
      <c r="U393" s="25"/>
      <c r="V393" s="25"/>
      <c r="W393" s="25"/>
    </row>
    <row r="394" spans="2:23" x14ac:dyDescent="0.25">
      <c r="B394" s="25"/>
      <c r="C394" s="25"/>
      <c r="D394" s="25"/>
      <c r="E394" s="25"/>
      <c r="F394" s="49"/>
      <c r="G394" s="25"/>
      <c r="H394" s="40"/>
      <c r="I394" s="49"/>
      <c r="K394" s="36"/>
      <c r="L394" s="25"/>
      <c r="M394" s="25"/>
      <c r="N394" s="25"/>
      <c r="O394" s="25"/>
      <c r="P394" s="25"/>
      <c r="Q394" s="25"/>
      <c r="R394" s="25"/>
      <c r="S394" s="25"/>
      <c r="T394" s="25"/>
      <c r="U394" s="25"/>
      <c r="V394" s="25"/>
      <c r="W394" s="25"/>
    </row>
    <row r="395" spans="2:23" x14ac:dyDescent="0.25">
      <c r="B395" s="25"/>
      <c r="C395" s="25"/>
      <c r="D395" s="25"/>
      <c r="E395" s="25"/>
      <c r="F395" s="49"/>
      <c r="G395" s="25"/>
      <c r="H395" s="40"/>
      <c r="I395" s="49"/>
      <c r="K395" s="36"/>
      <c r="L395" s="25"/>
      <c r="M395" s="25"/>
      <c r="N395" s="25"/>
      <c r="O395" s="25"/>
      <c r="P395" s="25"/>
      <c r="Q395" s="25"/>
      <c r="R395" s="25"/>
      <c r="S395" s="25"/>
      <c r="T395" s="25"/>
      <c r="U395" s="25"/>
      <c r="V395" s="25"/>
      <c r="W395" s="25"/>
    </row>
    <row r="396" spans="2:23" x14ac:dyDescent="0.25">
      <c r="B396" s="25"/>
      <c r="C396" s="25"/>
      <c r="D396" s="25"/>
      <c r="E396" s="25"/>
      <c r="F396" s="49"/>
      <c r="G396" s="25"/>
      <c r="H396" s="40"/>
      <c r="I396" s="49"/>
      <c r="K396" s="36"/>
      <c r="L396" s="25"/>
      <c r="M396" s="25"/>
      <c r="N396" s="25"/>
      <c r="O396" s="25"/>
      <c r="P396" s="25"/>
      <c r="Q396" s="25"/>
      <c r="R396" s="25"/>
      <c r="S396" s="25"/>
      <c r="T396" s="25"/>
      <c r="U396" s="25"/>
      <c r="V396" s="25"/>
      <c r="W396" s="25"/>
    </row>
    <row r="397" spans="2:23" x14ac:dyDescent="0.25">
      <c r="B397" s="25"/>
      <c r="C397" s="25"/>
      <c r="D397" s="25"/>
      <c r="E397" s="25"/>
      <c r="F397" s="49"/>
      <c r="G397" s="25"/>
      <c r="H397" s="40"/>
      <c r="I397" s="49"/>
      <c r="K397" s="36"/>
      <c r="L397" s="25"/>
      <c r="M397" s="25"/>
      <c r="N397" s="25"/>
      <c r="O397" s="25"/>
      <c r="P397" s="25"/>
      <c r="Q397" s="25"/>
      <c r="R397" s="25"/>
      <c r="S397" s="25"/>
      <c r="T397" s="25"/>
      <c r="U397" s="25"/>
      <c r="V397" s="25"/>
      <c r="W397" s="25"/>
    </row>
    <row r="398" spans="2:23" x14ac:dyDescent="0.25">
      <c r="B398" s="25"/>
      <c r="C398" s="25"/>
      <c r="D398" s="25"/>
      <c r="E398" s="25"/>
      <c r="F398" s="49"/>
      <c r="G398" s="25"/>
      <c r="H398" s="40"/>
      <c r="I398" s="49"/>
      <c r="K398" s="36"/>
      <c r="L398" s="25"/>
      <c r="M398" s="25"/>
      <c r="N398" s="25"/>
      <c r="O398" s="25"/>
      <c r="P398" s="25"/>
      <c r="Q398" s="25"/>
      <c r="R398" s="25"/>
      <c r="S398" s="25"/>
      <c r="T398" s="25"/>
      <c r="U398" s="25"/>
      <c r="V398" s="25"/>
      <c r="W398" s="25"/>
    </row>
    <row r="399" spans="2:23" x14ac:dyDescent="0.25">
      <c r="B399" s="25"/>
      <c r="C399" s="25"/>
      <c r="D399" s="25"/>
      <c r="E399" s="25"/>
      <c r="F399" s="49"/>
      <c r="G399" s="25"/>
      <c r="H399" s="40"/>
      <c r="I399" s="49"/>
      <c r="K399" s="36"/>
      <c r="L399" s="25"/>
      <c r="M399" s="25"/>
      <c r="N399" s="25"/>
      <c r="O399" s="25"/>
      <c r="P399" s="25"/>
      <c r="Q399" s="25"/>
      <c r="R399" s="25"/>
      <c r="S399" s="25"/>
      <c r="T399" s="25"/>
      <c r="U399" s="25"/>
      <c r="V399" s="25"/>
      <c r="W399" s="25"/>
    </row>
    <row r="400" spans="2:23" x14ac:dyDescent="0.25">
      <c r="B400" s="25"/>
      <c r="C400" s="25"/>
      <c r="D400" s="25"/>
      <c r="E400" s="25"/>
      <c r="F400" s="49"/>
      <c r="G400" s="25"/>
      <c r="H400" s="40"/>
      <c r="I400" s="49"/>
      <c r="K400" s="36"/>
      <c r="L400" s="25"/>
      <c r="M400" s="25"/>
      <c r="N400" s="25"/>
      <c r="O400" s="25"/>
      <c r="P400" s="25"/>
      <c r="Q400" s="25"/>
      <c r="R400" s="25"/>
      <c r="S400" s="25"/>
      <c r="T400" s="25"/>
      <c r="U400" s="25"/>
      <c r="V400" s="25"/>
      <c r="W400" s="25"/>
    </row>
    <row r="401" spans="2:23" x14ac:dyDescent="0.25">
      <c r="B401" s="25"/>
      <c r="C401" s="25"/>
      <c r="D401" s="25"/>
      <c r="E401" s="25"/>
      <c r="F401" s="49"/>
      <c r="G401" s="25"/>
      <c r="H401" s="40"/>
      <c r="I401" s="49"/>
      <c r="K401" s="36"/>
      <c r="L401" s="25"/>
      <c r="M401" s="25"/>
      <c r="N401" s="25"/>
      <c r="O401" s="25"/>
      <c r="P401" s="25"/>
      <c r="Q401" s="25"/>
      <c r="R401" s="25"/>
      <c r="S401" s="25"/>
      <c r="T401" s="25"/>
      <c r="U401" s="25"/>
      <c r="V401" s="25"/>
      <c r="W401" s="25"/>
    </row>
    <row r="402" spans="2:23" x14ac:dyDescent="0.25">
      <c r="B402" s="25"/>
      <c r="C402" s="25"/>
      <c r="D402" s="25"/>
      <c r="E402" s="25"/>
      <c r="F402" s="49"/>
      <c r="G402" s="25"/>
      <c r="H402" s="40"/>
      <c r="I402" s="49"/>
      <c r="K402" s="36"/>
      <c r="L402" s="25"/>
      <c r="M402" s="25"/>
      <c r="N402" s="25"/>
      <c r="O402" s="25"/>
      <c r="P402" s="25"/>
      <c r="Q402" s="25"/>
      <c r="R402" s="25"/>
      <c r="S402" s="25"/>
      <c r="T402" s="25"/>
      <c r="U402" s="25"/>
      <c r="V402" s="25"/>
      <c r="W402" s="25"/>
    </row>
    <row r="403" spans="2:23" x14ac:dyDescent="0.25">
      <c r="B403" s="25"/>
      <c r="C403" s="25"/>
      <c r="D403" s="25"/>
      <c r="E403" s="25"/>
      <c r="F403" s="49"/>
      <c r="G403" s="25"/>
      <c r="H403" s="40"/>
      <c r="I403" s="49"/>
      <c r="K403" s="36"/>
      <c r="L403" s="25"/>
      <c r="M403" s="25"/>
      <c r="N403" s="25"/>
      <c r="O403" s="25"/>
      <c r="P403" s="25"/>
      <c r="Q403" s="25"/>
      <c r="R403" s="25"/>
      <c r="S403" s="25"/>
      <c r="T403" s="25"/>
      <c r="U403" s="25"/>
      <c r="V403" s="25"/>
      <c r="W403" s="25"/>
    </row>
    <row r="404" spans="2:23" x14ac:dyDescent="0.25">
      <c r="B404" s="25"/>
      <c r="C404" s="25"/>
      <c r="D404" s="25"/>
      <c r="E404" s="25"/>
      <c r="F404" s="49"/>
      <c r="G404" s="25"/>
      <c r="H404" s="40"/>
      <c r="I404" s="49"/>
      <c r="K404" s="36"/>
      <c r="L404" s="25"/>
      <c r="M404" s="25"/>
      <c r="N404" s="25"/>
      <c r="O404" s="25"/>
      <c r="P404" s="25"/>
      <c r="Q404" s="25"/>
      <c r="R404" s="25"/>
      <c r="S404" s="25"/>
      <c r="T404" s="25"/>
      <c r="U404" s="25"/>
      <c r="V404" s="25"/>
      <c r="W404" s="25"/>
    </row>
    <row r="405" spans="2:23" x14ac:dyDescent="0.25">
      <c r="B405" s="25"/>
      <c r="C405" s="25"/>
      <c r="D405" s="25"/>
      <c r="E405" s="25"/>
      <c r="F405" s="49"/>
      <c r="G405" s="25"/>
      <c r="H405" s="40"/>
      <c r="I405" s="49"/>
      <c r="K405" s="36"/>
      <c r="L405" s="25"/>
      <c r="M405" s="25"/>
      <c r="N405" s="25"/>
      <c r="O405" s="25"/>
      <c r="P405" s="25"/>
      <c r="Q405" s="25"/>
      <c r="R405" s="25"/>
      <c r="S405" s="25"/>
      <c r="T405" s="25"/>
      <c r="U405" s="25"/>
      <c r="V405" s="25"/>
      <c r="W405" s="25"/>
    </row>
    <row r="406" spans="2:23" x14ac:dyDescent="0.25">
      <c r="B406" s="25"/>
      <c r="C406" s="25"/>
      <c r="D406" s="25"/>
      <c r="E406" s="25"/>
      <c r="F406" s="49"/>
      <c r="G406" s="25"/>
      <c r="H406" s="40"/>
      <c r="I406" s="49"/>
      <c r="K406" s="36"/>
      <c r="L406" s="25"/>
      <c r="M406" s="25"/>
      <c r="N406" s="25"/>
      <c r="O406" s="25"/>
      <c r="P406" s="25"/>
      <c r="Q406" s="25"/>
      <c r="R406" s="25"/>
      <c r="S406" s="25"/>
      <c r="T406" s="25"/>
      <c r="U406" s="25"/>
      <c r="V406" s="25"/>
      <c r="W406" s="25"/>
    </row>
    <row r="407" spans="2:23" x14ac:dyDescent="0.25">
      <c r="B407" s="25"/>
      <c r="C407" s="25"/>
      <c r="D407" s="25"/>
      <c r="E407" s="25"/>
      <c r="F407" s="49"/>
      <c r="G407" s="25"/>
      <c r="H407" s="40"/>
      <c r="I407" s="49"/>
      <c r="K407" s="36"/>
      <c r="L407" s="25"/>
      <c r="M407" s="25"/>
      <c r="N407" s="25"/>
      <c r="O407" s="25"/>
      <c r="P407" s="25"/>
      <c r="Q407" s="25"/>
      <c r="R407" s="25"/>
      <c r="S407" s="25"/>
      <c r="T407" s="25"/>
      <c r="U407" s="25"/>
      <c r="V407" s="25"/>
      <c r="W407" s="25"/>
    </row>
    <row r="408" spans="2:23" x14ac:dyDescent="0.25">
      <c r="B408" s="25"/>
      <c r="C408" s="25"/>
      <c r="D408" s="25"/>
      <c r="E408" s="25"/>
      <c r="F408" s="49"/>
      <c r="G408" s="25"/>
      <c r="H408" s="40"/>
      <c r="I408" s="49"/>
      <c r="K408" s="36"/>
      <c r="L408" s="25"/>
      <c r="M408" s="25"/>
      <c r="N408" s="25"/>
      <c r="O408" s="25"/>
      <c r="P408" s="25"/>
      <c r="Q408" s="25"/>
      <c r="R408" s="25"/>
      <c r="S408" s="25"/>
      <c r="T408" s="25"/>
      <c r="U408" s="25"/>
      <c r="V408" s="25"/>
      <c r="W408" s="25"/>
    </row>
    <row r="409" spans="2:23" x14ac:dyDescent="0.25">
      <c r="B409" s="25"/>
      <c r="C409" s="25"/>
      <c r="D409" s="25"/>
      <c r="E409" s="25"/>
      <c r="F409" s="49"/>
      <c r="G409" s="25"/>
      <c r="H409" s="40"/>
      <c r="I409" s="49"/>
      <c r="K409" s="36"/>
      <c r="L409" s="25"/>
      <c r="M409" s="25"/>
      <c r="N409" s="25"/>
      <c r="O409" s="25"/>
      <c r="P409" s="25"/>
      <c r="Q409" s="25"/>
      <c r="R409" s="25"/>
      <c r="S409" s="25"/>
      <c r="T409" s="25"/>
      <c r="U409" s="25"/>
      <c r="V409" s="25"/>
      <c r="W409" s="25"/>
    </row>
    <row r="410" spans="2:23" x14ac:dyDescent="0.25">
      <c r="B410" s="25"/>
      <c r="C410" s="25"/>
      <c r="D410" s="25"/>
      <c r="E410" s="25"/>
      <c r="F410" s="49"/>
      <c r="G410" s="25"/>
      <c r="H410" s="40"/>
      <c r="I410" s="49"/>
      <c r="K410" s="36"/>
      <c r="L410" s="25"/>
      <c r="M410" s="25"/>
      <c r="N410" s="25"/>
      <c r="O410" s="25"/>
      <c r="P410" s="25"/>
      <c r="Q410" s="25"/>
      <c r="R410" s="25"/>
      <c r="S410" s="25"/>
      <c r="T410" s="25"/>
      <c r="U410" s="25"/>
      <c r="V410" s="25"/>
      <c r="W410" s="25"/>
    </row>
    <row r="411" spans="2:23" x14ac:dyDescent="0.25">
      <c r="B411" s="25"/>
      <c r="C411" s="25"/>
      <c r="D411" s="25"/>
      <c r="E411" s="25"/>
      <c r="F411" s="49"/>
      <c r="G411" s="25"/>
      <c r="H411" s="40"/>
      <c r="I411" s="49"/>
      <c r="K411" s="36"/>
      <c r="L411" s="25"/>
      <c r="M411" s="25"/>
      <c r="N411" s="25"/>
      <c r="O411" s="25"/>
      <c r="P411" s="25"/>
      <c r="Q411" s="25"/>
      <c r="R411" s="25"/>
      <c r="S411" s="25"/>
      <c r="T411" s="25"/>
      <c r="U411" s="25"/>
      <c r="V411" s="25"/>
      <c r="W411" s="25"/>
    </row>
    <row r="412" spans="2:23" x14ac:dyDescent="0.25">
      <c r="B412" s="25"/>
      <c r="C412" s="25"/>
      <c r="D412" s="25"/>
      <c r="E412" s="25"/>
      <c r="F412" s="49"/>
      <c r="G412" s="25"/>
      <c r="H412" s="40"/>
      <c r="I412" s="49"/>
      <c r="K412" s="36"/>
      <c r="L412" s="25"/>
      <c r="M412" s="25"/>
      <c r="N412" s="25"/>
      <c r="O412" s="25"/>
      <c r="P412" s="25"/>
      <c r="Q412" s="25"/>
      <c r="R412" s="25"/>
      <c r="S412" s="25"/>
      <c r="T412" s="25"/>
      <c r="U412" s="25"/>
      <c r="V412" s="25"/>
      <c r="W412" s="25"/>
    </row>
    <row r="413" spans="2:23" x14ac:dyDescent="0.25">
      <c r="B413" s="25"/>
      <c r="C413" s="25"/>
      <c r="D413" s="25"/>
      <c r="E413" s="25"/>
      <c r="F413" s="49"/>
      <c r="G413" s="25"/>
      <c r="H413" s="40"/>
      <c r="I413" s="49"/>
      <c r="K413" s="36"/>
      <c r="L413" s="25"/>
      <c r="M413" s="25"/>
      <c r="N413" s="25"/>
      <c r="O413" s="25"/>
      <c r="P413" s="25"/>
      <c r="Q413" s="25"/>
      <c r="R413" s="25"/>
      <c r="S413" s="25"/>
      <c r="T413" s="25"/>
      <c r="U413" s="25"/>
      <c r="V413" s="25"/>
      <c r="W413" s="25"/>
    </row>
    <row r="414" spans="2:23" x14ac:dyDescent="0.25">
      <c r="B414" s="25"/>
      <c r="C414" s="25"/>
      <c r="D414" s="25"/>
      <c r="E414" s="25"/>
      <c r="F414" s="49"/>
      <c r="G414" s="25"/>
      <c r="H414" s="40"/>
      <c r="I414" s="49"/>
      <c r="K414" s="36"/>
      <c r="L414" s="25"/>
      <c r="M414" s="25"/>
      <c r="N414" s="25"/>
      <c r="O414" s="25"/>
      <c r="P414" s="25"/>
      <c r="Q414" s="25"/>
      <c r="R414" s="25"/>
      <c r="S414" s="25"/>
      <c r="T414" s="25"/>
      <c r="U414" s="25"/>
      <c r="V414" s="25"/>
      <c r="W414" s="25"/>
    </row>
    <row r="415" spans="2:23" x14ac:dyDescent="0.25">
      <c r="B415" s="25"/>
      <c r="C415" s="25"/>
      <c r="D415" s="25"/>
      <c r="E415" s="25"/>
      <c r="F415" s="49"/>
      <c r="G415" s="25"/>
      <c r="H415" s="40"/>
      <c r="I415" s="49"/>
      <c r="K415" s="36"/>
      <c r="L415" s="25"/>
      <c r="M415" s="25"/>
      <c r="N415" s="25"/>
      <c r="O415" s="25"/>
      <c r="P415" s="25"/>
      <c r="Q415" s="25"/>
      <c r="R415" s="25"/>
      <c r="S415" s="25"/>
      <c r="T415" s="25"/>
      <c r="U415" s="25"/>
      <c r="V415" s="25"/>
      <c r="W415" s="25"/>
    </row>
    <row r="416" spans="2:23" x14ac:dyDescent="0.25">
      <c r="B416" s="25"/>
      <c r="C416" s="25"/>
      <c r="D416" s="25"/>
      <c r="E416" s="25"/>
      <c r="F416" s="49"/>
      <c r="G416" s="25"/>
      <c r="H416" s="40"/>
      <c r="I416" s="49"/>
      <c r="K416" s="36"/>
      <c r="L416" s="25"/>
      <c r="M416" s="25"/>
      <c r="N416" s="25"/>
      <c r="O416" s="25"/>
      <c r="P416" s="25"/>
      <c r="Q416" s="25"/>
      <c r="R416" s="25"/>
      <c r="S416" s="25"/>
      <c r="T416" s="25"/>
      <c r="U416" s="25"/>
      <c r="V416" s="25"/>
      <c r="W416" s="25"/>
    </row>
    <row r="417" spans="2:23" x14ac:dyDescent="0.25">
      <c r="B417" s="25"/>
      <c r="C417" s="25"/>
      <c r="D417" s="25"/>
      <c r="E417" s="25"/>
      <c r="F417" s="49"/>
      <c r="G417" s="25"/>
      <c r="H417" s="40"/>
      <c r="I417" s="49"/>
      <c r="K417" s="36"/>
      <c r="L417" s="25"/>
      <c r="M417" s="25"/>
      <c r="N417" s="25"/>
      <c r="O417" s="25"/>
      <c r="P417" s="25"/>
      <c r="Q417" s="25"/>
      <c r="R417" s="25"/>
      <c r="S417" s="25"/>
      <c r="T417" s="25"/>
      <c r="U417" s="25"/>
      <c r="V417" s="25"/>
      <c r="W417" s="25"/>
    </row>
    <row r="418" spans="2:23" x14ac:dyDescent="0.25">
      <c r="B418" s="25"/>
      <c r="C418" s="25"/>
      <c r="D418" s="25"/>
      <c r="E418" s="25"/>
      <c r="F418" s="49"/>
      <c r="G418" s="25"/>
      <c r="H418" s="40"/>
      <c r="I418" s="49"/>
      <c r="K418" s="36"/>
      <c r="L418" s="25"/>
      <c r="M418" s="25"/>
      <c r="N418" s="25"/>
      <c r="O418" s="25"/>
      <c r="P418" s="25"/>
      <c r="Q418" s="25"/>
      <c r="R418" s="25"/>
      <c r="S418" s="25"/>
      <c r="T418" s="25"/>
      <c r="U418" s="25"/>
      <c r="V418" s="25"/>
      <c r="W418" s="25"/>
    </row>
    <row r="419" spans="2:23" x14ac:dyDescent="0.25">
      <c r="B419" s="25"/>
      <c r="C419" s="25"/>
      <c r="D419" s="25"/>
      <c r="E419" s="25"/>
      <c r="F419" s="49"/>
      <c r="G419" s="25"/>
      <c r="H419" s="40"/>
      <c r="I419" s="49"/>
      <c r="K419" s="36"/>
      <c r="L419" s="25"/>
      <c r="M419" s="25"/>
      <c r="N419" s="25"/>
      <c r="O419" s="25"/>
      <c r="P419" s="25"/>
      <c r="Q419" s="25"/>
      <c r="R419" s="25"/>
      <c r="S419" s="25"/>
      <c r="T419" s="25"/>
      <c r="U419" s="25"/>
      <c r="V419" s="25"/>
      <c r="W419" s="25"/>
    </row>
    <row r="420" spans="2:23" x14ac:dyDescent="0.25">
      <c r="B420" s="25"/>
      <c r="C420" s="25"/>
      <c r="D420" s="25"/>
      <c r="E420" s="25"/>
      <c r="F420" s="49"/>
      <c r="G420" s="25"/>
      <c r="H420" s="40"/>
      <c r="I420" s="49"/>
      <c r="K420" s="36"/>
      <c r="L420" s="25"/>
      <c r="M420" s="25"/>
      <c r="N420" s="25"/>
      <c r="O420" s="25"/>
      <c r="P420" s="25"/>
      <c r="Q420" s="25"/>
      <c r="R420" s="25"/>
      <c r="S420" s="25"/>
      <c r="T420" s="25"/>
      <c r="U420" s="25"/>
      <c r="V420" s="25"/>
      <c r="W420" s="25"/>
    </row>
    <row r="421" spans="2:23" x14ac:dyDescent="0.25">
      <c r="B421" s="25"/>
      <c r="C421" s="25"/>
      <c r="D421" s="25"/>
      <c r="E421" s="25"/>
      <c r="F421" s="49"/>
      <c r="G421" s="25"/>
      <c r="H421" s="40"/>
      <c r="I421" s="49"/>
      <c r="K421" s="36"/>
      <c r="L421" s="25"/>
      <c r="M421" s="25"/>
      <c r="N421" s="25"/>
      <c r="O421" s="25"/>
      <c r="P421" s="25"/>
      <c r="Q421" s="25"/>
      <c r="R421" s="25"/>
      <c r="S421" s="25"/>
      <c r="T421" s="25"/>
      <c r="U421" s="25"/>
      <c r="V421" s="25"/>
      <c r="W421" s="25"/>
    </row>
    <row r="422" spans="2:23" x14ac:dyDescent="0.25">
      <c r="B422" s="25"/>
      <c r="C422" s="25"/>
      <c r="D422" s="25"/>
      <c r="E422" s="25"/>
      <c r="F422" s="49"/>
      <c r="G422" s="25"/>
      <c r="H422" s="40"/>
      <c r="I422" s="49"/>
      <c r="K422" s="36"/>
      <c r="L422" s="25"/>
      <c r="M422" s="25"/>
      <c r="N422" s="25"/>
      <c r="O422" s="25"/>
      <c r="P422" s="25"/>
      <c r="Q422" s="25"/>
      <c r="R422" s="25"/>
      <c r="S422" s="25"/>
      <c r="T422" s="25"/>
      <c r="U422" s="25"/>
      <c r="V422" s="25"/>
      <c r="W422" s="25"/>
    </row>
    <row r="423" spans="2:23" x14ac:dyDescent="0.25">
      <c r="B423" s="25"/>
      <c r="C423" s="25"/>
      <c r="D423" s="25"/>
      <c r="E423" s="25"/>
      <c r="F423" s="49"/>
      <c r="G423" s="25"/>
      <c r="H423" s="40"/>
      <c r="I423" s="49"/>
      <c r="K423" s="36"/>
      <c r="L423" s="25"/>
      <c r="M423" s="25"/>
      <c r="N423" s="25"/>
      <c r="O423" s="25"/>
      <c r="P423" s="25"/>
      <c r="Q423" s="25"/>
      <c r="R423" s="25"/>
      <c r="S423" s="25"/>
      <c r="T423" s="25"/>
      <c r="U423" s="25"/>
      <c r="V423" s="25"/>
      <c r="W423" s="25"/>
    </row>
    <row r="424" spans="2:23" x14ac:dyDescent="0.25">
      <c r="B424" s="25"/>
      <c r="C424" s="25"/>
      <c r="D424" s="25"/>
      <c r="E424" s="25"/>
      <c r="F424" s="49"/>
      <c r="G424" s="25"/>
      <c r="H424" s="40"/>
      <c r="I424" s="49"/>
      <c r="K424" s="36"/>
      <c r="L424" s="25"/>
      <c r="M424" s="25"/>
      <c r="N424" s="25"/>
      <c r="O424" s="25"/>
      <c r="P424" s="25"/>
      <c r="Q424" s="25"/>
      <c r="R424" s="25"/>
      <c r="S424" s="25"/>
      <c r="T424" s="25"/>
      <c r="U424" s="25"/>
      <c r="V424" s="25"/>
      <c r="W424" s="25"/>
    </row>
    <row r="425" spans="2:23" x14ac:dyDescent="0.25">
      <c r="B425" s="25"/>
      <c r="C425" s="25"/>
      <c r="D425" s="25"/>
      <c r="E425" s="25"/>
      <c r="F425" s="49"/>
      <c r="G425" s="25"/>
      <c r="H425" s="40"/>
      <c r="I425" s="49"/>
      <c r="K425" s="36"/>
      <c r="L425" s="25"/>
      <c r="M425" s="25"/>
      <c r="N425" s="25"/>
      <c r="O425" s="25"/>
      <c r="P425" s="25"/>
      <c r="Q425" s="25"/>
      <c r="R425" s="25"/>
      <c r="S425" s="25"/>
      <c r="T425" s="25"/>
      <c r="U425" s="25"/>
      <c r="V425" s="25"/>
      <c r="W425" s="25"/>
    </row>
    <row r="426" spans="2:23" x14ac:dyDescent="0.25">
      <c r="B426" s="25"/>
      <c r="C426" s="25"/>
      <c r="D426" s="25"/>
      <c r="E426" s="25"/>
      <c r="F426" s="49"/>
      <c r="G426" s="25"/>
      <c r="H426" s="40"/>
      <c r="I426" s="49"/>
      <c r="K426" s="36"/>
      <c r="L426" s="25"/>
      <c r="M426" s="25"/>
      <c r="N426" s="25"/>
      <c r="O426" s="25"/>
      <c r="P426" s="25"/>
      <c r="Q426" s="25"/>
      <c r="R426" s="25"/>
      <c r="S426" s="25"/>
      <c r="T426" s="25"/>
      <c r="U426" s="25"/>
      <c r="V426" s="25"/>
      <c r="W426" s="25"/>
    </row>
    <row r="427" spans="2:23" x14ac:dyDescent="0.25">
      <c r="B427" s="25"/>
      <c r="C427" s="25"/>
      <c r="D427" s="25"/>
      <c r="E427" s="25"/>
      <c r="F427" s="49"/>
      <c r="G427" s="25"/>
      <c r="H427" s="40"/>
      <c r="I427" s="49"/>
      <c r="K427" s="36"/>
      <c r="L427" s="25"/>
      <c r="M427" s="25"/>
      <c r="N427" s="25"/>
      <c r="O427" s="25"/>
      <c r="P427" s="25"/>
      <c r="Q427" s="25"/>
      <c r="R427" s="25"/>
      <c r="S427" s="25"/>
      <c r="T427" s="25"/>
      <c r="U427" s="25"/>
      <c r="V427" s="25"/>
      <c r="W427" s="25"/>
    </row>
    <row r="428" spans="2:23" x14ac:dyDescent="0.25">
      <c r="B428" s="25"/>
      <c r="C428" s="25"/>
      <c r="D428" s="25"/>
      <c r="E428" s="25"/>
      <c r="F428" s="49"/>
      <c r="G428" s="25"/>
      <c r="H428" s="40"/>
      <c r="I428" s="49"/>
      <c r="K428" s="36"/>
      <c r="L428" s="25"/>
      <c r="M428" s="25"/>
      <c r="N428" s="25"/>
      <c r="O428" s="25"/>
      <c r="P428" s="25"/>
      <c r="Q428" s="25"/>
      <c r="R428" s="25"/>
      <c r="S428" s="25"/>
      <c r="T428" s="25"/>
      <c r="U428" s="25"/>
      <c r="V428" s="25"/>
      <c r="W428" s="25"/>
    </row>
    <row r="429" spans="2:23" x14ac:dyDescent="0.25">
      <c r="B429" s="25"/>
      <c r="C429" s="25"/>
      <c r="D429" s="25"/>
      <c r="E429" s="25"/>
      <c r="F429" s="49"/>
      <c r="G429" s="25"/>
      <c r="H429" s="40"/>
      <c r="I429" s="49"/>
      <c r="K429" s="36"/>
      <c r="L429" s="25"/>
      <c r="M429" s="25"/>
      <c r="N429" s="25"/>
      <c r="O429" s="25"/>
      <c r="P429" s="25"/>
      <c r="Q429" s="25"/>
      <c r="R429" s="25"/>
      <c r="S429" s="25"/>
      <c r="T429" s="25"/>
      <c r="U429" s="25"/>
      <c r="V429" s="25"/>
      <c r="W429" s="25"/>
    </row>
    <row r="430" spans="2:23" x14ac:dyDescent="0.25">
      <c r="B430" s="25"/>
      <c r="C430" s="25"/>
      <c r="D430" s="25"/>
      <c r="E430" s="25"/>
      <c r="F430" s="49"/>
      <c r="G430" s="25"/>
      <c r="H430" s="40"/>
      <c r="I430" s="49"/>
      <c r="K430" s="36"/>
      <c r="L430" s="25"/>
      <c r="M430" s="25"/>
      <c r="N430" s="25"/>
      <c r="O430" s="25"/>
      <c r="P430" s="25"/>
      <c r="Q430" s="25"/>
      <c r="R430" s="25"/>
      <c r="S430" s="25"/>
      <c r="T430" s="25"/>
      <c r="U430" s="25"/>
      <c r="V430" s="25"/>
      <c r="W430" s="25"/>
    </row>
    <row r="431" spans="2:23" x14ac:dyDescent="0.25">
      <c r="B431" s="25"/>
      <c r="C431" s="25"/>
      <c r="D431" s="25"/>
      <c r="E431" s="25"/>
      <c r="F431" s="49"/>
      <c r="G431" s="25"/>
      <c r="H431" s="40"/>
      <c r="I431" s="49"/>
      <c r="K431" s="36"/>
      <c r="L431" s="25"/>
      <c r="M431" s="25"/>
      <c r="N431" s="25"/>
      <c r="O431" s="25"/>
      <c r="P431" s="25"/>
      <c r="Q431" s="25"/>
      <c r="R431" s="25"/>
      <c r="S431" s="25"/>
      <c r="T431" s="25"/>
      <c r="U431" s="25"/>
      <c r="V431" s="25"/>
      <c r="W431" s="25"/>
    </row>
    <row r="432" spans="2:23" x14ac:dyDescent="0.25">
      <c r="B432" s="25"/>
      <c r="C432" s="25"/>
      <c r="D432" s="25"/>
      <c r="E432" s="25"/>
      <c r="F432" s="49"/>
      <c r="G432" s="25"/>
      <c r="H432" s="40"/>
      <c r="I432" s="49"/>
      <c r="K432" s="36"/>
      <c r="L432" s="25"/>
      <c r="M432" s="25"/>
      <c r="N432" s="25"/>
      <c r="O432" s="25"/>
      <c r="P432" s="25"/>
      <c r="Q432" s="25"/>
      <c r="R432" s="25"/>
      <c r="S432" s="25"/>
      <c r="T432" s="25"/>
      <c r="U432" s="25"/>
      <c r="V432" s="25"/>
      <c r="W432" s="25"/>
    </row>
    <row r="433" spans="2:23" x14ac:dyDescent="0.25">
      <c r="B433" s="25"/>
      <c r="C433" s="25"/>
      <c r="D433" s="25"/>
      <c r="E433" s="25"/>
      <c r="F433" s="49"/>
      <c r="G433" s="25"/>
      <c r="H433" s="40"/>
      <c r="I433" s="49"/>
      <c r="K433" s="36"/>
      <c r="L433" s="25"/>
      <c r="M433" s="25"/>
      <c r="N433" s="25"/>
      <c r="O433" s="25"/>
      <c r="P433" s="25"/>
      <c r="Q433" s="25"/>
      <c r="R433" s="25"/>
      <c r="S433" s="25"/>
      <c r="T433" s="25"/>
      <c r="U433" s="25"/>
      <c r="V433" s="25"/>
      <c r="W433" s="25"/>
    </row>
    <row r="434" spans="2:23" x14ac:dyDescent="0.25">
      <c r="B434" s="25"/>
      <c r="C434" s="25"/>
      <c r="D434" s="25"/>
      <c r="E434" s="25"/>
      <c r="F434" s="49"/>
      <c r="G434" s="25"/>
      <c r="H434" s="40"/>
      <c r="I434" s="49"/>
      <c r="K434" s="36"/>
      <c r="L434" s="25"/>
      <c r="M434" s="25"/>
      <c r="N434" s="25"/>
      <c r="O434" s="25"/>
      <c r="P434" s="25"/>
      <c r="Q434" s="25"/>
      <c r="R434" s="25"/>
      <c r="S434" s="25"/>
      <c r="T434" s="25"/>
      <c r="U434" s="25"/>
      <c r="V434" s="25"/>
      <c r="W434" s="25"/>
    </row>
    <row r="435" spans="2:23" x14ac:dyDescent="0.25">
      <c r="B435" s="25"/>
      <c r="C435" s="25"/>
      <c r="D435" s="25"/>
      <c r="E435" s="25"/>
      <c r="F435" s="49"/>
      <c r="G435" s="25"/>
      <c r="H435" s="40"/>
      <c r="I435" s="49"/>
      <c r="K435" s="36"/>
      <c r="L435" s="25"/>
      <c r="M435" s="25"/>
      <c r="N435" s="25"/>
      <c r="O435" s="25"/>
      <c r="P435" s="25"/>
      <c r="Q435" s="25"/>
      <c r="R435" s="25"/>
      <c r="S435" s="25"/>
      <c r="T435" s="25"/>
      <c r="U435" s="25"/>
      <c r="V435" s="25"/>
      <c r="W435" s="25"/>
    </row>
    <row r="436" spans="2:23" x14ac:dyDescent="0.25">
      <c r="B436" s="25"/>
      <c r="C436" s="25"/>
      <c r="D436" s="25"/>
      <c r="E436" s="25"/>
      <c r="F436" s="49"/>
      <c r="G436" s="25"/>
      <c r="H436" s="40"/>
      <c r="I436" s="49"/>
      <c r="K436" s="36"/>
      <c r="L436" s="25"/>
      <c r="M436" s="25"/>
      <c r="N436" s="25"/>
      <c r="O436" s="25"/>
      <c r="P436" s="25"/>
      <c r="Q436" s="25"/>
      <c r="R436" s="25"/>
      <c r="S436" s="25"/>
      <c r="T436" s="25"/>
      <c r="U436" s="25"/>
      <c r="V436" s="25"/>
      <c r="W436" s="25"/>
    </row>
    <row r="437" spans="2:23" x14ac:dyDescent="0.25">
      <c r="B437" s="25"/>
      <c r="C437" s="25"/>
      <c r="D437" s="25"/>
      <c r="E437" s="25"/>
      <c r="F437" s="49"/>
      <c r="G437" s="25"/>
      <c r="H437" s="40"/>
      <c r="I437" s="49"/>
      <c r="K437" s="36"/>
      <c r="L437" s="25"/>
      <c r="M437" s="25"/>
      <c r="N437" s="25"/>
      <c r="O437" s="25"/>
      <c r="P437" s="25"/>
      <c r="Q437" s="25"/>
      <c r="R437" s="25"/>
      <c r="S437" s="25"/>
      <c r="T437" s="25"/>
      <c r="U437" s="25"/>
      <c r="V437" s="25"/>
      <c r="W437" s="25"/>
    </row>
    <row r="438" spans="2:23" x14ac:dyDescent="0.25">
      <c r="B438" s="25"/>
      <c r="C438" s="25"/>
      <c r="D438" s="25"/>
      <c r="E438" s="25"/>
      <c r="F438" s="49"/>
      <c r="G438" s="25"/>
      <c r="H438" s="40"/>
      <c r="I438" s="49"/>
      <c r="K438" s="36"/>
      <c r="L438" s="25"/>
      <c r="M438" s="25"/>
      <c r="N438" s="25"/>
      <c r="O438" s="25"/>
      <c r="P438" s="25"/>
      <c r="Q438" s="25"/>
      <c r="R438" s="25"/>
      <c r="S438" s="25"/>
      <c r="T438" s="25"/>
      <c r="U438" s="25"/>
      <c r="V438" s="25"/>
      <c r="W438" s="25"/>
    </row>
    <row r="439" spans="2:23" x14ac:dyDescent="0.25">
      <c r="B439" s="25"/>
      <c r="C439" s="25"/>
      <c r="D439" s="25"/>
      <c r="E439" s="25"/>
      <c r="F439" s="49"/>
      <c r="G439" s="25"/>
      <c r="H439" s="40"/>
      <c r="I439" s="49"/>
      <c r="K439" s="36"/>
      <c r="L439" s="25"/>
      <c r="M439" s="25"/>
      <c r="N439" s="25"/>
      <c r="O439" s="25"/>
      <c r="P439" s="25"/>
      <c r="Q439" s="25"/>
      <c r="R439" s="25"/>
      <c r="S439" s="25"/>
      <c r="T439" s="25"/>
      <c r="U439" s="25"/>
      <c r="V439" s="25"/>
      <c r="W439" s="25"/>
    </row>
    <row r="440" spans="2:23" x14ac:dyDescent="0.25">
      <c r="B440" s="25"/>
      <c r="C440" s="25"/>
      <c r="D440" s="25"/>
      <c r="E440" s="25"/>
      <c r="F440" s="49"/>
      <c r="G440" s="25"/>
      <c r="H440" s="40"/>
      <c r="I440" s="49"/>
      <c r="K440" s="36"/>
      <c r="L440" s="25"/>
      <c r="M440" s="25"/>
      <c r="N440" s="25"/>
      <c r="O440" s="25"/>
      <c r="P440" s="25"/>
      <c r="Q440" s="25"/>
      <c r="R440" s="25"/>
      <c r="S440" s="25"/>
      <c r="T440" s="25"/>
      <c r="U440" s="25"/>
      <c r="V440" s="25"/>
      <c r="W440" s="25"/>
    </row>
    <row r="441" spans="2:23" x14ac:dyDescent="0.25">
      <c r="B441" s="25"/>
      <c r="C441" s="25"/>
      <c r="D441" s="25"/>
      <c r="E441" s="25"/>
      <c r="F441" s="49"/>
      <c r="G441" s="25"/>
      <c r="H441" s="40"/>
      <c r="I441" s="49"/>
      <c r="K441" s="36"/>
      <c r="L441" s="25"/>
      <c r="M441" s="25"/>
      <c r="N441" s="25"/>
      <c r="O441" s="25"/>
      <c r="P441" s="25"/>
      <c r="Q441" s="25"/>
      <c r="R441" s="25"/>
      <c r="S441" s="25"/>
      <c r="T441" s="25"/>
      <c r="U441" s="25"/>
      <c r="V441" s="25"/>
      <c r="W441" s="25"/>
    </row>
    <row r="442" spans="2:23" x14ac:dyDescent="0.25">
      <c r="B442" s="25"/>
      <c r="C442" s="25"/>
      <c r="D442" s="25"/>
      <c r="E442" s="25"/>
      <c r="F442" s="49"/>
      <c r="G442" s="25"/>
      <c r="H442" s="40"/>
      <c r="I442" s="49"/>
      <c r="K442" s="36"/>
      <c r="L442" s="25"/>
      <c r="M442" s="25"/>
      <c r="N442" s="25"/>
      <c r="O442" s="25"/>
      <c r="P442" s="25"/>
      <c r="Q442" s="25"/>
      <c r="R442" s="25"/>
      <c r="S442" s="25"/>
      <c r="T442" s="25"/>
      <c r="U442" s="25"/>
      <c r="V442" s="25"/>
      <c r="W442" s="25"/>
    </row>
    <row r="443" spans="2:23" x14ac:dyDescent="0.25">
      <c r="B443" s="25"/>
      <c r="C443" s="25"/>
      <c r="D443" s="25"/>
      <c r="E443" s="25"/>
      <c r="F443" s="49"/>
      <c r="G443" s="25"/>
      <c r="H443" s="40"/>
      <c r="I443" s="49"/>
      <c r="K443" s="36"/>
      <c r="L443" s="25"/>
      <c r="M443" s="25"/>
      <c r="N443" s="25"/>
      <c r="O443" s="25"/>
      <c r="P443" s="25"/>
      <c r="Q443" s="25"/>
      <c r="R443" s="25"/>
      <c r="S443" s="25"/>
      <c r="T443" s="25"/>
      <c r="U443" s="25"/>
      <c r="V443" s="25"/>
      <c r="W443" s="25"/>
    </row>
    <row r="444" spans="2:23" x14ac:dyDescent="0.25">
      <c r="B444" s="25"/>
      <c r="C444" s="25"/>
      <c r="D444" s="25"/>
      <c r="E444" s="25"/>
      <c r="F444" s="49"/>
      <c r="G444" s="25"/>
      <c r="H444" s="40"/>
      <c r="I444" s="49"/>
      <c r="K444" s="36"/>
      <c r="L444" s="25"/>
      <c r="M444" s="25"/>
      <c r="N444" s="25"/>
      <c r="O444" s="25"/>
      <c r="P444" s="25"/>
      <c r="Q444" s="25"/>
      <c r="R444" s="25"/>
      <c r="S444" s="25"/>
      <c r="T444" s="25"/>
      <c r="U444" s="25"/>
      <c r="V444" s="25"/>
      <c r="W444" s="25"/>
    </row>
    <row r="445" spans="2:23" x14ac:dyDescent="0.25">
      <c r="B445" s="25"/>
      <c r="C445" s="25"/>
      <c r="D445" s="25"/>
      <c r="E445" s="25"/>
      <c r="F445" s="49"/>
      <c r="G445" s="25"/>
      <c r="H445" s="40"/>
      <c r="I445" s="49"/>
      <c r="K445" s="36"/>
      <c r="L445" s="25"/>
      <c r="M445" s="25"/>
      <c r="N445" s="25"/>
      <c r="O445" s="25"/>
      <c r="P445" s="25"/>
      <c r="Q445" s="25"/>
      <c r="R445" s="25"/>
      <c r="S445" s="25"/>
      <c r="T445" s="25"/>
      <c r="U445" s="25"/>
      <c r="V445" s="25"/>
      <c r="W445" s="25"/>
    </row>
    <row r="446" spans="2:23" x14ac:dyDescent="0.25">
      <c r="B446" s="25"/>
      <c r="C446" s="25"/>
      <c r="D446" s="25"/>
      <c r="E446" s="25"/>
      <c r="F446" s="49"/>
      <c r="G446" s="25"/>
      <c r="H446" s="40"/>
      <c r="I446" s="49"/>
      <c r="K446" s="36"/>
      <c r="L446" s="25"/>
      <c r="M446" s="25"/>
      <c r="N446" s="25"/>
      <c r="O446" s="25"/>
      <c r="P446" s="25"/>
      <c r="Q446" s="25"/>
      <c r="R446" s="25"/>
      <c r="S446" s="25"/>
      <c r="T446" s="25"/>
      <c r="U446" s="25"/>
      <c r="V446" s="25"/>
      <c r="W446" s="25"/>
    </row>
    <row r="447" spans="2:23" x14ac:dyDescent="0.25">
      <c r="B447" s="25"/>
      <c r="C447" s="25"/>
      <c r="D447" s="25"/>
      <c r="E447" s="25"/>
      <c r="F447" s="49"/>
      <c r="G447" s="25"/>
      <c r="H447" s="40"/>
      <c r="I447" s="49"/>
      <c r="K447" s="36"/>
      <c r="L447" s="25"/>
      <c r="M447" s="25"/>
      <c r="N447" s="25"/>
      <c r="O447" s="25"/>
      <c r="P447" s="25"/>
      <c r="Q447" s="25"/>
      <c r="R447" s="25"/>
      <c r="S447" s="25"/>
      <c r="T447" s="25"/>
      <c r="U447" s="25"/>
      <c r="V447" s="25"/>
      <c r="W447" s="25"/>
    </row>
    <row r="448" spans="2:23" x14ac:dyDescent="0.25">
      <c r="B448" s="25"/>
      <c r="C448" s="25"/>
      <c r="D448" s="25"/>
      <c r="E448" s="25"/>
      <c r="F448" s="49"/>
      <c r="G448" s="25"/>
      <c r="H448" s="40"/>
      <c r="I448" s="49"/>
      <c r="K448" s="36"/>
      <c r="L448" s="25"/>
      <c r="M448" s="25"/>
      <c r="N448" s="25"/>
      <c r="O448" s="25"/>
      <c r="P448" s="25"/>
      <c r="Q448" s="25"/>
      <c r="R448" s="25"/>
      <c r="S448" s="25"/>
      <c r="T448" s="25"/>
      <c r="U448" s="25"/>
      <c r="V448" s="25"/>
      <c r="W448" s="25"/>
    </row>
    <row r="449" spans="2:23" x14ac:dyDescent="0.25">
      <c r="B449" s="25"/>
      <c r="C449" s="25"/>
      <c r="D449" s="25"/>
      <c r="E449" s="25"/>
      <c r="F449" s="49"/>
      <c r="G449" s="25"/>
      <c r="H449" s="40"/>
      <c r="I449" s="49"/>
      <c r="K449" s="36"/>
      <c r="L449" s="25"/>
      <c r="M449" s="25"/>
      <c r="N449" s="25"/>
      <c r="O449" s="25"/>
      <c r="P449" s="25"/>
      <c r="Q449" s="25"/>
      <c r="R449" s="25"/>
      <c r="S449" s="25"/>
      <c r="T449" s="25"/>
      <c r="U449" s="25"/>
      <c r="V449" s="25"/>
      <c r="W449" s="25"/>
    </row>
    <row r="450" spans="2:23" x14ac:dyDescent="0.25">
      <c r="B450" s="25"/>
      <c r="C450" s="25"/>
      <c r="D450" s="25"/>
      <c r="E450" s="25"/>
      <c r="F450" s="49"/>
      <c r="G450" s="25"/>
      <c r="H450" s="40"/>
      <c r="I450" s="49"/>
      <c r="K450" s="36"/>
      <c r="L450" s="25"/>
      <c r="M450" s="25"/>
      <c r="N450" s="25"/>
      <c r="O450" s="25"/>
      <c r="P450" s="25"/>
      <c r="Q450" s="25"/>
      <c r="R450" s="25"/>
      <c r="S450" s="25"/>
      <c r="T450" s="25"/>
      <c r="U450" s="25"/>
      <c r="V450" s="25"/>
      <c r="W450" s="25"/>
    </row>
    <row r="451" spans="2:23" x14ac:dyDescent="0.25">
      <c r="B451" s="25"/>
      <c r="C451" s="25"/>
      <c r="D451" s="25"/>
      <c r="E451" s="25"/>
      <c r="F451" s="49"/>
      <c r="G451" s="25"/>
      <c r="H451" s="40"/>
      <c r="I451" s="49"/>
      <c r="K451" s="36"/>
      <c r="L451" s="25"/>
      <c r="M451" s="25"/>
      <c r="N451" s="25"/>
      <c r="O451" s="25"/>
      <c r="P451" s="25"/>
      <c r="Q451" s="25"/>
      <c r="R451" s="25"/>
      <c r="S451" s="25"/>
      <c r="T451" s="25"/>
      <c r="U451" s="25"/>
      <c r="V451" s="25"/>
      <c r="W451" s="25"/>
    </row>
    <row r="452" spans="2:23" x14ac:dyDescent="0.25">
      <c r="B452" s="25"/>
      <c r="C452" s="25"/>
      <c r="D452" s="25"/>
      <c r="E452" s="25"/>
      <c r="F452" s="49"/>
      <c r="G452" s="25"/>
      <c r="H452" s="40"/>
      <c r="I452" s="49"/>
      <c r="K452" s="36"/>
      <c r="L452" s="25"/>
      <c r="M452" s="25"/>
      <c r="N452" s="25"/>
      <c r="O452" s="25"/>
      <c r="P452" s="25"/>
      <c r="Q452" s="25"/>
      <c r="R452" s="25"/>
      <c r="S452" s="25"/>
      <c r="T452" s="25"/>
      <c r="U452" s="25"/>
      <c r="V452" s="25"/>
      <c r="W452" s="25"/>
    </row>
    <row r="453" spans="2:23" x14ac:dyDescent="0.25">
      <c r="B453" s="25"/>
      <c r="C453" s="25"/>
      <c r="D453" s="25"/>
      <c r="E453" s="25"/>
      <c r="F453" s="49"/>
      <c r="G453" s="25"/>
      <c r="H453" s="40"/>
      <c r="I453" s="49"/>
      <c r="K453" s="36"/>
      <c r="L453" s="25"/>
      <c r="M453" s="25"/>
      <c r="N453" s="25"/>
      <c r="O453" s="25"/>
      <c r="P453" s="25"/>
      <c r="Q453" s="25"/>
      <c r="R453" s="25"/>
      <c r="S453" s="25"/>
      <c r="T453" s="25"/>
      <c r="U453" s="25"/>
      <c r="V453" s="25"/>
      <c r="W453" s="25"/>
    </row>
    <row r="454" spans="2:23" x14ac:dyDescent="0.25">
      <c r="B454" s="25"/>
      <c r="C454" s="25"/>
      <c r="D454" s="25"/>
      <c r="E454" s="25"/>
      <c r="F454" s="49"/>
      <c r="G454" s="25"/>
      <c r="H454" s="40"/>
      <c r="I454" s="49"/>
      <c r="K454" s="36"/>
      <c r="L454" s="25"/>
      <c r="M454" s="25"/>
      <c r="N454" s="25"/>
      <c r="O454" s="25"/>
      <c r="P454" s="25"/>
      <c r="Q454" s="25"/>
      <c r="R454" s="25"/>
      <c r="S454" s="25"/>
      <c r="T454" s="25"/>
      <c r="U454" s="25"/>
      <c r="V454" s="25"/>
      <c r="W454" s="25"/>
    </row>
    <row r="455" spans="2:23" x14ac:dyDescent="0.25">
      <c r="B455" s="25"/>
      <c r="C455" s="25"/>
      <c r="D455" s="25"/>
      <c r="E455" s="25"/>
      <c r="F455" s="49"/>
      <c r="G455" s="25"/>
      <c r="H455" s="40"/>
      <c r="I455" s="49"/>
      <c r="K455" s="36"/>
      <c r="L455" s="25"/>
      <c r="M455" s="25"/>
      <c r="N455" s="25"/>
      <c r="O455" s="25"/>
      <c r="P455" s="25"/>
      <c r="Q455" s="25"/>
      <c r="R455" s="25"/>
      <c r="S455" s="25"/>
      <c r="T455" s="25"/>
      <c r="U455" s="25"/>
      <c r="V455" s="25"/>
      <c r="W455" s="25"/>
    </row>
    <row r="456" spans="2:23" x14ac:dyDescent="0.25">
      <c r="B456" s="25"/>
      <c r="C456" s="25"/>
      <c r="D456" s="25"/>
      <c r="E456" s="25"/>
      <c r="F456" s="49"/>
      <c r="G456" s="25"/>
      <c r="H456" s="40"/>
      <c r="I456" s="49"/>
      <c r="K456" s="36"/>
      <c r="L456" s="25"/>
      <c r="M456" s="25"/>
      <c r="N456" s="25"/>
      <c r="O456" s="25"/>
      <c r="P456" s="25"/>
      <c r="Q456" s="25"/>
      <c r="R456" s="25"/>
      <c r="S456" s="25"/>
      <c r="T456" s="25"/>
      <c r="U456" s="25"/>
      <c r="V456" s="25"/>
      <c r="W456" s="25"/>
    </row>
    <row r="457" spans="2:23" x14ac:dyDescent="0.25">
      <c r="B457" s="25"/>
      <c r="C457" s="25"/>
      <c r="D457" s="25"/>
      <c r="E457" s="25"/>
      <c r="F457" s="49"/>
      <c r="G457" s="25"/>
      <c r="H457" s="40"/>
      <c r="I457" s="49"/>
      <c r="K457" s="36"/>
      <c r="L457" s="25"/>
      <c r="M457" s="25"/>
      <c r="N457" s="25"/>
      <c r="O457" s="25"/>
      <c r="P457" s="25"/>
      <c r="Q457" s="25"/>
      <c r="R457" s="25"/>
      <c r="S457" s="25"/>
      <c r="T457" s="25"/>
      <c r="U457" s="25"/>
      <c r="V457" s="25"/>
      <c r="W457" s="25"/>
    </row>
    <row r="458" spans="2:23" x14ac:dyDescent="0.25">
      <c r="B458" s="25"/>
      <c r="C458" s="25"/>
      <c r="D458" s="25"/>
      <c r="E458" s="25"/>
      <c r="F458" s="49"/>
      <c r="G458" s="25"/>
      <c r="H458" s="40"/>
      <c r="I458" s="49"/>
      <c r="K458" s="36"/>
      <c r="L458" s="25"/>
      <c r="M458" s="25"/>
      <c r="N458" s="25"/>
      <c r="O458" s="25"/>
      <c r="P458" s="25"/>
      <c r="Q458" s="25"/>
      <c r="R458" s="25"/>
      <c r="S458" s="25"/>
      <c r="T458" s="25"/>
      <c r="U458" s="25"/>
      <c r="V458" s="25"/>
      <c r="W458" s="25"/>
    </row>
    <row r="459" spans="2:23" x14ac:dyDescent="0.25">
      <c r="B459" s="25"/>
      <c r="C459" s="25"/>
      <c r="D459" s="25"/>
      <c r="E459" s="25"/>
      <c r="F459" s="49"/>
      <c r="G459" s="25"/>
      <c r="H459" s="40"/>
      <c r="I459" s="49"/>
      <c r="K459" s="36"/>
      <c r="L459" s="25"/>
      <c r="M459" s="25"/>
      <c r="N459" s="25"/>
      <c r="O459" s="25"/>
      <c r="P459" s="25"/>
      <c r="Q459" s="25"/>
      <c r="R459" s="25"/>
      <c r="S459" s="25"/>
      <c r="T459" s="25"/>
      <c r="U459" s="25"/>
      <c r="V459" s="25"/>
      <c r="W459" s="25"/>
    </row>
    <row r="460" spans="2:23" x14ac:dyDescent="0.25">
      <c r="B460" s="25"/>
      <c r="C460" s="25"/>
      <c r="D460" s="25"/>
      <c r="E460" s="25"/>
      <c r="F460" s="49"/>
      <c r="G460" s="25"/>
      <c r="H460" s="40"/>
      <c r="I460" s="49"/>
      <c r="K460" s="36"/>
      <c r="L460" s="25"/>
      <c r="M460" s="25"/>
      <c r="N460" s="25"/>
      <c r="O460" s="25"/>
      <c r="P460" s="25"/>
      <c r="Q460" s="25"/>
      <c r="R460" s="25"/>
      <c r="S460" s="25"/>
      <c r="T460" s="25"/>
      <c r="U460" s="25"/>
      <c r="V460" s="25"/>
      <c r="W460" s="25"/>
    </row>
    <row r="461" spans="2:23" x14ac:dyDescent="0.25">
      <c r="B461" s="25"/>
      <c r="C461" s="25"/>
      <c r="D461" s="25"/>
      <c r="E461" s="25"/>
      <c r="F461" s="49"/>
      <c r="G461" s="25"/>
      <c r="H461" s="40"/>
      <c r="I461" s="49"/>
      <c r="K461" s="36"/>
      <c r="L461" s="25"/>
      <c r="M461" s="25"/>
      <c r="N461" s="25"/>
      <c r="O461" s="25"/>
      <c r="P461" s="25"/>
      <c r="Q461" s="25"/>
      <c r="R461" s="25"/>
      <c r="S461" s="25"/>
      <c r="T461" s="25"/>
      <c r="U461" s="25"/>
      <c r="V461" s="25"/>
      <c r="W461" s="25"/>
    </row>
    <row r="462" spans="2:23" x14ac:dyDescent="0.25">
      <c r="B462" s="25"/>
      <c r="C462" s="25"/>
      <c r="D462" s="25"/>
      <c r="E462" s="25"/>
      <c r="F462" s="49"/>
      <c r="G462" s="25"/>
      <c r="H462" s="40"/>
      <c r="I462" s="49"/>
      <c r="K462" s="36"/>
      <c r="L462" s="25"/>
      <c r="M462" s="25"/>
      <c r="N462" s="25"/>
      <c r="O462" s="25"/>
      <c r="P462" s="25"/>
      <c r="Q462" s="25"/>
      <c r="R462" s="25"/>
      <c r="S462" s="25"/>
      <c r="T462" s="25"/>
      <c r="U462" s="25"/>
      <c r="V462" s="25"/>
      <c r="W462" s="25"/>
    </row>
    <row r="463" spans="2:23" x14ac:dyDescent="0.25">
      <c r="B463" s="25"/>
      <c r="C463" s="25"/>
      <c r="D463" s="25"/>
      <c r="E463" s="25"/>
      <c r="F463" s="49"/>
      <c r="G463" s="25"/>
      <c r="H463" s="40"/>
      <c r="I463" s="49"/>
      <c r="K463" s="36"/>
      <c r="L463" s="25"/>
      <c r="M463" s="25"/>
      <c r="N463" s="25"/>
      <c r="O463" s="25"/>
      <c r="P463" s="25"/>
      <c r="Q463" s="25"/>
      <c r="R463" s="25"/>
      <c r="S463" s="25"/>
      <c r="T463" s="25"/>
      <c r="U463" s="25"/>
      <c r="V463" s="25"/>
      <c r="W463" s="25"/>
    </row>
    <row r="464" spans="2:23" x14ac:dyDescent="0.25">
      <c r="B464" s="25"/>
      <c r="C464" s="25"/>
      <c r="D464" s="25"/>
      <c r="E464" s="25"/>
      <c r="F464" s="49"/>
      <c r="G464" s="25"/>
      <c r="H464" s="40"/>
      <c r="I464" s="49"/>
      <c r="K464" s="36"/>
      <c r="L464" s="25"/>
      <c r="M464" s="25"/>
      <c r="N464" s="25"/>
      <c r="O464" s="25"/>
      <c r="P464" s="25"/>
      <c r="Q464" s="25"/>
      <c r="R464" s="25"/>
      <c r="S464" s="25"/>
      <c r="T464" s="25"/>
      <c r="U464" s="25"/>
      <c r="V464" s="25"/>
      <c r="W464" s="25"/>
    </row>
    <row r="465" spans="2:23" x14ac:dyDescent="0.25">
      <c r="B465" s="25"/>
      <c r="C465" s="25"/>
      <c r="D465" s="25"/>
      <c r="E465" s="25"/>
      <c r="F465" s="49"/>
      <c r="G465" s="25"/>
      <c r="H465" s="40"/>
      <c r="I465" s="49"/>
      <c r="K465" s="36"/>
      <c r="L465" s="25"/>
      <c r="M465" s="25"/>
      <c r="N465" s="25"/>
      <c r="O465" s="25"/>
      <c r="P465" s="25"/>
      <c r="Q465" s="25"/>
      <c r="R465" s="25"/>
      <c r="S465" s="25"/>
      <c r="T465" s="25"/>
      <c r="U465" s="25"/>
      <c r="V465" s="25"/>
      <c r="W465" s="25"/>
    </row>
    <row r="466" spans="2:23" x14ac:dyDescent="0.25">
      <c r="B466" s="25"/>
      <c r="C466" s="25"/>
      <c r="D466" s="25"/>
      <c r="E466" s="25"/>
      <c r="F466" s="49"/>
      <c r="G466" s="25"/>
      <c r="H466" s="40"/>
      <c r="I466" s="49"/>
      <c r="K466" s="36"/>
      <c r="L466" s="25"/>
      <c r="M466" s="25"/>
      <c r="N466" s="25"/>
      <c r="O466" s="25"/>
      <c r="P466" s="25"/>
      <c r="Q466" s="25"/>
      <c r="R466" s="25"/>
      <c r="S466" s="25"/>
      <c r="T466" s="25"/>
      <c r="U466" s="25"/>
      <c r="V466" s="25"/>
      <c r="W466" s="25"/>
    </row>
    <row r="467" spans="2:23" x14ac:dyDescent="0.25">
      <c r="B467" s="25"/>
      <c r="C467" s="25"/>
      <c r="D467" s="25"/>
      <c r="E467" s="25"/>
      <c r="F467" s="49"/>
      <c r="G467" s="25"/>
      <c r="H467" s="40"/>
      <c r="I467" s="49"/>
      <c r="K467" s="36"/>
      <c r="L467" s="25"/>
      <c r="M467" s="25"/>
      <c r="N467" s="25"/>
      <c r="O467" s="25"/>
      <c r="P467" s="25"/>
      <c r="Q467" s="25"/>
      <c r="R467" s="25"/>
      <c r="S467" s="25"/>
      <c r="T467" s="25"/>
      <c r="U467" s="25"/>
      <c r="V467" s="25"/>
      <c r="W467" s="25"/>
    </row>
    <row r="468" spans="2:23" x14ac:dyDescent="0.25">
      <c r="B468" s="25"/>
      <c r="C468" s="25"/>
      <c r="D468" s="25"/>
      <c r="E468" s="25"/>
      <c r="F468" s="49"/>
      <c r="G468" s="25"/>
      <c r="H468" s="40"/>
      <c r="I468" s="49"/>
      <c r="K468" s="36"/>
      <c r="L468" s="25"/>
      <c r="M468" s="25"/>
      <c r="N468" s="25"/>
      <c r="O468" s="25"/>
      <c r="P468" s="25"/>
      <c r="Q468" s="25"/>
      <c r="R468" s="25"/>
      <c r="S468" s="25"/>
      <c r="T468" s="25"/>
      <c r="U468" s="25"/>
      <c r="V468" s="25"/>
      <c r="W468" s="25"/>
    </row>
    <row r="469" spans="2:23" x14ac:dyDescent="0.25">
      <c r="B469" s="25"/>
      <c r="C469" s="25"/>
      <c r="D469" s="25"/>
      <c r="E469" s="25"/>
      <c r="F469" s="49"/>
      <c r="G469" s="25"/>
      <c r="H469" s="40"/>
      <c r="I469" s="49"/>
      <c r="K469" s="36"/>
      <c r="L469" s="25"/>
      <c r="M469" s="25"/>
      <c r="N469" s="25"/>
      <c r="O469" s="25"/>
      <c r="P469" s="25"/>
      <c r="Q469" s="25"/>
      <c r="R469" s="25"/>
      <c r="S469" s="25"/>
      <c r="T469" s="25"/>
      <c r="U469" s="25"/>
      <c r="V469" s="25"/>
      <c r="W469" s="25"/>
    </row>
    <row r="470" spans="2:23" x14ac:dyDescent="0.25">
      <c r="B470" s="25"/>
      <c r="C470" s="25"/>
      <c r="D470" s="25"/>
      <c r="E470" s="25"/>
      <c r="F470" s="49"/>
      <c r="G470" s="25"/>
      <c r="H470" s="40"/>
      <c r="I470" s="49"/>
      <c r="K470" s="36"/>
      <c r="L470" s="25"/>
      <c r="M470" s="25"/>
      <c r="N470" s="25"/>
      <c r="O470" s="25"/>
      <c r="P470" s="25"/>
      <c r="Q470" s="25"/>
      <c r="R470" s="25"/>
      <c r="S470" s="25"/>
      <c r="T470" s="25"/>
      <c r="U470" s="25"/>
      <c r="V470" s="25"/>
      <c r="W470" s="25"/>
    </row>
    <row r="471" spans="2:23" x14ac:dyDescent="0.25">
      <c r="B471" s="25"/>
      <c r="C471" s="25"/>
      <c r="D471" s="25"/>
      <c r="E471" s="25"/>
      <c r="F471" s="49"/>
      <c r="G471" s="25"/>
      <c r="H471" s="40"/>
      <c r="I471" s="49"/>
      <c r="K471" s="36"/>
      <c r="L471" s="25"/>
      <c r="M471" s="25"/>
      <c r="N471" s="25"/>
      <c r="O471" s="25"/>
      <c r="P471" s="25"/>
      <c r="Q471" s="25"/>
      <c r="R471" s="25"/>
      <c r="S471" s="25"/>
      <c r="T471" s="25"/>
      <c r="U471" s="25"/>
      <c r="V471" s="25"/>
      <c r="W471" s="25"/>
    </row>
    <row r="472" spans="2:23" x14ac:dyDescent="0.25">
      <c r="B472" s="25"/>
      <c r="C472" s="25"/>
      <c r="D472" s="25"/>
      <c r="E472" s="25"/>
      <c r="F472" s="49"/>
      <c r="G472" s="25"/>
      <c r="H472" s="40"/>
      <c r="I472" s="49"/>
      <c r="K472" s="36"/>
      <c r="L472" s="25"/>
      <c r="M472" s="25"/>
      <c r="N472" s="25"/>
      <c r="O472" s="25"/>
      <c r="P472" s="25"/>
      <c r="Q472" s="25"/>
      <c r="R472" s="25"/>
      <c r="S472" s="25"/>
      <c r="T472" s="25"/>
      <c r="U472" s="25"/>
      <c r="V472" s="25"/>
      <c r="W472" s="25"/>
    </row>
    <row r="473" spans="2:23" x14ac:dyDescent="0.25">
      <c r="B473" s="25"/>
      <c r="C473" s="25"/>
      <c r="D473" s="25"/>
      <c r="E473" s="25"/>
      <c r="F473" s="49"/>
      <c r="G473" s="25"/>
      <c r="H473" s="40"/>
      <c r="I473" s="49"/>
      <c r="K473" s="36"/>
      <c r="L473" s="25"/>
      <c r="M473" s="25"/>
      <c r="N473" s="25"/>
      <c r="O473" s="25"/>
      <c r="P473" s="25"/>
      <c r="Q473" s="25"/>
      <c r="R473" s="25"/>
      <c r="S473" s="25"/>
      <c r="T473" s="25"/>
      <c r="U473" s="25"/>
      <c r="V473" s="25"/>
      <c r="W473" s="25"/>
    </row>
    <row r="474" spans="2:23" x14ac:dyDescent="0.25">
      <c r="B474" s="25"/>
      <c r="C474" s="25"/>
      <c r="D474" s="25"/>
      <c r="E474" s="25"/>
      <c r="F474" s="49"/>
      <c r="G474" s="25"/>
      <c r="H474" s="40"/>
      <c r="I474" s="49"/>
      <c r="K474" s="36"/>
      <c r="L474" s="25"/>
      <c r="M474" s="25"/>
      <c r="N474" s="25"/>
      <c r="O474" s="25"/>
      <c r="P474" s="25"/>
      <c r="Q474" s="25"/>
      <c r="R474" s="25"/>
      <c r="S474" s="25"/>
      <c r="T474" s="25"/>
      <c r="U474" s="25"/>
      <c r="V474" s="25"/>
      <c r="W474" s="25"/>
    </row>
    <row r="475" spans="2:23" x14ac:dyDescent="0.25">
      <c r="B475" s="25"/>
      <c r="C475" s="25"/>
      <c r="D475" s="25"/>
      <c r="E475" s="25"/>
      <c r="F475" s="49"/>
      <c r="G475" s="25"/>
      <c r="H475" s="40"/>
      <c r="I475" s="49"/>
      <c r="K475" s="36"/>
      <c r="L475" s="25"/>
      <c r="M475" s="25"/>
      <c r="N475" s="25"/>
      <c r="O475" s="25"/>
      <c r="P475" s="25"/>
      <c r="Q475" s="25"/>
      <c r="R475" s="25"/>
      <c r="S475" s="25"/>
      <c r="T475" s="25"/>
      <c r="U475" s="25"/>
      <c r="V475" s="25"/>
      <c r="W475" s="25"/>
    </row>
    <row r="476" spans="2:23" x14ac:dyDescent="0.25">
      <c r="B476" s="25"/>
      <c r="C476" s="25"/>
      <c r="D476" s="25"/>
      <c r="E476" s="25"/>
      <c r="F476" s="49"/>
      <c r="G476" s="25"/>
      <c r="H476" s="40"/>
      <c r="I476" s="49"/>
      <c r="K476" s="36"/>
      <c r="L476" s="25"/>
      <c r="M476" s="25"/>
      <c r="N476" s="25"/>
      <c r="O476" s="25"/>
      <c r="P476" s="25"/>
      <c r="Q476" s="25"/>
      <c r="R476" s="25"/>
      <c r="S476" s="25"/>
      <c r="T476" s="25"/>
      <c r="U476" s="25"/>
      <c r="V476" s="25"/>
      <c r="W476" s="25"/>
    </row>
    <row r="477" spans="2:23" x14ac:dyDescent="0.25">
      <c r="B477" s="25"/>
      <c r="C477" s="25"/>
      <c r="D477" s="25"/>
      <c r="E477" s="25"/>
      <c r="F477" s="49"/>
      <c r="G477" s="25"/>
      <c r="H477" s="40"/>
      <c r="I477" s="49"/>
      <c r="K477" s="36"/>
      <c r="L477" s="25"/>
      <c r="M477" s="25"/>
      <c r="N477" s="25"/>
      <c r="O477" s="25"/>
      <c r="P477" s="25"/>
      <c r="Q477" s="25"/>
      <c r="R477" s="25"/>
      <c r="S477" s="25"/>
      <c r="T477" s="25"/>
      <c r="U477" s="25"/>
      <c r="V477" s="25"/>
      <c r="W477" s="25"/>
    </row>
    <row r="478" spans="2:23" x14ac:dyDescent="0.25">
      <c r="B478" s="25"/>
      <c r="C478" s="25"/>
      <c r="D478" s="25"/>
      <c r="E478" s="25"/>
      <c r="F478" s="49"/>
      <c r="G478" s="25"/>
      <c r="H478" s="40"/>
      <c r="I478" s="49"/>
      <c r="K478" s="36"/>
      <c r="L478" s="25"/>
      <c r="M478" s="25"/>
      <c r="N478" s="25"/>
      <c r="O478" s="25"/>
      <c r="P478" s="25"/>
      <c r="Q478" s="25"/>
      <c r="R478" s="25"/>
      <c r="S478" s="25"/>
      <c r="T478" s="25"/>
      <c r="U478" s="25"/>
      <c r="V478" s="25"/>
      <c r="W478" s="25"/>
    </row>
    <row r="479" spans="2:23" x14ac:dyDescent="0.25">
      <c r="B479" s="25"/>
      <c r="C479" s="25"/>
      <c r="D479" s="25"/>
      <c r="E479" s="25"/>
      <c r="F479" s="49"/>
      <c r="G479" s="25"/>
      <c r="H479" s="40"/>
      <c r="I479" s="49"/>
      <c r="K479" s="36"/>
      <c r="L479" s="25"/>
      <c r="M479" s="25"/>
      <c r="N479" s="25"/>
      <c r="O479" s="25"/>
      <c r="P479" s="25"/>
      <c r="Q479" s="25"/>
      <c r="R479" s="25"/>
      <c r="S479" s="25"/>
      <c r="T479" s="25"/>
      <c r="U479" s="25"/>
      <c r="V479" s="25"/>
      <c r="W479" s="25"/>
    </row>
    <row r="480" spans="2:23" x14ac:dyDescent="0.25">
      <c r="B480" s="25"/>
      <c r="C480" s="25"/>
      <c r="D480" s="25"/>
      <c r="E480" s="25"/>
      <c r="F480" s="49"/>
      <c r="G480" s="25"/>
      <c r="H480" s="40"/>
      <c r="I480" s="49"/>
      <c r="K480" s="36"/>
      <c r="L480" s="25"/>
      <c r="M480" s="25"/>
      <c r="N480" s="25"/>
      <c r="O480" s="25"/>
      <c r="P480" s="25"/>
      <c r="Q480" s="25"/>
      <c r="R480" s="25"/>
      <c r="S480" s="25"/>
      <c r="T480" s="25"/>
      <c r="U480" s="25"/>
      <c r="V480" s="25"/>
      <c r="W480" s="25"/>
    </row>
    <row r="481" spans="2:23" x14ac:dyDescent="0.25">
      <c r="B481" s="25"/>
      <c r="C481" s="25"/>
      <c r="D481" s="25"/>
      <c r="E481" s="25"/>
      <c r="F481" s="49"/>
      <c r="G481" s="25"/>
      <c r="H481" s="40"/>
      <c r="I481" s="49"/>
      <c r="K481" s="36"/>
      <c r="L481" s="25"/>
      <c r="M481" s="25"/>
      <c r="N481" s="25"/>
      <c r="O481" s="25"/>
      <c r="P481" s="25"/>
      <c r="Q481" s="25"/>
      <c r="R481" s="25"/>
      <c r="S481" s="25"/>
      <c r="T481" s="25"/>
      <c r="U481" s="25"/>
      <c r="V481" s="25"/>
      <c r="W481" s="25"/>
    </row>
    <row r="482" spans="2:23" x14ac:dyDescent="0.25">
      <c r="B482" s="25"/>
      <c r="C482" s="25"/>
      <c r="D482" s="25"/>
      <c r="E482" s="25"/>
      <c r="F482" s="49"/>
      <c r="G482" s="25"/>
      <c r="H482" s="40"/>
      <c r="I482" s="49"/>
      <c r="K482" s="36"/>
      <c r="L482" s="25"/>
      <c r="M482" s="25"/>
      <c r="N482" s="25"/>
      <c r="O482" s="25"/>
      <c r="P482" s="25"/>
      <c r="Q482" s="25"/>
      <c r="R482" s="25"/>
      <c r="S482" s="25"/>
      <c r="T482" s="25"/>
      <c r="U482" s="25"/>
      <c r="V482" s="25"/>
      <c r="W482" s="25"/>
    </row>
    <row r="483" spans="2:23" x14ac:dyDescent="0.25">
      <c r="B483" s="25"/>
      <c r="C483" s="25"/>
      <c r="D483" s="25"/>
      <c r="E483" s="25"/>
      <c r="F483" s="49"/>
      <c r="G483" s="25"/>
      <c r="H483" s="40"/>
      <c r="I483" s="49"/>
      <c r="K483" s="36"/>
      <c r="L483" s="25"/>
      <c r="M483" s="25"/>
      <c r="N483" s="25"/>
      <c r="O483" s="25"/>
      <c r="P483" s="25"/>
      <c r="Q483" s="25"/>
      <c r="R483" s="25"/>
      <c r="S483" s="25"/>
      <c r="T483" s="25"/>
      <c r="U483" s="25"/>
      <c r="V483" s="25"/>
      <c r="W483" s="25"/>
    </row>
    <row r="484" spans="2:23" x14ac:dyDescent="0.25">
      <c r="B484" s="25"/>
      <c r="C484" s="25"/>
      <c r="D484" s="25"/>
      <c r="E484" s="25"/>
      <c r="F484" s="49"/>
      <c r="G484" s="25"/>
      <c r="H484" s="40"/>
      <c r="I484" s="49"/>
      <c r="K484" s="36"/>
      <c r="L484" s="25"/>
      <c r="M484" s="25"/>
      <c r="N484" s="25"/>
      <c r="O484" s="25"/>
      <c r="P484" s="25"/>
      <c r="Q484" s="25"/>
      <c r="R484" s="25"/>
      <c r="S484" s="25"/>
      <c r="T484" s="25"/>
      <c r="U484" s="25"/>
      <c r="V484" s="25"/>
      <c r="W484" s="25"/>
    </row>
    <row r="485" spans="2:23" x14ac:dyDescent="0.25">
      <c r="B485" s="25"/>
      <c r="C485" s="25"/>
      <c r="D485" s="25"/>
      <c r="E485" s="25"/>
      <c r="F485" s="49"/>
      <c r="G485" s="25"/>
      <c r="H485" s="40"/>
      <c r="I485" s="49"/>
      <c r="K485" s="36"/>
      <c r="L485" s="25"/>
      <c r="M485" s="25"/>
      <c r="N485" s="25"/>
      <c r="O485" s="25"/>
      <c r="P485" s="25"/>
      <c r="Q485" s="25"/>
      <c r="R485" s="25"/>
      <c r="S485" s="25"/>
      <c r="T485" s="25"/>
      <c r="U485" s="25"/>
      <c r="V485" s="25"/>
      <c r="W485" s="25"/>
    </row>
    <row r="486" spans="2:23" x14ac:dyDescent="0.25">
      <c r="B486" s="25"/>
      <c r="C486" s="25"/>
      <c r="D486" s="25"/>
      <c r="E486" s="25"/>
      <c r="F486" s="49"/>
      <c r="G486" s="25"/>
      <c r="H486" s="40"/>
      <c r="I486" s="49"/>
      <c r="K486" s="36"/>
      <c r="L486" s="25"/>
      <c r="M486" s="25"/>
      <c r="N486" s="25"/>
      <c r="O486" s="25"/>
      <c r="P486" s="25"/>
      <c r="Q486" s="25"/>
      <c r="R486" s="25"/>
      <c r="S486" s="25"/>
      <c r="T486" s="25"/>
      <c r="U486" s="25"/>
      <c r="V486" s="25"/>
      <c r="W486" s="25"/>
    </row>
    <row r="487" spans="2:23" x14ac:dyDescent="0.25">
      <c r="B487" s="25"/>
      <c r="C487" s="25"/>
      <c r="D487" s="25"/>
      <c r="E487" s="25"/>
      <c r="F487" s="49"/>
      <c r="G487" s="25"/>
      <c r="H487" s="40"/>
      <c r="I487" s="49"/>
      <c r="K487" s="36"/>
      <c r="L487" s="25"/>
      <c r="M487" s="25"/>
      <c r="N487" s="25"/>
      <c r="O487" s="25"/>
      <c r="P487" s="25"/>
      <c r="Q487" s="25"/>
      <c r="R487" s="25"/>
      <c r="S487" s="25"/>
      <c r="T487" s="25"/>
      <c r="U487" s="25"/>
      <c r="V487" s="25"/>
      <c r="W487" s="25"/>
    </row>
    <row r="488" spans="2:23" x14ac:dyDescent="0.25">
      <c r="B488" s="25"/>
      <c r="C488" s="25"/>
      <c r="D488" s="25"/>
      <c r="E488" s="25"/>
      <c r="F488" s="49"/>
      <c r="G488" s="25"/>
      <c r="H488" s="40"/>
      <c r="I488" s="49"/>
      <c r="K488" s="36"/>
      <c r="L488" s="25"/>
      <c r="M488" s="25"/>
      <c r="N488" s="25"/>
      <c r="O488" s="25"/>
      <c r="P488" s="25"/>
      <c r="Q488" s="25"/>
      <c r="R488" s="25"/>
      <c r="S488" s="25"/>
      <c r="T488" s="25"/>
      <c r="U488" s="25"/>
      <c r="V488" s="25"/>
      <c r="W488" s="25"/>
    </row>
    <row r="489" spans="2:23" x14ac:dyDescent="0.25">
      <c r="B489" s="25"/>
      <c r="C489" s="25"/>
      <c r="D489" s="25"/>
      <c r="E489" s="25"/>
      <c r="F489" s="49"/>
      <c r="G489" s="25"/>
      <c r="H489" s="40"/>
      <c r="I489" s="49"/>
      <c r="K489" s="36"/>
      <c r="L489" s="25"/>
      <c r="M489" s="25"/>
      <c r="N489" s="25"/>
      <c r="O489" s="25"/>
      <c r="P489" s="25"/>
      <c r="Q489" s="25"/>
      <c r="R489" s="25"/>
      <c r="S489" s="25"/>
      <c r="T489" s="25"/>
      <c r="U489" s="25"/>
      <c r="V489" s="25"/>
      <c r="W489" s="25"/>
    </row>
    <row r="490" spans="2:23" x14ac:dyDescent="0.25">
      <c r="B490" s="25"/>
      <c r="C490" s="25"/>
      <c r="D490" s="25"/>
      <c r="E490" s="25"/>
      <c r="F490" s="49"/>
      <c r="G490" s="25"/>
      <c r="H490" s="40"/>
      <c r="I490" s="49"/>
      <c r="K490" s="36"/>
      <c r="L490" s="25"/>
      <c r="M490" s="25"/>
      <c r="N490" s="25"/>
      <c r="O490" s="25"/>
      <c r="P490" s="25"/>
      <c r="Q490" s="25"/>
      <c r="R490" s="25"/>
      <c r="S490" s="25"/>
      <c r="T490" s="25"/>
      <c r="U490" s="25"/>
      <c r="V490" s="25"/>
      <c r="W490" s="25"/>
    </row>
    <row r="491" spans="2:23" x14ac:dyDescent="0.25">
      <c r="B491" s="25"/>
      <c r="C491" s="25"/>
      <c r="D491" s="25"/>
      <c r="E491" s="25"/>
      <c r="F491" s="49"/>
      <c r="G491" s="25"/>
      <c r="H491" s="40"/>
      <c r="I491" s="49"/>
      <c r="K491" s="36"/>
      <c r="L491" s="25"/>
      <c r="M491" s="25"/>
      <c r="N491" s="25"/>
      <c r="O491" s="25"/>
      <c r="P491" s="25"/>
      <c r="Q491" s="25"/>
      <c r="R491" s="25"/>
      <c r="S491" s="25"/>
      <c r="T491" s="25"/>
      <c r="U491" s="25"/>
      <c r="V491" s="25"/>
      <c r="W491" s="25"/>
    </row>
    <row r="492" spans="2:23" x14ac:dyDescent="0.25">
      <c r="B492" s="25"/>
      <c r="C492" s="25"/>
      <c r="D492" s="25"/>
      <c r="E492" s="25"/>
      <c r="F492" s="49"/>
      <c r="G492" s="25"/>
      <c r="H492" s="40"/>
      <c r="I492" s="49"/>
      <c r="K492" s="36"/>
      <c r="L492" s="25"/>
      <c r="M492" s="25"/>
      <c r="N492" s="25"/>
      <c r="O492" s="25"/>
      <c r="P492" s="25"/>
      <c r="R492" s="25"/>
      <c r="S492" s="25"/>
      <c r="T492" s="25"/>
      <c r="U492" s="25"/>
      <c r="V492" s="25"/>
      <c r="W492" s="25"/>
    </row>
    <row r="493" spans="2:23" x14ac:dyDescent="0.25">
      <c r="F493" s="49"/>
      <c r="I493" s="49"/>
      <c r="K493" s="36"/>
    </row>
    <row r="494" spans="2:23" x14ac:dyDescent="0.25">
      <c r="F494" s="49"/>
      <c r="I494" s="49"/>
      <c r="K494" s="36"/>
    </row>
    <row r="495" spans="2:23" x14ac:dyDescent="0.25">
      <c r="F495" s="49"/>
      <c r="I495" s="49"/>
      <c r="K495" s="36"/>
    </row>
    <row r="496" spans="2:23" x14ac:dyDescent="0.25">
      <c r="F496" s="49"/>
      <c r="I496" s="49"/>
      <c r="K496" s="36"/>
    </row>
    <row r="497" spans="6:11" x14ac:dyDescent="0.25">
      <c r="F497" s="49"/>
      <c r="I497" s="49"/>
      <c r="K497" s="36"/>
    </row>
    <row r="498" spans="6:11" x14ac:dyDescent="0.25">
      <c r="F498" s="49"/>
      <c r="I498" s="49"/>
      <c r="K498" s="36"/>
    </row>
    <row r="499" spans="6:11" x14ac:dyDescent="0.25">
      <c r="F499" s="49"/>
      <c r="I499" s="49"/>
      <c r="K499" s="36"/>
    </row>
    <row r="500" spans="6:11" x14ac:dyDescent="0.25">
      <c r="I500" s="49"/>
      <c r="K500" s="36"/>
    </row>
  </sheetData>
  <conditionalFormatting sqref="A1:B1048576">
    <cfRule type="expression" dxfId="65" priority="2">
      <formula>AND(COUNTIF(A:A,$A1)&gt;1,$A1&lt;&gt;"")</formula>
    </cfRule>
  </conditionalFormatting>
  <conditionalFormatting sqref="G1:G1048576">
    <cfRule type="expression" dxfId="64" priority="3">
      <formula>AND(NOT(ISBLANK($B1)),#REF!=0,$G1=0,#REF!=0)</formula>
    </cfRule>
  </conditionalFormatting>
  <conditionalFormatting sqref="K3:K8">
    <cfRule type="expression" dxfId="63" priority="1">
      <formula>AND(NOT(ISBLANK(K3)),K3=$A3)</formula>
    </cfRule>
  </conditionalFormatting>
  <dataValidations count="11">
    <dataValidation type="decimal" operator="greaterThanOrEqual" allowBlank="1" showInputMessage="1" showErrorMessage="1" sqref="M3:O488" xr:uid="{315DB645-A3DE-4503-A93A-2C9A24D123F3}">
      <formula1>0</formula1>
    </dataValidation>
    <dataValidation type="decimal" operator="greaterThan" allowBlank="1" showInputMessage="1" showErrorMessage="1" sqref="D3:D1048576 H3:H492" xr:uid="{DE5131C8-401A-4CEB-BAB5-56D8ABA349C6}">
      <formula1>0</formula1>
    </dataValidation>
    <dataValidation type="whole" operator="greaterThanOrEqual" allowBlank="1" showInputMessage="1" showErrorMessage="1" sqref="L3:L488 F3:F1048576" xr:uid="{9B8EC5BF-2733-4CB2-A704-130852C0E129}">
      <formula1>1</formula1>
    </dataValidation>
    <dataValidation type="decimal" operator="greaterThan" allowBlank="1" showInputMessage="1" showErrorMessage="1" errorTitle="Wrong input" error="Leave it empy or it must be a decimal greater than 0.0." sqref="J21:J515" xr:uid="{51814435-DAB4-4B33-9EB8-E45134CF5CC0}">
      <formula1>0</formula1>
    </dataValidation>
    <dataValidation type="custom" operator="greaterThan" allowBlank="1" showInputMessage="1" showErrorMessage="1" errorTitle="Wrong input" error="If location is &quot;transit&quot;, leave this cell empty. If not, it must be decimal greater than 0.0." sqref="J3:J20" xr:uid="{FA6C1A37-2627-431D-B86D-E8F87AE3AE9A}">
      <formula1>AND(ISNUMBER(J3),J3&gt;0)</formula1>
    </dataValidation>
    <dataValidation type="whole" operator="greaterThanOrEqual" allowBlank="1" showInputMessage="1" showErrorMessage="1" sqref="G489:G491" xr:uid="{F852A4F9-CB70-4831-9F31-339AAC7D1FA1}">
      <formula1>0</formula1>
    </dataValidation>
    <dataValidation operator="greaterThan" allowBlank="1" showInputMessage="1" showErrorMessage="1" sqref="G2:H2" xr:uid="{773EBE1F-7182-4D0D-B92F-D128BDE506CC}"/>
    <dataValidation type="list" allowBlank="1" showInputMessage="1" showErrorMessage="1" sqref="Q3:Q16 K3" xr:uid="{88DFF4DB-201F-4BB4-A311-5ABD4FD346B9}">
      <formula1>"False,True"</formula1>
    </dataValidation>
    <dataValidation type="list" allowBlank="1" showInputMessage="1" showErrorMessage="1" sqref="K4:K1048576" xr:uid="{335819B2-2F0F-4613-9A88-4D78E493CC61}">
      <formula1>"True, False"</formula1>
    </dataValidation>
    <dataValidation type="list" allowBlank="1" showInputMessage="1" showErrorMessage="1" sqref="I3:I1048576" xr:uid="{85780668-9035-4499-9219-2C2C38E2592A}">
      <formula1>"exp_cable, exp_cable_island, dyn_cable-sub, array_cable, cable_cb, cable_transf, cable_switch,     cable_inv, string_cable, substation, mv_transformer, circuit_braker, switcher, inverter, device, hub, shore"</formula1>
    </dataValidation>
    <dataValidation type="whole" allowBlank="1" showInputMessage="1" showErrorMessage="1" sqref="E3:E1048576" xr:uid="{9C0B70D0-195A-4026-96E9-DB08B8EB7FBC}">
      <formula1>1</formula1>
      <formula2>12</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custom" operator="greaterThanOrEqual" allowBlank="1" showInputMessage="1" showErrorMessage="1" xr:uid="{C6A40568-231B-48B3-AD06-FE06FE45701A}">
          <x14:formula1>
            <xm:f>AND(ISNUMBER(G5),MOD(G5,1)=0,G5&gt;=0,G5&lt;=Gen_WEC!G13)</xm:f>
          </x14:formula1>
          <xm:sqref>G5:G6</xm:sqref>
        </x14:dataValidation>
        <x14:dataValidation type="custom" operator="greaterThanOrEqual" allowBlank="1" showInputMessage="1" showErrorMessage="1" xr:uid="{8A0D28E3-57FF-4F64-A095-6F77603C2382}">
          <x14:formula1>
            <xm:f>AND(ISNUMBER(G4),MOD(G4,1)=0,G4&gt;=0,G4&lt;=Gen_WEC!G11)</xm:f>
          </x14:formula1>
          <xm:sqref>G4</xm:sqref>
        </x14:dataValidation>
        <x14:dataValidation type="custom" operator="greaterThanOrEqual" allowBlank="1" showInputMessage="1" showErrorMessage="1" xr:uid="{F67F08F7-011D-4FE2-A8C7-9569D1BD9431}">
          <x14:formula1>
            <xm:f>AND(ISNUMBER(G13),MOD(G13,1)=0,G13&gt;=0,G13&lt;=Gen_WEC!G23)</xm:f>
          </x14:formula1>
          <xm:sqref>G13:G14</xm:sqref>
        </x14:dataValidation>
        <x14:dataValidation type="custom" operator="greaterThanOrEqual" allowBlank="1" showInputMessage="1" showErrorMessage="1" xr:uid="{6051FC4F-83F4-469A-95CE-52747278C7CE}">
          <x14:formula1>
            <xm:f>AND(ISNUMBER(G15),MOD(G15,1)=0,G15&gt;=0,G15&lt;=Gen_WEC!G26)</xm:f>
          </x14:formula1>
          <xm:sqref>G15:G16</xm:sqref>
        </x14:dataValidation>
        <x14:dataValidation type="custom" operator="greaterThanOrEqual" allowBlank="1" showInputMessage="1" showErrorMessage="1" xr:uid="{649DD27A-BC77-4C4C-9A8D-F3244D9B5D7E}">
          <x14:formula1>
            <xm:f>AND(ISNUMBER(G17),MOD(G17,1)=0,G17&gt;=0,G17&lt;=Gen_WEC!G29)</xm:f>
          </x14:formula1>
          <xm:sqref>G17:G488</xm:sqref>
        </x14:dataValidation>
        <x14:dataValidation type="custom" operator="greaterThanOrEqual" allowBlank="1" showInputMessage="1" showErrorMessage="1" xr:uid="{C572288F-77CD-4B3C-802B-A436E4D0E569}">
          <x14:formula1>
            <xm:f>AND(ISNUMBER(G7),MOD(G7,1)=0,G7&gt;=0,G7&lt;=Gen_WEC!G16)</xm:f>
          </x14:formula1>
          <xm:sqref>G7:G12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A12F-EC88-4372-ADF7-E4C2DF255CB2}">
  <sheetPr>
    <tabColor theme="4" tint="0.39997558519241921"/>
  </sheetPr>
  <dimension ref="A1:AG1048576"/>
  <sheetViews>
    <sheetView zoomScaleNormal="100" workbookViewId="0">
      <pane xSplit="3" ySplit="2" topLeftCell="D3" activePane="bottomRight" state="frozen"/>
      <selection pane="topRight" activeCell="C1" sqref="C1"/>
      <selection pane="bottomLeft" activeCell="A3" sqref="A3"/>
      <selection pane="bottomRight" activeCell="I3" sqref="I3"/>
    </sheetView>
  </sheetViews>
  <sheetFormatPr defaultColWidth="9.28515625" defaultRowHeight="15" x14ac:dyDescent="0.25"/>
  <cols>
    <col min="1" max="1" width="18.7109375" style="18" customWidth="1"/>
    <col min="2" max="2" width="16.7109375" style="18" customWidth="1"/>
    <col min="3" max="3" width="40.7109375" style="18" customWidth="1"/>
    <col min="4" max="4" width="6.7109375" style="46" customWidth="1"/>
    <col min="5" max="5" width="6.7109375" style="13" customWidth="1"/>
    <col min="6" max="6" width="6.7109375" style="47" customWidth="1"/>
    <col min="7" max="8" width="13.7109375" style="18" customWidth="1"/>
    <col min="9" max="9" width="6.7109375" style="35" customWidth="1"/>
    <col min="10" max="14" width="6.7109375" style="18" customWidth="1"/>
    <col min="15" max="21" width="15.5703125" style="18" customWidth="1"/>
    <col min="22" max="23" width="21.42578125" style="18" customWidth="1"/>
    <col min="24" max="24" width="13.5703125" style="18" customWidth="1"/>
    <col min="25" max="25" width="12.7109375" style="18" customWidth="1"/>
    <col min="26" max="26" width="15.42578125" bestFit="1" customWidth="1"/>
    <col min="27" max="27" width="11.85546875" style="18" bestFit="1" customWidth="1"/>
    <col min="28" max="16384" width="9.28515625" style="18"/>
  </cols>
  <sheetData>
    <row r="1" spans="1:33" ht="30" x14ac:dyDescent="0.25">
      <c r="A1" s="18" t="s">
        <v>66</v>
      </c>
      <c r="B1" s="18" t="s">
        <v>149</v>
      </c>
      <c r="C1" s="18" t="s">
        <v>150</v>
      </c>
      <c r="D1" s="35" t="s">
        <v>243</v>
      </c>
      <c r="E1" s="18" t="s">
        <v>244</v>
      </c>
      <c r="F1" s="36" t="s">
        <v>245</v>
      </c>
      <c r="G1" s="18" t="s">
        <v>246</v>
      </c>
      <c r="H1" s="55" t="s">
        <v>159</v>
      </c>
      <c r="I1" s="35" t="s">
        <v>160</v>
      </c>
      <c r="J1" s="18" t="s">
        <v>161</v>
      </c>
      <c r="K1" s="18" t="s">
        <v>162</v>
      </c>
      <c r="L1" s="18" t="s">
        <v>163</v>
      </c>
      <c r="M1" s="18" t="s">
        <v>164</v>
      </c>
      <c r="N1" s="67" t="s">
        <v>165</v>
      </c>
      <c r="O1" s="18" t="s">
        <v>166</v>
      </c>
      <c r="P1" s="18" t="s">
        <v>167</v>
      </c>
      <c r="Q1" s="18" t="s">
        <v>265</v>
      </c>
      <c r="R1" s="18" t="s">
        <v>168</v>
      </c>
      <c r="S1" s="18" t="s">
        <v>169</v>
      </c>
      <c r="T1" s="25" t="s">
        <v>430</v>
      </c>
      <c r="U1" s="18" t="s">
        <v>170</v>
      </c>
      <c r="V1" s="18" t="s">
        <v>247</v>
      </c>
      <c r="W1" s="18" t="s">
        <v>172</v>
      </c>
      <c r="X1" s="18" t="s">
        <v>173</v>
      </c>
      <c r="Y1" s="18" t="s">
        <v>174</v>
      </c>
      <c r="Z1" s="18" t="s">
        <v>175</v>
      </c>
      <c r="AA1" s="18" t="s">
        <v>178</v>
      </c>
    </row>
    <row r="2" spans="1:33" x14ac:dyDescent="0.25">
      <c r="A2" s="18" t="s">
        <v>13</v>
      </c>
      <c r="B2" s="18" t="s">
        <v>13</v>
      </c>
      <c r="C2" s="18" t="s">
        <v>13</v>
      </c>
      <c r="D2" s="35" t="s">
        <v>13</v>
      </c>
      <c r="E2" s="18" t="s">
        <v>13</v>
      </c>
      <c r="F2" s="36" t="s">
        <v>13</v>
      </c>
      <c r="G2" s="18" t="s">
        <v>91</v>
      </c>
      <c r="H2" s="56" t="s">
        <v>13</v>
      </c>
      <c r="I2" s="35" t="s">
        <v>30</v>
      </c>
      <c r="J2" s="18" t="s">
        <v>180</v>
      </c>
      <c r="K2" s="18" t="s">
        <v>27</v>
      </c>
      <c r="L2" s="18" t="s">
        <v>27</v>
      </c>
      <c r="M2" s="18" t="s">
        <v>27</v>
      </c>
      <c r="N2" s="67" t="s">
        <v>13</v>
      </c>
      <c r="O2" s="18" t="s">
        <v>13</v>
      </c>
      <c r="P2" s="18" t="s">
        <v>13</v>
      </c>
      <c r="Q2" s="18" t="s">
        <v>13</v>
      </c>
      <c r="R2" s="18" t="s">
        <v>13</v>
      </c>
      <c r="S2" s="18" t="s">
        <v>13</v>
      </c>
      <c r="T2" s="25" t="s">
        <v>13</v>
      </c>
      <c r="U2" s="18" t="s">
        <v>13</v>
      </c>
      <c r="V2" s="18" t="s">
        <v>13</v>
      </c>
      <c r="W2" s="18" t="s">
        <v>181</v>
      </c>
      <c r="X2" s="18" t="s">
        <v>90</v>
      </c>
      <c r="Y2" s="18" t="s">
        <v>90</v>
      </c>
      <c r="Z2" s="18" t="s">
        <v>13</v>
      </c>
      <c r="AA2" s="18" t="s">
        <v>13</v>
      </c>
    </row>
    <row r="3" spans="1:33" ht="20.25" customHeight="1" x14ac:dyDescent="0.25">
      <c r="A3" s="18" t="str">
        <f t="shared" ref="A3:A58" si="0">IF(ISBLANK($B3)=FALSE,IF(AND($D3&gt;0,$E3&lt;=0,$F3&lt;=0),_xlfn.CONCAT("ofw_",$B3),IF(AND($D3&lt;=0,$E3&gt;0,$F3&lt;=0),_xlfn.CONCAT("owc_",$B3),IF(AND($D3&lt;=0,$E3&lt;=0,$F3&gt;0),_xlfn.CONCAT("opv_",$B3),_xlfn.CONCAT("oce_",$B3)))),"")</f>
        <v>owc_M01</v>
      </c>
      <c r="B3" s="62" t="s">
        <v>248</v>
      </c>
      <c r="C3" s="62" t="s">
        <v>249</v>
      </c>
      <c r="D3" s="63"/>
      <c r="E3" s="64" t="s">
        <v>250</v>
      </c>
      <c r="F3" s="65"/>
      <c r="G3" s="62">
        <v>2</v>
      </c>
      <c r="H3" s="57" t="b">
        <v>1</v>
      </c>
      <c r="I3" s="35">
        <v>1.5</v>
      </c>
      <c r="N3" s="66" t="b">
        <v>1</v>
      </c>
      <c r="O3" s="25" t="s">
        <v>198</v>
      </c>
      <c r="P3" s="72" t="str">
        <f>IFERROR(IF(ISBLANK(O3),"",INDEX(Gen_Vessels!$A$3:$C$500,MATCH(O3,Gen_Vessels!$C$3:$C$500,0),1)),"")</f>
        <v>V101</v>
      </c>
      <c r="Q3" s="25">
        <v>1</v>
      </c>
      <c r="R3" s="25"/>
      <c r="S3" s="25" t="str">
        <f>IFERROR(IF(ISBLANK(R3),"",INDEX(Gen_Vessels!$A$3:$C$500,MATCH(CorrectiveMinor!$R3,Gen_Vessels!$C$3:$C$500,0),1)),"")</f>
        <v/>
      </c>
      <c r="T3" s="25">
        <v>1</v>
      </c>
      <c r="U3" s="25"/>
      <c r="V3" s="62">
        <v>2</v>
      </c>
      <c r="W3" s="62">
        <v>0</v>
      </c>
      <c r="X3" s="62"/>
      <c r="Y3" s="62"/>
      <c r="Z3" s="20" t="s">
        <v>185</v>
      </c>
      <c r="AA3" s="25"/>
      <c r="AB3" s="62"/>
      <c r="AC3" s="62"/>
      <c r="AD3" s="62"/>
      <c r="AE3" s="62"/>
      <c r="AF3" s="62"/>
      <c r="AG3" s="62"/>
    </row>
    <row r="4" spans="1:33" x14ac:dyDescent="0.25">
      <c r="A4" s="18" t="str">
        <f>IF(ISBLANK($B4)=FALSE,IF(AND($D4&gt;0,$E4&lt;=0,$F4&lt;=0),_xlfn.CONCAT("ofw_",$B4),IF(AND($D4&lt;=0,$E4&gt;0,$F4&lt;=0),_xlfn.CONCAT("owc_",$B4),IF(AND($D4&lt;=0,$E4&lt;=0,$F4&gt;0),_xlfn.CONCAT("opv_",$B4),_xlfn.CONCAT("oce_",$B4)))),"")</f>
        <v>owc_M02</v>
      </c>
      <c r="B4" s="62" t="s">
        <v>251</v>
      </c>
      <c r="C4" s="62" t="s">
        <v>252</v>
      </c>
      <c r="D4" s="63"/>
      <c r="E4" s="64" t="s">
        <v>250</v>
      </c>
      <c r="F4" s="65"/>
      <c r="G4" s="62">
        <v>2</v>
      </c>
      <c r="H4" s="57" t="b">
        <v>1</v>
      </c>
      <c r="I4" s="35">
        <v>1.5</v>
      </c>
      <c r="N4" s="66" t="b">
        <v>1</v>
      </c>
      <c r="O4" s="25" t="s">
        <v>198</v>
      </c>
      <c r="P4" s="72" t="str">
        <f>IFERROR(IF(ISBLANK(O4),"",INDEX(Gen_Vessels!$A$3:$C$500,MATCH(O4,Gen_Vessels!$C$3:$C$500,0),1)),"")</f>
        <v>V101</v>
      </c>
      <c r="Q4" s="25">
        <v>1</v>
      </c>
      <c r="R4" s="25"/>
      <c r="S4" s="25" t="str">
        <f>IFERROR(IF(ISBLANK(R4),"",INDEX(Gen_Vessels!$A$3:$C$500,MATCH(CorrectiveMinor!$R4,Gen_Vessels!$C$3:$C$500,0),1)),"")</f>
        <v/>
      </c>
      <c r="T4" s="25">
        <v>1</v>
      </c>
      <c r="U4" s="25"/>
      <c r="V4" s="62">
        <v>2</v>
      </c>
      <c r="W4" s="62">
        <v>0</v>
      </c>
      <c r="X4" s="62"/>
      <c r="Y4" s="62"/>
      <c r="Z4" s="20" t="s">
        <v>185</v>
      </c>
      <c r="AA4" s="25"/>
      <c r="AB4" s="62"/>
      <c r="AC4" s="62"/>
      <c r="AD4" s="62"/>
      <c r="AE4" s="62"/>
      <c r="AF4" s="62"/>
      <c r="AG4" s="62"/>
    </row>
    <row r="5" spans="1:33" x14ac:dyDescent="0.25">
      <c r="A5" s="18" t="str">
        <f>IF(ISBLANK($B5)=FALSE,IF(AND($D5&gt;0,$E5&lt;=0,$F5&lt;=0),_xlfn.CONCAT("ofw_",$B5),IF(AND($D5&lt;=0,$E5&gt;0,$F5&lt;=0),_xlfn.CONCAT("owc_",$B5),IF(AND($D5&lt;=0,$E5&lt;=0,$F5&gt;0),_xlfn.CONCAT("opv_",$B5),_xlfn.CONCAT("oce_",$B5)))),"")</f>
        <v>owc_M03</v>
      </c>
      <c r="B5" s="62" t="s">
        <v>253</v>
      </c>
      <c r="C5" s="62" t="s">
        <v>254</v>
      </c>
      <c r="D5" s="63"/>
      <c r="E5" s="64" t="s">
        <v>250</v>
      </c>
      <c r="F5" s="65"/>
      <c r="G5" s="62">
        <v>4</v>
      </c>
      <c r="H5" s="57" t="b">
        <v>1</v>
      </c>
      <c r="I5" s="35">
        <v>1.5</v>
      </c>
      <c r="N5" s="66" t="b">
        <v>1</v>
      </c>
      <c r="O5" s="25" t="s">
        <v>198</v>
      </c>
      <c r="P5" s="72" t="str">
        <f>IFERROR(IF(ISBLANK(O5),"",INDEX(Gen_Vessels!$A$3:$C$500,MATCH(O5,Gen_Vessels!$C$3:$C$500,0),1)),"")</f>
        <v>V101</v>
      </c>
      <c r="Q5" s="25">
        <v>1</v>
      </c>
      <c r="R5" s="25"/>
      <c r="S5" s="25" t="str">
        <f>IFERROR(IF(ISBLANK(R5),"",INDEX(Gen_Vessels!$A$3:$C$500,MATCH(CorrectiveMinor!$R5,Gen_Vessels!$C$3:$C$500,0),1)),"")</f>
        <v/>
      </c>
      <c r="T5" s="25">
        <v>1</v>
      </c>
      <c r="U5" s="25"/>
      <c r="V5" s="62">
        <v>2</v>
      </c>
      <c r="W5" s="62">
        <v>0</v>
      </c>
      <c r="X5" s="62"/>
      <c r="Y5" s="62"/>
      <c r="Z5" s="20" t="s">
        <v>185</v>
      </c>
      <c r="AA5" s="25"/>
      <c r="AB5" s="25"/>
      <c r="AC5" s="25"/>
      <c r="AD5" s="25"/>
      <c r="AE5" s="25"/>
      <c r="AF5" s="25"/>
      <c r="AG5" s="25"/>
    </row>
    <row r="6" spans="1:33" x14ac:dyDescent="0.25">
      <c r="A6" s="18" t="str">
        <f t="shared" si="0"/>
        <v/>
      </c>
      <c r="B6" s="25"/>
      <c r="C6" s="25"/>
      <c r="D6" s="43"/>
      <c r="E6" s="44"/>
      <c r="F6" s="45"/>
      <c r="G6" s="40"/>
      <c r="H6" s="57"/>
      <c r="N6" s="66"/>
      <c r="O6" s="25"/>
      <c r="P6" s="72" t="str">
        <f>IFERROR(IF(ISBLANK(O6),"",INDEX(Gen_Vessels!$A$3:$C$500,MATCH(O6,Gen_Vessels!$C$3:$C$500,0),1)),"")</f>
        <v/>
      </c>
      <c r="Q6" s="25"/>
      <c r="R6" s="25"/>
      <c r="S6" s="25" t="str">
        <f>IFERROR(IF(ISBLANK(R6),"",INDEX(Gen_Vessels!$A$3:$C$500,MATCH(CorrectiveMinor!$R6,Gen_Vessels!$C$3:$C$500,0),1)),"")</f>
        <v/>
      </c>
      <c r="T6" s="25"/>
      <c r="U6" s="25"/>
      <c r="V6" s="25"/>
      <c r="W6" s="25"/>
      <c r="X6" s="25"/>
      <c r="Y6" s="25"/>
      <c r="Z6" s="20"/>
      <c r="AA6" s="25"/>
      <c r="AB6" s="25"/>
      <c r="AC6" s="25"/>
      <c r="AD6" s="25"/>
      <c r="AE6" s="25"/>
      <c r="AF6" s="25"/>
      <c r="AG6" s="25"/>
    </row>
    <row r="7" spans="1:33" x14ac:dyDescent="0.25">
      <c r="A7" s="18" t="str">
        <f t="shared" si="0"/>
        <v/>
      </c>
      <c r="B7" s="25"/>
      <c r="C7" s="25"/>
      <c r="D7" s="43"/>
      <c r="E7" s="44"/>
      <c r="F7" s="45"/>
      <c r="G7" s="40"/>
      <c r="H7" s="57"/>
      <c r="N7" s="66"/>
      <c r="O7" s="25"/>
      <c r="P7" s="72" t="str">
        <f>IFERROR(IF(ISBLANK(O7),"",INDEX(Gen_Vessels!$A$3:$C$500,MATCH(O7,Gen_Vessels!$C$3:$C$500,0),1)),"")</f>
        <v/>
      </c>
      <c r="Q7" s="25"/>
      <c r="R7" s="25"/>
      <c r="S7" s="25" t="str">
        <f>IFERROR(IF(ISBLANK(R7),"",INDEX(Gen_Vessels!$A$3:$C$500,MATCH(CorrectiveMinor!$R7,Gen_Vessels!$C$3:$C$500,0),1)),"")</f>
        <v/>
      </c>
      <c r="T7" s="25"/>
      <c r="U7" s="25"/>
      <c r="V7" s="25"/>
      <c r="W7" s="25"/>
      <c r="X7" s="25"/>
      <c r="Y7" s="25"/>
      <c r="Z7" s="20"/>
      <c r="AA7" s="25"/>
      <c r="AB7" s="25"/>
      <c r="AC7" s="25"/>
      <c r="AD7" s="25"/>
      <c r="AE7" s="25"/>
      <c r="AF7" s="25"/>
      <c r="AG7" s="25"/>
    </row>
    <row r="8" spans="1:33" x14ac:dyDescent="0.25">
      <c r="A8" s="18" t="str">
        <f t="shared" si="0"/>
        <v/>
      </c>
      <c r="B8" s="25"/>
      <c r="C8" s="25"/>
      <c r="D8" s="43"/>
      <c r="E8" s="44"/>
      <c r="F8" s="45"/>
      <c r="G8" s="40"/>
      <c r="H8" s="57"/>
      <c r="N8" s="66"/>
      <c r="O8" s="25"/>
      <c r="P8" s="72" t="str">
        <f>IFERROR(IF(ISBLANK(O8),"",INDEX(Gen_Vessels!$A$3:$C$500,MATCH(O8,Gen_Vessels!$C$3:$C$500,0),1)),"")</f>
        <v/>
      </c>
      <c r="Q8" s="25"/>
      <c r="R8" s="25"/>
      <c r="S8" s="25" t="str">
        <f>IFERROR(IF(ISBLANK(R8),"",INDEX(Gen_Vessels!$A$3:$C$500,MATCH(CorrectiveMinor!$R8,Gen_Vessels!$C$3:$C$500,0),1)),"")</f>
        <v/>
      </c>
      <c r="T8" s="25"/>
      <c r="U8" s="25"/>
      <c r="V8" s="25"/>
      <c r="W8" s="25"/>
      <c r="X8" s="25"/>
      <c r="Y8" s="25"/>
      <c r="Z8" s="20"/>
      <c r="AA8" s="25"/>
      <c r="AB8" s="25"/>
      <c r="AC8" s="25"/>
      <c r="AD8" s="25"/>
      <c r="AE8" s="25"/>
      <c r="AF8" s="25"/>
      <c r="AG8" s="25"/>
    </row>
    <row r="9" spans="1:33" x14ac:dyDescent="0.25">
      <c r="A9" s="18" t="str">
        <f t="shared" si="0"/>
        <v/>
      </c>
      <c r="B9" s="25"/>
      <c r="C9" s="25"/>
      <c r="D9" s="43"/>
      <c r="E9" s="44"/>
      <c r="F9" s="45"/>
      <c r="G9" s="40"/>
      <c r="H9" s="57"/>
      <c r="N9" s="66"/>
      <c r="O9" s="25"/>
      <c r="P9" s="72" t="str">
        <f>IFERROR(IF(ISBLANK(O9),"",INDEX(Gen_Vessels!$A$3:$C$500,MATCH(O9,Gen_Vessels!$C$3:$C$500,0),1)),"")</f>
        <v/>
      </c>
      <c r="Q9" s="25"/>
      <c r="R9" s="25"/>
      <c r="S9" s="25" t="str">
        <f>IFERROR(IF(ISBLANK(R9),"",INDEX(Gen_Vessels!$A$3:$C$500,MATCH(CorrectiveMinor!$R9,Gen_Vessels!$C$3:$C$500,0),1)),"")</f>
        <v/>
      </c>
      <c r="T9" s="25"/>
      <c r="U9" s="25"/>
      <c r="V9" s="25"/>
      <c r="W9" s="25"/>
      <c r="X9" s="25"/>
      <c r="Y9" s="25"/>
      <c r="Z9" s="20"/>
      <c r="AA9" s="25"/>
      <c r="AB9" s="25"/>
      <c r="AC9" s="25"/>
      <c r="AD9" s="25"/>
      <c r="AE9" s="25"/>
      <c r="AF9" s="25"/>
      <c r="AG9" s="25"/>
    </row>
    <row r="10" spans="1:33" x14ac:dyDescent="0.25">
      <c r="A10" s="18" t="str">
        <f t="shared" si="0"/>
        <v/>
      </c>
      <c r="B10" s="25"/>
      <c r="C10" s="25"/>
      <c r="D10" s="43"/>
      <c r="E10" s="44"/>
      <c r="F10" s="45"/>
      <c r="G10" s="40"/>
      <c r="H10" s="57"/>
      <c r="N10" s="66"/>
      <c r="O10" s="25"/>
      <c r="P10" s="72" t="str">
        <f>IFERROR(IF(ISBLANK(O10),"",INDEX(Gen_Vessels!$A$3:$C$500,MATCH(O10,Gen_Vessels!$C$3:$C$500,0),1)),"")</f>
        <v/>
      </c>
      <c r="Q10" s="25"/>
      <c r="R10" s="25"/>
      <c r="S10" s="25" t="str">
        <f>IFERROR(IF(ISBLANK(R10),"",INDEX(Gen_Vessels!$A$3:$C$500,MATCH(CorrectiveMinor!$R10,Gen_Vessels!$C$3:$C$500,0),1)),"")</f>
        <v/>
      </c>
      <c r="T10" s="25"/>
      <c r="U10" s="25"/>
      <c r="V10" s="25"/>
      <c r="W10" s="25"/>
      <c r="X10" s="25"/>
      <c r="Y10" s="25"/>
      <c r="Z10" s="25"/>
      <c r="AA10" s="25"/>
      <c r="AB10" s="25"/>
      <c r="AC10" s="25"/>
      <c r="AD10" s="25"/>
      <c r="AE10" s="25"/>
      <c r="AF10" s="25"/>
      <c r="AG10" s="25"/>
    </row>
    <row r="11" spans="1:33" x14ac:dyDescent="0.25">
      <c r="A11" s="18" t="str">
        <f t="shared" si="0"/>
        <v/>
      </c>
      <c r="B11" s="25"/>
      <c r="C11" s="25"/>
      <c r="D11" s="43"/>
      <c r="E11" s="44"/>
      <c r="F11" s="45"/>
      <c r="G11" s="40"/>
      <c r="H11" s="57"/>
      <c r="N11" s="66"/>
      <c r="O11" s="25"/>
      <c r="P11" s="72" t="str">
        <f>IFERROR(IF(ISBLANK(O11),"",INDEX(Gen_Vessels!$A$3:$C$500,MATCH(O11,Gen_Vessels!$C$3:$C$500,0),1)),"")</f>
        <v/>
      </c>
      <c r="Q11" s="25"/>
      <c r="R11" s="25"/>
      <c r="S11" s="25" t="str">
        <f>IFERROR(IF(ISBLANK(R11),"",INDEX(Gen_Vessels!$A$3:$C$500,MATCH(CorrectiveMinor!$R11,Gen_Vessels!$C$3:$C$500,0),1)),"")</f>
        <v/>
      </c>
      <c r="T11" s="25"/>
      <c r="U11" s="25"/>
      <c r="V11" s="25"/>
      <c r="W11" s="25"/>
      <c r="X11" s="25"/>
      <c r="Y11" s="25"/>
      <c r="AA11" s="25"/>
      <c r="AB11" s="25"/>
      <c r="AC11" s="25"/>
      <c r="AD11" s="25"/>
      <c r="AE11" s="25"/>
      <c r="AF11" s="25"/>
      <c r="AG11" s="25"/>
    </row>
    <row r="12" spans="1:33" x14ac:dyDescent="0.25">
      <c r="A12" s="18" t="str">
        <f t="shared" si="0"/>
        <v/>
      </c>
      <c r="B12" s="25"/>
      <c r="C12" s="25"/>
      <c r="D12" s="43"/>
      <c r="E12" s="44"/>
      <c r="F12" s="45"/>
      <c r="G12" s="40"/>
      <c r="H12" s="57"/>
      <c r="N12" s="66"/>
      <c r="O12" s="25"/>
      <c r="P12" s="72" t="str">
        <f>IFERROR(IF(ISBLANK(O12),"",INDEX(Gen_Vessels!$A$3:$C$500,MATCH(O12,Gen_Vessels!$C$3:$C$500,0),1)),"")</f>
        <v/>
      </c>
      <c r="Q12" s="25"/>
      <c r="R12" s="25"/>
      <c r="S12" s="25" t="str">
        <f>IFERROR(IF(ISBLANK(R12),"",INDEX(Gen_Vessels!$A$3:$C$500,MATCH(CorrectiveMinor!$R12,Gen_Vessels!$C$3:$C$500,0),1)),"")</f>
        <v/>
      </c>
      <c r="T12" s="25"/>
      <c r="U12" s="25"/>
      <c r="V12" s="25"/>
      <c r="W12" s="25"/>
      <c r="X12" s="25"/>
      <c r="Y12" s="25"/>
      <c r="AA12" s="25"/>
      <c r="AB12" s="25"/>
      <c r="AC12" s="25"/>
      <c r="AD12" s="25"/>
      <c r="AE12" s="25"/>
      <c r="AF12" s="25"/>
      <c r="AG12" s="25"/>
    </row>
    <row r="13" spans="1:33" x14ac:dyDescent="0.25">
      <c r="A13" s="18" t="str">
        <f t="shared" si="0"/>
        <v/>
      </c>
      <c r="B13" s="25"/>
      <c r="C13" s="25"/>
      <c r="D13" s="43"/>
      <c r="E13" s="44"/>
      <c r="F13" s="45"/>
      <c r="G13" s="40"/>
      <c r="H13" s="57"/>
      <c r="N13" s="66"/>
      <c r="O13" s="25"/>
      <c r="P13" s="72" t="str">
        <f>IFERROR(IF(ISBLANK(O13),"",INDEX(Gen_Vessels!$A$3:$C$500,MATCH(O13,Gen_Vessels!$C$3:$C$500,0),1)),"")</f>
        <v/>
      </c>
      <c r="Q13" s="25"/>
      <c r="R13" s="25"/>
      <c r="S13" s="25" t="str">
        <f>IFERROR(IF(ISBLANK(R13),"",INDEX(Gen_Vessels!$A$3:$C$500,MATCH(CorrectiveMinor!$R13,Gen_Vessels!$C$3:$C$500,0),1)),"")</f>
        <v/>
      </c>
      <c r="T13" s="25"/>
      <c r="U13" s="25"/>
      <c r="V13" s="25"/>
      <c r="W13" s="25"/>
      <c r="X13" s="25"/>
      <c r="Y13" s="25"/>
      <c r="AA13" s="25"/>
      <c r="AB13" s="25"/>
      <c r="AC13" s="25"/>
      <c r="AD13" s="25"/>
      <c r="AE13" s="25"/>
      <c r="AF13" s="25"/>
      <c r="AG13" s="25"/>
    </row>
    <row r="14" spans="1:33" x14ac:dyDescent="0.25">
      <c r="A14" s="18" t="str">
        <f t="shared" si="0"/>
        <v/>
      </c>
      <c r="B14" s="25"/>
      <c r="C14" s="25"/>
      <c r="D14" s="43"/>
      <c r="E14" s="44"/>
      <c r="F14" s="45"/>
      <c r="G14" s="40"/>
      <c r="H14" s="57"/>
      <c r="N14" s="66"/>
      <c r="O14" s="25"/>
      <c r="P14" s="72" t="str">
        <f>IFERROR(IF(ISBLANK(O14),"",INDEX(Gen_Vessels!$A$3:$C$500,MATCH(O14,Gen_Vessels!$C$3:$C$500,0),1)),"")</f>
        <v/>
      </c>
      <c r="Q14" s="25"/>
      <c r="R14" s="25"/>
      <c r="S14" s="25" t="str">
        <f>IFERROR(IF(ISBLANK(R14),"",INDEX(Gen_Vessels!$A$3:$C$500,MATCH(CorrectiveMinor!$R14,Gen_Vessels!$C$3:$C$500,0),1)),"")</f>
        <v/>
      </c>
      <c r="T14" s="25"/>
      <c r="U14" s="25"/>
      <c r="V14" s="25"/>
      <c r="W14" s="25"/>
      <c r="X14" s="25"/>
      <c r="Y14" s="25"/>
      <c r="AA14" s="25"/>
      <c r="AB14" s="25"/>
      <c r="AC14" s="25"/>
      <c r="AD14" s="25"/>
      <c r="AE14" s="25"/>
      <c r="AF14" s="25"/>
      <c r="AG14" s="25"/>
    </row>
    <row r="15" spans="1:33" x14ac:dyDescent="0.25">
      <c r="A15" s="18" t="str">
        <f t="shared" si="0"/>
        <v/>
      </c>
      <c r="B15" s="25"/>
      <c r="C15" s="25"/>
      <c r="D15" s="43"/>
      <c r="E15" s="44"/>
      <c r="F15" s="45"/>
      <c r="G15" s="40"/>
      <c r="H15" s="55" t="s">
        <v>255</v>
      </c>
      <c r="N15" s="66"/>
      <c r="O15" s="25"/>
      <c r="P15" s="72" t="str">
        <f>IFERROR(IF(ISBLANK(O15),"",INDEX(Gen_Vessels!$A$3:$C$500,MATCH(O15,Gen_Vessels!$C$3:$C$500,0),1)),"")</f>
        <v/>
      </c>
      <c r="Q15" s="25"/>
      <c r="R15" s="25"/>
      <c r="S15" s="25" t="str">
        <f>IFERROR(IF(ISBLANK(R15),"",INDEX(Gen_Vessels!$A$3:$C$500,MATCH(CorrectiveMinor!$R15,Gen_Vessels!$C$3:$C$500,0),1)),"")</f>
        <v/>
      </c>
      <c r="T15" s="25"/>
      <c r="U15" s="25"/>
      <c r="V15" s="25"/>
      <c r="W15" s="25"/>
      <c r="X15" s="25"/>
      <c r="Y15" s="25"/>
      <c r="AA15" s="25"/>
      <c r="AB15" s="25"/>
      <c r="AC15" s="25"/>
      <c r="AD15" s="25"/>
      <c r="AE15" s="25"/>
      <c r="AF15" s="25"/>
      <c r="AG15" s="25"/>
    </row>
    <row r="16" spans="1:33" x14ac:dyDescent="0.25">
      <c r="A16" s="18" t="str">
        <f t="shared" si="0"/>
        <v/>
      </c>
      <c r="B16" s="25"/>
      <c r="C16" s="25"/>
      <c r="D16" s="43"/>
      <c r="E16" s="44"/>
      <c r="F16" s="45"/>
      <c r="G16" s="40"/>
      <c r="H16" s="55" t="s">
        <v>255</v>
      </c>
      <c r="N16" s="66"/>
      <c r="O16" s="25"/>
      <c r="P16" s="72" t="str">
        <f>IFERROR(IF(ISBLANK(O16),"",INDEX(Gen_Vessels!$A$3:$C$500,MATCH(O16,Gen_Vessels!$C$3:$C$500,0),1)),"")</f>
        <v/>
      </c>
      <c r="Q16" s="25"/>
      <c r="R16" s="25"/>
      <c r="S16" s="25" t="str">
        <f>IFERROR(IF(ISBLANK(R16),"",INDEX(Gen_Vessels!$A$3:$C$500,MATCH(CorrectiveMinor!$R16,Gen_Vessels!$C$3:$C$500,0),1)),"")</f>
        <v/>
      </c>
      <c r="T16" s="25"/>
      <c r="U16" s="25"/>
      <c r="V16" s="25"/>
      <c r="W16" s="25"/>
      <c r="X16" s="25"/>
      <c r="Y16" s="25"/>
      <c r="AA16" s="25"/>
      <c r="AB16" s="25"/>
      <c r="AC16" s="25"/>
      <c r="AD16" s="25"/>
      <c r="AE16" s="25"/>
      <c r="AF16" s="25"/>
      <c r="AG16" s="25"/>
    </row>
    <row r="17" spans="1:33" x14ac:dyDescent="0.25">
      <c r="A17" s="18" t="str">
        <f t="shared" si="0"/>
        <v/>
      </c>
      <c r="B17" s="25"/>
      <c r="C17" s="25"/>
      <c r="D17" s="43"/>
      <c r="E17" s="44"/>
      <c r="F17" s="45"/>
      <c r="G17" s="40"/>
      <c r="H17" s="55" t="s">
        <v>255</v>
      </c>
      <c r="N17" s="66"/>
      <c r="O17" s="25"/>
      <c r="P17" s="72" t="str">
        <f>IFERROR(IF(ISBLANK(O17),"",INDEX(Gen_Vessels!$A$3:$C$500,MATCH(O17,Gen_Vessels!$C$3:$C$500,0),1)),"")</f>
        <v/>
      </c>
      <c r="Q17" s="25"/>
      <c r="R17" s="25"/>
      <c r="S17" s="25" t="str">
        <f>IFERROR(IF(ISBLANK(R17),"",INDEX(Gen_Vessels!$A$3:$C$500,MATCH(CorrectiveMinor!$R17,Gen_Vessels!$C$3:$C$500,0),1)),"")</f>
        <v/>
      </c>
      <c r="T17" s="25"/>
      <c r="U17" s="25"/>
      <c r="V17" s="25"/>
      <c r="W17" s="25"/>
      <c r="X17" s="25"/>
      <c r="Y17" s="25"/>
      <c r="AA17" s="25"/>
      <c r="AB17" s="25"/>
      <c r="AC17" s="25"/>
      <c r="AD17" s="25"/>
      <c r="AE17" s="25"/>
      <c r="AF17" s="25"/>
      <c r="AG17" s="25"/>
    </row>
    <row r="18" spans="1:33" x14ac:dyDescent="0.25">
      <c r="A18" s="18" t="str">
        <f t="shared" si="0"/>
        <v/>
      </c>
      <c r="B18" s="25"/>
      <c r="C18" s="25"/>
      <c r="D18" s="43"/>
      <c r="E18" s="44"/>
      <c r="F18" s="45"/>
      <c r="G18" s="40"/>
      <c r="H18" s="55" t="s">
        <v>255</v>
      </c>
      <c r="N18" s="66"/>
      <c r="O18" s="25"/>
      <c r="P18" s="72" t="str">
        <f>IFERROR(IF(ISBLANK(O18),"",INDEX(Gen_Vessels!$A$3:$C$500,MATCH(O18,Gen_Vessels!$C$3:$C$500,0),1)),"")</f>
        <v/>
      </c>
      <c r="Q18" s="25"/>
      <c r="R18" s="25"/>
      <c r="S18" s="25" t="str">
        <f>IFERROR(IF(ISBLANK(R18),"",INDEX(Gen_Vessels!$A$3:$C$500,MATCH(CorrectiveMinor!$R18,Gen_Vessels!$C$3:$C$500,0),1)),"")</f>
        <v/>
      </c>
      <c r="T18" s="25"/>
      <c r="U18" s="25"/>
      <c r="V18" s="25"/>
      <c r="W18" s="25"/>
      <c r="X18" s="25"/>
      <c r="Y18" s="25"/>
      <c r="AA18" s="25"/>
      <c r="AB18" s="25"/>
      <c r="AC18" s="25"/>
      <c r="AD18" s="25"/>
      <c r="AE18" s="25"/>
      <c r="AF18" s="25"/>
      <c r="AG18" s="25"/>
    </row>
    <row r="19" spans="1:33" x14ac:dyDescent="0.25">
      <c r="A19" s="18" t="str">
        <f t="shared" si="0"/>
        <v/>
      </c>
      <c r="B19" s="25"/>
      <c r="C19" s="25"/>
      <c r="D19" s="43"/>
      <c r="E19" s="44"/>
      <c r="F19" s="45"/>
      <c r="G19" s="40"/>
      <c r="H19" s="55" t="s">
        <v>255</v>
      </c>
      <c r="N19" s="66"/>
      <c r="O19" s="25"/>
      <c r="P19" s="72" t="str">
        <f>IFERROR(IF(ISBLANK(O19),"",INDEX(Gen_Vessels!$A$3:$C$500,MATCH(O19,Gen_Vessels!$C$3:$C$500,0),1)),"")</f>
        <v/>
      </c>
      <c r="Q19" s="25"/>
      <c r="R19" s="25"/>
      <c r="S19" s="25" t="str">
        <f>IFERROR(IF(ISBLANK(R19),"",INDEX(Gen_Vessels!$A$3:$C$500,MATCH(CorrectiveMinor!$R19,Gen_Vessels!$C$3:$C$500,0),1)),"")</f>
        <v/>
      </c>
      <c r="T19" s="25"/>
      <c r="U19" s="25"/>
      <c r="V19" s="25"/>
      <c r="W19" s="25"/>
      <c r="X19" s="25"/>
      <c r="Y19" s="25"/>
      <c r="AA19" s="25"/>
      <c r="AB19" s="25"/>
      <c r="AC19" s="25"/>
      <c r="AD19" s="25"/>
      <c r="AE19" s="25"/>
      <c r="AF19" s="25"/>
      <c r="AG19" s="25"/>
    </row>
    <row r="20" spans="1:33" x14ac:dyDescent="0.25">
      <c r="A20" s="18" t="str">
        <f t="shared" si="0"/>
        <v/>
      </c>
      <c r="B20" s="25"/>
      <c r="C20" s="25"/>
      <c r="D20" s="43"/>
      <c r="E20" s="44"/>
      <c r="F20" s="45"/>
      <c r="G20" s="40"/>
      <c r="H20" s="55" t="s">
        <v>255</v>
      </c>
      <c r="N20" s="66"/>
      <c r="O20" s="25"/>
      <c r="P20" s="72" t="str">
        <f>IFERROR(IF(ISBLANK(O20),"",INDEX(Gen_Vessels!$A$3:$C$500,MATCH(O20,Gen_Vessels!$C$3:$C$500,0),1)),"")</f>
        <v/>
      </c>
      <c r="Q20" s="25"/>
      <c r="R20" s="25"/>
      <c r="S20" s="25" t="str">
        <f>IFERROR(IF(ISBLANK(R20),"",INDEX(Gen_Vessels!$A$3:$C$500,MATCH(CorrectiveMinor!$R20,Gen_Vessels!$C$3:$C$500,0),1)),"")</f>
        <v/>
      </c>
      <c r="T20" s="25"/>
      <c r="U20" s="25"/>
      <c r="V20" s="25"/>
      <c r="W20" s="25"/>
      <c r="X20" s="25"/>
      <c r="Y20" s="25"/>
      <c r="AA20" s="25"/>
      <c r="AB20" s="25"/>
      <c r="AC20" s="25"/>
      <c r="AD20" s="25"/>
      <c r="AE20" s="25"/>
      <c r="AF20" s="25"/>
      <c r="AG20" s="25"/>
    </row>
    <row r="21" spans="1:33" x14ac:dyDescent="0.25">
      <c r="A21" s="18" t="str">
        <f t="shared" si="0"/>
        <v/>
      </c>
      <c r="B21" s="25"/>
      <c r="C21" s="25"/>
      <c r="D21" s="43"/>
      <c r="E21" s="44"/>
      <c r="F21" s="45"/>
      <c r="G21" s="40"/>
      <c r="H21" s="55" t="s">
        <v>255</v>
      </c>
      <c r="N21" s="66"/>
      <c r="O21" s="25"/>
      <c r="P21" s="72" t="str">
        <f>IFERROR(IF(ISBLANK(O21),"",INDEX(Gen_Vessels!$A$3:$C$500,MATCH(O21,Gen_Vessels!$C$3:$C$500,0),1)),"")</f>
        <v/>
      </c>
      <c r="Q21" s="25"/>
      <c r="R21" s="25"/>
      <c r="S21" s="25" t="str">
        <f>IFERROR(IF(ISBLANK(R21),"",INDEX(Gen_Vessels!$A$3:$C$500,MATCH(CorrectiveMinor!$R21,Gen_Vessels!$C$3:$C$500,0),1)),"")</f>
        <v/>
      </c>
      <c r="T21" s="25"/>
      <c r="U21" s="25"/>
      <c r="V21" s="25"/>
      <c r="W21" s="25"/>
      <c r="X21" s="25"/>
      <c r="Y21" s="25"/>
      <c r="AA21" s="25"/>
      <c r="AB21" s="25"/>
      <c r="AC21" s="25"/>
      <c r="AD21" s="25"/>
      <c r="AE21" s="25"/>
      <c r="AF21" s="25"/>
      <c r="AG21" s="25"/>
    </row>
    <row r="22" spans="1:33" x14ac:dyDescent="0.25">
      <c r="A22" s="18" t="str">
        <f t="shared" si="0"/>
        <v/>
      </c>
      <c r="B22" s="25"/>
      <c r="C22" s="25"/>
      <c r="D22" s="43"/>
      <c r="E22" s="44"/>
      <c r="F22" s="45"/>
      <c r="G22" s="40"/>
      <c r="H22" s="55" t="s">
        <v>255</v>
      </c>
      <c r="N22" s="66"/>
      <c r="O22" s="25"/>
      <c r="P22" s="72" t="str">
        <f>IFERROR(IF(ISBLANK(O22),"",INDEX(Gen_Vessels!$A$3:$C$500,MATCH(O22,Gen_Vessels!$C$3:$C$500,0),1)),"")</f>
        <v/>
      </c>
      <c r="Q22" s="25"/>
      <c r="R22" s="25"/>
      <c r="S22" s="25" t="str">
        <f>IFERROR(IF(ISBLANK(R22),"",INDEX(Gen_Vessels!$A$3:$C$500,MATCH(CorrectiveMinor!$R22,Gen_Vessels!$C$3:$C$500,0),1)),"")</f>
        <v/>
      </c>
      <c r="T22" s="25"/>
      <c r="U22" s="25"/>
      <c r="V22" s="25"/>
      <c r="W22" s="25"/>
      <c r="X22" s="25"/>
      <c r="Y22" s="25"/>
      <c r="AA22" s="25"/>
      <c r="AB22" s="25"/>
      <c r="AC22" s="25"/>
      <c r="AD22" s="25"/>
      <c r="AE22" s="25"/>
      <c r="AF22" s="25"/>
      <c r="AG22" s="25"/>
    </row>
    <row r="23" spans="1:33" x14ac:dyDescent="0.25">
      <c r="A23" s="18" t="str">
        <f t="shared" si="0"/>
        <v/>
      </c>
      <c r="B23" s="25"/>
      <c r="C23" s="25"/>
      <c r="D23" s="43"/>
      <c r="E23" s="44"/>
      <c r="F23" s="45"/>
      <c r="G23" s="40"/>
      <c r="H23" s="55" t="s">
        <v>255</v>
      </c>
      <c r="N23" s="66"/>
      <c r="O23" s="25"/>
      <c r="P23" s="72" t="str">
        <f>IFERROR(IF(ISBLANK(O23),"",INDEX(Gen_Vessels!$A$3:$C$500,MATCH(O23,Gen_Vessels!$C$3:$C$500,0),1)),"")</f>
        <v/>
      </c>
      <c r="Q23" s="25"/>
      <c r="R23" s="25"/>
      <c r="S23" s="25" t="str">
        <f>IFERROR(IF(ISBLANK(R23),"",INDEX(Gen_Vessels!$A$3:$C$500,MATCH(CorrectiveMinor!$R23,Gen_Vessels!$C$3:$C$500,0),1)),"")</f>
        <v/>
      </c>
      <c r="T23" s="25"/>
      <c r="U23" s="25"/>
      <c r="V23" s="25"/>
      <c r="W23" s="25"/>
      <c r="X23" s="25"/>
      <c r="Y23" s="25"/>
      <c r="AA23" s="25"/>
      <c r="AB23" s="25"/>
      <c r="AC23" s="25"/>
      <c r="AD23" s="25"/>
      <c r="AE23" s="25"/>
      <c r="AF23" s="25"/>
      <c r="AG23" s="25"/>
    </row>
    <row r="24" spans="1:33" x14ac:dyDescent="0.25">
      <c r="A24" s="18" t="str">
        <f t="shared" si="0"/>
        <v/>
      </c>
      <c r="B24" s="25"/>
      <c r="C24" s="25"/>
      <c r="D24" s="43"/>
      <c r="E24" s="44"/>
      <c r="F24" s="45"/>
      <c r="G24" s="40"/>
      <c r="H24" s="55" t="s">
        <v>255</v>
      </c>
      <c r="N24" s="66"/>
      <c r="O24" s="25"/>
      <c r="P24" s="72" t="str">
        <f>IFERROR(IF(ISBLANK(O24),"",INDEX(Gen_Vessels!$A$3:$C$500,MATCH(O24,Gen_Vessels!$C$3:$C$500,0),1)),"")</f>
        <v/>
      </c>
      <c r="Q24" s="25"/>
      <c r="R24" s="25"/>
      <c r="S24" s="25" t="str">
        <f>IFERROR(IF(ISBLANK(R24),"",INDEX(Gen_Vessels!$A$3:$C$500,MATCH(CorrectiveMinor!$R24,Gen_Vessels!$C$3:$C$500,0),1)),"")</f>
        <v/>
      </c>
      <c r="T24" s="25"/>
      <c r="U24" s="25"/>
      <c r="V24" s="25"/>
      <c r="W24" s="25"/>
      <c r="X24" s="25"/>
      <c r="Y24" s="25"/>
      <c r="AA24" s="25"/>
      <c r="AB24" s="25"/>
      <c r="AC24" s="25"/>
      <c r="AD24" s="25"/>
      <c r="AE24" s="25"/>
      <c r="AF24" s="25"/>
      <c r="AG24" s="25"/>
    </row>
    <row r="25" spans="1:33" x14ac:dyDescent="0.25">
      <c r="A25" s="18" t="str">
        <f t="shared" si="0"/>
        <v/>
      </c>
      <c r="B25" s="25"/>
      <c r="C25" s="25"/>
      <c r="D25" s="43"/>
      <c r="E25" s="44"/>
      <c r="F25" s="45"/>
      <c r="G25" s="40"/>
      <c r="H25" s="55" t="s">
        <v>255</v>
      </c>
      <c r="N25" s="66"/>
      <c r="O25" s="25"/>
      <c r="P25" s="72" t="str">
        <f>IFERROR(IF(ISBLANK(O25),"",INDEX(Gen_Vessels!$A$3:$C$500,MATCH(O25,Gen_Vessels!$C$3:$C$500,0),1)),"")</f>
        <v/>
      </c>
      <c r="Q25" s="25"/>
      <c r="R25" s="25"/>
      <c r="S25" s="25" t="str">
        <f>IFERROR(IF(ISBLANK(R25),"",INDEX(Gen_Vessels!$A$3:$C$500,MATCH(CorrectiveMinor!$R25,Gen_Vessels!$C$3:$C$500,0),1)),"")</f>
        <v/>
      </c>
      <c r="T25" s="25"/>
      <c r="U25" s="25"/>
      <c r="V25" s="25"/>
      <c r="W25" s="25"/>
      <c r="X25" s="25"/>
      <c r="Y25" s="25"/>
      <c r="AA25" s="25"/>
      <c r="AB25" s="25"/>
      <c r="AC25" s="25"/>
      <c r="AD25" s="25"/>
      <c r="AE25" s="25"/>
      <c r="AF25" s="25"/>
      <c r="AG25" s="25"/>
    </row>
    <row r="26" spans="1:33" x14ac:dyDescent="0.25">
      <c r="A26" s="18" t="str">
        <f t="shared" si="0"/>
        <v/>
      </c>
      <c r="B26" s="25"/>
      <c r="C26" s="25"/>
      <c r="D26" s="43"/>
      <c r="E26" s="44"/>
      <c r="F26" s="45"/>
      <c r="G26" s="40"/>
      <c r="H26" s="55" t="s">
        <v>255</v>
      </c>
      <c r="N26" s="66"/>
      <c r="O26" s="25"/>
      <c r="P26" s="72" t="str">
        <f>IFERROR(IF(ISBLANK(O26),"",INDEX(Gen_Vessels!$A$3:$C$500,MATCH(O26,Gen_Vessels!$C$3:$C$500,0),1)),"")</f>
        <v/>
      </c>
      <c r="Q26" s="25"/>
      <c r="R26" s="25"/>
      <c r="S26" s="25" t="str">
        <f>IFERROR(IF(ISBLANK(R26),"",INDEX(Gen_Vessels!$A$3:$C$500,MATCH(CorrectiveMinor!$R26,Gen_Vessels!$C$3:$C$500,0),1)),"")</f>
        <v/>
      </c>
      <c r="T26" s="25"/>
      <c r="U26" s="25"/>
      <c r="V26" s="25"/>
      <c r="W26" s="25"/>
      <c r="X26" s="25"/>
      <c r="Y26" s="25"/>
      <c r="AA26" s="25"/>
      <c r="AB26" s="25"/>
      <c r="AC26" s="25"/>
      <c r="AD26" s="25"/>
      <c r="AE26" s="25"/>
      <c r="AF26" s="25"/>
      <c r="AG26" s="25"/>
    </row>
    <row r="27" spans="1:33" x14ac:dyDescent="0.25">
      <c r="A27" s="18" t="str">
        <f t="shared" si="0"/>
        <v/>
      </c>
      <c r="B27" s="25"/>
      <c r="C27" s="25"/>
      <c r="D27" s="43"/>
      <c r="E27" s="44"/>
      <c r="F27" s="45"/>
      <c r="G27" s="40"/>
      <c r="H27" s="55" t="s">
        <v>255</v>
      </c>
      <c r="N27" s="66"/>
      <c r="O27" s="25"/>
      <c r="P27" s="72" t="str">
        <f>IFERROR(IF(ISBLANK(O27),"",INDEX(Gen_Vessels!$A$3:$C$500,MATCH(O27,Gen_Vessels!$C$3:$C$500,0),1)),"")</f>
        <v/>
      </c>
      <c r="Q27" s="25"/>
      <c r="R27" s="25"/>
      <c r="S27" s="25" t="str">
        <f>IFERROR(IF(ISBLANK(R27),"",INDEX(Gen_Vessels!$A$3:$C$500,MATCH(CorrectiveMinor!$R27,Gen_Vessels!$C$3:$C$500,0),1)),"")</f>
        <v/>
      </c>
      <c r="T27" s="25"/>
      <c r="U27" s="25"/>
      <c r="V27" s="25"/>
      <c r="W27" s="25"/>
      <c r="X27" s="25"/>
      <c r="Y27" s="25"/>
      <c r="AA27" s="25"/>
      <c r="AB27" s="25"/>
      <c r="AC27" s="25"/>
      <c r="AD27" s="25"/>
      <c r="AE27" s="25"/>
      <c r="AF27" s="25"/>
      <c r="AG27" s="25"/>
    </row>
    <row r="28" spans="1:33" x14ac:dyDescent="0.25">
      <c r="A28" s="18" t="str">
        <f t="shared" si="0"/>
        <v/>
      </c>
      <c r="B28" s="25"/>
      <c r="C28" s="25"/>
      <c r="D28" s="43"/>
      <c r="E28" s="44"/>
      <c r="F28" s="45"/>
      <c r="G28" s="40"/>
      <c r="H28" s="55" t="s">
        <v>255</v>
      </c>
      <c r="N28" s="66"/>
      <c r="O28" s="25"/>
      <c r="P28" s="72" t="str">
        <f>IFERROR(IF(ISBLANK(O28),"",INDEX(Gen_Vessels!$A$3:$C$500,MATCH(O28,Gen_Vessels!$C$3:$C$500,0),1)),"")</f>
        <v/>
      </c>
      <c r="Q28" s="25"/>
      <c r="R28" s="25"/>
      <c r="S28" s="25" t="str">
        <f>IFERROR(IF(ISBLANK(R28),"",INDEX(Gen_Vessels!$A$3:$C$500,MATCH(CorrectiveMinor!$R28,Gen_Vessels!$C$3:$C$500,0),1)),"")</f>
        <v/>
      </c>
      <c r="T28" s="25"/>
      <c r="U28" s="25"/>
      <c r="V28" s="25"/>
      <c r="W28" s="25"/>
      <c r="X28" s="25"/>
      <c r="Y28" s="25"/>
      <c r="AA28" s="25"/>
      <c r="AB28" s="25"/>
      <c r="AC28" s="25"/>
      <c r="AD28" s="25"/>
      <c r="AE28" s="25"/>
      <c r="AF28" s="25"/>
      <c r="AG28" s="25"/>
    </row>
    <row r="29" spans="1:33" x14ac:dyDescent="0.25">
      <c r="A29" s="18" t="str">
        <f t="shared" si="0"/>
        <v/>
      </c>
      <c r="B29" s="25"/>
      <c r="C29" s="25"/>
      <c r="D29" s="43"/>
      <c r="E29" s="44"/>
      <c r="F29" s="45"/>
      <c r="G29" s="40"/>
      <c r="H29" s="55" t="s">
        <v>255</v>
      </c>
      <c r="N29" s="66"/>
      <c r="O29" s="25"/>
      <c r="P29" s="72" t="str">
        <f>IFERROR(IF(ISBLANK(O29),"",INDEX(Gen_Vessels!$A$3:$C$500,MATCH(O29,Gen_Vessels!$C$3:$C$500,0),1)),"")</f>
        <v/>
      </c>
      <c r="Q29" s="25"/>
      <c r="R29" s="25"/>
      <c r="S29" s="25" t="str">
        <f>IFERROR(IF(ISBLANK(R29),"",INDEX(Gen_Vessels!$A$3:$C$500,MATCH(CorrectiveMinor!$R29,Gen_Vessels!$C$3:$C$500,0),1)),"")</f>
        <v/>
      </c>
      <c r="T29" s="25"/>
      <c r="U29" s="25"/>
      <c r="V29" s="25"/>
      <c r="W29" s="25"/>
      <c r="X29" s="25"/>
      <c r="Y29" s="25"/>
      <c r="AA29" s="25"/>
      <c r="AB29" s="25"/>
      <c r="AC29" s="25"/>
      <c r="AD29" s="25"/>
      <c r="AE29" s="25"/>
      <c r="AF29" s="25"/>
      <c r="AG29" s="25"/>
    </row>
    <row r="30" spans="1:33" x14ac:dyDescent="0.25">
      <c r="A30" s="18" t="str">
        <f t="shared" si="0"/>
        <v/>
      </c>
      <c r="B30" s="25"/>
      <c r="C30" s="25"/>
      <c r="D30" s="43"/>
      <c r="E30" s="44"/>
      <c r="F30" s="45"/>
      <c r="G30" s="40"/>
      <c r="H30" s="55" t="s">
        <v>255</v>
      </c>
      <c r="N30" s="66"/>
      <c r="O30" s="25"/>
      <c r="P30" s="72" t="str">
        <f>IFERROR(IF(ISBLANK(O30),"",INDEX(Gen_Vessels!$A$3:$C$500,MATCH(O30,Gen_Vessels!$C$3:$C$500,0),1)),"")</f>
        <v/>
      </c>
      <c r="Q30" s="25"/>
      <c r="R30" s="25"/>
      <c r="S30" s="25" t="str">
        <f>IFERROR(IF(ISBLANK(R30),"",INDEX(Gen_Vessels!$A$3:$C$500,MATCH(CorrectiveMinor!$R30,Gen_Vessels!$C$3:$C$500,0),1)),"")</f>
        <v/>
      </c>
      <c r="T30" s="25"/>
      <c r="U30" s="25"/>
      <c r="V30" s="25"/>
      <c r="W30" s="25"/>
      <c r="X30" s="25"/>
      <c r="Y30" s="25"/>
      <c r="AA30" s="25"/>
      <c r="AB30" s="25"/>
      <c r="AC30" s="25"/>
      <c r="AD30" s="25"/>
      <c r="AE30" s="25"/>
      <c r="AF30" s="25"/>
      <c r="AG30" s="25"/>
    </row>
    <row r="31" spans="1:33" x14ac:dyDescent="0.25">
      <c r="A31" s="18" t="str">
        <f t="shared" si="0"/>
        <v/>
      </c>
      <c r="B31" s="25"/>
      <c r="C31" s="25"/>
      <c r="D31" s="43"/>
      <c r="E31" s="44"/>
      <c r="F31" s="45"/>
      <c r="G31" s="40"/>
      <c r="H31" s="55" t="s">
        <v>255</v>
      </c>
      <c r="N31" s="66"/>
      <c r="O31" s="25"/>
      <c r="P31" s="72" t="str">
        <f>IFERROR(IF(ISBLANK(O31),"",INDEX(Gen_Vessels!$A$3:$C$500,MATCH(O31,Gen_Vessels!$C$3:$C$500,0),1)),"")</f>
        <v/>
      </c>
      <c r="Q31" s="25"/>
      <c r="R31" s="25"/>
      <c r="S31" s="25" t="str">
        <f>IFERROR(IF(ISBLANK(R31),"",INDEX(Gen_Vessels!$A$3:$C$500,MATCH(CorrectiveMinor!$R31,Gen_Vessels!$C$3:$C$500,0),1)),"")</f>
        <v/>
      </c>
      <c r="T31" s="25"/>
      <c r="U31" s="25"/>
      <c r="V31" s="25"/>
      <c r="W31" s="25"/>
      <c r="X31" s="25"/>
      <c r="Y31" s="25"/>
      <c r="AA31" s="25"/>
      <c r="AB31" s="25"/>
      <c r="AC31" s="25"/>
      <c r="AD31" s="25"/>
      <c r="AE31" s="25"/>
      <c r="AF31" s="25"/>
      <c r="AG31" s="25"/>
    </row>
    <row r="32" spans="1:33" x14ac:dyDescent="0.25">
      <c r="A32" s="18" t="str">
        <f t="shared" si="0"/>
        <v/>
      </c>
      <c r="B32" s="25"/>
      <c r="C32" s="25"/>
      <c r="D32" s="43"/>
      <c r="E32" s="44"/>
      <c r="F32" s="45"/>
      <c r="G32" s="40"/>
      <c r="H32" s="55" t="s">
        <v>255</v>
      </c>
      <c r="N32" s="66"/>
      <c r="O32" s="25"/>
      <c r="P32" s="72" t="str">
        <f>IFERROR(IF(ISBLANK(O32),"",INDEX(Gen_Vessels!$A$3:$C$500,MATCH(O32,Gen_Vessels!$C$3:$C$500,0),1)),"")</f>
        <v/>
      </c>
      <c r="Q32" s="25"/>
      <c r="R32" s="25"/>
      <c r="S32" s="25" t="str">
        <f>IFERROR(IF(ISBLANK(R32),"",INDEX(Gen_Vessels!$A$3:$C$500,MATCH(CorrectiveMinor!$R32,Gen_Vessels!$C$3:$C$500,0),1)),"")</f>
        <v/>
      </c>
      <c r="T32" s="25"/>
      <c r="U32" s="25"/>
      <c r="V32" s="25"/>
      <c r="W32" s="25"/>
      <c r="X32" s="25"/>
      <c r="Y32" s="25"/>
      <c r="AA32" s="25"/>
      <c r="AB32" s="25"/>
      <c r="AC32" s="25"/>
      <c r="AD32" s="25"/>
      <c r="AE32" s="25"/>
      <c r="AF32" s="25"/>
      <c r="AG32" s="25"/>
    </row>
    <row r="33" spans="1:33" x14ac:dyDescent="0.25">
      <c r="A33" s="18" t="str">
        <f t="shared" si="0"/>
        <v/>
      </c>
      <c r="B33" s="25"/>
      <c r="C33" s="25"/>
      <c r="D33" s="43"/>
      <c r="E33" s="44"/>
      <c r="F33" s="45"/>
      <c r="G33" s="40"/>
      <c r="H33" s="55" t="s">
        <v>255</v>
      </c>
      <c r="N33" s="66"/>
      <c r="O33" s="25"/>
      <c r="P33" s="72" t="str">
        <f>IFERROR(IF(ISBLANK(O33),"",INDEX(Gen_Vessels!$A$3:$C$500,MATCH(O33,Gen_Vessels!$C$3:$C$500,0),1)),"")</f>
        <v/>
      </c>
      <c r="Q33" s="25"/>
      <c r="R33" s="25"/>
      <c r="S33" s="25" t="str">
        <f>IFERROR(IF(ISBLANK(R33),"",INDEX(Gen_Vessels!$A$3:$C$500,MATCH(CorrectiveMinor!$R33,Gen_Vessels!$C$3:$C$500,0),1)),"")</f>
        <v/>
      </c>
      <c r="T33" s="25"/>
      <c r="U33" s="25"/>
      <c r="V33" s="25"/>
      <c r="W33" s="25"/>
      <c r="X33" s="25"/>
      <c r="Y33" s="25"/>
      <c r="AA33" s="25"/>
      <c r="AB33" s="25"/>
      <c r="AC33" s="25"/>
      <c r="AD33" s="25"/>
      <c r="AE33" s="25"/>
      <c r="AF33" s="25"/>
      <c r="AG33" s="25"/>
    </row>
    <row r="34" spans="1:33" x14ac:dyDescent="0.25">
      <c r="A34" s="18" t="str">
        <f t="shared" si="0"/>
        <v/>
      </c>
      <c r="B34" s="25"/>
      <c r="C34" s="25"/>
      <c r="D34" s="43"/>
      <c r="E34" s="44"/>
      <c r="F34" s="45"/>
      <c r="G34" s="40"/>
      <c r="H34" s="55" t="s">
        <v>255</v>
      </c>
      <c r="N34" s="66"/>
      <c r="O34" s="25"/>
      <c r="P34" s="72" t="str">
        <f>IFERROR(IF(ISBLANK(O34),"",INDEX(Gen_Vessels!$A$3:$C$500,MATCH(O34,Gen_Vessels!$C$3:$C$500,0),1)),"")</f>
        <v/>
      </c>
      <c r="Q34" s="25"/>
      <c r="R34" s="25"/>
      <c r="S34" s="25" t="str">
        <f>IFERROR(IF(ISBLANK(R34),"",INDEX(Gen_Vessels!$A$3:$C$500,MATCH(CorrectiveMinor!$R34,Gen_Vessels!$C$3:$C$500,0),1)),"")</f>
        <v/>
      </c>
      <c r="T34" s="25"/>
      <c r="U34" s="25"/>
      <c r="V34" s="25"/>
      <c r="W34" s="25"/>
      <c r="X34" s="25"/>
      <c r="Y34" s="25"/>
      <c r="AA34" s="25"/>
      <c r="AB34" s="25"/>
      <c r="AC34" s="25"/>
      <c r="AD34" s="25"/>
      <c r="AE34" s="25"/>
      <c r="AF34" s="25"/>
      <c r="AG34" s="25"/>
    </row>
    <row r="35" spans="1:33" x14ac:dyDescent="0.25">
      <c r="A35" s="18" t="str">
        <f t="shared" si="0"/>
        <v/>
      </c>
      <c r="B35" s="25"/>
      <c r="C35" s="25"/>
      <c r="D35" s="43"/>
      <c r="E35" s="44"/>
      <c r="F35" s="45"/>
      <c r="G35" s="40"/>
      <c r="H35" s="55" t="s">
        <v>255</v>
      </c>
      <c r="N35" s="66"/>
      <c r="O35" s="25"/>
      <c r="P35" s="72" t="str">
        <f>IFERROR(IF(ISBLANK(O35),"",INDEX(Gen_Vessels!$A$3:$C$500,MATCH(O35,Gen_Vessels!$C$3:$C$500,0),1)),"")</f>
        <v/>
      </c>
      <c r="Q35" s="25"/>
      <c r="R35" s="25"/>
      <c r="S35" s="25" t="str">
        <f>IFERROR(IF(ISBLANK(R35),"",INDEX(Gen_Vessels!$A$3:$C$500,MATCH(CorrectiveMinor!$R35,Gen_Vessels!$C$3:$C$500,0),1)),"")</f>
        <v/>
      </c>
      <c r="T35" s="25"/>
      <c r="U35" s="25"/>
      <c r="V35" s="25"/>
      <c r="W35" s="25"/>
      <c r="X35" s="25"/>
      <c r="Y35" s="25"/>
      <c r="AA35" s="25"/>
      <c r="AB35" s="25"/>
      <c r="AC35" s="25"/>
      <c r="AD35" s="25"/>
      <c r="AE35" s="25"/>
      <c r="AF35" s="25"/>
      <c r="AG35" s="25"/>
    </row>
    <row r="36" spans="1:33" x14ac:dyDescent="0.25">
      <c r="A36" s="18" t="str">
        <f t="shared" si="0"/>
        <v/>
      </c>
      <c r="B36" s="25"/>
      <c r="C36" s="25"/>
      <c r="D36" s="43"/>
      <c r="E36" s="44"/>
      <c r="F36" s="45"/>
      <c r="G36" s="40"/>
      <c r="H36" s="55" t="s">
        <v>255</v>
      </c>
      <c r="N36" s="66"/>
      <c r="O36" s="25"/>
      <c r="P36" s="72" t="str">
        <f>IFERROR(IF(ISBLANK(O36),"",INDEX(Gen_Vessels!$A$3:$C$500,MATCH(O36,Gen_Vessels!$C$3:$C$500,0),1)),"")</f>
        <v/>
      </c>
      <c r="Q36" s="25"/>
      <c r="R36" s="25"/>
      <c r="S36" s="25" t="str">
        <f>IFERROR(IF(ISBLANK(R36),"",INDEX(Gen_Vessels!$A$3:$C$500,MATCH(CorrectiveMinor!$R36,Gen_Vessels!$C$3:$C$500,0),1)),"")</f>
        <v/>
      </c>
      <c r="T36" s="25"/>
      <c r="U36" s="25"/>
      <c r="V36" s="25"/>
      <c r="W36" s="25"/>
      <c r="X36" s="25"/>
      <c r="Y36" s="25"/>
      <c r="AA36" s="25"/>
      <c r="AB36" s="25"/>
      <c r="AC36" s="25"/>
      <c r="AD36" s="25"/>
      <c r="AE36" s="25"/>
      <c r="AF36" s="25"/>
      <c r="AG36" s="25"/>
    </row>
    <row r="37" spans="1:33" x14ac:dyDescent="0.25">
      <c r="A37" s="18" t="str">
        <f t="shared" si="0"/>
        <v/>
      </c>
      <c r="B37" s="25"/>
      <c r="C37" s="25"/>
      <c r="D37" s="43"/>
      <c r="E37" s="44"/>
      <c r="F37" s="45"/>
      <c r="G37" s="40"/>
      <c r="H37" s="55" t="s">
        <v>255</v>
      </c>
      <c r="N37" s="66"/>
      <c r="O37" s="25"/>
      <c r="P37" s="72" t="str">
        <f>IFERROR(IF(ISBLANK(O37),"",INDEX(Gen_Vessels!$A$3:$C$500,MATCH(O37,Gen_Vessels!$C$3:$C$500,0),1)),"")</f>
        <v/>
      </c>
      <c r="Q37" s="25"/>
      <c r="R37" s="25"/>
      <c r="S37" s="25" t="str">
        <f>IFERROR(IF(ISBLANK(R37),"",INDEX(Gen_Vessels!$A$3:$C$500,MATCH(CorrectiveMinor!$R37,Gen_Vessels!$C$3:$C$500,0),1)),"")</f>
        <v/>
      </c>
      <c r="T37" s="25"/>
      <c r="U37" s="25"/>
      <c r="V37" s="25"/>
      <c r="W37" s="25"/>
      <c r="X37" s="25"/>
      <c r="Y37" s="25"/>
      <c r="AA37" s="25"/>
      <c r="AB37" s="25"/>
      <c r="AC37" s="25"/>
      <c r="AD37" s="25"/>
      <c r="AE37" s="25"/>
      <c r="AF37" s="25"/>
      <c r="AG37" s="25"/>
    </row>
    <row r="38" spans="1:33" x14ac:dyDescent="0.25">
      <c r="A38" s="18" t="str">
        <f t="shared" si="0"/>
        <v/>
      </c>
      <c r="B38" s="25"/>
      <c r="C38" s="25"/>
      <c r="D38" s="43"/>
      <c r="E38" s="44"/>
      <c r="F38" s="45"/>
      <c r="G38" s="40"/>
      <c r="H38" s="55" t="s">
        <v>255</v>
      </c>
      <c r="N38" s="66"/>
      <c r="O38" s="25"/>
      <c r="P38" s="72" t="str">
        <f>IFERROR(IF(ISBLANK(O38),"",INDEX(Gen_Vessels!$A$3:$C$500,MATCH(O38,Gen_Vessels!$C$3:$C$500,0),1)),"")</f>
        <v/>
      </c>
      <c r="Q38" s="25"/>
      <c r="R38" s="25"/>
      <c r="S38" s="25" t="str">
        <f>IFERROR(IF(ISBLANK(R38),"",INDEX(Gen_Vessels!$A$3:$C$500,MATCH(CorrectiveMinor!$R38,Gen_Vessels!$C$3:$C$500,0),1)),"")</f>
        <v/>
      </c>
      <c r="T38" s="25"/>
      <c r="U38" s="25"/>
      <c r="V38" s="25"/>
      <c r="W38" s="25"/>
      <c r="X38" s="25"/>
      <c r="Y38" s="25"/>
      <c r="AA38" s="25"/>
      <c r="AB38" s="25"/>
      <c r="AC38" s="25"/>
      <c r="AD38" s="25"/>
      <c r="AE38" s="25"/>
      <c r="AF38" s="25"/>
      <c r="AG38" s="25"/>
    </row>
    <row r="39" spans="1:33" x14ac:dyDescent="0.25">
      <c r="A39" s="18" t="str">
        <f t="shared" si="0"/>
        <v/>
      </c>
      <c r="B39" s="25"/>
      <c r="C39" s="25"/>
      <c r="D39" s="43"/>
      <c r="E39" s="44"/>
      <c r="F39" s="45"/>
      <c r="G39" s="40"/>
      <c r="H39" s="55" t="s">
        <v>255</v>
      </c>
      <c r="N39" s="66"/>
      <c r="O39" s="25"/>
      <c r="P39" s="72" t="str">
        <f>IFERROR(IF(ISBLANK(O39),"",INDEX(Gen_Vessels!$A$3:$C$500,MATCH(O39,Gen_Vessels!$C$3:$C$500,0),1)),"")</f>
        <v/>
      </c>
      <c r="Q39" s="25"/>
      <c r="R39" s="25"/>
      <c r="S39" s="25" t="str">
        <f>IFERROR(IF(ISBLANK(R39),"",INDEX(Gen_Vessels!$A$3:$C$500,MATCH(CorrectiveMinor!$R39,Gen_Vessels!$C$3:$C$500,0),1)),"")</f>
        <v/>
      </c>
      <c r="T39" s="25"/>
      <c r="U39" s="25"/>
      <c r="V39" s="25"/>
      <c r="W39" s="25"/>
      <c r="X39" s="25"/>
      <c r="Y39" s="25"/>
      <c r="AA39" s="25"/>
      <c r="AB39" s="25"/>
      <c r="AC39" s="25"/>
      <c r="AD39" s="25"/>
      <c r="AE39" s="25"/>
      <c r="AF39" s="25"/>
      <c r="AG39" s="25"/>
    </row>
    <row r="40" spans="1:33" x14ac:dyDescent="0.25">
      <c r="A40" s="18" t="str">
        <f t="shared" si="0"/>
        <v/>
      </c>
      <c r="B40" s="25"/>
      <c r="C40" s="25"/>
      <c r="D40" s="43"/>
      <c r="E40" s="44"/>
      <c r="F40" s="45"/>
      <c r="G40" s="40"/>
      <c r="H40" s="55" t="s">
        <v>255</v>
      </c>
      <c r="N40" s="66"/>
      <c r="O40" s="25"/>
      <c r="P40" s="72" t="str">
        <f>IFERROR(IF(ISBLANK(O40),"",INDEX(Gen_Vessels!$A$3:$C$500,MATCH(O40,Gen_Vessels!$C$3:$C$500,0),1)),"")</f>
        <v/>
      </c>
      <c r="Q40" s="25"/>
      <c r="R40" s="25"/>
      <c r="S40" s="25" t="str">
        <f>IFERROR(IF(ISBLANK(R40),"",INDEX(Gen_Vessels!$A$3:$C$500,MATCH(CorrectiveMinor!$R40,Gen_Vessels!$C$3:$C$500,0),1)),"")</f>
        <v/>
      </c>
      <c r="T40" s="25"/>
      <c r="U40" s="25"/>
      <c r="V40" s="25"/>
      <c r="W40" s="25"/>
      <c r="X40" s="25"/>
      <c r="Y40" s="25"/>
      <c r="AA40" s="25"/>
      <c r="AB40" s="25"/>
      <c r="AC40" s="25"/>
      <c r="AD40" s="25"/>
      <c r="AE40" s="25"/>
      <c r="AF40" s="25"/>
      <c r="AG40" s="25"/>
    </row>
    <row r="41" spans="1:33" x14ac:dyDescent="0.25">
      <c r="A41" s="18" t="str">
        <f t="shared" si="0"/>
        <v/>
      </c>
      <c r="B41" s="25"/>
      <c r="C41" s="25"/>
      <c r="D41" s="43"/>
      <c r="E41" s="44"/>
      <c r="F41" s="45"/>
      <c r="G41" s="40"/>
      <c r="H41" s="55" t="s">
        <v>255</v>
      </c>
      <c r="N41" s="66"/>
      <c r="O41" s="25"/>
      <c r="P41" s="72" t="str">
        <f>IFERROR(IF(ISBLANK(O41),"",INDEX(Gen_Vessels!$A$3:$C$500,MATCH(O41,Gen_Vessels!$C$3:$C$500,0),1)),"")</f>
        <v/>
      </c>
      <c r="Q41" s="25"/>
      <c r="R41" s="25"/>
      <c r="S41" s="25" t="str">
        <f>IFERROR(IF(ISBLANK(R41),"",INDEX(Gen_Vessels!$A$3:$C$500,MATCH(CorrectiveMinor!$R41,Gen_Vessels!$C$3:$C$500,0),1)),"")</f>
        <v/>
      </c>
      <c r="T41" s="25"/>
      <c r="U41" s="25"/>
      <c r="V41" s="25"/>
      <c r="W41" s="25"/>
      <c r="X41" s="25"/>
      <c r="Y41" s="25"/>
      <c r="AA41" s="25"/>
      <c r="AB41" s="25"/>
      <c r="AC41" s="25"/>
      <c r="AD41" s="25"/>
      <c r="AE41" s="25"/>
      <c r="AF41" s="25"/>
      <c r="AG41" s="25"/>
    </row>
    <row r="42" spans="1:33" x14ac:dyDescent="0.25">
      <c r="A42" s="18" t="str">
        <f t="shared" si="0"/>
        <v/>
      </c>
      <c r="B42" s="25"/>
      <c r="C42" s="25"/>
      <c r="D42" s="43"/>
      <c r="E42" s="44"/>
      <c r="F42" s="45"/>
      <c r="G42" s="40"/>
      <c r="H42" s="55" t="s">
        <v>255</v>
      </c>
      <c r="N42" s="66"/>
      <c r="O42" s="25"/>
      <c r="P42" s="72" t="str">
        <f>IFERROR(IF(ISBLANK(O42),"",INDEX(Gen_Vessels!$A$3:$C$500,MATCH(O42,Gen_Vessels!$C$3:$C$500,0),1)),"")</f>
        <v/>
      </c>
      <c r="Q42" s="25"/>
      <c r="R42" s="25"/>
      <c r="S42" s="25" t="str">
        <f>IFERROR(IF(ISBLANK(R42),"",INDEX(Gen_Vessels!$A$3:$C$500,MATCH(CorrectiveMinor!$R42,Gen_Vessels!$C$3:$C$500,0),1)),"")</f>
        <v/>
      </c>
      <c r="T42" s="25"/>
      <c r="U42" s="25"/>
      <c r="V42" s="25"/>
      <c r="W42" s="25"/>
      <c r="X42" s="25"/>
      <c r="Y42" s="25"/>
      <c r="AA42" s="25"/>
      <c r="AB42" s="25"/>
      <c r="AC42" s="25"/>
      <c r="AD42" s="25"/>
      <c r="AE42" s="25"/>
      <c r="AF42" s="25"/>
      <c r="AG42" s="25"/>
    </row>
    <row r="43" spans="1:33" x14ac:dyDescent="0.25">
      <c r="A43" s="18" t="str">
        <f t="shared" si="0"/>
        <v/>
      </c>
      <c r="B43" s="25"/>
      <c r="C43" s="25"/>
      <c r="D43" s="43"/>
      <c r="E43" s="44"/>
      <c r="F43" s="45"/>
      <c r="G43" s="40"/>
      <c r="H43" s="55" t="s">
        <v>255</v>
      </c>
      <c r="N43" s="66"/>
      <c r="O43" s="25"/>
      <c r="P43" s="72" t="str">
        <f>IFERROR(IF(ISBLANK(O43),"",INDEX(Gen_Vessels!$A$3:$C$500,MATCH(O43,Gen_Vessels!$C$3:$C$500,0),1)),"")</f>
        <v/>
      </c>
      <c r="Q43" s="25"/>
      <c r="R43" s="25"/>
      <c r="S43" s="25" t="str">
        <f>IFERROR(IF(ISBLANK(R43),"",INDEX(Gen_Vessels!$A$3:$C$500,MATCH(CorrectiveMinor!$R43,Gen_Vessels!$C$3:$C$500,0),1)),"")</f>
        <v/>
      </c>
      <c r="T43" s="25"/>
      <c r="U43" s="25"/>
      <c r="V43" s="25"/>
      <c r="W43" s="25"/>
      <c r="X43" s="25"/>
      <c r="Y43" s="25"/>
      <c r="AA43" s="25"/>
      <c r="AB43" s="25"/>
      <c r="AC43" s="25"/>
      <c r="AD43" s="25"/>
      <c r="AE43" s="25"/>
      <c r="AF43" s="25"/>
      <c r="AG43" s="25"/>
    </row>
    <row r="44" spans="1:33" x14ac:dyDescent="0.25">
      <c r="A44" s="18" t="str">
        <f t="shared" si="0"/>
        <v/>
      </c>
      <c r="B44" s="25"/>
      <c r="C44" s="25"/>
      <c r="D44" s="43"/>
      <c r="E44" s="44"/>
      <c r="F44" s="45"/>
      <c r="G44" s="40"/>
      <c r="H44" s="55" t="s">
        <v>255</v>
      </c>
      <c r="N44" s="66"/>
      <c r="O44" s="25"/>
      <c r="P44" s="72" t="str">
        <f>IFERROR(IF(ISBLANK(O44),"",INDEX(Gen_Vessels!$A$3:$C$500,MATCH(O44,Gen_Vessels!$C$3:$C$500,0),1)),"")</f>
        <v/>
      </c>
      <c r="Q44" s="25"/>
      <c r="R44" s="25"/>
      <c r="S44" s="25" t="str">
        <f>IFERROR(IF(ISBLANK(R44),"",INDEX(Gen_Vessels!$A$3:$C$500,MATCH(CorrectiveMinor!$R44,Gen_Vessels!$C$3:$C$500,0),1)),"")</f>
        <v/>
      </c>
      <c r="T44" s="25"/>
      <c r="U44" s="25"/>
      <c r="V44" s="25"/>
      <c r="W44" s="25"/>
      <c r="X44" s="25"/>
      <c r="Y44" s="25"/>
      <c r="AA44" s="25"/>
      <c r="AB44" s="25"/>
      <c r="AC44" s="25"/>
      <c r="AD44" s="25"/>
      <c r="AE44" s="25"/>
      <c r="AF44" s="25"/>
      <c r="AG44" s="25"/>
    </row>
    <row r="45" spans="1:33" x14ac:dyDescent="0.25">
      <c r="A45" s="18" t="str">
        <f t="shared" si="0"/>
        <v/>
      </c>
      <c r="B45" s="25"/>
      <c r="C45" s="25"/>
      <c r="D45" s="43"/>
      <c r="E45" s="44"/>
      <c r="F45" s="45"/>
      <c r="G45" s="40"/>
      <c r="H45" s="55" t="s">
        <v>255</v>
      </c>
      <c r="N45" s="66"/>
      <c r="O45" s="25"/>
      <c r="P45" s="72" t="str">
        <f>IFERROR(IF(ISBLANK(O45),"",INDEX(Gen_Vessels!$A$3:$C$500,MATCH(O45,Gen_Vessels!$C$3:$C$500,0),1)),"")</f>
        <v/>
      </c>
      <c r="Q45" s="25"/>
      <c r="R45" s="25"/>
      <c r="S45" s="25" t="str">
        <f>IFERROR(IF(ISBLANK(R45),"",INDEX(Gen_Vessels!$A$3:$C$500,MATCH(CorrectiveMinor!$R45,Gen_Vessels!$C$3:$C$500,0),1)),"")</f>
        <v/>
      </c>
      <c r="T45" s="25"/>
      <c r="U45" s="25"/>
      <c r="V45" s="25"/>
      <c r="W45" s="25"/>
      <c r="X45" s="25"/>
      <c r="Y45" s="25"/>
      <c r="AA45" s="25"/>
      <c r="AB45" s="25"/>
      <c r="AC45" s="25"/>
      <c r="AD45" s="25"/>
      <c r="AE45" s="25"/>
      <c r="AF45" s="25"/>
      <c r="AG45" s="25"/>
    </row>
    <row r="46" spans="1:33" x14ac:dyDescent="0.25">
      <c r="A46" s="18" t="str">
        <f t="shared" si="0"/>
        <v/>
      </c>
      <c r="B46" s="25"/>
      <c r="C46" s="25"/>
      <c r="D46" s="43"/>
      <c r="E46" s="44"/>
      <c r="F46" s="45"/>
      <c r="G46" s="40"/>
      <c r="H46" s="55" t="s">
        <v>255</v>
      </c>
      <c r="N46" s="66"/>
      <c r="O46" s="25"/>
      <c r="P46" s="72" t="str">
        <f>IFERROR(IF(ISBLANK(O46),"",INDEX(Gen_Vessels!$A$3:$C$500,MATCH(O46,Gen_Vessels!$C$3:$C$500,0),1)),"")</f>
        <v/>
      </c>
      <c r="Q46" s="25"/>
      <c r="R46" s="25"/>
      <c r="S46" s="25" t="str">
        <f>IFERROR(IF(ISBLANK(R46),"",INDEX(Gen_Vessels!$A$3:$C$500,MATCH(CorrectiveMinor!$R46,Gen_Vessels!$C$3:$C$500,0),1)),"")</f>
        <v/>
      </c>
      <c r="T46" s="25"/>
      <c r="U46" s="25"/>
      <c r="V46" s="25"/>
      <c r="W46" s="25"/>
      <c r="X46" s="25"/>
      <c r="Y46" s="25"/>
      <c r="AA46" s="25"/>
      <c r="AB46" s="25"/>
      <c r="AC46" s="25"/>
      <c r="AD46" s="25"/>
      <c r="AE46" s="25"/>
      <c r="AF46" s="25"/>
      <c r="AG46" s="25"/>
    </row>
    <row r="47" spans="1:33" x14ac:dyDescent="0.25">
      <c r="A47" s="18" t="str">
        <f t="shared" si="0"/>
        <v/>
      </c>
      <c r="B47" s="25"/>
      <c r="C47" s="25"/>
      <c r="D47" s="43"/>
      <c r="E47" s="44"/>
      <c r="F47" s="45"/>
      <c r="G47" s="40"/>
      <c r="H47" s="55" t="s">
        <v>255</v>
      </c>
      <c r="N47" s="66"/>
      <c r="O47" s="25"/>
      <c r="P47" s="72" t="str">
        <f>IFERROR(IF(ISBLANK(O47),"",INDEX(Gen_Vessels!$A$3:$C$500,MATCH(O47,Gen_Vessels!$C$3:$C$500,0),1)),"")</f>
        <v/>
      </c>
      <c r="Q47" s="25"/>
      <c r="R47" s="25"/>
      <c r="S47" s="25" t="str">
        <f>IFERROR(IF(ISBLANK(R47),"",INDEX(Gen_Vessels!$A$3:$C$500,MATCH(CorrectiveMinor!$R47,Gen_Vessels!$C$3:$C$500,0),1)),"")</f>
        <v/>
      </c>
      <c r="T47" s="25"/>
      <c r="U47" s="25"/>
      <c r="V47" s="25"/>
      <c r="W47" s="25"/>
      <c r="X47" s="25"/>
      <c r="Y47" s="25"/>
      <c r="AA47" s="25"/>
      <c r="AB47" s="25"/>
      <c r="AC47" s="25"/>
      <c r="AD47" s="25"/>
      <c r="AE47" s="25"/>
      <c r="AF47" s="25"/>
      <c r="AG47" s="25"/>
    </row>
    <row r="48" spans="1:33" x14ac:dyDescent="0.25">
      <c r="A48" s="18" t="str">
        <f t="shared" si="0"/>
        <v/>
      </c>
      <c r="B48" s="25"/>
      <c r="C48" s="25"/>
      <c r="D48" s="43"/>
      <c r="E48" s="44"/>
      <c r="F48" s="45"/>
      <c r="G48" s="40"/>
      <c r="H48" s="55" t="s">
        <v>255</v>
      </c>
      <c r="N48" s="66"/>
      <c r="O48" s="25"/>
      <c r="P48" s="72" t="str">
        <f>IFERROR(IF(ISBLANK(O48),"",INDEX(Gen_Vessels!$A$3:$C$500,MATCH(O48,Gen_Vessels!$C$3:$C$500,0),1)),"")</f>
        <v/>
      </c>
      <c r="Q48" s="25"/>
      <c r="R48" s="25"/>
      <c r="S48" s="25" t="str">
        <f>IFERROR(IF(ISBLANK(R48),"",INDEX(Gen_Vessels!$A$3:$C$500,MATCH(CorrectiveMinor!$R48,Gen_Vessels!$C$3:$C$500,0),1)),"")</f>
        <v/>
      </c>
      <c r="T48" s="25"/>
      <c r="U48" s="25"/>
      <c r="V48" s="25"/>
      <c r="W48" s="25"/>
      <c r="X48" s="25"/>
      <c r="Y48" s="25"/>
      <c r="AA48" s="25"/>
      <c r="AB48" s="25"/>
      <c r="AC48" s="25"/>
      <c r="AD48" s="25"/>
      <c r="AE48" s="25"/>
      <c r="AF48" s="25"/>
      <c r="AG48" s="25"/>
    </row>
    <row r="49" spans="1:33" x14ac:dyDescent="0.25">
      <c r="A49" s="18" t="str">
        <f t="shared" si="0"/>
        <v/>
      </c>
      <c r="B49" s="25"/>
      <c r="C49" s="25"/>
      <c r="D49" s="43"/>
      <c r="E49" s="44"/>
      <c r="F49" s="45"/>
      <c r="G49" s="40"/>
      <c r="H49" s="55" t="s">
        <v>255</v>
      </c>
      <c r="N49" s="66"/>
      <c r="O49" s="25"/>
      <c r="P49" s="72" t="str">
        <f>IFERROR(IF(ISBLANK(O49),"",INDEX(Gen_Vessels!$A$3:$C$500,MATCH(O49,Gen_Vessels!$C$3:$C$500,0),1)),"")</f>
        <v/>
      </c>
      <c r="Q49" s="25"/>
      <c r="R49" s="25"/>
      <c r="S49" s="25" t="str">
        <f>IFERROR(IF(ISBLANK(R49),"",INDEX(Gen_Vessels!$A$3:$C$500,MATCH(CorrectiveMinor!$R49,Gen_Vessels!$C$3:$C$500,0),1)),"")</f>
        <v/>
      </c>
      <c r="T49" s="25"/>
      <c r="U49" s="25"/>
      <c r="V49" s="25"/>
      <c r="W49" s="25"/>
      <c r="X49" s="25"/>
      <c r="Y49" s="25"/>
      <c r="AA49" s="25"/>
      <c r="AB49" s="25"/>
      <c r="AC49" s="25"/>
      <c r="AD49" s="25"/>
      <c r="AE49" s="25"/>
      <c r="AF49" s="25"/>
      <c r="AG49" s="25"/>
    </row>
    <row r="50" spans="1:33" x14ac:dyDescent="0.25">
      <c r="A50" s="18" t="str">
        <f t="shared" si="0"/>
        <v/>
      </c>
      <c r="B50" s="25"/>
      <c r="C50" s="25"/>
      <c r="D50" s="43"/>
      <c r="E50" s="44"/>
      <c r="F50" s="45"/>
      <c r="G50" s="40"/>
      <c r="H50" s="55" t="s">
        <v>255</v>
      </c>
      <c r="N50" s="66"/>
      <c r="O50" s="25"/>
      <c r="P50" s="72" t="str">
        <f>IFERROR(IF(ISBLANK(O50),"",INDEX(Gen_Vessels!$A$3:$C$500,MATCH(O50,Gen_Vessels!$C$3:$C$500,0),1)),"")</f>
        <v/>
      </c>
      <c r="Q50" s="25"/>
      <c r="R50" s="25"/>
      <c r="S50" s="25" t="str">
        <f>IFERROR(IF(ISBLANK(R50),"",INDEX(Gen_Vessels!$A$3:$C$500,MATCH(CorrectiveMinor!$R50,Gen_Vessels!$C$3:$C$500,0),1)),"")</f>
        <v/>
      </c>
      <c r="T50" s="25"/>
      <c r="U50" s="25"/>
      <c r="V50" s="25"/>
      <c r="W50" s="25"/>
      <c r="X50" s="25"/>
      <c r="Y50" s="25"/>
      <c r="AA50" s="25"/>
      <c r="AB50" s="25"/>
      <c r="AC50" s="25"/>
      <c r="AD50" s="25"/>
      <c r="AE50" s="25"/>
      <c r="AF50" s="25"/>
      <c r="AG50" s="25"/>
    </row>
    <row r="51" spans="1:33" x14ac:dyDescent="0.25">
      <c r="A51" s="18" t="str">
        <f t="shared" si="0"/>
        <v/>
      </c>
      <c r="B51" s="25"/>
      <c r="C51" s="25"/>
      <c r="D51" s="43"/>
      <c r="E51" s="44"/>
      <c r="F51" s="45"/>
      <c r="G51" s="40"/>
      <c r="H51" s="55" t="s">
        <v>255</v>
      </c>
      <c r="N51" s="66"/>
      <c r="O51" s="25"/>
      <c r="P51" s="72" t="str">
        <f>IFERROR(IF(ISBLANK(O51),"",INDEX(Gen_Vessels!$A$3:$C$500,MATCH(O51,Gen_Vessels!$C$3:$C$500,0),1)),"")</f>
        <v/>
      </c>
      <c r="Q51" s="25"/>
      <c r="R51" s="25"/>
      <c r="S51" s="25" t="str">
        <f>IFERROR(IF(ISBLANK(R51),"",INDEX(Gen_Vessels!$A$3:$C$500,MATCH(CorrectiveMinor!$R51,Gen_Vessels!$C$3:$C$500,0),1)),"")</f>
        <v/>
      </c>
      <c r="T51" s="25"/>
      <c r="U51" s="25"/>
      <c r="V51" s="25"/>
      <c r="W51" s="25"/>
      <c r="X51" s="25"/>
      <c r="Y51" s="25"/>
      <c r="AA51" s="25"/>
      <c r="AB51" s="25"/>
      <c r="AC51" s="25"/>
      <c r="AD51" s="25"/>
      <c r="AE51" s="25"/>
      <c r="AF51" s="25"/>
      <c r="AG51" s="25"/>
    </row>
    <row r="52" spans="1:33" x14ac:dyDescent="0.25">
      <c r="A52" s="18" t="str">
        <f t="shared" si="0"/>
        <v/>
      </c>
      <c r="B52" s="25"/>
      <c r="C52" s="25"/>
      <c r="D52" s="43"/>
      <c r="E52" s="44"/>
      <c r="F52" s="45"/>
      <c r="G52" s="40"/>
      <c r="H52" s="55" t="s">
        <v>255</v>
      </c>
      <c r="N52" s="66"/>
      <c r="O52" s="25"/>
      <c r="P52" s="72" t="str">
        <f>IFERROR(IF(ISBLANK(O52),"",INDEX(Gen_Vessels!$A$3:$C$500,MATCH(O52,Gen_Vessels!$C$3:$C$500,0),1)),"")</f>
        <v/>
      </c>
      <c r="Q52" s="25"/>
      <c r="R52" s="25"/>
      <c r="S52" s="25" t="str">
        <f>IFERROR(IF(ISBLANK(R52),"",INDEX(Gen_Vessels!$A$3:$C$500,MATCH(CorrectiveMinor!$R52,Gen_Vessels!$C$3:$C$500,0),1)),"")</f>
        <v/>
      </c>
      <c r="T52" s="25"/>
      <c r="U52" s="25"/>
      <c r="V52" s="25"/>
      <c r="W52" s="25"/>
      <c r="X52" s="25"/>
      <c r="Y52" s="25"/>
      <c r="AA52" s="25"/>
      <c r="AB52" s="25"/>
      <c r="AC52" s="25"/>
      <c r="AD52" s="25"/>
      <c r="AE52" s="25"/>
      <c r="AF52" s="25"/>
      <c r="AG52" s="25"/>
    </row>
    <row r="53" spans="1:33" x14ac:dyDescent="0.25">
      <c r="A53" s="18" t="str">
        <f t="shared" si="0"/>
        <v/>
      </c>
      <c r="B53" s="25"/>
      <c r="C53" s="25"/>
      <c r="D53" s="43"/>
      <c r="E53" s="44"/>
      <c r="F53" s="45"/>
      <c r="G53" s="40"/>
      <c r="H53" s="55" t="s">
        <v>255</v>
      </c>
      <c r="N53" s="66"/>
      <c r="O53" s="25"/>
      <c r="P53" s="72" t="str">
        <f>IFERROR(IF(ISBLANK(O53),"",INDEX(Gen_Vessels!$A$3:$C$500,MATCH(O53,Gen_Vessels!$C$3:$C$500,0),1)),"")</f>
        <v/>
      </c>
      <c r="Q53" s="25"/>
      <c r="R53" s="25"/>
      <c r="S53" s="25" t="str">
        <f>IFERROR(IF(ISBLANK(R53),"",INDEX(Gen_Vessels!$A$3:$C$500,MATCH(CorrectiveMinor!$R53,Gen_Vessels!$C$3:$C$500,0),1)),"")</f>
        <v/>
      </c>
      <c r="T53" s="25"/>
      <c r="U53" s="25"/>
      <c r="V53" s="25"/>
      <c r="W53" s="25"/>
      <c r="X53" s="25"/>
      <c r="Y53" s="25"/>
      <c r="AA53" s="25"/>
      <c r="AB53" s="25"/>
      <c r="AC53" s="25"/>
      <c r="AD53" s="25"/>
      <c r="AE53" s="25"/>
      <c r="AF53" s="25"/>
      <c r="AG53" s="25"/>
    </row>
    <row r="54" spans="1:33" x14ac:dyDescent="0.25">
      <c r="A54" s="18" t="str">
        <f t="shared" si="0"/>
        <v/>
      </c>
      <c r="B54" s="25"/>
      <c r="C54" s="25"/>
      <c r="D54" s="43"/>
      <c r="E54" s="44"/>
      <c r="F54" s="45"/>
      <c r="G54" s="40"/>
      <c r="H54" s="55" t="s">
        <v>255</v>
      </c>
      <c r="N54" s="66"/>
      <c r="O54" s="25"/>
      <c r="P54" s="72" t="str">
        <f>IFERROR(IF(ISBLANK(O54),"",INDEX(Gen_Vessels!$A$3:$C$500,MATCH(O54,Gen_Vessels!$C$3:$C$500,0),1)),"")</f>
        <v/>
      </c>
      <c r="Q54" s="25"/>
      <c r="R54" s="25"/>
      <c r="S54" s="25" t="str">
        <f>IFERROR(IF(ISBLANK(R54),"",INDEX(Gen_Vessels!$A$3:$C$500,MATCH(CorrectiveMinor!$R54,Gen_Vessels!$C$3:$C$500,0),1)),"")</f>
        <v/>
      </c>
      <c r="T54" s="25"/>
      <c r="U54" s="25"/>
      <c r="V54" s="25"/>
      <c r="W54" s="25"/>
      <c r="X54" s="25"/>
      <c r="Y54" s="25"/>
      <c r="AA54" s="25"/>
      <c r="AB54" s="25"/>
      <c r="AC54" s="25"/>
      <c r="AD54" s="25"/>
      <c r="AE54" s="25"/>
      <c r="AF54" s="25"/>
      <c r="AG54" s="25"/>
    </row>
    <row r="55" spans="1:33" x14ac:dyDescent="0.25">
      <c r="A55" s="18" t="str">
        <f t="shared" si="0"/>
        <v/>
      </c>
      <c r="B55" s="25"/>
      <c r="C55" s="25"/>
      <c r="D55" s="43"/>
      <c r="E55" s="44"/>
      <c r="F55" s="45"/>
      <c r="G55" s="40"/>
      <c r="H55" s="55" t="s">
        <v>255</v>
      </c>
      <c r="N55" s="66"/>
      <c r="O55" s="25"/>
      <c r="P55" s="72" t="str">
        <f>IFERROR(IF(ISBLANK(O55),"",INDEX(Gen_Vessels!$A$3:$C$500,MATCH(O55,Gen_Vessels!$C$3:$C$500,0),1)),"")</f>
        <v/>
      </c>
      <c r="Q55" s="25"/>
      <c r="R55" s="25"/>
      <c r="S55" s="25" t="str">
        <f>IFERROR(IF(ISBLANK(R55),"",INDEX(Gen_Vessels!$A$3:$C$500,MATCH(CorrectiveMinor!$R55,Gen_Vessels!$C$3:$C$500,0),1)),"")</f>
        <v/>
      </c>
      <c r="T55" s="25"/>
      <c r="U55" s="25"/>
      <c r="V55" s="25"/>
      <c r="W55" s="25"/>
      <c r="X55" s="25"/>
      <c r="Y55" s="25"/>
      <c r="AA55" s="25"/>
      <c r="AB55" s="25"/>
      <c r="AC55" s="25"/>
      <c r="AD55" s="25"/>
      <c r="AE55" s="25"/>
      <c r="AF55" s="25"/>
      <c r="AG55" s="25"/>
    </row>
    <row r="56" spans="1:33" x14ac:dyDescent="0.25">
      <c r="A56" s="18" t="str">
        <f t="shared" si="0"/>
        <v/>
      </c>
      <c r="B56" s="25"/>
      <c r="C56" s="25"/>
      <c r="D56" s="43"/>
      <c r="E56" s="44"/>
      <c r="F56" s="45"/>
      <c r="G56" s="40"/>
      <c r="H56" s="55" t="s">
        <v>255</v>
      </c>
      <c r="N56" s="66"/>
      <c r="O56" s="25"/>
      <c r="P56" s="72" t="str">
        <f>IFERROR(IF(ISBLANK(O56),"",INDEX(Gen_Vessels!$A$3:$C$500,MATCH(O56,Gen_Vessels!$C$3:$C$500,0),1)),"")</f>
        <v/>
      </c>
      <c r="Q56" s="25"/>
      <c r="R56" s="25"/>
      <c r="S56" s="25" t="str">
        <f>IFERROR(IF(ISBLANK(R56),"",INDEX(Gen_Vessels!$A$3:$C$500,MATCH(CorrectiveMinor!$R56,Gen_Vessels!$C$3:$C$500,0),1)),"")</f>
        <v/>
      </c>
      <c r="T56" s="25"/>
      <c r="U56" s="25"/>
      <c r="V56" s="25"/>
      <c r="W56" s="25"/>
      <c r="X56" s="25"/>
      <c r="Y56" s="25"/>
      <c r="AA56" s="25"/>
      <c r="AB56" s="25"/>
      <c r="AC56" s="25"/>
      <c r="AD56" s="25"/>
      <c r="AE56" s="25"/>
      <c r="AF56" s="25"/>
      <c r="AG56" s="25"/>
    </row>
    <row r="57" spans="1:33" x14ac:dyDescent="0.25">
      <c r="A57" s="18" t="str">
        <f t="shared" si="0"/>
        <v/>
      </c>
      <c r="B57" s="25"/>
      <c r="C57" s="25"/>
      <c r="D57" s="43"/>
      <c r="E57" s="44"/>
      <c r="F57" s="45"/>
      <c r="G57" s="40"/>
      <c r="H57" s="55" t="s">
        <v>255</v>
      </c>
      <c r="N57" s="66"/>
      <c r="O57" s="25"/>
      <c r="P57" s="72" t="str">
        <f>IFERROR(IF(ISBLANK(O57),"",INDEX(Gen_Vessels!$A$3:$C$500,MATCH(O57,Gen_Vessels!$C$3:$C$500,0),1)),"")</f>
        <v/>
      </c>
      <c r="Q57" s="25"/>
      <c r="R57" s="25"/>
      <c r="S57" s="25" t="str">
        <f>IFERROR(IF(ISBLANK(R57),"",INDEX(Gen_Vessels!$A$3:$C$500,MATCH(CorrectiveMinor!$R57,Gen_Vessels!$C$3:$C$500,0),1)),"")</f>
        <v/>
      </c>
      <c r="T57" s="25"/>
      <c r="U57" s="25"/>
      <c r="V57" s="25"/>
      <c r="W57" s="25"/>
      <c r="X57" s="25"/>
      <c r="Y57" s="25"/>
      <c r="AA57" s="25"/>
      <c r="AB57" s="25"/>
      <c r="AC57" s="25"/>
      <c r="AD57" s="25"/>
      <c r="AE57" s="25"/>
      <c r="AF57" s="25"/>
      <c r="AG57" s="25"/>
    </row>
    <row r="58" spans="1:33" x14ac:dyDescent="0.25">
      <c r="A58" s="18" t="str">
        <f t="shared" si="0"/>
        <v/>
      </c>
      <c r="B58" s="25"/>
      <c r="C58" s="25"/>
      <c r="D58" s="43"/>
      <c r="E58" s="44"/>
      <c r="F58" s="45"/>
      <c r="G58" s="40"/>
      <c r="H58" s="55" t="s">
        <v>255</v>
      </c>
      <c r="N58" s="66"/>
      <c r="O58" s="25"/>
      <c r="P58" s="72" t="str">
        <f>IFERROR(IF(ISBLANK(O58),"",INDEX(Gen_Vessels!$A$3:$C$500,MATCH(O58,Gen_Vessels!$C$3:$C$500,0),1)),"")</f>
        <v/>
      </c>
      <c r="Q58" s="25"/>
      <c r="R58" s="25"/>
      <c r="S58" s="25" t="str">
        <f>IFERROR(IF(ISBLANK(R58),"",INDEX(Gen_Vessels!$A$3:$C$500,MATCH(CorrectiveMinor!$R58,Gen_Vessels!$C$3:$C$500,0),1)),"")</f>
        <v/>
      </c>
      <c r="T58" s="25"/>
      <c r="U58" s="25"/>
      <c r="V58" s="25"/>
      <c r="W58" s="25"/>
      <c r="X58" s="25"/>
      <c r="Y58" s="25"/>
      <c r="AA58" s="25"/>
      <c r="AB58" s="25"/>
      <c r="AC58" s="25"/>
      <c r="AD58" s="25"/>
      <c r="AE58" s="25"/>
      <c r="AF58" s="25"/>
      <c r="AG58" s="25"/>
    </row>
    <row r="59" spans="1:33" x14ac:dyDescent="0.25">
      <c r="A59" s="18" t="str">
        <f t="shared" ref="A59:A122" si="1">IF(ISBLANK($B59)=FALSE,IF(AND($D59&gt;0,$E59&lt;=0,$F59&lt;=0),_xlfn.CONCAT("ofw_",$B59),IF(AND($D59&lt;=0,$E59&gt;0,$F59&lt;=0),_xlfn.CONCAT("owc_",$B59),IF(AND($D59&lt;=0,$E59&lt;=0,$F59&gt;0),_xlfn.CONCAT("opv_",$B59),_xlfn.CONCAT("oce_",$B59)))),"")</f>
        <v/>
      </c>
      <c r="B59" s="25"/>
      <c r="C59" s="25"/>
      <c r="D59" s="43"/>
      <c r="E59" s="44"/>
      <c r="F59" s="45"/>
      <c r="G59" s="40"/>
      <c r="H59" s="55" t="s">
        <v>255</v>
      </c>
      <c r="N59" s="66"/>
      <c r="O59" s="25"/>
      <c r="P59" s="72" t="str">
        <f>IFERROR(IF(ISBLANK(O59),"",INDEX(Gen_Vessels!$A$3:$C$500,MATCH(O59,Gen_Vessels!$C$3:$C$500,0),1)),"")</f>
        <v/>
      </c>
      <c r="Q59" s="25"/>
      <c r="R59" s="25"/>
      <c r="S59" s="25" t="str">
        <f>IFERROR(IF(ISBLANK(R59),"",INDEX(Gen_Vessels!$A$3:$C$500,MATCH(CorrectiveMinor!$R59,Gen_Vessels!$C$3:$C$500,0),1)),"")</f>
        <v/>
      </c>
      <c r="T59" s="25"/>
      <c r="U59" s="25"/>
      <c r="V59" s="25"/>
      <c r="W59" s="25"/>
      <c r="X59" s="25"/>
      <c r="Y59" s="25"/>
      <c r="AA59" s="25"/>
      <c r="AB59" s="25"/>
      <c r="AC59" s="25"/>
      <c r="AD59" s="25"/>
      <c r="AE59" s="25"/>
      <c r="AF59" s="25"/>
      <c r="AG59" s="25"/>
    </row>
    <row r="60" spans="1:33" x14ac:dyDescent="0.25">
      <c r="A60" s="18" t="str">
        <f t="shared" si="1"/>
        <v/>
      </c>
      <c r="B60" s="25"/>
      <c r="C60" s="25"/>
      <c r="D60" s="43"/>
      <c r="E60" s="44"/>
      <c r="F60" s="45"/>
      <c r="G60" s="40"/>
      <c r="H60" s="55" t="s">
        <v>255</v>
      </c>
      <c r="N60" s="66"/>
      <c r="O60" s="25"/>
      <c r="P60" s="72" t="str">
        <f>IFERROR(IF(ISBLANK(O60),"",INDEX(Gen_Vessels!$A$3:$C$500,MATCH(O60,Gen_Vessels!$C$3:$C$500,0),1)),"")</f>
        <v/>
      </c>
      <c r="Q60" s="25"/>
      <c r="R60" s="25"/>
      <c r="S60" s="25" t="str">
        <f>IFERROR(IF(ISBLANK(R60),"",INDEX(Gen_Vessels!$A$3:$C$500,MATCH(CorrectiveMinor!$R60,Gen_Vessels!$C$3:$C$500,0),1)),"")</f>
        <v/>
      </c>
      <c r="T60" s="25"/>
      <c r="U60" s="25"/>
      <c r="V60" s="25"/>
      <c r="W60" s="25"/>
      <c r="X60" s="25"/>
      <c r="Y60" s="25"/>
      <c r="AA60" s="25"/>
      <c r="AB60" s="25"/>
      <c r="AC60" s="25"/>
      <c r="AD60" s="25"/>
      <c r="AE60" s="25"/>
      <c r="AF60" s="25"/>
      <c r="AG60" s="25"/>
    </row>
    <row r="61" spans="1:33" x14ac:dyDescent="0.25">
      <c r="A61" s="18" t="str">
        <f t="shared" si="1"/>
        <v/>
      </c>
      <c r="B61" s="25"/>
      <c r="C61" s="25"/>
      <c r="D61" s="43"/>
      <c r="E61" s="44"/>
      <c r="F61" s="45"/>
      <c r="G61" s="40"/>
      <c r="H61" s="55" t="s">
        <v>255</v>
      </c>
      <c r="N61" s="66"/>
      <c r="O61" s="25"/>
      <c r="P61" s="72" t="str">
        <f>IFERROR(IF(ISBLANK(O61),"",INDEX(Gen_Vessels!$A$3:$C$500,MATCH(O61,Gen_Vessels!$C$3:$C$500,0),1)),"")</f>
        <v/>
      </c>
      <c r="Q61" s="25"/>
      <c r="R61" s="25"/>
      <c r="S61" s="25" t="str">
        <f>IFERROR(IF(ISBLANK(R61),"",INDEX(Gen_Vessels!$A$3:$C$500,MATCH(CorrectiveMinor!$R61,Gen_Vessels!$C$3:$C$500,0),1)),"")</f>
        <v/>
      </c>
      <c r="T61" s="25"/>
      <c r="U61" s="25"/>
      <c r="V61" s="25"/>
      <c r="W61" s="25"/>
      <c r="X61" s="25"/>
      <c r="Y61" s="25"/>
      <c r="AA61" s="25"/>
      <c r="AB61" s="25"/>
      <c r="AC61" s="25"/>
      <c r="AD61" s="25"/>
      <c r="AE61" s="25"/>
      <c r="AF61" s="25"/>
      <c r="AG61" s="25"/>
    </row>
    <row r="62" spans="1:33" x14ac:dyDescent="0.25">
      <c r="A62" s="18" t="str">
        <f t="shared" si="1"/>
        <v/>
      </c>
      <c r="B62" s="25"/>
      <c r="C62" s="25"/>
      <c r="D62" s="43"/>
      <c r="E62" s="44"/>
      <c r="F62" s="45"/>
      <c r="G62" s="40"/>
      <c r="H62" s="55" t="s">
        <v>255</v>
      </c>
      <c r="N62" s="66"/>
      <c r="O62" s="25"/>
      <c r="P62" s="72" t="str">
        <f>IFERROR(IF(ISBLANK(O62),"",INDEX(Gen_Vessels!$A$3:$C$500,MATCH(O62,Gen_Vessels!$C$3:$C$500,0),1)),"")</f>
        <v/>
      </c>
      <c r="Q62" s="25"/>
      <c r="R62" s="25"/>
      <c r="S62" s="25" t="str">
        <f>IFERROR(IF(ISBLANK(R62),"",INDEX(Gen_Vessels!$A$3:$C$500,MATCH(CorrectiveMinor!$R62,Gen_Vessels!$C$3:$C$500,0),1)),"")</f>
        <v/>
      </c>
      <c r="T62" s="25"/>
      <c r="U62" s="25"/>
      <c r="V62" s="25"/>
      <c r="W62" s="25"/>
      <c r="X62" s="25"/>
      <c r="Y62" s="25"/>
      <c r="AA62" s="25"/>
      <c r="AB62" s="25"/>
      <c r="AC62" s="25"/>
      <c r="AD62" s="25"/>
      <c r="AE62" s="25"/>
      <c r="AF62" s="25"/>
      <c r="AG62" s="25"/>
    </row>
    <row r="63" spans="1:33" x14ac:dyDescent="0.25">
      <c r="A63" s="18" t="str">
        <f t="shared" si="1"/>
        <v/>
      </c>
      <c r="B63" s="25"/>
      <c r="C63" s="25"/>
      <c r="D63" s="43"/>
      <c r="E63" s="44"/>
      <c r="F63" s="45"/>
      <c r="G63" s="40"/>
      <c r="H63" s="55" t="s">
        <v>255</v>
      </c>
      <c r="N63" s="66"/>
      <c r="O63" s="25"/>
      <c r="P63" s="72" t="str">
        <f>IFERROR(IF(ISBLANK(O63),"",INDEX(Gen_Vessels!$A$3:$C$500,MATCH(O63,Gen_Vessels!$C$3:$C$500,0),1)),"")</f>
        <v/>
      </c>
      <c r="Q63" s="25"/>
      <c r="R63" s="25"/>
      <c r="S63" s="25" t="str">
        <f>IFERROR(IF(ISBLANK(R63),"",INDEX(Gen_Vessels!$A$3:$C$500,MATCH(CorrectiveMinor!$R63,Gen_Vessels!$C$3:$C$500,0),1)),"")</f>
        <v/>
      </c>
      <c r="T63" s="25"/>
      <c r="U63" s="25"/>
      <c r="V63" s="25"/>
      <c r="W63" s="25"/>
      <c r="X63" s="25"/>
      <c r="Y63" s="25"/>
      <c r="AA63" s="25"/>
      <c r="AB63" s="25"/>
      <c r="AC63" s="25"/>
      <c r="AD63" s="25"/>
      <c r="AE63" s="25"/>
      <c r="AF63" s="25"/>
      <c r="AG63" s="25"/>
    </row>
    <row r="64" spans="1:33" x14ac:dyDescent="0.25">
      <c r="A64" s="18" t="str">
        <f t="shared" si="1"/>
        <v/>
      </c>
      <c r="B64" s="25"/>
      <c r="C64" s="25"/>
      <c r="D64" s="43"/>
      <c r="E64" s="44"/>
      <c r="F64" s="45"/>
      <c r="G64" s="40"/>
      <c r="H64" s="55" t="s">
        <v>255</v>
      </c>
      <c r="N64" s="66"/>
      <c r="O64" s="25"/>
      <c r="P64" s="72" t="str">
        <f>IFERROR(IF(ISBLANK(O64),"",INDEX(Gen_Vessels!$A$3:$C$500,MATCH(O64,Gen_Vessels!$C$3:$C$500,0),1)),"")</f>
        <v/>
      </c>
      <c r="Q64" s="25"/>
      <c r="R64" s="25"/>
      <c r="S64" s="25" t="str">
        <f>IFERROR(IF(ISBLANK(R64),"",INDEX(Gen_Vessels!$A$3:$C$500,MATCH(CorrectiveMinor!$R64,Gen_Vessels!$C$3:$C$500,0),1)),"")</f>
        <v/>
      </c>
      <c r="T64" s="25"/>
      <c r="U64" s="25"/>
      <c r="V64" s="25"/>
      <c r="W64" s="25"/>
      <c r="X64" s="25"/>
      <c r="Y64" s="25"/>
      <c r="AA64" s="25"/>
      <c r="AB64" s="25"/>
      <c r="AC64" s="25"/>
      <c r="AD64" s="25"/>
      <c r="AE64" s="25"/>
      <c r="AF64" s="25"/>
      <c r="AG64" s="25"/>
    </row>
    <row r="65" spans="1:33" x14ac:dyDescent="0.25">
      <c r="A65" s="18" t="str">
        <f t="shared" si="1"/>
        <v/>
      </c>
      <c r="B65" s="25"/>
      <c r="C65" s="25"/>
      <c r="D65" s="43"/>
      <c r="E65" s="44"/>
      <c r="F65" s="45"/>
      <c r="G65" s="40"/>
      <c r="H65" s="55" t="s">
        <v>255</v>
      </c>
      <c r="N65" s="66"/>
      <c r="O65" s="25"/>
      <c r="P65" s="72" t="str">
        <f>IFERROR(IF(ISBLANK(O65),"",INDEX(Gen_Vessels!$A$3:$C$500,MATCH(O65,Gen_Vessels!$C$3:$C$500,0),1)),"")</f>
        <v/>
      </c>
      <c r="Q65" s="25"/>
      <c r="R65" s="25"/>
      <c r="S65" s="25" t="str">
        <f>IFERROR(IF(ISBLANK(R65),"",INDEX(Gen_Vessels!$A$3:$C$500,MATCH(CorrectiveMinor!$R65,Gen_Vessels!$C$3:$C$500,0),1)),"")</f>
        <v/>
      </c>
      <c r="T65" s="25"/>
      <c r="U65" s="25"/>
      <c r="V65" s="25"/>
      <c r="W65" s="25"/>
      <c r="X65" s="25"/>
      <c r="Y65" s="25"/>
      <c r="AA65" s="25"/>
      <c r="AB65" s="25"/>
      <c r="AC65" s="25"/>
      <c r="AD65" s="25"/>
      <c r="AE65" s="25"/>
      <c r="AF65" s="25"/>
      <c r="AG65" s="25"/>
    </row>
    <row r="66" spans="1:33" x14ac:dyDescent="0.25">
      <c r="A66" s="18" t="str">
        <f t="shared" si="1"/>
        <v/>
      </c>
      <c r="B66" s="25"/>
      <c r="C66" s="25"/>
      <c r="D66" s="43"/>
      <c r="E66" s="44"/>
      <c r="F66" s="45"/>
      <c r="G66" s="40"/>
      <c r="H66" s="55" t="s">
        <v>255</v>
      </c>
      <c r="N66" s="66"/>
      <c r="O66" s="25"/>
      <c r="P66" s="72" t="str">
        <f>IFERROR(IF(ISBLANK(O66),"",INDEX(Gen_Vessels!$A$3:$C$500,MATCH(O66,Gen_Vessels!$C$3:$C$500,0),1)),"")</f>
        <v/>
      </c>
      <c r="Q66" s="25"/>
      <c r="R66" s="25"/>
      <c r="S66" s="25" t="str">
        <f>IFERROR(IF(ISBLANK(R66),"",INDEX(Gen_Vessels!$A$3:$C$500,MATCH(CorrectiveMinor!$R66,Gen_Vessels!$C$3:$C$500,0),1)),"")</f>
        <v/>
      </c>
      <c r="T66" s="25"/>
      <c r="U66" s="25"/>
      <c r="V66" s="25"/>
      <c r="W66" s="25"/>
      <c r="X66" s="25"/>
      <c r="Y66" s="25"/>
      <c r="AA66" s="25"/>
      <c r="AB66" s="25"/>
      <c r="AC66" s="25"/>
      <c r="AD66" s="25"/>
      <c r="AE66" s="25"/>
      <c r="AF66" s="25"/>
      <c r="AG66" s="25"/>
    </row>
    <row r="67" spans="1:33" x14ac:dyDescent="0.25">
      <c r="A67" s="18" t="str">
        <f t="shared" si="1"/>
        <v/>
      </c>
      <c r="B67" s="25"/>
      <c r="C67" s="25"/>
      <c r="D67" s="43"/>
      <c r="E67" s="44"/>
      <c r="F67" s="45"/>
      <c r="G67" s="40"/>
      <c r="H67" s="55" t="s">
        <v>255</v>
      </c>
      <c r="N67" s="66"/>
      <c r="O67" s="25"/>
      <c r="P67" s="72" t="str">
        <f>IFERROR(IF(ISBLANK(O67),"",INDEX(Gen_Vessels!$A$3:$C$500,MATCH(O67,Gen_Vessels!$C$3:$C$500,0),1)),"")</f>
        <v/>
      </c>
      <c r="Q67" s="25"/>
      <c r="R67" s="25"/>
      <c r="S67" s="25" t="str">
        <f>IFERROR(IF(ISBLANK(R67),"",INDEX(Gen_Vessels!$A$3:$C$500,MATCH(CorrectiveMinor!$R67,Gen_Vessels!$C$3:$C$500,0),1)),"")</f>
        <v/>
      </c>
      <c r="T67" s="25"/>
      <c r="U67" s="25"/>
      <c r="V67" s="25"/>
      <c r="W67" s="25"/>
      <c r="X67" s="25"/>
      <c r="Y67" s="25"/>
      <c r="AA67" s="25"/>
      <c r="AB67" s="25"/>
      <c r="AC67" s="25"/>
      <c r="AD67" s="25"/>
      <c r="AE67" s="25"/>
      <c r="AF67" s="25"/>
      <c r="AG67" s="25"/>
    </row>
    <row r="68" spans="1:33" x14ac:dyDescent="0.25">
      <c r="A68" s="18" t="str">
        <f t="shared" si="1"/>
        <v/>
      </c>
      <c r="B68" s="25"/>
      <c r="C68" s="25"/>
      <c r="D68" s="43"/>
      <c r="E68" s="44"/>
      <c r="F68" s="45"/>
      <c r="G68" s="40"/>
      <c r="H68" s="55" t="s">
        <v>255</v>
      </c>
      <c r="N68" s="66"/>
      <c r="O68" s="25"/>
      <c r="P68" s="72" t="str">
        <f>IFERROR(IF(ISBLANK(O68),"",INDEX(Gen_Vessels!$A$3:$C$500,MATCH(O68,Gen_Vessels!$C$3:$C$500,0),1)),"")</f>
        <v/>
      </c>
      <c r="Q68" s="25"/>
      <c r="R68" s="25"/>
      <c r="S68" s="25" t="str">
        <f>IFERROR(IF(ISBLANK(R68),"",INDEX(Gen_Vessels!$A$3:$C$500,MATCH(CorrectiveMinor!$R68,Gen_Vessels!$C$3:$C$500,0),1)),"")</f>
        <v/>
      </c>
      <c r="T68" s="25"/>
      <c r="U68" s="25"/>
      <c r="V68" s="25"/>
      <c r="W68" s="25"/>
      <c r="X68" s="25"/>
      <c r="Y68" s="25"/>
      <c r="AA68" s="25"/>
      <c r="AB68" s="25"/>
      <c r="AC68" s="25"/>
      <c r="AD68" s="25"/>
      <c r="AE68" s="25"/>
      <c r="AF68" s="25"/>
      <c r="AG68" s="25"/>
    </row>
    <row r="69" spans="1:33" x14ac:dyDescent="0.25">
      <c r="A69" s="18" t="str">
        <f t="shared" si="1"/>
        <v/>
      </c>
      <c r="B69" s="25"/>
      <c r="C69" s="25"/>
      <c r="D69" s="43"/>
      <c r="E69" s="44"/>
      <c r="F69" s="45"/>
      <c r="G69" s="40"/>
      <c r="H69" s="55" t="s">
        <v>255</v>
      </c>
      <c r="N69" s="66"/>
      <c r="O69" s="25"/>
      <c r="P69" s="72" t="str">
        <f>IFERROR(IF(ISBLANK(O69),"",INDEX(Gen_Vessels!$A$3:$C$500,MATCH(O69,Gen_Vessels!$C$3:$C$500,0),1)),"")</f>
        <v/>
      </c>
      <c r="Q69" s="25"/>
      <c r="R69" s="25"/>
      <c r="S69" s="25" t="str">
        <f>IFERROR(IF(ISBLANK(R69),"",INDEX(Gen_Vessels!$A$3:$C$500,MATCH(CorrectiveMinor!$R69,Gen_Vessels!$C$3:$C$500,0),1)),"")</f>
        <v/>
      </c>
      <c r="T69" s="25"/>
      <c r="U69" s="25"/>
      <c r="V69" s="25"/>
      <c r="W69" s="25"/>
      <c r="X69" s="25"/>
      <c r="Y69" s="25"/>
      <c r="AA69" s="25"/>
      <c r="AB69" s="25"/>
      <c r="AC69" s="25"/>
      <c r="AD69" s="25"/>
      <c r="AE69" s="25"/>
      <c r="AF69" s="25"/>
      <c r="AG69" s="25"/>
    </row>
    <row r="70" spans="1:33" x14ac:dyDescent="0.25">
      <c r="A70" s="18" t="str">
        <f t="shared" si="1"/>
        <v/>
      </c>
      <c r="B70" s="25"/>
      <c r="C70" s="25"/>
      <c r="D70" s="43"/>
      <c r="E70" s="44"/>
      <c r="F70" s="45"/>
      <c r="G70" s="40"/>
      <c r="H70" s="55" t="s">
        <v>255</v>
      </c>
      <c r="N70" s="66"/>
      <c r="O70" s="25"/>
      <c r="P70" s="72" t="str">
        <f>IFERROR(IF(ISBLANK(O70),"",INDEX(Gen_Vessels!$A$3:$C$500,MATCH(O70,Gen_Vessels!$C$3:$C$500,0),1)),"")</f>
        <v/>
      </c>
      <c r="Q70" s="25"/>
      <c r="R70" s="25"/>
      <c r="S70" s="25" t="str">
        <f>IFERROR(IF(ISBLANK(R70),"",INDEX(Gen_Vessels!$A$3:$C$500,MATCH(CorrectiveMinor!$R70,Gen_Vessels!$C$3:$C$500,0),1)),"")</f>
        <v/>
      </c>
      <c r="T70" s="25"/>
      <c r="U70" s="25"/>
      <c r="V70" s="25"/>
      <c r="W70" s="25"/>
      <c r="X70" s="25"/>
      <c r="Y70" s="25"/>
      <c r="AA70" s="25"/>
      <c r="AB70" s="25"/>
      <c r="AC70" s="25"/>
      <c r="AD70" s="25"/>
      <c r="AE70" s="25"/>
      <c r="AF70" s="25"/>
      <c r="AG70" s="25"/>
    </row>
    <row r="71" spans="1:33" x14ac:dyDescent="0.25">
      <c r="A71" s="18" t="str">
        <f t="shared" si="1"/>
        <v/>
      </c>
      <c r="B71" s="25"/>
      <c r="C71" s="25"/>
      <c r="D71" s="43"/>
      <c r="E71" s="44"/>
      <c r="F71" s="45"/>
      <c r="G71" s="40"/>
      <c r="H71" s="55" t="s">
        <v>255</v>
      </c>
      <c r="N71" s="66"/>
      <c r="O71" s="25"/>
      <c r="P71" s="72" t="str">
        <f>IFERROR(IF(ISBLANK(O71),"",INDEX(Gen_Vessels!$A$3:$C$500,MATCH(O71,Gen_Vessels!$C$3:$C$500,0),1)),"")</f>
        <v/>
      </c>
      <c r="Q71" s="25"/>
      <c r="R71" s="25"/>
      <c r="S71" s="25" t="str">
        <f>IFERROR(IF(ISBLANK(R71),"",INDEX(Gen_Vessels!$A$3:$C$500,MATCH(CorrectiveMinor!$R71,Gen_Vessels!$C$3:$C$500,0),1)),"")</f>
        <v/>
      </c>
      <c r="T71" s="25"/>
      <c r="U71" s="25"/>
      <c r="V71" s="25"/>
      <c r="W71" s="25"/>
      <c r="X71" s="25"/>
      <c r="Y71" s="25"/>
      <c r="AA71" s="25"/>
      <c r="AB71" s="25"/>
      <c r="AC71" s="25"/>
      <c r="AD71" s="25"/>
      <c r="AE71" s="25"/>
      <c r="AF71" s="25"/>
      <c r="AG71" s="25"/>
    </row>
    <row r="72" spans="1:33" x14ac:dyDescent="0.25">
      <c r="A72" s="18" t="str">
        <f t="shared" si="1"/>
        <v/>
      </c>
      <c r="B72" s="25"/>
      <c r="C72" s="25"/>
      <c r="D72" s="43"/>
      <c r="E72" s="44"/>
      <c r="F72" s="45"/>
      <c r="G72" s="40"/>
      <c r="H72" s="55" t="s">
        <v>255</v>
      </c>
      <c r="N72" s="66"/>
      <c r="O72" s="25"/>
      <c r="P72" s="72" t="str">
        <f>IFERROR(IF(ISBLANK(O72),"",INDEX(Gen_Vessels!$A$3:$C$500,MATCH(O72,Gen_Vessels!$C$3:$C$500,0),1)),"")</f>
        <v/>
      </c>
      <c r="Q72" s="25"/>
      <c r="R72" s="25"/>
      <c r="S72" s="25" t="str">
        <f>IFERROR(IF(ISBLANK(R72),"",INDEX(Gen_Vessels!$A$3:$C$500,MATCH(CorrectiveMinor!$R72,Gen_Vessels!$C$3:$C$500,0),1)),"")</f>
        <v/>
      </c>
      <c r="T72" s="25"/>
      <c r="U72" s="25"/>
      <c r="V72" s="25"/>
      <c r="W72" s="25"/>
      <c r="X72" s="25"/>
      <c r="Y72" s="25"/>
      <c r="AA72" s="25"/>
      <c r="AB72" s="25"/>
      <c r="AC72" s="25"/>
      <c r="AD72" s="25"/>
      <c r="AE72" s="25"/>
      <c r="AF72" s="25"/>
      <c r="AG72" s="25"/>
    </row>
    <row r="73" spans="1:33" x14ac:dyDescent="0.25">
      <c r="A73" s="18" t="str">
        <f t="shared" si="1"/>
        <v/>
      </c>
      <c r="B73" s="25"/>
      <c r="C73" s="25"/>
      <c r="D73" s="43"/>
      <c r="E73" s="44"/>
      <c r="F73" s="45"/>
      <c r="G73" s="40"/>
      <c r="H73" s="55" t="s">
        <v>255</v>
      </c>
      <c r="N73" s="66"/>
      <c r="O73" s="25"/>
      <c r="P73" s="72" t="str">
        <f>IFERROR(IF(ISBLANK(O73),"",INDEX(Gen_Vessels!$A$3:$C$500,MATCH(O73,Gen_Vessels!$C$3:$C$500,0),1)),"")</f>
        <v/>
      </c>
      <c r="Q73" s="25"/>
      <c r="R73" s="25"/>
      <c r="S73" s="25" t="str">
        <f>IFERROR(IF(ISBLANK(R73),"",INDEX(Gen_Vessels!$A$3:$C$500,MATCH(CorrectiveMinor!$R73,Gen_Vessels!$C$3:$C$500,0),1)),"")</f>
        <v/>
      </c>
      <c r="T73" s="25"/>
      <c r="U73" s="25"/>
      <c r="V73" s="25"/>
      <c r="W73" s="25"/>
      <c r="X73" s="25"/>
      <c r="Y73" s="25"/>
      <c r="AA73" s="25"/>
      <c r="AB73" s="25"/>
      <c r="AC73" s="25"/>
      <c r="AD73" s="25"/>
      <c r="AE73" s="25"/>
      <c r="AF73" s="25"/>
      <c r="AG73" s="25"/>
    </row>
    <row r="74" spans="1:33" x14ac:dyDescent="0.25">
      <c r="A74" s="18" t="str">
        <f t="shared" si="1"/>
        <v/>
      </c>
      <c r="B74" s="25"/>
      <c r="C74" s="25"/>
      <c r="D74" s="43"/>
      <c r="E74" s="44"/>
      <c r="F74" s="45"/>
      <c r="G74" s="40"/>
      <c r="H74" s="55" t="s">
        <v>255</v>
      </c>
      <c r="N74" s="66"/>
      <c r="O74" s="25"/>
      <c r="P74" s="72" t="str">
        <f>IFERROR(IF(ISBLANK(O74),"",INDEX(Gen_Vessels!$A$3:$C$500,MATCH(O74,Gen_Vessels!$C$3:$C$500,0),1)),"")</f>
        <v/>
      </c>
      <c r="Q74" s="25"/>
      <c r="R74" s="25"/>
      <c r="S74" s="25" t="str">
        <f>IFERROR(IF(ISBLANK(R74),"",INDEX(Gen_Vessels!$A$3:$C$500,MATCH(CorrectiveMinor!$R74,Gen_Vessels!$C$3:$C$500,0),1)),"")</f>
        <v/>
      </c>
      <c r="T74" s="25"/>
      <c r="U74" s="25"/>
      <c r="V74" s="25"/>
      <c r="W74" s="25"/>
      <c r="X74" s="25"/>
      <c r="Y74" s="25"/>
      <c r="AA74" s="25"/>
      <c r="AB74" s="25"/>
      <c r="AC74" s="25"/>
      <c r="AD74" s="25"/>
      <c r="AE74" s="25"/>
      <c r="AF74" s="25"/>
      <c r="AG74" s="25"/>
    </row>
    <row r="75" spans="1:33" x14ac:dyDescent="0.25">
      <c r="A75" s="18" t="str">
        <f t="shared" si="1"/>
        <v/>
      </c>
      <c r="B75" s="25"/>
      <c r="C75" s="25"/>
      <c r="D75" s="43"/>
      <c r="E75" s="44"/>
      <c r="F75" s="45"/>
      <c r="G75" s="40"/>
      <c r="H75" s="55" t="s">
        <v>255</v>
      </c>
      <c r="N75" s="66"/>
      <c r="O75" s="25"/>
      <c r="P75" s="72" t="str">
        <f>IFERROR(IF(ISBLANK(O75),"",INDEX(Gen_Vessels!$A$3:$C$500,MATCH(O75,Gen_Vessels!$C$3:$C$500,0),1)),"")</f>
        <v/>
      </c>
      <c r="Q75" s="25"/>
      <c r="R75" s="25"/>
      <c r="S75" s="25" t="str">
        <f>IFERROR(IF(ISBLANK(R75),"",INDEX(Gen_Vessels!$A$3:$C$500,MATCH(CorrectiveMinor!$R75,Gen_Vessels!$C$3:$C$500,0),1)),"")</f>
        <v/>
      </c>
      <c r="T75" s="25"/>
      <c r="U75" s="25"/>
      <c r="V75" s="25"/>
      <c r="W75" s="25"/>
      <c r="X75" s="25"/>
      <c r="Y75" s="25"/>
      <c r="AA75" s="25"/>
      <c r="AB75" s="25"/>
      <c r="AC75" s="25"/>
      <c r="AD75" s="25"/>
      <c r="AE75" s="25"/>
      <c r="AF75" s="25"/>
      <c r="AG75" s="25"/>
    </row>
    <row r="76" spans="1:33" x14ac:dyDescent="0.25">
      <c r="A76" s="18" t="str">
        <f t="shared" si="1"/>
        <v/>
      </c>
      <c r="B76" s="25"/>
      <c r="C76" s="25"/>
      <c r="D76" s="43"/>
      <c r="E76" s="44"/>
      <c r="F76" s="45"/>
      <c r="G76" s="40"/>
      <c r="H76" s="55" t="s">
        <v>255</v>
      </c>
      <c r="N76" s="66"/>
      <c r="O76" s="25"/>
      <c r="P76" s="72" t="str">
        <f>IFERROR(IF(ISBLANK(O76),"",INDEX(Gen_Vessels!$A$3:$C$500,MATCH(O76,Gen_Vessels!$C$3:$C$500,0),1)),"")</f>
        <v/>
      </c>
      <c r="Q76" s="25"/>
      <c r="R76" s="25"/>
      <c r="S76" s="25" t="str">
        <f>IFERROR(IF(ISBLANK(R76),"",INDEX(Gen_Vessels!$A$3:$C$500,MATCH(CorrectiveMinor!$R76,Gen_Vessels!$C$3:$C$500,0),1)),"")</f>
        <v/>
      </c>
      <c r="T76" s="25"/>
      <c r="U76" s="25"/>
      <c r="V76" s="25"/>
      <c r="W76" s="25"/>
      <c r="X76" s="25"/>
      <c r="Y76" s="25"/>
      <c r="AA76" s="25"/>
      <c r="AB76" s="25"/>
      <c r="AC76" s="25"/>
      <c r="AD76" s="25"/>
      <c r="AE76" s="25"/>
      <c r="AF76" s="25"/>
      <c r="AG76" s="25"/>
    </row>
    <row r="77" spans="1:33" x14ac:dyDescent="0.25">
      <c r="A77" s="18" t="str">
        <f t="shared" si="1"/>
        <v/>
      </c>
      <c r="B77" s="25"/>
      <c r="C77" s="25"/>
      <c r="D77" s="43"/>
      <c r="E77" s="44"/>
      <c r="F77" s="45"/>
      <c r="G77" s="40"/>
      <c r="H77" s="55" t="s">
        <v>255</v>
      </c>
      <c r="N77" s="66"/>
      <c r="O77" s="25"/>
      <c r="P77" s="72" t="str">
        <f>IFERROR(IF(ISBLANK(O77),"",INDEX(Gen_Vessels!$A$3:$C$500,MATCH(O77,Gen_Vessels!$C$3:$C$500,0),1)),"")</f>
        <v/>
      </c>
      <c r="Q77" s="25"/>
      <c r="R77" s="25"/>
      <c r="S77" s="25" t="str">
        <f>IFERROR(IF(ISBLANK(R77),"",INDEX(Gen_Vessels!$A$3:$C$500,MATCH(CorrectiveMinor!$R77,Gen_Vessels!$C$3:$C$500,0),1)),"")</f>
        <v/>
      </c>
      <c r="T77" s="25"/>
      <c r="U77" s="25"/>
      <c r="V77" s="25"/>
      <c r="W77" s="25"/>
      <c r="X77" s="25"/>
      <c r="Y77" s="25"/>
      <c r="AA77" s="25"/>
      <c r="AB77" s="25"/>
      <c r="AC77" s="25"/>
      <c r="AD77" s="25"/>
      <c r="AE77" s="25"/>
      <c r="AF77" s="25"/>
      <c r="AG77" s="25"/>
    </row>
    <row r="78" spans="1:33" x14ac:dyDescent="0.25">
      <c r="A78" s="18" t="str">
        <f t="shared" si="1"/>
        <v/>
      </c>
      <c r="B78" s="25"/>
      <c r="C78" s="25"/>
      <c r="D78" s="43"/>
      <c r="E78" s="44"/>
      <c r="F78" s="45"/>
      <c r="G78" s="40"/>
      <c r="H78" s="55" t="s">
        <v>255</v>
      </c>
      <c r="N78" s="66"/>
      <c r="O78" s="25"/>
      <c r="P78" s="72" t="str">
        <f>IFERROR(IF(ISBLANK(O78),"",INDEX(Gen_Vessels!$A$3:$C$500,MATCH(O78,Gen_Vessels!$C$3:$C$500,0),1)),"")</f>
        <v/>
      </c>
      <c r="Q78" s="25"/>
      <c r="R78" s="25"/>
      <c r="S78" s="25" t="str">
        <f>IFERROR(IF(ISBLANK(R78),"",INDEX(Gen_Vessels!$A$3:$C$500,MATCH(CorrectiveMinor!$R78,Gen_Vessels!$C$3:$C$500,0),1)),"")</f>
        <v/>
      </c>
      <c r="T78" s="25"/>
      <c r="U78" s="25"/>
      <c r="V78" s="25"/>
      <c r="W78" s="25"/>
      <c r="X78" s="25"/>
      <c r="Y78" s="25"/>
      <c r="AA78" s="25"/>
      <c r="AB78" s="25"/>
      <c r="AC78" s="25"/>
      <c r="AD78" s="25"/>
      <c r="AE78" s="25"/>
      <c r="AF78" s="25"/>
      <c r="AG78" s="25"/>
    </row>
    <row r="79" spans="1:33" x14ac:dyDescent="0.25">
      <c r="A79" s="18" t="str">
        <f t="shared" si="1"/>
        <v/>
      </c>
      <c r="B79" s="25"/>
      <c r="C79" s="25"/>
      <c r="D79" s="43"/>
      <c r="E79" s="44"/>
      <c r="F79" s="45"/>
      <c r="G79" s="40"/>
      <c r="H79" s="55" t="s">
        <v>255</v>
      </c>
      <c r="N79" s="66"/>
      <c r="O79" s="25"/>
      <c r="P79" s="72" t="str">
        <f>IFERROR(IF(ISBLANK(O79),"",INDEX(Gen_Vessels!$A$3:$C$500,MATCH(O79,Gen_Vessels!$C$3:$C$500,0),1)),"")</f>
        <v/>
      </c>
      <c r="Q79" s="25"/>
      <c r="R79" s="25"/>
      <c r="S79" s="25" t="str">
        <f>IFERROR(IF(ISBLANK(R79),"",INDEX(Gen_Vessels!$A$3:$C$500,MATCH(CorrectiveMinor!$R79,Gen_Vessels!$C$3:$C$500,0),1)),"")</f>
        <v/>
      </c>
      <c r="T79" s="25"/>
      <c r="U79" s="25"/>
      <c r="V79" s="25"/>
      <c r="W79" s="25"/>
      <c r="X79" s="25"/>
      <c r="Y79" s="25"/>
      <c r="AA79" s="25"/>
      <c r="AB79" s="25"/>
      <c r="AC79" s="25"/>
      <c r="AD79" s="25"/>
      <c r="AE79" s="25"/>
      <c r="AF79" s="25"/>
      <c r="AG79" s="25"/>
    </row>
    <row r="80" spans="1:33" x14ac:dyDescent="0.25">
      <c r="A80" s="18" t="str">
        <f t="shared" si="1"/>
        <v/>
      </c>
      <c r="B80" s="25"/>
      <c r="C80" s="25"/>
      <c r="D80" s="43"/>
      <c r="E80" s="44"/>
      <c r="F80" s="45"/>
      <c r="G80" s="40"/>
      <c r="H80" s="55" t="s">
        <v>255</v>
      </c>
      <c r="N80" s="66"/>
      <c r="O80" s="25"/>
      <c r="P80" s="72" t="str">
        <f>IFERROR(IF(ISBLANK(O80),"",INDEX(Gen_Vessels!$A$3:$C$500,MATCH(O80,Gen_Vessels!$C$3:$C$500,0),1)),"")</f>
        <v/>
      </c>
      <c r="Q80" s="25"/>
      <c r="R80" s="25"/>
      <c r="S80" s="25" t="str">
        <f>IFERROR(IF(ISBLANK(R80),"",INDEX(Gen_Vessels!$A$3:$C$500,MATCH(CorrectiveMinor!$R80,Gen_Vessels!$C$3:$C$500,0),1)),"")</f>
        <v/>
      </c>
      <c r="T80" s="25"/>
      <c r="U80" s="25"/>
      <c r="V80" s="25"/>
      <c r="W80" s="25"/>
      <c r="X80" s="25"/>
      <c r="Y80" s="25"/>
      <c r="AA80" s="25"/>
      <c r="AB80" s="25"/>
      <c r="AC80" s="25"/>
      <c r="AD80" s="25"/>
      <c r="AE80" s="25"/>
      <c r="AF80" s="25"/>
      <c r="AG80" s="25"/>
    </row>
    <row r="81" spans="1:33" x14ac:dyDescent="0.25">
      <c r="A81" s="18" t="str">
        <f t="shared" si="1"/>
        <v/>
      </c>
      <c r="B81" s="25"/>
      <c r="C81" s="25"/>
      <c r="D81" s="43"/>
      <c r="E81" s="44"/>
      <c r="F81" s="45"/>
      <c r="G81" s="40"/>
      <c r="H81" s="55" t="s">
        <v>255</v>
      </c>
      <c r="N81" s="66"/>
      <c r="O81" s="25"/>
      <c r="P81" s="72" t="str">
        <f>IFERROR(IF(ISBLANK(O81),"",INDEX(Gen_Vessels!$A$3:$C$500,MATCH(O81,Gen_Vessels!$C$3:$C$500,0),1)),"")</f>
        <v/>
      </c>
      <c r="Q81" s="25"/>
      <c r="R81" s="25"/>
      <c r="S81" s="25" t="str">
        <f>IFERROR(IF(ISBLANK(R81),"",INDEX(Gen_Vessels!$A$3:$C$500,MATCH(CorrectiveMinor!$R81,Gen_Vessels!$C$3:$C$500,0),1)),"")</f>
        <v/>
      </c>
      <c r="T81" s="25"/>
      <c r="U81" s="25"/>
      <c r="V81" s="25"/>
      <c r="W81" s="25"/>
      <c r="X81" s="25"/>
      <c r="Y81" s="25"/>
      <c r="AA81" s="25"/>
      <c r="AB81" s="25"/>
      <c r="AC81" s="25"/>
      <c r="AD81" s="25"/>
      <c r="AE81" s="25"/>
      <c r="AF81" s="25"/>
      <c r="AG81" s="25"/>
    </row>
    <row r="82" spans="1:33" x14ac:dyDescent="0.25">
      <c r="A82" s="18" t="str">
        <f t="shared" si="1"/>
        <v/>
      </c>
      <c r="B82" s="25"/>
      <c r="C82" s="25"/>
      <c r="D82" s="43"/>
      <c r="E82" s="44"/>
      <c r="F82" s="45"/>
      <c r="G82" s="40"/>
      <c r="H82" s="55" t="s">
        <v>255</v>
      </c>
      <c r="N82" s="66"/>
      <c r="O82" s="25"/>
      <c r="P82" s="72" t="str">
        <f>IFERROR(IF(ISBLANK(O82),"",INDEX(Gen_Vessels!$A$3:$C$500,MATCH(O82,Gen_Vessels!$C$3:$C$500,0),1)),"")</f>
        <v/>
      </c>
      <c r="Q82" s="25"/>
      <c r="R82" s="25"/>
      <c r="S82" s="25" t="str">
        <f>IFERROR(IF(ISBLANK(R82),"",INDEX(Gen_Vessels!$A$3:$C$500,MATCH(CorrectiveMinor!$R82,Gen_Vessels!$C$3:$C$500,0),1)),"")</f>
        <v/>
      </c>
      <c r="T82" s="25"/>
      <c r="U82" s="25"/>
      <c r="V82" s="25"/>
      <c r="W82" s="25"/>
      <c r="X82" s="25"/>
      <c r="Y82" s="25"/>
      <c r="AA82" s="25"/>
      <c r="AB82" s="25"/>
      <c r="AC82" s="25"/>
      <c r="AD82" s="25"/>
      <c r="AE82" s="25"/>
      <c r="AF82" s="25"/>
      <c r="AG82" s="25"/>
    </row>
    <row r="83" spans="1:33" x14ac:dyDescent="0.25">
      <c r="A83" s="18" t="str">
        <f t="shared" si="1"/>
        <v/>
      </c>
      <c r="B83" s="25"/>
      <c r="C83" s="25"/>
      <c r="D83" s="43"/>
      <c r="E83" s="44"/>
      <c r="F83" s="45"/>
      <c r="G83" s="40"/>
      <c r="H83" s="55" t="s">
        <v>255</v>
      </c>
      <c r="N83" s="66"/>
      <c r="O83" s="25"/>
      <c r="P83" s="72" t="str">
        <f>IFERROR(IF(ISBLANK(O83),"",INDEX(Gen_Vessels!$A$3:$C$500,MATCH(O83,Gen_Vessels!$C$3:$C$500,0),1)),"")</f>
        <v/>
      </c>
      <c r="Q83" s="25"/>
      <c r="R83" s="25"/>
      <c r="S83" s="25" t="str">
        <f>IFERROR(IF(ISBLANK(R83),"",INDEX(Gen_Vessels!$A$3:$C$500,MATCH(CorrectiveMinor!$R83,Gen_Vessels!$C$3:$C$500,0),1)),"")</f>
        <v/>
      </c>
      <c r="T83" s="25"/>
      <c r="U83" s="25"/>
      <c r="V83" s="25"/>
      <c r="W83" s="25"/>
      <c r="X83" s="25"/>
      <c r="Y83" s="25"/>
      <c r="AA83" s="25"/>
      <c r="AB83" s="25"/>
      <c r="AC83" s="25"/>
      <c r="AD83" s="25"/>
      <c r="AE83" s="25"/>
      <c r="AF83" s="25"/>
      <c r="AG83" s="25"/>
    </row>
    <row r="84" spans="1:33" x14ac:dyDescent="0.25">
      <c r="A84" s="18" t="str">
        <f t="shared" si="1"/>
        <v/>
      </c>
      <c r="B84" s="25"/>
      <c r="C84" s="25"/>
      <c r="D84" s="43"/>
      <c r="E84" s="44"/>
      <c r="F84" s="45"/>
      <c r="G84" s="40"/>
      <c r="H84" s="55" t="s">
        <v>255</v>
      </c>
      <c r="N84" s="66"/>
      <c r="O84" s="25"/>
      <c r="P84" s="72" t="str">
        <f>IFERROR(IF(ISBLANK(O84),"",INDEX(Gen_Vessels!$A$3:$C$500,MATCH(O84,Gen_Vessels!$C$3:$C$500,0),1)),"")</f>
        <v/>
      </c>
      <c r="Q84" s="25"/>
      <c r="R84" s="25"/>
      <c r="S84" s="25" t="str">
        <f>IFERROR(IF(ISBLANK(R84),"",INDEX(Gen_Vessels!$A$3:$C$500,MATCH(CorrectiveMinor!$R84,Gen_Vessels!$C$3:$C$500,0),1)),"")</f>
        <v/>
      </c>
      <c r="T84" s="25"/>
      <c r="U84" s="25"/>
      <c r="V84" s="25"/>
      <c r="W84" s="25"/>
      <c r="X84" s="25"/>
      <c r="Y84" s="25"/>
      <c r="AA84" s="25"/>
      <c r="AB84" s="25"/>
      <c r="AC84" s="25"/>
      <c r="AD84" s="25"/>
      <c r="AE84" s="25"/>
      <c r="AF84" s="25"/>
      <c r="AG84" s="25"/>
    </row>
    <row r="85" spans="1:33" x14ac:dyDescent="0.25">
      <c r="A85" s="18" t="str">
        <f t="shared" si="1"/>
        <v/>
      </c>
      <c r="B85" s="25"/>
      <c r="C85" s="25"/>
      <c r="D85" s="43"/>
      <c r="E85" s="44"/>
      <c r="F85" s="45"/>
      <c r="G85" s="40"/>
      <c r="H85" s="55" t="s">
        <v>255</v>
      </c>
      <c r="N85" s="66"/>
      <c r="O85" s="25"/>
      <c r="P85" s="72" t="str">
        <f>IFERROR(IF(ISBLANK(O85),"",INDEX(Gen_Vessels!$A$3:$C$500,MATCH(O85,Gen_Vessels!$C$3:$C$500,0),1)),"")</f>
        <v/>
      </c>
      <c r="Q85" s="25"/>
      <c r="R85" s="25"/>
      <c r="S85" s="25" t="str">
        <f>IFERROR(IF(ISBLANK(R85),"",INDEX(Gen_Vessels!$A$3:$C$500,MATCH(CorrectiveMinor!$R85,Gen_Vessels!$C$3:$C$500,0),1)),"")</f>
        <v/>
      </c>
      <c r="T85" s="25"/>
      <c r="U85" s="25"/>
      <c r="V85" s="25"/>
      <c r="W85" s="25"/>
      <c r="X85" s="25"/>
      <c r="Y85" s="25"/>
      <c r="AA85" s="25"/>
      <c r="AB85" s="25"/>
      <c r="AC85" s="25"/>
      <c r="AD85" s="25"/>
      <c r="AE85" s="25"/>
      <c r="AF85" s="25"/>
      <c r="AG85" s="25"/>
    </row>
    <row r="86" spans="1:33" x14ac:dyDescent="0.25">
      <c r="A86" s="18" t="str">
        <f t="shared" si="1"/>
        <v/>
      </c>
      <c r="B86" s="25"/>
      <c r="C86" s="25"/>
      <c r="D86" s="43"/>
      <c r="E86" s="44"/>
      <c r="F86" s="45"/>
      <c r="G86" s="40"/>
      <c r="H86" s="55" t="s">
        <v>255</v>
      </c>
      <c r="N86" s="66"/>
      <c r="O86" s="25"/>
      <c r="P86" s="72" t="str">
        <f>IFERROR(IF(ISBLANK(O86),"",INDEX(Gen_Vessels!$A$3:$C$500,MATCH(O86,Gen_Vessels!$C$3:$C$500,0),1)),"")</f>
        <v/>
      </c>
      <c r="Q86" s="25"/>
      <c r="R86" s="25"/>
      <c r="S86" s="25" t="str">
        <f>IFERROR(IF(ISBLANK(R86),"",INDEX(Gen_Vessels!$A$3:$C$500,MATCH(CorrectiveMinor!$R86,Gen_Vessels!$C$3:$C$500,0),1)),"")</f>
        <v/>
      </c>
      <c r="T86" s="25"/>
      <c r="U86" s="25"/>
      <c r="V86" s="25"/>
      <c r="W86" s="25"/>
      <c r="X86" s="25"/>
      <c r="Y86" s="25"/>
      <c r="AA86" s="25"/>
      <c r="AB86" s="25"/>
      <c r="AC86" s="25"/>
      <c r="AD86" s="25"/>
      <c r="AE86" s="25"/>
      <c r="AF86" s="25"/>
      <c r="AG86" s="25"/>
    </row>
    <row r="87" spans="1:33" x14ac:dyDescent="0.25">
      <c r="A87" s="18" t="str">
        <f t="shared" si="1"/>
        <v/>
      </c>
      <c r="B87" s="25"/>
      <c r="C87" s="25"/>
      <c r="D87" s="43"/>
      <c r="E87" s="44"/>
      <c r="F87" s="45"/>
      <c r="G87" s="40"/>
      <c r="H87" s="55" t="s">
        <v>255</v>
      </c>
      <c r="N87" s="66"/>
      <c r="O87" s="25"/>
      <c r="P87" s="72" t="str">
        <f>IFERROR(IF(ISBLANK(O87),"",INDEX(Gen_Vessels!$A$3:$C$500,MATCH(O87,Gen_Vessels!$C$3:$C$500,0),1)),"")</f>
        <v/>
      </c>
      <c r="Q87" s="25"/>
      <c r="R87" s="25"/>
      <c r="S87" s="25" t="str">
        <f>IFERROR(IF(ISBLANK(R87),"",INDEX(Gen_Vessels!$A$3:$C$500,MATCH(CorrectiveMinor!$R87,Gen_Vessels!$C$3:$C$500,0),1)),"")</f>
        <v/>
      </c>
      <c r="T87" s="25"/>
      <c r="U87" s="25"/>
      <c r="V87" s="25"/>
      <c r="W87" s="25"/>
      <c r="X87" s="25"/>
      <c r="Y87" s="25"/>
      <c r="AA87" s="25"/>
      <c r="AB87" s="25"/>
      <c r="AC87" s="25"/>
      <c r="AD87" s="25"/>
      <c r="AE87" s="25"/>
      <c r="AF87" s="25"/>
      <c r="AG87" s="25"/>
    </row>
    <row r="88" spans="1:33" x14ac:dyDescent="0.25">
      <c r="A88" s="18" t="str">
        <f t="shared" si="1"/>
        <v/>
      </c>
      <c r="B88" s="25"/>
      <c r="C88" s="25"/>
      <c r="D88" s="43"/>
      <c r="E88" s="44"/>
      <c r="F88" s="45"/>
      <c r="G88" s="40"/>
      <c r="H88" s="55" t="s">
        <v>255</v>
      </c>
      <c r="N88" s="66"/>
      <c r="O88" s="25"/>
      <c r="P88" s="72" t="str">
        <f>IFERROR(IF(ISBLANK(O88),"",INDEX(Gen_Vessels!$A$3:$C$500,MATCH(O88,Gen_Vessels!$C$3:$C$500,0),1)),"")</f>
        <v/>
      </c>
      <c r="Q88" s="25"/>
      <c r="R88" s="25"/>
      <c r="S88" s="25" t="str">
        <f>IFERROR(IF(ISBLANK(R88),"",INDEX(Gen_Vessels!$A$3:$C$500,MATCH(CorrectiveMinor!$R88,Gen_Vessels!$C$3:$C$500,0),1)),"")</f>
        <v/>
      </c>
      <c r="T88" s="25"/>
      <c r="U88" s="25"/>
      <c r="V88" s="25"/>
      <c r="W88" s="25"/>
      <c r="X88" s="25"/>
      <c r="Y88" s="25"/>
      <c r="AA88" s="25"/>
      <c r="AB88" s="25"/>
      <c r="AC88" s="25"/>
      <c r="AD88" s="25"/>
      <c r="AE88" s="25"/>
      <c r="AF88" s="25"/>
      <c r="AG88" s="25"/>
    </row>
    <row r="89" spans="1:33" x14ac:dyDescent="0.25">
      <c r="A89" s="18" t="str">
        <f t="shared" si="1"/>
        <v/>
      </c>
      <c r="B89" s="25"/>
      <c r="C89" s="25"/>
      <c r="D89" s="43"/>
      <c r="E89" s="44"/>
      <c r="F89" s="45"/>
      <c r="G89" s="40"/>
      <c r="H89" s="55" t="s">
        <v>255</v>
      </c>
      <c r="N89" s="66"/>
      <c r="O89" s="25"/>
      <c r="P89" s="72" t="str">
        <f>IFERROR(IF(ISBLANK(O89),"",INDEX(Gen_Vessels!$A$3:$C$500,MATCH(O89,Gen_Vessels!$C$3:$C$500,0),1)),"")</f>
        <v/>
      </c>
      <c r="Q89" s="25"/>
      <c r="R89" s="25"/>
      <c r="S89" s="25" t="str">
        <f>IFERROR(IF(ISBLANK(R89),"",INDEX(Gen_Vessels!$A$3:$C$500,MATCH(CorrectiveMinor!$R89,Gen_Vessels!$C$3:$C$500,0),1)),"")</f>
        <v/>
      </c>
      <c r="T89" s="25"/>
      <c r="U89" s="25"/>
      <c r="V89" s="25"/>
      <c r="W89" s="25"/>
      <c r="X89" s="25"/>
      <c r="Y89" s="25"/>
      <c r="AA89" s="25"/>
      <c r="AB89" s="25"/>
      <c r="AC89" s="25"/>
      <c r="AD89" s="25"/>
      <c r="AE89" s="25"/>
      <c r="AF89" s="25"/>
      <c r="AG89" s="25"/>
    </row>
    <row r="90" spans="1:33" x14ac:dyDescent="0.25">
      <c r="A90" s="18" t="str">
        <f t="shared" si="1"/>
        <v/>
      </c>
      <c r="B90" s="25"/>
      <c r="C90" s="25"/>
      <c r="D90" s="43"/>
      <c r="E90" s="44"/>
      <c r="F90" s="45"/>
      <c r="G90" s="40"/>
      <c r="H90" s="55" t="s">
        <v>255</v>
      </c>
      <c r="N90" s="66"/>
      <c r="O90" s="25"/>
      <c r="P90" s="72" t="str">
        <f>IFERROR(IF(ISBLANK(O90),"",INDEX(Gen_Vessels!$A$3:$C$500,MATCH(O90,Gen_Vessels!$C$3:$C$500,0),1)),"")</f>
        <v/>
      </c>
      <c r="Q90" s="25"/>
      <c r="R90" s="25"/>
      <c r="S90" s="25" t="str">
        <f>IFERROR(IF(ISBLANK(R90),"",INDEX(Gen_Vessels!$A$3:$C$500,MATCH(CorrectiveMinor!$R90,Gen_Vessels!$C$3:$C$500,0),1)),"")</f>
        <v/>
      </c>
      <c r="T90" s="25"/>
      <c r="U90" s="25"/>
      <c r="V90" s="25"/>
      <c r="W90" s="25"/>
      <c r="X90" s="25"/>
      <c r="Y90" s="25"/>
      <c r="AA90" s="25"/>
      <c r="AB90" s="25"/>
      <c r="AC90" s="25"/>
      <c r="AD90" s="25"/>
      <c r="AE90" s="25"/>
      <c r="AF90" s="25"/>
      <c r="AG90" s="25"/>
    </row>
    <row r="91" spans="1:33" x14ac:dyDescent="0.25">
      <c r="A91" s="18" t="str">
        <f t="shared" si="1"/>
        <v/>
      </c>
      <c r="B91" s="25"/>
      <c r="C91" s="25"/>
      <c r="D91" s="43"/>
      <c r="E91" s="44"/>
      <c r="F91" s="45"/>
      <c r="G91" s="40"/>
      <c r="H91" s="55" t="s">
        <v>255</v>
      </c>
      <c r="N91" s="66"/>
      <c r="O91" s="25"/>
      <c r="P91" s="72" t="str">
        <f>IFERROR(IF(ISBLANK(O91),"",INDEX(Gen_Vessels!$A$3:$C$500,MATCH(O91,Gen_Vessels!$C$3:$C$500,0),1)),"")</f>
        <v/>
      </c>
      <c r="Q91" s="25"/>
      <c r="R91" s="25"/>
      <c r="S91" s="25" t="str">
        <f>IFERROR(IF(ISBLANK(R91),"",INDEX(Gen_Vessels!$A$3:$C$500,MATCH(CorrectiveMinor!$R91,Gen_Vessels!$C$3:$C$500,0),1)),"")</f>
        <v/>
      </c>
      <c r="T91" s="25"/>
      <c r="U91" s="25"/>
      <c r="V91" s="25"/>
      <c r="W91" s="25"/>
      <c r="X91" s="25"/>
      <c r="Y91" s="25"/>
      <c r="AA91" s="25"/>
      <c r="AB91" s="25"/>
      <c r="AC91" s="25"/>
      <c r="AD91" s="25"/>
      <c r="AE91" s="25"/>
      <c r="AF91" s="25"/>
      <c r="AG91" s="25"/>
    </row>
    <row r="92" spans="1:33" x14ac:dyDescent="0.25">
      <c r="A92" s="18" t="str">
        <f t="shared" si="1"/>
        <v/>
      </c>
      <c r="B92" s="25"/>
      <c r="C92" s="25"/>
      <c r="D92" s="43"/>
      <c r="E92" s="44"/>
      <c r="F92" s="45"/>
      <c r="G92" s="40"/>
      <c r="H92" s="55" t="s">
        <v>255</v>
      </c>
      <c r="N92" s="66"/>
      <c r="O92" s="25"/>
      <c r="P92" s="72" t="str">
        <f>IFERROR(IF(ISBLANK(O92),"",INDEX(Gen_Vessels!$A$3:$C$500,MATCH(O92,Gen_Vessels!$C$3:$C$500,0),1)),"")</f>
        <v/>
      </c>
      <c r="Q92" s="25"/>
      <c r="R92" s="25"/>
      <c r="S92" s="25" t="str">
        <f>IFERROR(IF(ISBLANK(R92),"",INDEX(Gen_Vessels!$A$3:$C$500,MATCH(CorrectiveMinor!$R92,Gen_Vessels!$C$3:$C$500,0),1)),"")</f>
        <v/>
      </c>
      <c r="T92" s="25"/>
      <c r="U92" s="25"/>
      <c r="V92" s="25"/>
      <c r="W92" s="25"/>
      <c r="X92" s="25"/>
      <c r="Y92" s="25"/>
      <c r="AA92" s="25"/>
      <c r="AB92" s="25"/>
      <c r="AC92" s="25"/>
      <c r="AD92" s="25"/>
      <c r="AE92" s="25"/>
      <c r="AF92" s="25"/>
      <c r="AG92" s="25"/>
    </row>
    <row r="93" spans="1:33" x14ac:dyDescent="0.25">
      <c r="A93" s="18" t="str">
        <f t="shared" si="1"/>
        <v/>
      </c>
      <c r="B93" s="25"/>
      <c r="C93" s="25"/>
      <c r="D93" s="43"/>
      <c r="E93" s="44"/>
      <c r="F93" s="45"/>
      <c r="G93" s="40"/>
      <c r="H93" s="55" t="s">
        <v>255</v>
      </c>
      <c r="N93" s="66"/>
      <c r="O93" s="25"/>
      <c r="P93" s="72" t="str">
        <f>IFERROR(IF(ISBLANK(O93),"",INDEX(Gen_Vessels!$A$3:$C$500,MATCH(O93,Gen_Vessels!$C$3:$C$500,0),1)),"")</f>
        <v/>
      </c>
      <c r="Q93" s="25"/>
      <c r="R93" s="25"/>
      <c r="S93" s="25" t="str">
        <f>IFERROR(IF(ISBLANK(R93),"",INDEX(Gen_Vessels!$A$3:$C$500,MATCH(CorrectiveMinor!$R93,Gen_Vessels!$C$3:$C$500,0),1)),"")</f>
        <v/>
      </c>
      <c r="T93" s="25"/>
      <c r="U93" s="25"/>
      <c r="V93" s="25"/>
      <c r="W93" s="25"/>
      <c r="X93" s="25"/>
      <c r="Y93" s="25"/>
      <c r="AA93" s="25"/>
      <c r="AB93" s="25"/>
      <c r="AC93" s="25"/>
      <c r="AD93" s="25"/>
      <c r="AE93" s="25"/>
      <c r="AF93" s="25"/>
      <c r="AG93" s="25"/>
    </row>
    <row r="94" spans="1:33" x14ac:dyDescent="0.25">
      <c r="A94" s="18" t="str">
        <f t="shared" si="1"/>
        <v/>
      </c>
      <c r="B94" s="25"/>
      <c r="C94" s="25"/>
      <c r="D94" s="43"/>
      <c r="E94" s="44"/>
      <c r="F94" s="45"/>
      <c r="G94" s="40"/>
      <c r="H94" s="55" t="s">
        <v>255</v>
      </c>
      <c r="N94" s="66"/>
      <c r="O94" s="25"/>
      <c r="P94" s="72" t="str">
        <f>IFERROR(IF(ISBLANK(O94),"",INDEX(Gen_Vessels!$A$3:$C$500,MATCH(O94,Gen_Vessels!$C$3:$C$500,0),1)),"")</f>
        <v/>
      </c>
      <c r="Q94" s="25"/>
      <c r="R94" s="25"/>
      <c r="S94" s="25" t="str">
        <f>IFERROR(IF(ISBLANK(R94),"",INDEX(Gen_Vessels!$A$3:$C$500,MATCH(CorrectiveMinor!$R94,Gen_Vessels!$C$3:$C$500,0),1)),"")</f>
        <v/>
      </c>
      <c r="T94" s="25"/>
      <c r="U94" s="25"/>
      <c r="V94" s="25"/>
      <c r="W94" s="25"/>
      <c r="X94" s="25"/>
      <c r="Y94" s="25"/>
      <c r="AA94" s="25"/>
      <c r="AB94" s="25"/>
      <c r="AC94" s="25"/>
      <c r="AD94" s="25"/>
      <c r="AE94" s="25"/>
      <c r="AF94" s="25"/>
      <c r="AG94" s="25"/>
    </row>
    <row r="95" spans="1:33" x14ac:dyDescent="0.25">
      <c r="A95" s="18" t="str">
        <f t="shared" si="1"/>
        <v/>
      </c>
      <c r="B95" s="25"/>
      <c r="C95" s="25"/>
      <c r="D95" s="43"/>
      <c r="E95" s="44"/>
      <c r="F95" s="45"/>
      <c r="G95" s="40"/>
      <c r="H95" s="55" t="s">
        <v>255</v>
      </c>
      <c r="N95" s="66"/>
      <c r="O95" s="25"/>
      <c r="P95" s="72" t="str">
        <f>IFERROR(IF(ISBLANK(O95),"",INDEX(Gen_Vessels!$A$3:$C$500,MATCH(O95,Gen_Vessels!$C$3:$C$500,0),1)),"")</f>
        <v/>
      </c>
      <c r="Q95" s="25"/>
      <c r="R95" s="25"/>
      <c r="S95" s="25" t="str">
        <f>IFERROR(IF(ISBLANK(R95),"",INDEX(Gen_Vessels!$A$3:$C$500,MATCH(CorrectiveMinor!$R95,Gen_Vessels!$C$3:$C$500,0),1)),"")</f>
        <v/>
      </c>
      <c r="T95" s="25"/>
      <c r="U95" s="25"/>
      <c r="V95" s="25"/>
      <c r="W95" s="25"/>
      <c r="X95" s="25"/>
      <c r="Y95" s="25"/>
      <c r="AA95" s="25"/>
      <c r="AB95" s="25"/>
      <c r="AC95" s="25"/>
      <c r="AD95" s="25"/>
      <c r="AE95" s="25"/>
      <c r="AF95" s="25"/>
      <c r="AG95" s="25"/>
    </row>
    <row r="96" spans="1:33" x14ac:dyDescent="0.25">
      <c r="A96" s="18" t="str">
        <f t="shared" si="1"/>
        <v/>
      </c>
      <c r="B96" s="25"/>
      <c r="C96" s="25"/>
      <c r="D96" s="43"/>
      <c r="E96" s="44"/>
      <c r="F96" s="45"/>
      <c r="G96" s="40"/>
      <c r="H96" s="55" t="s">
        <v>255</v>
      </c>
      <c r="N96" s="66"/>
      <c r="O96" s="25"/>
      <c r="P96" s="72" t="str">
        <f>IFERROR(IF(ISBLANK(O96),"",INDEX(Gen_Vessels!$A$3:$C$500,MATCH(O96,Gen_Vessels!$C$3:$C$500,0),1)),"")</f>
        <v/>
      </c>
      <c r="Q96" s="25"/>
      <c r="R96" s="25"/>
      <c r="S96" s="25" t="str">
        <f>IFERROR(IF(ISBLANK(R96),"",INDEX(Gen_Vessels!$A$3:$C$500,MATCH(CorrectiveMinor!$R96,Gen_Vessels!$C$3:$C$500,0),1)),"")</f>
        <v/>
      </c>
      <c r="T96" s="25"/>
      <c r="U96" s="25"/>
      <c r="V96" s="25"/>
      <c r="W96" s="25"/>
      <c r="X96" s="25"/>
      <c r="Y96" s="25"/>
      <c r="AA96" s="25"/>
      <c r="AB96" s="25"/>
      <c r="AC96" s="25"/>
      <c r="AD96" s="25"/>
      <c r="AE96" s="25"/>
      <c r="AF96" s="25"/>
      <c r="AG96" s="25"/>
    </row>
    <row r="97" spans="1:33" x14ac:dyDescent="0.25">
      <c r="A97" s="18" t="str">
        <f t="shared" si="1"/>
        <v/>
      </c>
      <c r="B97" s="25"/>
      <c r="C97" s="25"/>
      <c r="D97" s="43"/>
      <c r="E97" s="44"/>
      <c r="F97" s="45"/>
      <c r="G97" s="40"/>
      <c r="H97" s="55" t="s">
        <v>255</v>
      </c>
      <c r="N97" s="66"/>
      <c r="O97" s="25"/>
      <c r="P97" s="72" t="str">
        <f>IFERROR(IF(ISBLANK(O97),"",INDEX(Gen_Vessels!$A$3:$C$500,MATCH(O97,Gen_Vessels!$C$3:$C$500,0),1)),"")</f>
        <v/>
      </c>
      <c r="Q97" s="25"/>
      <c r="R97" s="25"/>
      <c r="S97" s="25" t="str">
        <f>IFERROR(IF(ISBLANK(R97),"",INDEX(Gen_Vessels!$A$3:$C$500,MATCH(CorrectiveMinor!$R97,Gen_Vessels!$C$3:$C$500,0),1)),"")</f>
        <v/>
      </c>
      <c r="T97" s="25"/>
      <c r="U97" s="25"/>
      <c r="V97" s="25"/>
      <c r="W97" s="25"/>
      <c r="X97" s="25"/>
      <c r="Y97" s="25"/>
      <c r="AA97" s="25"/>
      <c r="AB97" s="25"/>
      <c r="AC97" s="25"/>
      <c r="AD97" s="25"/>
      <c r="AE97" s="25"/>
      <c r="AF97" s="25"/>
      <c r="AG97" s="25"/>
    </row>
    <row r="98" spans="1:33" x14ac:dyDescent="0.25">
      <c r="A98" s="18" t="str">
        <f t="shared" si="1"/>
        <v/>
      </c>
      <c r="B98" s="25"/>
      <c r="C98" s="25"/>
      <c r="D98" s="43"/>
      <c r="E98" s="44"/>
      <c r="F98" s="45"/>
      <c r="G98" s="40"/>
      <c r="H98" s="55" t="s">
        <v>255</v>
      </c>
      <c r="N98" s="66"/>
      <c r="O98" s="25"/>
      <c r="P98" s="72" t="str">
        <f>IFERROR(IF(ISBLANK(O98),"",INDEX(Gen_Vessels!$A$3:$C$500,MATCH(O98,Gen_Vessels!$C$3:$C$500,0),1)),"")</f>
        <v/>
      </c>
      <c r="Q98" s="25"/>
      <c r="R98" s="25"/>
      <c r="S98" s="25" t="str">
        <f>IFERROR(IF(ISBLANK(R98),"",INDEX(Gen_Vessels!$A$3:$C$500,MATCH(CorrectiveMinor!$R98,Gen_Vessels!$C$3:$C$500,0),1)),"")</f>
        <v/>
      </c>
      <c r="T98" s="25"/>
      <c r="U98" s="25"/>
      <c r="V98" s="25"/>
      <c r="W98" s="25"/>
      <c r="X98" s="25"/>
      <c r="Y98" s="25"/>
      <c r="AA98" s="25"/>
      <c r="AB98" s="25"/>
      <c r="AC98" s="25"/>
      <c r="AD98" s="25"/>
      <c r="AE98" s="25"/>
      <c r="AF98" s="25"/>
      <c r="AG98" s="25"/>
    </row>
    <row r="99" spans="1:33" x14ac:dyDescent="0.25">
      <c r="A99" s="18" t="str">
        <f t="shared" si="1"/>
        <v/>
      </c>
      <c r="B99" s="25"/>
      <c r="C99" s="25"/>
      <c r="D99" s="43"/>
      <c r="E99" s="44"/>
      <c r="F99" s="45"/>
      <c r="G99" s="40"/>
      <c r="H99" s="55" t="s">
        <v>255</v>
      </c>
      <c r="N99" s="66"/>
      <c r="O99" s="25"/>
      <c r="P99" s="72" t="str">
        <f>IFERROR(IF(ISBLANK(O99),"",INDEX(Gen_Vessels!$A$3:$C$500,MATCH(O99,Gen_Vessels!$C$3:$C$500,0),1)),"")</f>
        <v/>
      </c>
      <c r="Q99" s="25"/>
      <c r="R99" s="25"/>
      <c r="S99" s="25" t="str">
        <f>IFERROR(IF(ISBLANK(R99),"",INDEX(Gen_Vessels!$A$3:$C$500,MATCH(CorrectiveMinor!$R99,Gen_Vessels!$C$3:$C$500,0),1)),"")</f>
        <v/>
      </c>
      <c r="T99" s="25"/>
      <c r="U99" s="25"/>
      <c r="V99" s="25"/>
      <c r="W99" s="25"/>
      <c r="X99" s="25"/>
      <c r="Y99" s="25"/>
      <c r="AA99" s="25"/>
      <c r="AB99" s="25"/>
      <c r="AC99" s="25"/>
      <c r="AD99" s="25"/>
      <c r="AE99" s="25"/>
      <c r="AF99" s="25"/>
      <c r="AG99" s="25"/>
    </row>
    <row r="100" spans="1:33" x14ac:dyDescent="0.25">
      <c r="A100" s="18" t="str">
        <f t="shared" si="1"/>
        <v/>
      </c>
      <c r="B100" s="25"/>
      <c r="C100" s="25"/>
      <c r="D100" s="43"/>
      <c r="E100" s="44"/>
      <c r="F100" s="45"/>
      <c r="G100" s="40"/>
      <c r="H100" s="55" t="s">
        <v>255</v>
      </c>
      <c r="N100" s="66"/>
      <c r="O100" s="25"/>
      <c r="P100" s="72" t="str">
        <f>IFERROR(IF(ISBLANK(O100),"",INDEX(Gen_Vessels!$A$3:$C$500,MATCH(O100,Gen_Vessels!$C$3:$C$500,0),1)),"")</f>
        <v/>
      </c>
      <c r="Q100" s="25"/>
      <c r="R100" s="25"/>
      <c r="S100" s="25" t="str">
        <f>IFERROR(IF(ISBLANK(R100),"",INDEX(Gen_Vessels!$A$3:$C$500,MATCH(CorrectiveMinor!$R100,Gen_Vessels!$C$3:$C$500,0),1)),"")</f>
        <v/>
      </c>
      <c r="T100" s="25"/>
      <c r="U100" s="25"/>
      <c r="V100" s="25"/>
      <c r="W100" s="25"/>
      <c r="X100" s="25"/>
      <c r="Y100" s="25"/>
      <c r="AA100" s="25"/>
      <c r="AB100" s="25"/>
      <c r="AC100" s="25"/>
      <c r="AD100" s="25"/>
      <c r="AE100" s="25"/>
      <c r="AF100" s="25"/>
      <c r="AG100" s="25"/>
    </row>
    <row r="101" spans="1:33" x14ac:dyDescent="0.25">
      <c r="A101" s="18" t="str">
        <f t="shared" si="1"/>
        <v/>
      </c>
      <c r="B101" s="25"/>
      <c r="C101" s="25"/>
      <c r="D101" s="43"/>
      <c r="E101" s="44"/>
      <c r="F101" s="45"/>
      <c r="G101" s="40"/>
      <c r="H101" s="55" t="s">
        <v>255</v>
      </c>
      <c r="N101" s="66"/>
      <c r="O101" s="25"/>
      <c r="P101" s="72" t="str">
        <f>IFERROR(IF(ISBLANK(O101),"",INDEX(Gen_Vessels!$A$3:$C$500,MATCH(O101,Gen_Vessels!$C$3:$C$500,0),1)),"")</f>
        <v/>
      </c>
      <c r="Q101" s="25"/>
      <c r="R101" s="25"/>
      <c r="S101" s="25" t="str">
        <f>IFERROR(IF(ISBLANK(R101),"",INDEX(Gen_Vessels!$A$3:$C$500,MATCH(CorrectiveMinor!$R101,Gen_Vessels!$C$3:$C$500,0),1)),"")</f>
        <v/>
      </c>
      <c r="T101" s="25"/>
      <c r="U101" s="25"/>
      <c r="V101" s="25"/>
      <c r="W101" s="25"/>
      <c r="X101" s="25"/>
      <c r="Y101" s="25"/>
      <c r="AA101" s="25"/>
      <c r="AB101" s="25"/>
      <c r="AC101" s="25"/>
      <c r="AD101" s="25"/>
      <c r="AE101" s="25"/>
      <c r="AF101" s="25"/>
      <c r="AG101" s="25"/>
    </row>
    <row r="102" spans="1:33" x14ac:dyDescent="0.25">
      <c r="A102" s="18" t="str">
        <f t="shared" si="1"/>
        <v/>
      </c>
      <c r="B102" s="25"/>
      <c r="C102" s="25"/>
      <c r="D102" s="43"/>
      <c r="E102" s="44"/>
      <c r="F102" s="45"/>
      <c r="G102" s="40"/>
      <c r="H102" s="55" t="s">
        <v>255</v>
      </c>
      <c r="N102" s="66"/>
      <c r="O102" s="25"/>
      <c r="P102" s="72" t="str">
        <f>IFERROR(IF(ISBLANK(O102),"",INDEX(Gen_Vessels!$A$3:$C$500,MATCH(O102,Gen_Vessels!$C$3:$C$500,0),1)),"")</f>
        <v/>
      </c>
      <c r="Q102" s="25"/>
      <c r="R102" s="25"/>
      <c r="S102" s="25" t="str">
        <f>IFERROR(IF(ISBLANK(R102),"",INDEX(Gen_Vessels!$A$3:$C$500,MATCH(CorrectiveMinor!$R102,Gen_Vessels!$C$3:$C$500,0),1)),"")</f>
        <v/>
      </c>
      <c r="T102" s="25"/>
      <c r="U102" s="25"/>
      <c r="V102" s="25"/>
      <c r="W102" s="25"/>
      <c r="X102" s="25"/>
      <c r="Y102" s="25"/>
      <c r="AA102" s="25"/>
      <c r="AB102" s="25"/>
      <c r="AC102" s="25"/>
      <c r="AD102" s="25"/>
      <c r="AE102" s="25"/>
      <c r="AF102" s="25"/>
      <c r="AG102" s="25"/>
    </row>
    <row r="103" spans="1:33" x14ac:dyDescent="0.25">
      <c r="A103" s="18" t="str">
        <f t="shared" si="1"/>
        <v/>
      </c>
      <c r="B103" s="25"/>
      <c r="C103" s="25"/>
      <c r="D103" s="43"/>
      <c r="E103" s="44"/>
      <c r="F103" s="45"/>
      <c r="G103" s="40"/>
      <c r="H103" s="55" t="s">
        <v>255</v>
      </c>
      <c r="N103" s="66"/>
      <c r="O103" s="25"/>
      <c r="P103" s="72" t="str">
        <f>IFERROR(IF(ISBLANK(O103),"",INDEX(Gen_Vessels!$A$3:$C$500,MATCH(O103,Gen_Vessels!$C$3:$C$500,0),1)),"")</f>
        <v/>
      </c>
      <c r="Q103" s="25"/>
      <c r="R103" s="25"/>
      <c r="S103" s="25" t="str">
        <f>IFERROR(IF(ISBLANK(R103),"",INDEX(Gen_Vessels!$A$3:$C$500,MATCH(CorrectiveMinor!$R103,Gen_Vessels!$C$3:$C$500,0),1)),"")</f>
        <v/>
      </c>
      <c r="T103" s="25"/>
      <c r="U103" s="25"/>
      <c r="V103" s="25"/>
      <c r="W103" s="25"/>
      <c r="X103" s="25"/>
      <c r="Y103" s="25"/>
      <c r="AA103" s="25"/>
      <c r="AB103" s="25"/>
      <c r="AC103" s="25"/>
      <c r="AD103" s="25"/>
      <c r="AE103" s="25"/>
      <c r="AF103" s="25"/>
      <c r="AG103" s="25"/>
    </row>
    <row r="104" spans="1:33" x14ac:dyDescent="0.25">
      <c r="A104" s="18" t="str">
        <f t="shared" si="1"/>
        <v/>
      </c>
      <c r="B104" s="25"/>
      <c r="C104" s="25"/>
      <c r="D104" s="43"/>
      <c r="E104" s="44"/>
      <c r="F104" s="45"/>
      <c r="G104" s="40"/>
      <c r="H104" s="55" t="s">
        <v>255</v>
      </c>
      <c r="N104" s="66"/>
      <c r="O104" s="25"/>
      <c r="P104" s="72" t="str">
        <f>IFERROR(IF(ISBLANK(O104),"",INDEX(Gen_Vessels!$A$3:$C$500,MATCH(O104,Gen_Vessels!$C$3:$C$500,0),1)),"")</f>
        <v/>
      </c>
      <c r="Q104" s="25"/>
      <c r="R104" s="25"/>
      <c r="S104" s="25" t="str">
        <f>IFERROR(IF(ISBLANK(R104),"",INDEX(Gen_Vessels!$A$3:$C$500,MATCH(CorrectiveMinor!$R104,Gen_Vessels!$C$3:$C$500,0),1)),"")</f>
        <v/>
      </c>
      <c r="T104" s="25"/>
      <c r="U104" s="25"/>
      <c r="V104" s="25"/>
      <c r="W104" s="25"/>
      <c r="X104" s="25"/>
      <c r="Y104" s="25"/>
      <c r="AA104" s="25"/>
      <c r="AB104" s="25"/>
      <c r="AC104" s="25"/>
      <c r="AD104" s="25"/>
      <c r="AE104" s="25"/>
      <c r="AF104" s="25"/>
      <c r="AG104" s="25"/>
    </row>
    <row r="105" spans="1:33" x14ac:dyDescent="0.25">
      <c r="A105" s="18" t="str">
        <f t="shared" si="1"/>
        <v/>
      </c>
      <c r="B105" s="25"/>
      <c r="C105" s="25"/>
      <c r="D105" s="43"/>
      <c r="E105" s="44"/>
      <c r="F105" s="45"/>
      <c r="G105" s="40"/>
      <c r="H105" s="55" t="s">
        <v>255</v>
      </c>
      <c r="N105" s="66"/>
      <c r="O105" s="25"/>
      <c r="P105" s="72" t="str">
        <f>IFERROR(IF(ISBLANK(O105),"",INDEX(Gen_Vessels!$A$3:$C$500,MATCH(O105,Gen_Vessels!$C$3:$C$500,0),1)),"")</f>
        <v/>
      </c>
      <c r="Q105" s="25"/>
      <c r="R105" s="25"/>
      <c r="S105" s="25" t="str">
        <f>IFERROR(IF(ISBLANK(R105),"",INDEX(Gen_Vessels!$A$3:$C$500,MATCH(CorrectiveMinor!$R105,Gen_Vessels!$C$3:$C$500,0),1)),"")</f>
        <v/>
      </c>
      <c r="T105" s="25"/>
      <c r="U105" s="25"/>
      <c r="V105" s="25"/>
      <c r="W105" s="25"/>
      <c r="X105" s="25"/>
      <c r="Y105" s="25"/>
      <c r="AA105" s="25"/>
      <c r="AB105" s="25"/>
      <c r="AC105" s="25"/>
      <c r="AD105" s="25"/>
      <c r="AE105" s="25"/>
      <c r="AF105" s="25"/>
      <c r="AG105" s="25"/>
    </row>
    <row r="106" spans="1:33" x14ac:dyDescent="0.25">
      <c r="A106" s="18" t="str">
        <f t="shared" si="1"/>
        <v/>
      </c>
      <c r="B106" s="25"/>
      <c r="C106" s="25"/>
      <c r="D106" s="43"/>
      <c r="E106" s="44"/>
      <c r="F106" s="45"/>
      <c r="G106" s="40"/>
      <c r="H106" s="55" t="s">
        <v>255</v>
      </c>
      <c r="N106" s="66"/>
      <c r="O106" s="25"/>
      <c r="P106" s="72" t="str">
        <f>IFERROR(IF(ISBLANK(O106),"",INDEX(Gen_Vessels!$A$3:$C$500,MATCH(O106,Gen_Vessels!$C$3:$C$500,0),1)),"")</f>
        <v/>
      </c>
      <c r="Q106" s="25"/>
      <c r="R106" s="25"/>
      <c r="S106" s="25" t="str">
        <f>IFERROR(IF(ISBLANK(R106),"",INDEX(Gen_Vessels!$A$3:$C$500,MATCH(CorrectiveMinor!$R106,Gen_Vessels!$C$3:$C$500,0),1)),"")</f>
        <v/>
      </c>
      <c r="T106" s="25"/>
      <c r="U106" s="25"/>
      <c r="V106" s="25"/>
      <c r="W106" s="25"/>
      <c r="X106" s="25"/>
      <c r="Y106" s="25"/>
      <c r="AA106" s="25"/>
      <c r="AB106" s="25"/>
      <c r="AC106" s="25"/>
      <c r="AD106" s="25"/>
      <c r="AE106" s="25"/>
      <c r="AF106" s="25"/>
      <c r="AG106" s="25"/>
    </row>
    <row r="107" spans="1:33" x14ac:dyDescent="0.25">
      <c r="A107" s="18" t="str">
        <f t="shared" si="1"/>
        <v/>
      </c>
      <c r="B107" s="25"/>
      <c r="C107" s="25"/>
      <c r="D107" s="43"/>
      <c r="E107" s="44"/>
      <c r="F107" s="45"/>
      <c r="G107" s="40"/>
      <c r="H107" s="55" t="s">
        <v>255</v>
      </c>
      <c r="N107" s="66"/>
      <c r="O107" s="25"/>
      <c r="P107" s="72" t="str">
        <f>IFERROR(IF(ISBLANK(O107),"",INDEX(Gen_Vessels!$A$3:$C$500,MATCH(O107,Gen_Vessels!$C$3:$C$500,0),1)),"")</f>
        <v/>
      </c>
      <c r="Q107" s="25"/>
      <c r="R107" s="25"/>
      <c r="S107" s="25" t="str">
        <f>IFERROR(IF(ISBLANK(R107),"",INDEX(Gen_Vessels!$A$3:$C$500,MATCH(CorrectiveMinor!$R107,Gen_Vessels!$C$3:$C$500,0),1)),"")</f>
        <v/>
      </c>
      <c r="T107" s="25"/>
      <c r="U107" s="25"/>
      <c r="V107" s="25"/>
      <c r="W107" s="25"/>
      <c r="X107" s="25"/>
      <c r="Y107" s="25"/>
      <c r="AA107" s="25"/>
      <c r="AB107" s="25"/>
      <c r="AC107" s="25"/>
      <c r="AD107" s="25"/>
      <c r="AE107" s="25"/>
      <c r="AF107" s="25"/>
      <c r="AG107" s="25"/>
    </row>
    <row r="108" spans="1:33" x14ac:dyDescent="0.25">
      <c r="A108" s="18" t="str">
        <f t="shared" si="1"/>
        <v/>
      </c>
      <c r="B108" s="25"/>
      <c r="C108" s="25"/>
      <c r="D108" s="43"/>
      <c r="E108" s="44"/>
      <c r="F108" s="45"/>
      <c r="G108" s="40"/>
      <c r="H108" s="55" t="s">
        <v>255</v>
      </c>
      <c r="N108" s="66"/>
      <c r="O108" s="25"/>
      <c r="P108" s="72" t="str">
        <f>IFERROR(IF(ISBLANK(O108),"",INDEX(Gen_Vessels!$A$3:$C$500,MATCH(O108,Gen_Vessels!$C$3:$C$500,0),1)),"")</f>
        <v/>
      </c>
      <c r="Q108" s="25"/>
      <c r="R108" s="25"/>
      <c r="S108" s="25" t="str">
        <f>IFERROR(IF(ISBLANK(R108),"",INDEX(Gen_Vessels!$A$3:$C$500,MATCH(CorrectiveMinor!$R108,Gen_Vessels!$C$3:$C$500,0),1)),"")</f>
        <v/>
      </c>
      <c r="T108" s="25"/>
      <c r="U108" s="25"/>
      <c r="V108" s="25"/>
      <c r="W108" s="25"/>
      <c r="X108" s="25"/>
      <c r="Y108" s="25"/>
      <c r="AA108" s="25"/>
      <c r="AB108" s="25"/>
      <c r="AC108" s="25"/>
      <c r="AD108" s="25"/>
      <c r="AE108" s="25"/>
      <c r="AF108" s="25"/>
      <c r="AG108" s="25"/>
    </row>
    <row r="109" spans="1:33" x14ac:dyDescent="0.25">
      <c r="A109" s="18" t="str">
        <f t="shared" si="1"/>
        <v/>
      </c>
      <c r="B109" s="25"/>
      <c r="C109" s="25"/>
      <c r="D109" s="43"/>
      <c r="E109" s="44"/>
      <c r="F109" s="45"/>
      <c r="G109" s="40"/>
      <c r="H109" s="55" t="s">
        <v>255</v>
      </c>
      <c r="N109" s="66"/>
      <c r="O109" s="25"/>
      <c r="P109" s="72" t="str">
        <f>IFERROR(IF(ISBLANK(O109),"",INDEX(Gen_Vessels!$A$3:$C$500,MATCH(O109,Gen_Vessels!$C$3:$C$500,0),1)),"")</f>
        <v/>
      </c>
      <c r="Q109" s="25"/>
      <c r="R109" s="25"/>
      <c r="S109" s="25" t="str">
        <f>IFERROR(IF(ISBLANK(R109),"",INDEX(Gen_Vessels!$A$3:$C$500,MATCH(CorrectiveMinor!$R109,Gen_Vessels!$C$3:$C$500,0),1)),"")</f>
        <v/>
      </c>
      <c r="T109" s="25"/>
      <c r="U109" s="25"/>
      <c r="V109" s="25"/>
      <c r="W109" s="25"/>
      <c r="X109" s="25"/>
      <c r="Y109" s="25"/>
      <c r="AA109" s="25"/>
      <c r="AB109" s="25"/>
      <c r="AC109" s="25"/>
      <c r="AD109" s="25"/>
      <c r="AE109" s="25"/>
      <c r="AF109" s="25"/>
      <c r="AG109" s="25"/>
    </row>
    <row r="110" spans="1:33" x14ac:dyDescent="0.25">
      <c r="A110" s="18" t="str">
        <f t="shared" si="1"/>
        <v/>
      </c>
      <c r="B110" s="25"/>
      <c r="C110" s="25"/>
      <c r="D110" s="43"/>
      <c r="E110" s="44"/>
      <c r="F110" s="45"/>
      <c r="G110" s="40"/>
      <c r="H110" s="55" t="s">
        <v>255</v>
      </c>
      <c r="N110" s="66"/>
      <c r="O110" s="25"/>
      <c r="P110" s="72" t="str">
        <f>IFERROR(IF(ISBLANK(O110),"",INDEX(Gen_Vessels!$A$3:$C$500,MATCH(O110,Gen_Vessels!$C$3:$C$500,0),1)),"")</f>
        <v/>
      </c>
      <c r="Q110" s="25"/>
      <c r="R110" s="25"/>
      <c r="S110" s="25" t="str">
        <f>IFERROR(IF(ISBLANK(R110),"",INDEX(Gen_Vessels!$A$3:$C$500,MATCH(CorrectiveMinor!$R110,Gen_Vessels!$C$3:$C$500,0),1)),"")</f>
        <v/>
      </c>
      <c r="T110" s="25"/>
      <c r="U110" s="25"/>
      <c r="V110" s="25"/>
      <c r="W110" s="25"/>
      <c r="X110" s="25"/>
      <c r="Y110" s="25"/>
      <c r="AA110" s="25"/>
      <c r="AB110" s="25"/>
      <c r="AC110" s="25"/>
      <c r="AD110" s="25"/>
      <c r="AE110" s="25"/>
      <c r="AF110" s="25"/>
      <c r="AG110" s="25"/>
    </row>
    <row r="111" spans="1:33" x14ac:dyDescent="0.25">
      <c r="A111" s="18" t="str">
        <f t="shared" si="1"/>
        <v/>
      </c>
      <c r="B111" s="25"/>
      <c r="C111" s="25"/>
      <c r="D111" s="43"/>
      <c r="E111" s="44"/>
      <c r="F111" s="45"/>
      <c r="G111" s="40"/>
      <c r="H111" s="55" t="s">
        <v>255</v>
      </c>
      <c r="N111" s="66"/>
      <c r="O111" s="25"/>
      <c r="P111" s="72" t="str">
        <f>IFERROR(IF(ISBLANK(O111),"",INDEX(Gen_Vessels!$A$3:$C$500,MATCH(O111,Gen_Vessels!$C$3:$C$500,0),1)),"")</f>
        <v/>
      </c>
      <c r="Q111" s="25"/>
      <c r="R111" s="25"/>
      <c r="S111" s="25" t="str">
        <f>IFERROR(IF(ISBLANK(R111),"",INDEX(Gen_Vessels!$A$3:$C$500,MATCH(CorrectiveMinor!$R111,Gen_Vessels!$C$3:$C$500,0),1)),"")</f>
        <v/>
      </c>
      <c r="T111" s="25"/>
      <c r="U111" s="25"/>
      <c r="V111" s="25"/>
      <c r="W111" s="25"/>
      <c r="X111" s="25"/>
      <c r="Y111" s="25"/>
      <c r="AA111" s="25"/>
      <c r="AB111" s="25"/>
      <c r="AC111" s="25"/>
      <c r="AD111" s="25"/>
      <c r="AE111" s="25"/>
      <c r="AF111" s="25"/>
      <c r="AG111" s="25"/>
    </row>
    <row r="112" spans="1:33" x14ac:dyDescent="0.25">
      <c r="A112" s="18" t="str">
        <f t="shared" si="1"/>
        <v/>
      </c>
      <c r="B112" s="25"/>
      <c r="C112" s="25"/>
      <c r="D112" s="43"/>
      <c r="E112" s="44"/>
      <c r="F112" s="45"/>
      <c r="G112" s="40"/>
      <c r="H112" s="55" t="s">
        <v>255</v>
      </c>
      <c r="N112" s="66"/>
      <c r="O112" s="25"/>
      <c r="P112" s="72" t="str">
        <f>IFERROR(IF(ISBLANK(O112),"",INDEX(Gen_Vessels!$A$3:$C$500,MATCH(O112,Gen_Vessels!$C$3:$C$500,0),1)),"")</f>
        <v/>
      </c>
      <c r="Q112" s="25"/>
      <c r="R112" s="25"/>
      <c r="S112" s="25" t="str">
        <f>IFERROR(IF(ISBLANK(R112),"",INDEX(Gen_Vessels!$A$3:$C$500,MATCH(CorrectiveMinor!$R112,Gen_Vessels!$C$3:$C$500,0),1)),"")</f>
        <v/>
      </c>
      <c r="T112" s="25"/>
      <c r="U112" s="25"/>
      <c r="V112" s="25"/>
      <c r="W112" s="25"/>
      <c r="X112" s="25"/>
      <c r="Y112" s="25"/>
      <c r="AA112" s="25"/>
      <c r="AB112" s="25"/>
      <c r="AC112" s="25"/>
      <c r="AD112" s="25"/>
      <c r="AE112" s="25"/>
      <c r="AF112" s="25"/>
      <c r="AG112" s="25"/>
    </row>
    <row r="113" spans="1:33" x14ac:dyDescent="0.25">
      <c r="A113" s="18" t="str">
        <f t="shared" si="1"/>
        <v/>
      </c>
      <c r="B113" s="25"/>
      <c r="C113" s="25"/>
      <c r="D113" s="43"/>
      <c r="E113" s="44"/>
      <c r="F113" s="45"/>
      <c r="G113" s="40"/>
      <c r="H113" s="55" t="s">
        <v>255</v>
      </c>
      <c r="N113" s="66"/>
      <c r="O113" s="25"/>
      <c r="P113" s="72" t="str">
        <f>IFERROR(IF(ISBLANK(O113),"",INDEX(Gen_Vessels!$A$3:$C$500,MATCH(O113,Gen_Vessels!$C$3:$C$500,0),1)),"")</f>
        <v/>
      </c>
      <c r="Q113" s="25"/>
      <c r="R113" s="25"/>
      <c r="S113" s="25" t="str">
        <f>IFERROR(IF(ISBLANK(R113),"",INDEX(Gen_Vessels!$A$3:$C$500,MATCH(CorrectiveMinor!$R113,Gen_Vessels!$C$3:$C$500,0),1)),"")</f>
        <v/>
      </c>
      <c r="T113" s="25"/>
      <c r="U113" s="25"/>
      <c r="V113" s="25"/>
      <c r="W113" s="25"/>
      <c r="X113" s="25"/>
      <c r="Y113" s="25"/>
      <c r="AA113" s="25"/>
      <c r="AB113" s="25"/>
      <c r="AC113" s="25"/>
      <c r="AD113" s="25"/>
      <c r="AE113" s="25"/>
      <c r="AF113" s="25"/>
      <c r="AG113" s="25"/>
    </row>
    <row r="114" spans="1:33" x14ac:dyDescent="0.25">
      <c r="A114" s="18" t="str">
        <f t="shared" si="1"/>
        <v/>
      </c>
      <c r="B114" s="25"/>
      <c r="C114" s="25"/>
      <c r="D114" s="43"/>
      <c r="E114" s="44"/>
      <c r="F114" s="45"/>
      <c r="G114" s="40"/>
      <c r="H114" s="55" t="s">
        <v>255</v>
      </c>
      <c r="N114" s="66"/>
      <c r="O114" s="25"/>
      <c r="P114" s="72" t="str">
        <f>IFERROR(IF(ISBLANK(O114),"",INDEX(Gen_Vessels!$A$3:$C$500,MATCH(O114,Gen_Vessels!$C$3:$C$500,0),1)),"")</f>
        <v/>
      </c>
      <c r="Q114" s="25"/>
      <c r="R114" s="25"/>
      <c r="S114" s="25" t="str">
        <f>IFERROR(IF(ISBLANK(R114),"",INDEX(Gen_Vessels!$A$3:$C$500,MATCH(CorrectiveMinor!$R114,Gen_Vessels!$C$3:$C$500,0),1)),"")</f>
        <v/>
      </c>
      <c r="T114" s="25"/>
      <c r="U114" s="25"/>
      <c r="V114" s="25"/>
      <c r="W114" s="25"/>
      <c r="X114" s="25"/>
      <c r="Y114" s="25"/>
      <c r="AA114" s="25"/>
      <c r="AB114" s="25"/>
      <c r="AC114" s="25"/>
      <c r="AD114" s="25"/>
      <c r="AE114" s="25"/>
      <c r="AF114" s="25"/>
      <c r="AG114" s="25"/>
    </row>
    <row r="115" spans="1:33" x14ac:dyDescent="0.25">
      <c r="A115" s="18" t="str">
        <f t="shared" si="1"/>
        <v/>
      </c>
      <c r="B115" s="25"/>
      <c r="C115" s="25"/>
      <c r="D115" s="43"/>
      <c r="E115" s="44"/>
      <c r="F115" s="45"/>
      <c r="G115" s="40"/>
      <c r="H115" s="55" t="s">
        <v>255</v>
      </c>
      <c r="N115" s="66"/>
      <c r="O115" s="25"/>
      <c r="P115" s="72" t="str">
        <f>IFERROR(IF(ISBLANK(O115),"",INDEX(Gen_Vessels!$A$3:$C$500,MATCH(O115,Gen_Vessels!$C$3:$C$500,0),1)),"")</f>
        <v/>
      </c>
      <c r="Q115" s="25"/>
      <c r="R115" s="25"/>
      <c r="S115" s="25" t="str">
        <f>IFERROR(IF(ISBLANK(R115),"",INDEX(Gen_Vessels!$A$3:$C$500,MATCH(CorrectiveMinor!$R115,Gen_Vessels!$C$3:$C$500,0),1)),"")</f>
        <v/>
      </c>
      <c r="T115" s="25"/>
      <c r="U115" s="25"/>
      <c r="V115" s="25"/>
      <c r="W115" s="25"/>
      <c r="X115" s="25"/>
      <c r="Y115" s="25"/>
      <c r="AA115" s="25"/>
      <c r="AB115" s="25"/>
      <c r="AC115" s="25"/>
      <c r="AD115" s="25"/>
      <c r="AE115" s="25"/>
      <c r="AF115" s="25"/>
      <c r="AG115" s="25"/>
    </row>
    <row r="116" spans="1:33" x14ac:dyDescent="0.25">
      <c r="A116" s="18" t="str">
        <f t="shared" si="1"/>
        <v/>
      </c>
      <c r="B116" s="25"/>
      <c r="C116" s="25"/>
      <c r="D116" s="43"/>
      <c r="E116" s="44"/>
      <c r="F116" s="45"/>
      <c r="G116" s="40"/>
      <c r="H116" s="55" t="s">
        <v>255</v>
      </c>
      <c r="N116" s="66"/>
      <c r="O116" s="25"/>
      <c r="P116" s="72" t="str">
        <f>IFERROR(IF(ISBLANK(O116),"",INDEX(Gen_Vessels!$A$3:$C$500,MATCH(O116,Gen_Vessels!$C$3:$C$500,0),1)),"")</f>
        <v/>
      </c>
      <c r="Q116" s="25"/>
      <c r="R116" s="25"/>
      <c r="S116" s="25" t="str">
        <f>IFERROR(IF(ISBLANK(R116),"",INDEX(Gen_Vessels!$A$3:$C$500,MATCH(CorrectiveMinor!$R116,Gen_Vessels!$C$3:$C$500,0),1)),"")</f>
        <v/>
      </c>
      <c r="T116" s="25"/>
      <c r="U116" s="25"/>
      <c r="V116" s="25"/>
      <c r="W116" s="25"/>
      <c r="X116" s="25"/>
      <c r="Y116" s="25"/>
      <c r="AA116" s="25"/>
      <c r="AB116" s="25"/>
      <c r="AC116" s="25"/>
      <c r="AD116" s="25"/>
      <c r="AE116" s="25"/>
      <c r="AF116" s="25"/>
      <c r="AG116" s="25"/>
    </row>
    <row r="117" spans="1:33" x14ac:dyDescent="0.25">
      <c r="A117" s="18" t="str">
        <f t="shared" si="1"/>
        <v/>
      </c>
      <c r="B117" s="25"/>
      <c r="C117" s="25"/>
      <c r="D117" s="43"/>
      <c r="E117" s="44"/>
      <c r="F117" s="45"/>
      <c r="G117" s="40"/>
      <c r="H117" s="55" t="s">
        <v>255</v>
      </c>
      <c r="N117" s="66"/>
      <c r="O117" s="25"/>
      <c r="P117" s="72" t="str">
        <f>IFERROR(IF(ISBLANK(O117),"",INDEX(Gen_Vessels!$A$3:$C$500,MATCH(O117,Gen_Vessels!$C$3:$C$500,0),1)),"")</f>
        <v/>
      </c>
      <c r="Q117" s="25"/>
      <c r="R117" s="25"/>
      <c r="S117" s="25" t="str">
        <f>IFERROR(IF(ISBLANK(R117),"",INDEX(Gen_Vessels!$A$3:$C$500,MATCH(CorrectiveMinor!$R117,Gen_Vessels!$C$3:$C$500,0),1)),"")</f>
        <v/>
      </c>
      <c r="T117" s="25"/>
      <c r="U117" s="25"/>
      <c r="V117" s="25"/>
      <c r="W117" s="25"/>
      <c r="X117" s="25"/>
      <c r="Y117" s="25"/>
      <c r="AA117" s="25"/>
      <c r="AB117" s="25"/>
      <c r="AC117" s="25"/>
      <c r="AD117" s="25"/>
      <c r="AE117" s="25"/>
      <c r="AF117" s="25"/>
      <c r="AG117" s="25"/>
    </row>
    <row r="118" spans="1:33" x14ac:dyDescent="0.25">
      <c r="A118" s="18" t="str">
        <f t="shared" si="1"/>
        <v/>
      </c>
      <c r="B118" s="25"/>
      <c r="C118" s="25"/>
      <c r="D118" s="43"/>
      <c r="E118" s="44"/>
      <c r="F118" s="45"/>
      <c r="G118" s="40"/>
      <c r="H118" s="55" t="s">
        <v>255</v>
      </c>
      <c r="N118" s="66"/>
      <c r="O118" s="25"/>
      <c r="P118" s="72" t="str">
        <f>IFERROR(IF(ISBLANK(O118),"",INDEX(Gen_Vessels!$A$3:$C$500,MATCH(O118,Gen_Vessels!$C$3:$C$500,0),1)),"")</f>
        <v/>
      </c>
      <c r="Q118" s="25"/>
      <c r="R118" s="25"/>
      <c r="S118" s="25" t="str">
        <f>IFERROR(IF(ISBLANK(R118),"",INDEX(Gen_Vessels!$A$3:$C$500,MATCH(CorrectiveMinor!$R118,Gen_Vessels!$C$3:$C$500,0),1)),"")</f>
        <v/>
      </c>
      <c r="T118" s="25"/>
      <c r="U118" s="25"/>
      <c r="V118" s="25"/>
      <c r="W118" s="25"/>
      <c r="X118" s="25"/>
      <c r="Y118" s="25"/>
      <c r="AA118" s="25"/>
      <c r="AB118" s="25"/>
      <c r="AC118" s="25"/>
      <c r="AD118" s="25"/>
      <c r="AE118" s="25"/>
      <c r="AF118" s="25"/>
      <c r="AG118" s="25"/>
    </row>
    <row r="119" spans="1:33" x14ac:dyDescent="0.25">
      <c r="A119" s="18" t="str">
        <f t="shared" si="1"/>
        <v/>
      </c>
      <c r="B119" s="25"/>
      <c r="C119" s="25"/>
      <c r="D119" s="43"/>
      <c r="E119" s="44"/>
      <c r="F119" s="45"/>
      <c r="G119" s="40"/>
      <c r="H119" s="55" t="s">
        <v>255</v>
      </c>
      <c r="N119" s="66"/>
      <c r="O119" s="25"/>
      <c r="P119" s="72" t="str">
        <f>IFERROR(IF(ISBLANK(O119),"",INDEX(Gen_Vessels!$A$3:$C$500,MATCH(O119,Gen_Vessels!$C$3:$C$500,0),1)),"")</f>
        <v/>
      </c>
      <c r="Q119" s="25"/>
      <c r="R119" s="25"/>
      <c r="S119" s="25" t="str">
        <f>IFERROR(IF(ISBLANK(R119),"",INDEX(Gen_Vessels!$A$3:$C$500,MATCH(CorrectiveMinor!$R119,Gen_Vessels!$C$3:$C$500,0),1)),"")</f>
        <v/>
      </c>
      <c r="T119" s="25"/>
      <c r="U119" s="25"/>
      <c r="V119" s="25"/>
      <c r="W119" s="25"/>
      <c r="X119" s="25"/>
      <c r="Y119" s="25"/>
      <c r="AA119" s="25"/>
      <c r="AB119" s="25"/>
      <c r="AC119" s="25"/>
      <c r="AD119" s="25"/>
      <c r="AE119" s="25"/>
      <c r="AF119" s="25"/>
      <c r="AG119" s="25"/>
    </row>
    <row r="120" spans="1:33" x14ac:dyDescent="0.25">
      <c r="A120" s="18" t="str">
        <f t="shared" si="1"/>
        <v/>
      </c>
      <c r="B120" s="25"/>
      <c r="C120" s="25"/>
      <c r="D120" s="43"/>
      <c r="E120" s="44"/>
      <c r="F120" s="45"/>
      <c r="G120" s="40"/>
      <c r="H120" s="55" t="s">
        <v>255</v>
      </c>
      <c r="N120" s="66"/>
      <c r="O120" s="25"/>
      <c r="P120" s="72" t="str">
        <f>IFERROR(IF(ISBLANK(O120),"",INDEX(Gen_Vessels!$A$3:$C$500,MATCH(O120,Gen_Vessels!$C$3:$C$500,0),1)),"")</f>
        <v/>
      </c>
      <c r="Q120" s="25"/>
      <c r="R120" s="25"/>
      <c r="S120" s="25" t="str">
        <f>IFERROR(IF(ISBLANK(R120),"",INDEX(Gen_Vessels!$A$3:$C$500,MATCH(CorrectiveMinor!$R120,Gen_Vessels!$C$3:$C$500,0),1)),"")</f>
        <v/>
      </c>
      <c r="T120" s="25"/>
      <c r="U120" s="25"/>
      <c r="V120" s="25"/>
      <c r="W120" s="25"/>
      <c r="X120" s="25"/>
      <c r="Y120" s="25"/>
      <c r="AA120" s="25"/>
      <c r="AB120" s="25"/>
      <c r="AC120" s="25"/>
      <c r="AD120" s="25"/>
      <c r="AE120" s="25"/>
      <c r="AF120" s="25"/>
      <c r="AG120" s="25"/>
    </row>
    <row r="121" spans="1:33" x14ac:dyDescent="0.25">
      <c r="A121" s="18" t="str">
        <f t="shared" si="1"/>
        <v/>
      </c>
      <c r="B121" s="25"/>
      <c r="C121" s="25"/>
      <c r="D121" s="43"/>
      <c r="E121" s="44"/>
      <c r="F121" s="45"/>
      <c r="G121" s="40"/>
      <c r="H121" s="55" t="s">
        <v>255</v>
      </c>
      <c r="N121" s="66"/>
      <c r="O121" s="25"/>
      <c r="P121" s="72" t="str">
        <f>IFERROR(IF(ISBLANK(O121),"",INDEX(Gen_Vessels!$A$3:$C$500,MATCH(O121,Gen_Vessels!$C$3:$C$500,0),1)),"")</f>
        <v/>
      </c>
      <c r="Q121" s="25"/>
      <c r="R121" s="25"/>
      <c r="S121" s="25" t="str">
        <f>IFERROR(IF(ISBLANK(R121),"",INDEX(Gen_Vessels!$A$3:$C$500,MATCH(CorrectiveMinor!$R121,Gen_Vessels!$C$3:$C$500,0),1)),"")</f>
        <v/>
      </c>
      <c r="T121" s="25"/>
      <c r="U121" s="25"/>
      <c r="V121" s="25"/>
      <c r="W121" s="25"/>
      <c r="X121" s="25"/>
      <c r="Y121" s="25"/>
      <c r="AA121" s="25"/>
      <c r="AB121" s="25"/>
      <c r="AC121" s="25"/>
      <c r="AD121" s="25"/>
      <c r="AE121" s="25"/>
      <c r="AF121" s="25"/>
      <c r="AG121" s="25"/>
    </row>
    <row r="122" spans="1:33" x14ac:dyDescent="0.25">
      <c r="A122" s="18" t="str">
        <f t="shared" si="1"/>
        <v/>
      </c>
      <c r="B122" s="25"/>
      <c r="C122" s="25"/>
      <c r="D122" s="43"/>
      <c r="E122" s="44"/>
      <c r="F122" s="45"/>
      <c r="G122" s="40"/>
      <c r="H122" s="55" t="s">
        <v>255</v>
      </c>
      <c r="N122" s="66"/>
      <c r="O122" s="25"/>
      <c r="P122" s="72" t="str">
        <f>IFERROR(IF(ISBLANK(O122),"",INDEX(Gen_Vessels!$A$3:$C$500,MATCH(O122,Gen_Vessels!$C$3:$C$500,0),1)),"")</f>
        <v/>
      </c>
      <c r="Q122" s="25"/>
      <c r="R122" s="25"/>
      <c r="S122" s="25" t="str">
        <f>IFERROR(IF(ISBLANK(R122),"",INDEX(Gen_Vessels!$A$3:$C$500,MATCH(CorrectiveMinor!$R122,Gen_Vessels!$C$3:$C$500,0),1)),"")</f>
        <v/>
      </c>
      <c r="T122" s="25"/>
      <c r="U122" s="25"/>
      <c r="V122" s="25"/>
      <c r="W122" s="25"/>
      <c r="X122" s="25"/>
      <c r="Y122" s="25"/>
      <c r="AA122" s="25"/>
      <c r="AB122" s="25"/>
      <c r="AC122" s="25"/>
      <c r="AD122" s="25"/>
      <c r="AE122" s="25"/>
      <c r="AF122" s="25"/>
      <c r="AG122" s="25"/>
    </row>
    <row r="123" spans="1:33" x14ac:dyDescent="0.25">
      <c r="A123" s="18" t="str">
        <f t="shared" ref="A123:A186" si="2">IF(ISBLANK($B123)=FALSE,IF(AND($D123&gt;0,$E123&lt;=0,$F123&lt;=0),_xlfn.CONCAT("ofw_",$B123),IF(AND($D123&lt;=0,$E123&gt;0,$F123&lt;=0),_xlfn.CONCAT("owc_",$B123),IF(AND($D123&lt;=0,$E123&lt;=0,$F123&gt;0),_xlfn.CONCAT("opv_",$B123),_xlfn.CONCAT("oce_",$B123)))),"")</f>
        <v/>
      </c>
      <c r="B123" s="25"/>
      <c r="C123" s="25"/>
      <c r="D123" s="43"/>
      <c r="E123" s="44"/>
      <c r="F123" s="45"/>
      <c r="G123" s="40"/>
      <c r="H123" s="55" t="s">
        <v>255</v>
      </c>
      <c r="N123" s="66"/>
      <c r="O123" s="25"/>
      <c r="P123" s="72" t="str">
        <f>IFERROR(IF(ISBLANK(O123),"",INDEX(Gen_Vessels!$A$3:$C$500,MATCH(O123,Gen_Vessels!$C$3:$C$500,0),1)),"")</f>
        <v/>
      </c>
      <c r="Q123" s="25"/>
      <c r="R123" s="25"/>
      <c r="S123" s="25" t="str">
        <f>IFERROR(IF(ISBLANK(R123),"",INDEX(Gen_Vessels!$A$3:$C$500,MATCH(CorrectiveMinor!$R123,Gen_Vessels!$C$3:$C$500,0),1)),"")</f>
        <v/>
      </c>
      <c r="T123" s="25"/>
      <c r="U123" s="25"/>
      <c r="V123" s="25"/>
      <c r="W123" s="25"/>
      <c r="X123" s="25"/>
      <c r="Y123" s="25"/>
      <c r="AA123" s="25"/>
      <c r="AB123" s="25"/>
      <c r="AC123" s="25"/>
      <c r="AD123" s="25"/>
      <c r="AE123" s="25"/>
      <c r="AF123" s="25"/>
      <c r="AG123" s="25"/>
    </row>
    <row r="124" spans="1:33" x14ac:dyDescent="0.25">
      <c r="A124" s="18" t="str">
        <f t="shared" si="2"/>
        <v/>
      </c>
      <c r="B124" s="25"/>
      <c r="C124" s="25"/>
      <c r="D124" s="43"/>
      <c r="E124" s="44"/>
      <c r="F124" s="45"/>
      <c r="G124" s="40"/>
      <c r="H124" s="55" t="s">
        <v>255</v>
      </c>
      <c r="N124" s="66"/>
      <c r="O124" s="25"/>
      <c r="P124" s="72" t="str">
        <f>IFERROR(IF(ISBLANK(O124),"",INDEX(Gen_Vessels!$A$3:$C$500,MATCH(O124,Gen_Vessels!$C$3:$C$500,0),1)),"")</f>
        <v/>
      </c>
      <c r="Q124" s="25"/>
      <c r="R124" s="25"/>
      <c r="S124" s="25" t="str">
        <f>IFERROR(IF(ISBLANK(R124),"",INDEX(Gen_Vessels!$A$3:$C$500,MATCH(CorrectiveMinor!$R124,Gen_Vessels!$C$3:$C$500,0),1)),"")</f>
        <v/>
      </c>
      <c r="T124" s="25"/>
      <c r="U124" s="25"/>
      <c r="V124" s="25"/>
      <c r="W124" s="25"/>
      <c r="X124" s="25"/>
      <c r="Y124" s="25"/>
      <c r="AA124" s="25"/>
      <c r="AB124" s="25"/>
      <c r="AC124" s="25"/>
      <c r="AD124" s="25"/>
      <c r="AE124" s="25"/>
      <c r="AF124" s="25"/>
      <c r="AG124" s="25"/>
    </row>
    <row r="125" spans="1:33" x14ac:dyDescent="0.25">
      <c r="A125" s="18" t="str">
        <f t="shared" si="2"/>
        <v/>
      </c>
      <c r="B125" s="25"/>
      <c r="C125" s="25"/>
      <c r="D125" s="43"/>
      <c r="E125" s="44"/>
      <c r="F125" s="45"/>
      <c r="G125" s="40"/>
      <c r="H125" s="55" t="s">
        <v>255</v>
      </c>
      <c r="N125" s="66"/>
      <c r="O125" s="25"/>
      <c r="P125" s="72" t="str">
        <f>IFERROR(IF(ISBLANK(O125),"",INDEX(Gen_Vessels!$A$3:$C$500,MATCH(O125,Gen_Vessels!$C$3:$C$500,0),1)),"")</f>
        <v/>
      </c>
      <c r="Q125" s="25"/>
      <c r="R125" s="25"/>
      <c r="S125" s="25" t="str">
        <f>IFERROR(IF(ISBLANK(R125),"",INDEX(Gen_Vessels!$A$3:$C$500,MATCH(CorrectiveMinor!$R125,Gen_Vessels!$C$3:$C$500,0),1)),"")</f>
        <v/>
      </c>
      <c r="T125" s="25"/>
      <c r="U125" s="25"/>
      <c r="V125" s="25"/>
      <c r="W125" s="25"/>
      <c r="X125" s="25"/>
      <c r="Y125" s="25"/>
      <c r="AA125" s="25"/>
      <c r="AB125" s="25"/>
      <c r="AC125" s="25"/>
      <c r="AD125" s="25"/>
      <c r="AE125" s="25"/>
      <c r="AF125" s="25"/>
      <c r="AG125" s="25"/>
    </row>
    <row r="126" spans="1:33" x14ac:dyDescent="0.25">
      <c r="A126" s="18" t="str">
        <f t="shared" si="2"/>
        <v/>
      </c>
      <c r="B126" s="25"/>
      <c r="C126" s="25"/>
      <c r="D126" s="43"/>
      <c r="E126" s="44"/>
      <c r="F126" s="45"/>
      <c r="G126" s="40"/>
      <c r="H126" s="55" t="s">
        <v>255</v>
      </c>
      <c r="N126" s="66"/>
      <c r="O126" s="25"/>
      <c r="P126" s="72" t="str">
        <f>IFERROR(IF(ISBLANK(O126),"",INDEX(Gen_Vessels!$A$3:$C$500,MATCH(O126,Gen_Vessels!$C$3:$C$500,0),1)),"")</f>
        <v/>
      </c>
      <c r="Q126" s="25"/>
      <c r="R126" s="25"/>
      <c r="S126" s="25" t="str">
        <f>IFERROR(IF(ISBLANK(R126),"",INDEX(Gen_Vessels!$A$3:$C$500,MATCH(CorrectiveMinor!$R126,Gen_Vessels!$C$3:$C$500,0),1)),"")</f>
        <v/>
      </c>
      <c r="T126" s="25"/>
      <c r="U126" s="25"/>
      <c r="V126" s="25"/>
      <c r="W126" s="25"/>
      <c r="X126" s="25"/>
      <c r="Y126" s="25"/>
      <c r="AA126" s="25"/>
      <c r="AB126" s="25"/>
      <c r="AC126" s="25"/>
      <c r="AD126" s="25"/>
      <c r="AE126" s="25"/>
      <c r="AF126" s="25"/>
      <c r="AG126" s="25"/>
    </row>
    <row r="127" spans="1:33" x14ac:dyDescent="0.25">
      <c r="A127" s="18" t="str">
        <f t="shared" si="2"/>
        <v/>
      </c>
      <c r="B127" s="25"/>
      <c r="C127" s="25"/>
      <c r="D127" s="43"/>
      <c r="E127" s="44"/>
      <c r="F127" s="45"/>
      <c r="G127" s="40"/>
      <c r="H127" s="55" t="s">
        <v>255</v>
      </c>
      <c r="N127" s="66"/>
      <c r="O127" s="25"/>
      <c r="P127" s="72" t="str">
        <f>IFERROR(IF(ISBLANK(O127),"",INDEX(Gen_Vessels!$A$3:$C$500,MATCH(O127,Gen_Vessels!$C$3:$C$500,0),1)),"")</f>
        <v/>
      </c>
      <c r="Q127" s="25"/>
      <c r="R127" s="25"/>
      <c r="S127" s="25" t="str">
        <f>IFERROR(IF(ISBLANK(R127),"",INDEX(Gen_Vessels!$A$3:$C$500,MATCH(CorrectiveMinor!$R127,Gen_Vessels!$C$3:$C$500,0),1)),"")</f>
        <v/>
      </c>
      <c r="T127" s="25"/>
      <c r="U127" s="25"/>
      <c r="V127" s="25"/>
      <c r="W127" s="25"/>
      <c r="X127" s="25"/>
      <c r="Y127" s="25"/>
      <c r="AA127" s="25"/>
      <c r="AB127" s="25"/>
      <c r="AC127" s="25"/>
      <c r="AD127" s="25"/>
      <c r="AE127" s="25"/>
      <c r="AF127" s="25"/>
      <c r="AG127" s="25"/>
    </row>
    <row r="128" spans="1:33" x14ac:dyDescent="0.25">
      <c r="A128" s="18" t="str">
        <f t="shared" si="2"/>
        <v/>
      </c>
      <c r="B128" s="25"/>
      <c r="C128" s="25"/>
      <c r="D128" s="43"/>
      <c r="E128" s="44"/>
      <c r="F128" s="45"/>
      <c r="G128" s="40"/>
      <c r="H128" s="55" t="s">
        <v>255</v>
      </c>
      <c r="N128" s="66"/>
      <c r="O128" s="25"/>
      <c r="P128" s="72" t="str">
        <f>IFERROR(IF(ISBLANK(O128),"",INDEX(Gen_Vessels!$A$3:$C$500,MATCH(O128,Gen_Vessels!$C$3:$C$500,0),1)),"")</f>
        <v/>
      </c>
      <c r="Q128" s="25"/>
      <c r="R128" s="25"/>
      <c r="S128" s="25" t="str">
        <f>IFERROR(IF(ISBLANK(R128),"",INDEX(Gen_Vessels!$A$3:$C$500,MATCH(CorrectiveMinor!$R128,Gen_Vessels!$C$3:$C$500,0),1)),"")</f>
        <v/>
      </c>
      <c r="T128" s="25"/>
      <c r="U128" s="25"/>
      <c r="V128" s="25"/>
      <c r="W128" s="25"/>
      <c r="X128" s="25"/>
      <c r="Y128" s="25"/>
      <c r="AA128" s="25"/>
      <c r="AB128" s="25"/>
      <c r="AC128" s="25"/>
      <c r="AD128" s="25"/>
      <c r="AE128" s="25"/>
      <c r="AF128" s="25"/>
      <c r="AG128" s="25"/>
    </row>
    <row r="129" spans="1:33" x14ac:dyDescent="0.25">
      <c r="A129" s="18" t="str">
        <f t="shared" si="2"/>
        <v/>
      </c>
      <c r="B129" s="25"/>
      <c r="C129" s="25"/>
      <c r="D129" s="43"/>
      <c r="E129" s="44"/>
      <c r="F129" s="45"/>
      <c r="G129" s="40"/>
      <c r="H129" s="55" t="s">
        <v>255</v>
      </c>
      <c r="N129" s="66"/>
      <c r="O129" s="25"/>
      <c r="P129" s="72" t="str">
        <f>IFERROR(IF(ISBLANK(O129),"",INDEX(Gen_Vessels!$A$3:$C$500,MATCH(O129,Gen_Vessels!$C$3:$C$500,0),1)),"")</f>
        <v/>
      </c>
      <c r="Q129" s="25"/>
      <c r="R129" s="25"/>
      <c r="S129" s="25" t="str">
        <f>IFERROR(IF(ISBLANK(R129),"",INDEX(Gen_Vessels!$A$3:$C$500,MATCH(CorrectiveMinor!$R129,Gen_Vessels!$C$3:$C$500,0),1)),"")</f>
        <v/>
      </c>
      <c r="T129" s="25"/>
      <c r="U129" s="25"/>
      <c r="V129" s="25"/>
      <c r="W129" s="25"/>
      <c r="X129" s="25"/>
      <c r="Y129" s="25"/>
      <c r="AA129" s="25"/>
      <c r="AB129" s="25"/>
      <c r="AC129" s="25"/>
      <c r="AD129" s="25"/>
      <c r="AE129" s="25"/>
      <c r="AF129" s="25"/>
      <c r="AG129" s="25"/>
    </row>
    <row r="130" spans="1:33" x14ac:dyDescent="0.25">
      <c r="A130" s="18" t="str">
        <f t="shared" si="2"/>
        <v/>
      </c>
      <c r="B130" s="25"/>
      <c r="C130" s="25"/>
      <c r="D130" s="43"/>
      <c r="E130" s="44"/>
      <c r="F130" s="45"/>
      <c r="G130" s="40"/>
      <c r="H130" s="55" t="s">
        <v>255</v>
      </c>
      <c r="N130" s="66"/>
      <c r="O130" s="25"/>
      <c r="P130" s="72" t="str">
        <f>IFERROR(IF(ISBLANK(O130),"",INDEX(Gen_Vessels!$A$3:$C$500,MATCH(O130,Gen_Vessels!$C$3:$C$500,0),1)),"")</f>
        <v/>
      </c>
      <c r="Q130" s="25"/>
      <c r="R130" s="25"/>
      <c r="S130" s="25" t="str">
        <f>IFERROR(IF(ISBLANK(R130),"",INDEX(Gen_Vessels!$A$3:$C$500,MATCH(CorrectiveMinor!$R130,Gen_Vessels!$C$3:$C$500,0),1)),"")</f>
        <v/>
      </c>
      <c r="T130" s="25"/>
      <c r="U130" s="25"/>
      <c r="V130" s="25"/>
      <c r="W130" s="25"/>
      <c r="X130" s="25"/>
      <c r="Y130" s="25"/>
      <c r="AA130" s="25"/>
      <c r="AB130" s="25"/>
      <c r="AC130" s="25"/>
      <c r="AD130" s="25"/>
      <c r="AE130" s="25"/>
      <c r="AF130" s="25"/>
      <c r="AG130" s="25"/>
    </row>
    <row r="131" spans="1:33" x14ac:dyDescent="0.25">
      <c r="A131" s="18" t="str">
        <f t="shared" si="2"/>
        <v/>
      </c>
      <c r="B131" s="25"/>
      <c r="C131" s="25"/>
      <c r="D131" s="43"/>
      <c r="E131" s="44"/>
      <c r="F131" s="45"/>
      <c r="G131" s="40"/>
      <c r="H131" s="55" t="s">
        <v>255</v>
      </c>
      <c r="N131" s="66"/>
      <c r="O131" s="25"/>
      <c r="P131" s="72" t="str">
        <f>IFERROR(IF(ISBLANK(O131),"",INDEX(Gen_Vessels!$A$3:$C$500,MATCH(O131,Gen_Vessels!$C$3:$C$500,0),1)),"")</f>
        <v/>
      </c>
      <c r="Q131" s="25"/>
      <c r="R131" s="25"/>
      <c r="S131" s="25" t="str">
        <f>IFERROR(IF(ISBLANK(R131),"",INDEX(Gen_Vessels!$A$3:$C$500,MATCH(CorrectiveMinor!$R131,Gen_Vessels!$C$3:$C$500,0),1)),"")</f>
        <v/>
      </c>
      <c r="T131" s="25"/>
      <c r="U131" s="25"/>
      <c r="V131" s="25"/>
      <c r="W131" s="25"/>
      <c r="X131" s="25"/>
      <c r="Y131" s="25"/>
      <c r="AA131" s="25"/>
      <c r="AB131" s="25"/>
      <c r="AC131" s="25"/>
      <c r="AD131" s="25"/>
      <c r="AE131" s="25"/>
      <c r="AF131" s="25"/>
      <c r="AG131" s="25"/>
    </row>
    <row r="132" spans="1:33" x14ac:dyDescent="0.25">
      <c r="A132" s="18" t="str">
        <f t="shared" si="2"/>
        <v/>
      </c>
      <c r="B132" s="25"/>
      <c r="C132" s="25"/>
      <c r="D132" s="43"/>
      <c r="E132" s="44"/>
      <c r="F132" s="45"/>
      <c r="G132" s="40"/>
      <c r="H132" s="55" t="s">
        <v>255</v>
      </c>
      <c r="N132" s="66"/>
      <c r="O132" s="25"/>
      <c r="P132" s="72" t="str">
        <f>IFERROR(IF(ISBLANK(O132),"",INDEX(Gen_Vessels!$A$3:$C$500,MATCH(O132,Gen_Vessels!$C$3:$C$500,0),1)),"")</f>
        <v/>
      </c>
      <c r="Q132" s="25"/>
      <c r="R132" s="25"/>
      <c r="S132" s="25" t="str">
        <f>IFERROR(IF(ISBLANK(R132),"",INDEX(Gen_Vessels!$A$3:$C$500,MATCH(CorrectiveMinor!$R132,Gen_Vessels!$C$3:$C$500,0),1)),"")</f>
        <v/>
      </c>
      <c r="T132" s="25"/>
      <c r="U132" s="25"/>
      <c r="V132" s="25"/>
      <c r="W132" s="25"/>
      <c r="X132" s="25"/>
      <c r="Y132" s="25"/>
      <c r="AA132" s="25"/>
      <c r="AB132" s="25"/>
      <c r="AC132" s="25"/>
      <c r="AD132" s="25"/>
      <c r="AE132" s="25"/>
      <c r="AF132" s="25"/>
      <c r="AG132" s="25"/>
    </row>
    <row r="133" spans="1:33" x14ac:dyDescent="0.25">
      <c r="A133" s="18" t="str">
        <f t="shared" si="2"/>
        <v/>
      </c>
      <c r="B133" s="25"/>
      <c r="C133" s="25"/>
      <c r="D133" s="43"/>
      <c r="E133" s="44"/>
      <c r="F133" s="45"/>
      <c r="G133" s="40"/>
      <c r="H133" s="55" t="s">
        <v>255</v>
      </c>
      <c r="N133" s="66"/>
      <c r="O133" s="25"/>
      <c r="P133" s="72" t="str">
        <f>IFERROR(IF(ISBLANK(O133),"",INDEX(Gen_Vessels!$A$3:$C$500,MATCH(O133,Gen_Vessels!$C$3:$C$500,0),1)),"")</f>
        <v/>
      </c>
      <c r="Q133" s="25"/>
      <c r="R133" s="25"/>
      <c r="S133" s="25" t="str">
        <f>IFERROR(IF(ISBLANK(R133),"",INDEX(Gen_Vessels!$A$3:$C$500,MATCH(CorrectiveMinor!$R133,Gen_Vessels!$C$3:$C$500,0),1)),"")</f>
        <v/>
      </c>
      <c r="T133" s="25"/>
      <c r="U133" s="25"/>
      <c r="V133" s="25"/>
      <c r="W133" s="25"/>
      <c r="X133" s="25"/>
      <c r="Y133" s="25"/>
      <c r="AA133" s="25"/>
      <c r="AB133" s="25"/>
      <c r="AC133" s="25"/>
      <c r="AD133" s="25"/>
      <c r="AE133" s="25"/>
      <c r="AF133" s="25"/>
      <c r="AG133" s="25"/>
    </row>
    <row r="134" spans="1:33" x14ac:dyDescent="0.25">
      <c r="A134" s="18" t="str">
        <f t="shared" si="2"/>
        <v/>
      </c>
      <c r="B134" s="25"/>
      <c r="C134" s="25"/>
      <c r="D134" s="43"/>
      <c r="E134" s="44"/>
      <c r="F134" s="45"/>
      <c r="G134" s="40"/>
      <c r="H134" s="55" t="s">
        <v>255</v>
      </c>
      <c r="N134" s="66"/>
      <c r="O134" s="25"/>
      <c r="P134" s="72" t="str">
        <f>IFERROR(IF(ISBLANK(O134),"",INDEX(Gen_Vessels!$A$3:$C$500,MATCH(O134,Gen_Vessels!$C$3:$C$500,0),1)),"")</f>
        <v/>
      </c>
      <c r="Q134" s="25"/>
      <c r="R134" s="25"/>
      <c r="S134" s="25" t="str">
        <f>IFERROR(IF(ISBLANK(R134),"",INDEX(Gen_Vessels!$A$3:$C$500,MATCH(CorrectiveMinor!$R134,Gen_Vessels!$C$3:$C$500,0),1)),"")</f>
        <v/>
      </c>
      <c r="T134" s="25"/>
      <c r="U134" s="25"/>
      <c r="V134" s="25"/>
      <c r="W134" s="25"/>
      <c r="X134" s="25"/>
      <c r="Y134" s="25"/>
      <c r="AA134" s="25"/>
      <c r="AB134" s="25"/>
      <c r="AC134" s="25"/>
      <c r="AD134" s="25"/>
      <c r="AE134" s="25"/>
      <c r="AF134" s="25"/>
      <c r="AG134" s="25"/>
    </row>
    <row r="135" spans="1:33" x14ac:dyDescent="0.25">
      <c r="A135" s="18" t="str">
        <f t="shared" si="2"/>
        <v/>
      </c>
      <c r="B135" s="25"/>
      <c r="C135" s="25"/>
      <c r="D135" s="43"/>
      <c r="E135" s="44"/>
      <c r="F135" s="45"/>
      <c r="G135" s="40"/>
      <c r="H135" s="55" t="s">
        <v>255</v>
      </c>
      <c r="N135" s="66"/>
      <c r="O135" s="25"/>
      <c r="P135" s="72" t="str">
        <f>IFERROR(IF(ISBLANK(O135),"",INDEX(Gen_Vessels!$A$3:$C$500,MATCH(O135,Gen_Vessels!$C$3:$C$500,0),1)),"")</f>
        <v/>
      </c>
      <c r="Q135" s="25"/>
      <c r="R135" s="25"/>
      <c r="S135" s="25" t="str">
        <f>IFERROR(IF(ISBLANK(R135),"",INDEX(Gen_Vessels!$A$3:$C$500,MATCH(CorrectiveMinor!$R135,Gen_Vessels!$C$3:$C$500,0),1)),"")</f>
        <v/>
      </c>
      <c r="T135" s="25"/>
      <c r="U135" s="25"/>
      <c r="V135" s="25"/>
      <c r="W135" s="25"/>
      <c r="X135" s="25"/>
      <c r="Y135" s="25"/>
      <c r="AA135" s="25"/>
      <c r="AB135" s="25"/>
      <c r="AC135" s="25"/>
      <c r="AD135" s="25"/>
      <c r="AE135" s="25"/>
      <c r="AF135" s="25"/>
      <c r="AG135" s="25"/>
    </row>
    <row r="136" spans="1:33" x14ac:dyDescent="0.25">
      <c r="A136" s="18" t="str">
        <f t="shared" si="2"/>
        <v/>
      </c>
      <c r="B136" s="25"/>
      <c r="C136" s="25"/>
      <c r="D136" s="43"/>
      <c r="E136" s="44"/>
      <c r="F136" s="45"/>
      <c r="G136" s="40"/>
      <c r="H136" s="55" t="s">
        <v>255</v>
      </c>
      <c r="N136" s="66"/>
      <c r="O136" s="25"/>
      <c r="P136" s="72" t="str">
        <f>IFERROR(IF(ISBLANK(O136),"",INDEX(Gen_Vessels!$A$3:$C$500,MATCH(O136,Gen_Vessels!$C$3:$C$500,0),1)),"")</f>
        <v/>
      </c>
      <c r="Q136" s="25"/>
      <c r="R136" s="25"/>
      <c r="S136" s="25" t="str">
        <f>IFERROR(IF(ISBLANK(R136),"",INDEX(Gen_Vessels!$A$3:$C$500,MATCH(CorrectiveMinor!$R136,Gen_Vessels!$C$3:$C$500,0),1)),"")</f>
        <v/>
      </c>
      <c r="T136" s="25"/>
      <c r="U136" s="25"/>
      <c r="V136" s="25"/>
      <c r="W136" s="25"/>
      <c r="X136" s="25"/>
      <c r="Y136" s="25"/>
      <c r="AA136" s="25"/>
      <c r="AB136" s="25"/>
      <c r="AC136" s="25"/>
      <c r="AD136" s="25"/>
      <c r="AE136" s="25"/>
      <c r="AF136" s="25"/>
      <c r="AG136" s="25"/>
    </row>
    <row r="137" spans="1:33" x14ac:dyDescent="0.25">
      <c r="A137" s="18" t="str">
        <f t="shared" si="2"/>
        <v/>
      </c>
      <c r="B137" s="25"/>
      <c r="C137" s="25"/>
      <c r="D137" s="43"/>
      <c r="E137" s="44"/>
      <c r="F137" s="45"/>
      <c r="G137" s="40"/>
      <c r="H137" s="55" t="s">
        <v>255</v>
      </c>
      <c r="N137" s="66"/>
      <c r="O137" s="25"/>
      <c r="P137" s="72" t="str">
        <f>IFERROR(IF(ISBLANK(O137),"",INDEX(Gen_Vessels!$A$3:$C$500,MATCH(O137,Gen_Vessels!$C$3:$C$500,0),1)),"")</f>
        <v/>
      </c>
      <c r="Q137" s="25"/>
      <c r="R137" s="25"/>
      <c r="S137" s="25" t="str">
        <f>IFERROR(IF(ISBLANK(R137),"",INDEX(Gen_Vessels!$A$3:$C$500,MATCH(CorrectiveMinor!$R137,Gen_Vessels!$C$3:$C$500,0),1)),"")</f>
        <v/>
      </c>
      <c r="T137" s="25"/>
      <c r="U137" s="25"/>
      <c r="V137" s="25"/>
      <c r="W137" s="25"/>
      <c r="X137" s="25"/>
      <c r="Y137" s="25"/>
      <c r="AA137" s="25"/>
      <c r="AB137" s="25"/>
      <c r="AC137" s="25"/>
      <c r="AD137" s="25"/>
      <c r="AE137" s="25"/>
      <c r="AF137" s="25"/>
      <c r="AG137" s="25"/>
    </row>
    <row r="138" spans="1:33" x14ac:dyDescent="0.25">
      <c r="A138" s="18" t="str">
        <f t="shared" si="2"/>
        <v/>
      </c>
      <c r="B138" s="25"/>
      <c r="C138" s="25"/>
      <c r="D138" s="43"/>
      <c r="E138" s="44"/>
      <c r="F138" s="45"/>
      <c r="G138" s="40"/>
      <c r="H138" s="55" t="s">
        <v>255</v>
      </c>
      <c r="N138" s="66"/>
      <c r="O138" s="25"/>
      <c r="P138" s="72" t="str">
        <f>IFERROR(IF(ISBLANK(O138),"",INDEX(Gen_Vessels!$A$3:$C$500,MATCH(O138,Gen_Vessels!$C$3:$C$500,0),1)),"")</f>
        <v/>
      </c>
      <c r="Q138" s="25"/>
      <c r="R138" s="25"/>
      <c r="S138" s="25" t="str">
        <f>IFERROR(IF(ISBLANK(R138),"",INDEX(Gen_Vessels!$A$3:$C$500,MATCH(CorrectiveMinor!$R138,Gen_Vessels!$C$3:$C$500,0),1)),"")</f>
        <v/>
      </c>
      <c r="T138" s="25"/>
      <c r="U138" s="25"/>
      <c r="V138" s="25"/>
      <c r="W138" s="25"/>
      <c r="X138" s="25"/>
      <c r="Y138" s="25"/>
      <c r="AA138" s="25"/>
      <c r="AB138" s="25"/>
      <c r="AC138" s="25"/>
      <c r="AD138" s="25"/>
      <c r="AE138" s="25"/>
      <c r="AF138" s="25"/>
      <c r="AG138" s="25"/>
    </row>
    <row r="139" spans="1:33" x14ac:dyDescent="0.25">
      <c r="A139" s="18" t="str">
        <f t="shared" si="2"/>
        <v/>
      </c>
      <c r="B139" s="25"/>
      <c r="C139" s="25"/>
      <c r="D139" s="43"/>
      <c r="E139" s="44"/>
      <c r="F139" s="45"/>
      <c r="G139" s="40"/>
      <c r="H139" s="55" t="s">
        <v>255</v>
      </c>
      <c r="N139" s="66"/>
      <c r="O139" s="25"/>
      <c r="P139" s="72" t="str">
        <f>IFERROR(IF(ISBLANK(O139),"",INDEX(Gen_Vessels!$A$3:$C$500,MATCH(O139,Gen_Vessels!$C$3:$C$500,0),1)),"")</f>
        <v/>
      </c>
      <c r="Q139" s="25"/>
      <c r="R139" s="25"/>
      <c r="S139" s="25" t="str">
        <f>IFERROR(IF(ISBLANK(R139),"",INDEX(Gen_Vessels!$A$3:$C$500,MATCH(CorrectiveMinor!$R139,Gen_Vessels!$C$3:$C$500,0),1)),"")</f>
        <v/>
      </c>
      <c r="T139" s="25"/>
      <c r="U139" s="25"/>
      <c r="V139" s="25"/>
      <c r="W139" s="25"/>
      <c r="X139" s="25"/>
      <c r="Y139" s="25"/>
      <c r="AA139" s="25"/>
      <c r="AB139" s="25"/>
      <c r="AC139" s="25"/>
      <c r="AD139" s="25"/>
      <c r="AE139" s="25"/>
      <c r="AF139" s="25"/>
      <c r="AG139" s="25"/>
    </row>
    <row r="140" spans="1:33" x14ac:dyDescent="0.25">
      <c r="A140" s="18" t="str">
        <f t="shared" si="2"/>
        <v/>
      </c>
      <c r="B140" s="25"/>
      <c r="C140" s="25"/>
      <c r="D140" s="43"/>
      <c r="E140" s="44"/>
      <c r="F140" s="45"/>
      <c r="G140" s="40"/>
      <c r="H140" s="55" t="s">
        <v>255</v>
      </c>
      <c r="N140" s="66"/>
      <c r="O140" s="25"/>
      <c r="P140" s="72" t="str">
        <f>IFERROR(IF(ISBLANK(O140),"",INDEX(Gen_Vessels!$A$3:$C$500,MATCH(O140,Gen_Vessels!$C$3:$C$500,0),1)),"")</f>
        <v/>
      </c>
      <c r="Q140" s="25"/>
      <c r="R140" s="25"/>
      <c r="S140" s="25" t="str">
        <f>IFERROR(IF(ISBLANK(R140),"",INDEX(Gen_Vessels!$A$3:$C$500,MATCH(CorrectiveMinor!$R140,Gen_Vessels!$C$3:$C$500,0),1)),"")</f>
        <v/>
      </c>
      <c r="T140" s="25"/>
      <c r="U140" s="25"/>
      <c r="V140" s="25"/>
      <c r="W140" s="25"/>
      <c r="X140" s="25"/>
      <c r="Y140" s="25"/>
      <c r="AA140" s="25"/>
      <c r="AB140" s="25"/>
      <c r="AC140" s="25"/>
      <c r="AD140" s="25"/>
      <c r="AE140" s="25"/>
      <c r="AF140" s="25"/>
      <c r="AG140" s="25"/>
    </row>
    <row r="141" spans="1:33" x14ac:dyDescent="0.25">
      <c r="A141" s="18" t="str">
        <f t="shared" si="2"/>
        <v/>
      </c>
      <c r="B141" s="25"/>
      <c r="C141" s="25"/>
      <c r="D141" s="43"/>
      <c r="E141" s="44"/>
      <c r="F141" s="45"/>
      <c r="G141" s="40"/>
      <c r="H141" s="55" t="s">
        <v>255</v>
      </c>
      <c r="N141" s="66"/>
      <c r="O141" s="25"/>
      <c r="P141" s="72" t="str">
        <f>IFERROR(IF(ISBLANK(O141),"",INDEX(Gen_Vessels!$A$3:$C$500,MATCH(O141,Gen_Vessels!$C$3:$C$500,0),1)),"")</f>
        <v/>
      </c>
      <c r="Q141" s="25"/>
      <c r="R141" s="25"/>
      <c r="S141" s="25" t="str">
        <f>IFERROR(IF(ISBLANK(R141),"",INDEX(Gen_Vessels!$A$3:$C$500,MATCH(CorrectiveMinor!$R141,Gen_Vessels!$C$3:$C$500,0),1)),"")</f>
        <v/>
      </c>
      <c r="T141" s="25"/>
      <c r="U141" s="25"/>
      <c r="V141" s="25"/>
      <c r="W141" s="25"/>
      <c r="X141" s="25"/>
      <c r="Y141" s="25"/>
      <c r="AA141" s="25"/>
      <c r="AB141" s="25"/>
      <c r="AC141" s="25"/>
      <c r="AD141" s="25"/>
      <c r="AE141" s="25"/>
      <c r="AF141" s="25"/>
      <c r="AG141" s="25"/>
    </row>
    <row r="142" spans="1:33" x14ac:dyDescent="0.25">
      <c r="A142" s="18" t="str">
        <f t="shared" si="2"/>
        <v/>
      </c>
      <c r="B142" s="25"/>
      <c r="C142" s="25"/>
      <c r="D142" s="43"/>
      <c r="E142" s="44"/>
      <c r="F142" s="45"/>
      <c r="G142" s="40"/>
      <c r="H142" s="55" t="s">
        <v>255</v>
      </c>
      <c r="N142" s="66"/>
      <c r="O142" s="25"/>
      <c r="P142" s="72" t="str">
        <f>IFERROR(IF(ISBLANK(O142),"",INDEX(Gen_Vessels!$A$3:$C$500,MATCH(O142,Gen_Vessels!$C$3:$C$500,0),1)),"")</f>
        <v/>
      </c>
      <c r="Q142" s="25"/>
      <c r="R142" s="25"/>
      <c r="S142" s="25" t="str">
        <f>IFERROR(IF(ISBLANK(R142),"",INDEX(Gen_Vessels!$A$3:$C$500,MATCH(CorrectiveMinor!$R142,Gen_Vessels!$C$3:$C$500,0),1)),"")</f>
        <v/>
      </c>
      <c r="T142" s="25"/>
      <c r="U142" s="25"/>
      <c r="V142" s="25"/>
      <c r="W142" s="25"/>
      <c r="X142" s="25"/>
      <c r="Y142" s="25"/>
      <c r="AA142" s="25"/>
      <c r="AB142" s="25"/>
      <c r="AC142" s="25"/>
      <c r="AD142" s="25"/>
      <c r="AE142" s="25"/>
      <c r="AF142" s="25"/>
      <c r="AG142" s="25"/>
    </row>
    <row r="143" spans="1:33" x14ac:dyDescent="0.25">
      <c r="A143" s="18" t="str">
        <f t="shared" si="2"/>
        <v/>
      </c>
      <c r="B143" s="25"/>
      <c r="C143" s="25"/>
      <c r="D143" s="43"/>
      <c r="E143" s="44"/>
      <c r="F143" s="45"/>
      <c r="G143" s="40"/>
      <c r="H143" s="55" t="s">
        <v>255</v>
      </c>
      <c r="N143" s="66"/>
      <c r="O143" s="25"/>
      <c r="P143" s="72" t="str">
        <f>IFERROR(IF(ISBLANK(O143),"",INDEX(Gen_Vessels!$A$3:$C$500,MATCH(O143,Gen_Vessels!$C$3:$C$500,0),1)),"")</f>
        <v/>
      </c>
      <c r="Q143" s="25"/>
      <c r="R143" s="25"/>
      <c r="S143" s="25" t="str">
        <f>IFERROR(IF(ISBLANK(R143),"",INDEX(Gen_Vessels!$A$3:$C$500,MATCH(CorrectiveMinor!$R143,Gen_Vessels!$C$3:$C$500,0),1)),"")</f>
        <v/>
      </c>
      <c r="T143" s="25"/>
      <c r="U143" s="25"/>
      <c r="V143" s="25"/>
      <c r="W143" s="25"/>
      <c r="X143" s="25"/>
      <c r="Y143" s="25"/>
      <c r="AA143" s="25"/>
      <c r="AB143" s="25"/>
      <c r="AC143" s="25"/>
      <c r="AD143" s="25"/>
      <c r="AE143" s="25"/>
      <c r="AF143" s="25"/>
      <c r="AG143" s="25"/>
    </row>
    <row r="144" spans="1:33" x14ac:dyDescent="0.25">
      <c r="A144" s="18" t="str">
        <f t="shared" si="2"/>
        <v/>
      </c>
      <c r="B144" s="25"/>
      <c r="C144" s="25"/>
      <c r="D144" s="43"/>
      <c r="E144" s="44"/>
      <c r="F144" s="45"/>
      <c r="G144" s="40"/>
      <c r="H144" s="55" t="s">
        <v>255</v>
      </c>
      <c r="N144" s="66"/>
      <c r="O144" s="25"/>
      <c r="P144" s="72" t="str">
        <f>IFERROR(IF(ISBLANK(O144),"",INDEX(Gen_Vessels!$A$3:$C$500,MATCH(O144,Gen_Vessels!$C$3:$C$500,0),1)),"")</f>
        <v/>
      </c>
      <c r="Q144" s="25"/>
      <c r="R144" s="25"/>
      <c r="S144" s="25" t="str">
        <f>IFERROR(IF(ISBLANK(R144),"",INDEX(Gen_Vessels!$A$3:$C$500,MATCH(CorrectiveMinor!$R144,Gen_Vessels!$C$3:$C$500,0),1)),"")</f>
        <v/>
      </c>
      <c r="T144" s="25"/>
      <c r="U144" s="25"/>
      <c r="V144" s="25"/>
      <c r="W144" s="25"/>
      <c r="X144" s="25"/>
      <c r="Y144" s="25"/>
      <c r="AA144" s="25"/>
      <c r="AB144" s="25"/>
      <c r="AC144" s="25"/>
      <c r="AD144" s="25"/>
      <c r="AE144" s="25"/>
      <c r="AF144" s="25"/>
      <c r="AG144" s="25"/>
    </row>
    <row r="145" spans="1:33" x14ac:dyDescent="0.25">
      <c r="A145" s="18" t="str">
        <f t="shared" si="2"/>
        <v/>
      </c>
      <c r="B145" s="25"/>
      <c r="C145" s="25"/>
      <c r="D145" s="43"/>
      <c r="E145" s="44"/>
      <c r="F145" s="45"/>
      <c r="G145" s="40"/>
      <c r="H145" s="55" t="s">
        <v>255</v>
      </c>
      <c r="N145" s="66"/>
      <c r="O145" s="25"/>
      <c r="P145" s="72" t="str">
        <f>IFERROR(IF(ISBLANK(O145),"",INDEX(Gen_Vessels!$A$3:$C$500,MATCH(O145,Gen_Vessels!$C$3:$C$500,0),1)),"")</f>
        <v/>
      </c>
      <c r="Q145" s="25"/>
      <c r="R145" s="25"/>
      <c r="S145" s="25" t="str">
        <f>IFERROR(IF(ISBLANK(R145),"",INDEX(Gen_Vessels!$A$3:$C$500,MATCH(CorrectiveMinor!$R145,Gen_Vessels!$C$3:$C$500,0),1)),"")</f>
        <v/>
      </c>
      <c r="T145" s="25"/>
      <c r="U145" s="25"/>
      <c r="V145" s="25"/>
      <c r="W145" s="25"/>
      <c r="X145" s="25"/>
      <c r="Y145" s="25"/>
      <c r="AA145" s="25"/>
      <c r="AB145" s="25"/>
      <c r="AC145" s="25"/>
      <c r="AD145" s="25"/>
      <c r="AE145" s="25"/>
      <c r="AF145" s="25"/>
      <c r="AG145" s="25"/>
    </row>
    <row r="146" spans="1:33" x14ac:dyDescent="0.25">
      <c r="A146" s="18" t="str">
        <f t="shared" si="2"/>
        <v/>
      </c>
      <c r="B146" s="25"/>
      <c r="C146" s="25"/>
      <c r="D146" s="43"/>
      <c r="E146" s="44"/>
      <c r="F146" s="45"/>
      <c r="G146" s="40"/>
      <c r="H146" s="55" t="s">
        <v>255</v>
      </c>
      <c r="N146" s="66"/>
      <c r="O146" s="25"/>
      <c r="P146" s="72" t="str">
        <f>IFERROR(IF(ISBLANK(O146),"",INDEX(Gen_Vessels!$A$3:$C$500,MATCH(O146,Gen_Vessels!$C$3:$C$500,0),1)),"")</f>
        <v/>
      </c>
      <c r="Q146" s="25"/>
      <c r="R146" s="25"/>
      <c r="S146" s="25" t="str">
        <f>IFERROR(IF(ISBLANK(R146),"",INDEX(Gen_Vessels!$A$3:$C$500,MATCH(CorrectiveMinor!$R146,Gen_Vessels!$C$3:$C$500,0),1)),"")</f>
        <v/>
      </c>
      <c r="T146" s="25"/>
      <c r="U146" s="25"/>
      <c r="V146" s="25"/>
      <c r="W146" s="25"/>
      <c r="X146" s="25"/>
      <c r="Y146" s="25"/>
      <c r="AA146" s="25"/>
      <c r="AB146" s="25"/>
      <c r="AC146" s="25"/>
      <c r="AD146" s="25"/>
      <c r="AE146" s="25"/>
      <c r="AF146" s="25"/>
      <c r="AG146" s="25"/>
    </row>
    <row r="147" spans="1:33" x14ac:dyDescent="0.25">
      <c r="A147" s="18" t="str">
        <f t="shared" si="2"/>
        <v/>
      </c>
      <c r="B147" s="25"/>
      <c r="C147" s="25"/>
      <c r="D147" s="43"/>
      <c r="E147" s="44"/>
      <c r="F147" s="45"/>
      <c r="G147" s="40"/>
      <c r="H147" s="55" t="s">
        <v>255</v>
      </c>
      <c r="N147" s="66"/>
      <c r="O147" s="25"/>
      <c r="P147" s="72" t="str">
        <f>IFERROR(IF(ISBLANK(O147),"",INDEX(Gen_Vessels!$A$3:$C$500,MATCH(O147,Gen_Vessels!$C$3:$C$500,0),1)),"")</f>
        <v/>
      </c>
      <c r="Q147" s="25"/>
      <c r="R147" s="25"/>
      <c r="S147" s="25" t="str">
        <f>IFERROR(IF(ISBLANK(R147),"",INDEX(Gen_Vessels!$A$3:$C$500,MATCH(CorrectiveMinor!$R147,Gen_Vessels!$C$3:$C$500,0),1)),"")</f>
        <v/>
      </c>
      <c r="T147" s="25"/>
      <c r="U147" s="25"/>
      <c r="V147" s="25"/>
      <c r="W147" s="25"/>
      <c r="X147" s="25"/>
      <c r="Y147" s="25"/>
      <c r="AA147" s="25"/>
      <c r="AB147" s="25"/>
      <c r="AC147" s="25"/>
      <c r="AD147" s="25"/>
      <c r="AE147" s="25"/>
      <c r="AF147" s="25"/>
      <c r="AG147" s="25"/>
    </row>
    <row r="148" spans="1:33" x14ac:dyDescent="0.25">
      <c r="A148" s="18" t="str">
        <f t="shared" si="2"/>
        <v/>
      </c>
      <c r="B148" s="25"/>
      <c r="C148" s="25"/>
      <c r="D148" s="43"/>
      <c r="E148" s="44"/>
      <c r="F148" s="45"/>
      <c r="G148" s="40"/>
      <c r="H148" s="55" t="s">
        <v>255</v>
      </c>
      <c r="N148" s="66"/>
      <c r="O148" s="25"/>
      <c r="P148" s="72" t="str">
        <f>IFERROR(IF(ISBLANK(O148),"",INDEX(Gen_Vessels!$A$3:$C$500,MATCH(O148,Gen_Vessels!$C$3:$C$500,0),1)),"")</f>
        <v/>
      </c>
      <c r="Q148" s="25"/>
      <c r="R148" s="25"/>
      <c r="S148" s="25" t="str">
        <f>IFERROR(IF(ISBLANK(R148),"",INDEX(Gen_Vessels!$A$3:$C$500,MATCH(CorrectiveMinor!$R148,Gen_Vessels!$C$3:$C$500,0),1)),"")</f>
        <v/>
      </c>
      <c r="T148" s="25"/>
      <c r="U148" s="25"/>
      <c r="V148" s="25"/>
      <c r="W148" s="25"/>
      <c r="X148" s="25"/>
      <c r="Y148" s="25"/>
      <c r="AA148" s="25"/>
      <c r="AB148" s="25"/>
      <c r="AC148" s="25"/>
      <c r="AD148" s="25"/>
      <c r="AE148" s="25"/>
      <c r="AF148" s="25"/>
      <c r="AG148" s="25"/>
    </row>
    <row r="149" spans="1:33" x14ac:dyDescent="0.25">
      <c r="A149" s="18" t="str">
        <f t="shared" si="2"/>
        <v/>
      </c>
      <c r="B149" s="25"/>
      <c r="C149" s="25"/>
      <c r="D149" s="43"/>
      <c r="E149" s="44"/>
      <c r="F149" s="45"/>
      <c r="G149" s="40"/>
      <c r="H149" s="55" t="s">
        <v>255</v>
      </c>
      <c r="N149" s="66"/>
      <c r="O149" s="25"/>
      <c r="P149" s="72" t="str">
        <f>IFERROR(IF(ISBLANK(O149),"",INDEX(Gen_Vessels!$A$3:$C$500,MATCH(O149,Gen_Vessels!$C$3:$C$500,0),1)),"")</f>
        <v/>
      </c>
      <c r="Q149" s="25"/>
      <c r="R149" s="25"/>
      <c r="S149" s="25" t="str">
        <f>IFERROR(IF(ISBLANK(R149),"",INDEX(Gen_Vessels!$A$3:$C$500,MATCH(CorrectiveMinor!$R149,Gen_Vessels!$C$3:$C$500,0),1)),"")</f>
        <v/>
      </c>
      <c r="T149" s="25"/>
      <c r="U149" s="25"/>
      <c r="V149" s="25"/>
      <c r="W149" s="25"/>
      <c r="X149" s="25"/>
      <c r="Y149" s="25"/>
      <c r="AA149" s="25"/>
      <c r="AB149" s="25"/>
      <c r="AC149" s="25"/>
      <c r="AD149" s="25"/>
      <c r="AE149" s="25"/>
      <c r="AF149" s="25"/>
      <c r="AG149" s="25"/>
    </row>
    <row r="150" spans="1:33" x14ac:dyDescent="0.25">
      <c r="A150" s="18" t="str">
        <f t="shared" si="2"/>
        <v/>
      </c>
      <c r="B150" s="25"/>
      <c r="C150" s="25"/>
      <c r="D150" s="43"/>
      <c r="E150" s="44"/>
      <c r="F150" s="45"/>
      <c r="G150" s="40"/>
      <c r="H150" s="55" t="s">
        <v>255</v>
      </c>
      <c r="N150" s="66"/>
      <c r="O150" s="25"/>
      <c r="P150" s="72" t="str">
        <f>IFERROR(IF(ISBLANK(O150),"",INDEX(Gen_Vessels!$A$3:$C$500,MATCH(O150,Gen_Vessels!$C$3:$C$500,0),1)),"")</f>
        <v/>
      </c>
      <c r="Q150" s="25"/>
      <c r="R150" s="25"/>
      <c r="S150" s="25" t="str">
        <f>IFERROR(IF(ISBLANK(R150),"",INDEX(Gen_Vessels!$A$3:$C$500,MATCH(CorrectiveMinor!$R150,Gen_Vessels!$C$3:$C$500,0),1)),"")</f>
        <v/>
      </c>
      <c r="T150" s="25"/>
      <c r="U150" s="25"/>
      <c r="V150" s="25"/>
      <c r="W150" s="25"/>
      <c r="X150" s="25"/>
      <c r="Y150" s="25"/>
      <c r="AA150" s="25"/>
      <c r="AB150" s="25"/>
      <c r="AC150" s="25"/>
      <c r="AD150" s="25"/>
      <c r="AE150" s="25"/>
      <c r="AF150" s="25"/>
      <c r="AG150" s="25"/>
    </row>
    <row r="151" spans="1:33" x14ac:dyDescent="0.25">
      <c r="A151" s="18" t="str">
        <f t="shared" si="2"/>
        <v/>
      </c>
      <c r="B151" s="25"/>
      <c r="C151" s="25"/>
      <c r="D151" s="43"/>
      <c r="E151" s="44"/>
      <c r="F151" s="45"/>
      <c r="G151" s="40"/>
      <c r="H151" s="55" t="s">
        <v>255</v>
      </c>
      <c r="N151" s="66"/>
      <c r="O151" s="25"/>
      <c r="P151" s="72" t="str">
        <f>IFERROR(IF(ISBLANK(O151),"",INDEX(Gen_Vessels!$A$3:$C$500,MATCH(O151,Gen_Vessels!$C$3:$C$500,0),1)),"")</f>
        <v/>
      </c>
      <c r="Q151" s="25"/>
      <c r="R151" s="25"/>
      <c r="S151" s="25" t="str">
        <f>IFERROR(IF(ISBLANK(R151),"",INDEX(Gen_Vessels!$A$3:$C$500,MATCH(CorrectiveMinor!$R151,Gen_Vessels!$C$3:$C$500,0),1)),"")</f>
        <v/>
      </c>
      <c r="T151" s="25"/>
      <c r="U151" s="25"/>
      <c r="V151" s="25"/>
      <c r="W151" s="25"/>
      <c r="X151" s="25"/>
      <c r="Y151" s="25"/>
      <c r="AA151" s="25"/>
      <c r="AB151" s="25"/>
      <c r="AC151" s="25"/>
      <c r="AD151" s="25"/>
      <c r="AE151" s="25"/>
      <c r="AF151" s="25"/>
      <c r="AG151" s="25"/>
    </row>
    <row r="152" spans="1:33" x14ac:dyDescent="0.25">
      <c r="A152" s="18" t="str">
        <f t="shared" si="2"/>
        <v/>
      </c>
      <c r="B152" s="25"/>
      <c r="C152" s="25"/>
      <c r="D152" s="43"/>
      <c r="E152" s="44"/>
      <c r="F152" s="45"/>
      <c r="G152" s="40"/>
      <c r="H152" s="55" t="s">
        <v>255</v>
      </c>
      <c r="N152" s="66"/>
      <c r="O152" s="25"/>
      <c r="P152" s="72" t="str">
        <f>IFERROR(IF(ISBLANK(O152),"",INDEX(Gen_Vessels!$A$3:$C$500,MATCH(O152,Gen_Vessels!$C$3:$C$500,0),1)),"")</f>
        <v/>
      </c>
      <c r="Q152" s="25"/>
      <c r="R152" s="25"/>
      <c r="S152" s="25" t="str">
        <f>IFERROR(IF(ISBLANK(R152),"",INDEX(Gen_Vessels!$A$3:$C$500,MATCH(CorrectiveMinor!$R152,Gen_Vessels!$C$3:$C$500,0),1)),"")</f>
        <v/>
      </c>
      <c r="T152" s="25"/>
      <c r="U152" s="25"/>
      <c r="V152" s="25"/>
      <c r="W152" s="25"/>
      <c r="X152" s="25"/>
      <c r="Y152" s="25"/>
      <c r="AA152" s="25"/>
      <c r="AB152" s="25"/>
      <c r="AC152" s="25"/>
      <c r="AD152" s="25"/>
      <c r="AE152" s="25"/>
      <c r="AF152" s="25"/>
      <c r="AG152" s="25"/>
    </row>
    <row r="153" spans="1:33" x14ac:dyDescent="0.25">
      <c r="A153" s="18" t="str">
        <f t="shared" si="2"/>
        <v/>
      </c>
      <c r="B153" s="25"/>
      <c r="C153" s="25"/>
      <c r="D153" s="43"/>
      <c r="E153" s="44"/>
      <c r="F153" s="45"/>
      <c r="G153" s="40"/>
      <c r="H153" s="55" t="s">
        <v>255</v>
      </c>
      <c r="N153" s="66"/>
      <c r="O153" s="25"/>
      <c r="P153" s="72" t="str">
        <f>IFERROR(IF(ISBLANK(O153),"",INDEX(Gen_Vessels!$A$3:$C$500,MATCH(O153,Gen_Vessels!$C$3:$C$500,0),1)),"")</f>
        <v/>
      </c>
      <c r="Q153" s="25"/>
      <c r="R153" s="25"/>
      <c r="S153" s="25" t="str">
        <f>IFERROR(IF(ISBLANK(R153),"",INDEX(Gen_Vessels!$A$3:$C$500,MATCH(CorrectiveMinor!$R153,Gen_Vessels!$C$3:$C$500,0),1)),"")</f>
        <v/>
      </c>
      <c r="T153" s="25"/>
      <c r="U153" s="25"/>
      <c r="V153" s="25"/>
      <c r="W153" s="25"/>
      <c r="X153" s="25"/>
      <c r="Y153" s="25"/>
      <c r="AA153" s="25"/>
      <c r="AB153" s="25"/>
      <c r="AC153" s="25"/>
      <c r="AD153" s="25"/>
      <c r="AE153" s="25"/>
      <c r="AF153" s="25"/>
      <c r="AG153" s="25"/>
    </row>
    <row r="154" spans="1:33" x14ac:dyDescent="0.25">
      <c r="A154" s="18" t="str">
        <f t="shared" si="2"/>
        <v/>
      </c>
      <c r="B154" s="25"/>
      <c r="C154" s="25"/>
      <c r="D154" s="43"/>
      <c r="E154" s="44"/>
      <c r="F154" s="45"/>
      <c r="G154" s="40"/>
      <c r="H154" s="55" t="s">
        <v>255</v>
      </c>
      <c r="N154" s="66"/>
      <c r="O154" s="25"/>
      <c r="P154" s="72" t="str">
        <f>IFERROR(IF(ISBLANK(O154),"",INDEX(Gen_Vessels!$A$3:$C$500,MATCH(O154,Gen_Vessels!$C$3:$C$500,0),1)),"")</f>
        <v/>
      </c>
      <c r="Q154" s="25"/>
      <c r="R154" s="25"/>
      <c r="S154" s="25" t="str">
        <f>IFERROR(IF(ISBLANK(R154),"",INDEX(Gen_Vessels!$A$3:$C$500,MATCH(CorrectiveMinor!$R154,Gen_Vessels!$C$3:$C$500,0),1)),"")</f>
        <v/>
      </c>
      <c r="T154" s="25"/>
      <c r="U154" s="25"/>
      <c r="V154" s="25"/>
      <c r="W154" s="25"/>
      <c r="X154" s="25"/>
      <c r="Y154" s="25"/>
      <c r="AA154" s="25"/>
      <c r="AB154" s="25"/>
      <c r="AC154" s="25"/>
      <c r="AD154" s="25"/>
      <c r="AE154" s="25"/>
      <c r="AF154" s="25"/>
      <c r="AG154" s="25"/>
    </row>
    <row r="155" spans="1:33" x14ac:dyDescent="0.25">
      <c r="A155" s="18" t="str">
        <f t="shared" si="2"/>
        <v/>
      </c>
      <c r="B155" s="25"/>
      <c r="C155" s="25"/>
      <c r="D155" s="43"/>
      <c r="E155" s="44"/>
      <c r="F155" s="45"/>
      <c r="G155" s="40"/>
      <c r="H155" s="55" t="s">
        <v>255</v>
      </c>
      <c r="N155" s="66"/>
      <c r="O155" s="25"/>
      <c r="P155" s="72" t="str">
        <f>IFERROR(IF(ISBLANK(O155),"",INDEX(Gen_Vessels!$A$3:$C$500,MATCH(O155,Gen_Vessels!$C$3:$C$500,0),1)),"")</f>
        <v/>
      </c>
      <c r="Q155" s="25"/>
      <c r="R155" s="25"/>
      <c r="S155" s="25" t="str">
        <f>IFERROR(IF(ISBLANK(R155),"",INDEX(Gen_Vessels!$A$3:$C$500,MATCH(CorrectiveMinor!$R155,Gen_Vessels!$C$3:$C$500,0),1)),"")</f>
        <v/>
      </c>
      <c r="T155" s="25"/>
      <c r="U155" s="25"/>
      <c r="V155" s="25"/>
      <c r="W155" s="25"/>
      <c r="X155" s="25"/>
      <c r="Y155" s="25"/>
      <c r="AA155" s="25"/>
      <c r="AB155" s="25"/>
      <c r="AC155" s="25"/>
      <c r="AD155" s="25"/>
      <c r="AE155" s="25"/>
      <c r="AF155" s="25"/>
      <c r="AG155" s="25"/>
    </row>
    <row r="156" spans="1:33" x14ac:dyDescent="0.25">
      <c r="A156" s="18" t="str">
        <f t="shared" si="2"/>
        <v/>
      </c>
      <c r="B156" s="25"/>
      <c r="C156" s="25"/>
      <c r="D156" s="43"/>
      <c r="E156" s="44"/>
      <c r="F156" s="45"/>
      <c r="G156" s="40"/>
      <c r="H156" s="55" t="s">
        <v>255</v>
      </c>
      <c r="N156" s="66"/>
      <c r="O156" s="25"/>
      <c r="P156" s="72" t="str">
        <f>IFERROR(IF(ISBLANK(O156),"",INDEX(Gen_Vessels!$A$3:$C$500,MATCH(O156,Gen_Vessels!$C$3:$C$500,0),1)),"")</f>
        <v/>
      </c>
      <c r="Q156" s="25"/>
      <c r="R156" s="25"/>
      <c r="S156" s="25" t="str">
        <f>IFERROR(IF(ISBLANK(R156),"",INDEX(Gen_Vessels!$A$3:$C$500,MATCH(CorrectiveMinor!$R156,Gen_Vessels!$C$3:$C$500,0),1)),"")</f>
        <v/>
      </c>
      <c r="T156" s="25"/>
      <c r="U156" s="25"/>
      <c r="V156" s="25"/>
      <c r="W156" s="25"/>
      <c r="X156" s="25"/>
      <c r="Y156" s="25"/>
      <c r="AA156" s="25"/>
      <c r="AB156" s="25"/>
      <c r="AC156" s="25"/>
      <c r="AD156" s="25"/>
      <c r="AE156" s="25"/>
      <c r="AF156" s="25"/>
      <c r="AG156" s="25"/>
    </row>
    <row r="157" spans="1:33" x14ac:dyDescent="0.25">
      <c r="A157" s="18" t="str">
        <f t="shared" si="2"/>
        <v/>
      </c>
      <c r="B157" s="25"/>
      <c r="C157" s="25"/>
      <c r="D157" s="43"/>
      <c r="E157" s="44"/>
      <c r="F157" s="45"/>
      <c r="G157" s="40"/>
      <c r="H157" s="55" t="s">
        <v>255</v>
      </c>
      <c r="N157" s="66"/>
      <c r="O157" s="25"/>
      <c r="P157" s="72" t="str">
        <f>IFERROR(IF(ISBLANK(O157),"",INDEX(Gen_Vessels!$A$3:$C$500,MATCH(O157,Gen_Vessels!$C$3:$C$500,0),1)),"")</f>
        <v/>
      </c>
      <c r="Q157" s="25"/>
      <c r="R157" s="25"/>
      <c r="S157" s="25" t="str">
        <f>IFERROR(IF(ISBLANK(R157),"",INDEX(Gen_Vessels!$A$3:$C$500,MATCH(CorrectiveMinor!$R157,Gen_Vessels!$C$3:$C$500,0),1)),"")</f>
        <v/>
      </c>
      <c r="T157" s="25"/>
      <c r="U157" s="25"/>
      <c r="V157" s="25"/>
      <c r="W157" s="25"/>
      <c r="X157" s="25"/>
      <c r="Y157" s="25"/>
      <c r="AA157" s="25"/>
      <c r="AB157" s="25"/>
      <c r="AC157" s="25"/>
      <c r="AD157" s="25"/>
      <c r="AE157" s="25"/>
      <c r="AF157" s="25"/>
      <c r="AG157" s="25"/>
    </row>
    <row r="158" spans="1:33" x14ac:dyDescent="0.25">
      <c r="A158" s="18" t="str">
        <f t="shared" si="2"/>
        <v/>
      </c>
      <c r="B158" s="25"/>
      <c r="C158" s="25"/>
      <c r="D158" s="43"/>
      <c r="E158" s="44"/>
      <c r="F158" s="45"/>
      <c r="G158" s="40"/>
      <c r="H158" s="55" t="s">
        <v>255</v>
      </c>
      <c r="N158" s="66"/>
      <c r="O158" s="25"/>
      <c r="P158" s="72" t="str">
        <f>IFERROR(IF(ISBLANK(O158),"",INDEX(Gen_Vessels!$A$3:$C$500,MATCH(O158,Gen_Vessels!$C$3:$C$500,0),1)),"")</f>
        <v/>
      </c>
      <c r="Q158" s="25"/>
      <c r="R158" s="25"/>
      <c r="S158" s="25" t="str">
        <f>IFERROR(IF(ISBLANK(R158),"",INDEX(Gen_Vessels!$A$3:$C$500,MATCH(CorrectiveMinor!$R158,Gen_Vessels!$C$3:$C$500,0),1)),"")</f>
        <v/>
      </c>
      <c r="T158" s="25"/>
      <c r="U158" s="25"/>
      <c r="V158" s="25"/>
      <c r="W158" s="25"/>
      <c r="X158" s="25"/>
      <c r="Y158" s="25"/>
      <c r="AA158" s="25"/>
      <c r="AB158" s="25"/>
      <c r="AC158" s="25"/>
      <c r="AD158" s="25"/>
      <c r="AE158" s="25"/>
      <c r="AF158" s="25"/>
      <c r="AG158" s="25"/>
    </row>
    <row r="159" spans="1:33" x14ac:dyDescent="0.25">
      <c r="A159" s="18" t="str">
        <f t="shared" si="2"/>
        <v/>
      </c>
      <c r="B159" s="25"/>
      <c r="C159" s="25"/>
      <c r="D159" s="43"/>
      <c r="E159" s="44"/>
      <c r="F159" s="45"/>
      <c r="G159" s="40"/>
      <c r="H159" s="55" t="s">
        <v>255</v>
      </c>
      <c r="N159" s="66"/>
      <c r="O159" s="25"/>
      <c r="P159" s="72" t="str">
        <f>IFERROR(IF(ISBLANK(O159),"",INDEX(Gen_Vessels!$A$3:$C$500,MATCH(O159,Gen_Vessels!$C$3:$C$500,0),1)),"")</f>
        <v/>
      </c>
      <c r="Q159" s="25"/>
      <c r="R159" s="25"/>
      <c r="S159" s="25" t="str">
        <f>IFERROR(IF(ISBLANK(R159),"",INDEX(Gen_Vessels!$A$3:$C$500,MATCH(CorrectiveMinor!$R159,Gen_Vessels!$C$3:$C$500,0),1)),"")</f>
        <v/>
      </c>
      <c r="T159" s="25"/>
      <c r="U159" s="25"/>
      <c r="V159" s="25"/>
      <c r="W159" s="25"/>
      <c r="X159" s="25"/>
      <c r="Y159" s="25"/>
      <c r="AA159" s="25"/>
      <c r="AB159" s="25"/>
      <c r="AC159" s="25"/>
      <c r="AD159" s="25"/>
      <c r="AE159" s="25"/>
      <c r="AF159" s="25"/>
      <c r="AG159" s="25"/>
    </row>
    <row r="160" spans="1:33" x14ac:dyDescent="0.25">
      <c r="A160" s="18" t="str">
        <f t="shared" si="2"/>
        <v/>
      </c>
      <c r="B160" s="25"/>
      <c r="C160" s="25"/>
      <c r="D160" s="43"/>
      <c r="E160" s="44"/>
      <c r="F160" s="45"/>
      <c r="G160" s="40"/>
      <c r="H160" s="55" t="s">
        <v>255</v>
      </c>
      <c r="N160" s="66"/>
      <c r="O160" s="25"/>
      <c r="P160" s="72" t="str">
        <f>IFERROR(IF(ISBLANK(O160),"",INDEX(Gen_Vessels!$A$3:$C$500,MATCH(O160,Gen_Vessels!$C$3:$C$500,0),1)),"")</f>
        <v/>
      </c>
      <c r="Q160" s="25"/>
      <c r="R160" s="25"/>
      <c r="S160" s="25" t="str">
        <f>IFERROR(IF(ISBLANK(R160),"",INDEX(Gen_Vessels!$A$3:$C$500,MATCH(CorrectiveMinor!$R160,Gen_Vessels!$C$3:$C$500,0),1)),"")</f>
        <v/>
      </c>
      <c r="T160" s="25"/>
      <c r="U160" s="25"/>
      <c r="V160" s="25"/>
      <c r="W160" s="25"/>
      <c r="X160" s="25"/>
      <c r="Y160" s="25"/>
      <c r="AA160" s="25"/>
      <c r="AB160" s="25"/>
      <c r="AC160" s="25"/>
      <c r="AD160" s="25"/>
      <c r="AE160" s="25"/>
      <c r="AF160" s="25"/>
      <c r="AG160" s="25"/>
    </row>
    <row r="161" spans="1:33" x14ac:dyDescent="0.25">
      <c r="A161" s="18" t="str">
        <f t="shared" si="2"/>
        <v/>
      </c>
      <c r="B161" s="25"/>
      <c r="C161" s="25"/>
      <c r="D161" s="43"/>
      <c r="E161" s="44"/>
      <c r="F161" s="45"/>
      <c r="G161" s="40"/>
      <c r="H161" s="55" t="s">
        <v>255</v>
      </c>
      <c r="N161" s="66"/>
      <c r="O161" s="25"/>
      <c r="P161" s="72" t="str">
        <f>IFERROR(IF(ISBLANK(O161),"",INDEX(Gen_Vessels!$A$3:$C$500,MATCH(O161,Gen_Vessels!$C$3:$C$500,0),1)),"")</f>
        <v/>
      </c>
      <c r="Q161" s="25"/>
      <c r="R161" s="25"/>
      <c r="S161" s="25" t="str">
        <f>IFERROR(IF(ISBLANK(R161),"",INDEX(Gen_Vessels!$A$3:$C$500,MATCH(CorrectiveMinor!$R161,Gen_Vessels!$C$3:$C$500,0),1)),"")</f>
        <v/>
      </c>
      <c r="T161" s="25"/>
      <c r="U161" s="25"/>
      <c r="V161" s="25"/>
      <c r="W161" s="25"/>
      <c r="X161" s="25"/>
      <c r="Y161" s="25"/>
      <c r="AA161" s="25"/>
      <c r="AB161" s="25"/>
      <c r="AC161" s="25"/>
      <c r="AD161" s="25"/>
      <c r="AE161" s="25"/>
      <c r="AF161" s="25"/>
      <c r="AG161" s="25"/>
    </row>
    <row r="162" spans="1:33" x14ac:dyDescent="0.25">
      <c r="A162" s="18" t="str">
        <f t="shared" si="2"/>
        <v/>
      </c>
      <c r="B162" s="25"/>
      <c r="C162" s="25"/>
      <c r="D162" s="43"/>
      <c r="E162" s="44"/>
      <c r="F162" s="45"/>
      <c r="G162" s="40"/>
      <c r="H162" s="55" t="s">
        <v>255</v>
      </c>
      <c r="N162" s="66"/>
      <c r="O162" s="25"/>
      <c r="P162" s="72" t="str">
        <f>IFERROR(IF(ISBLANK(O162),"",INDEX(Gen_Vessels!$A$3:$C$500,MATCH(O162,Gen_Vessels!$C$3:$C$500,0),1)),"")</f>
        <v/>
      </c>
      <c r="Q162" s="25"/>
      <c r="R162" s="25"/>
      <c r="S162" s="25" t="str">
        <f>IFERROR(IF(ISBLANK(R162),"",INDEX(Gen_Vessels!$A$3:$C$500,MATCH(CorrectiveMinor!$R162,Gen_Vessels!$C$3:$C$500,0),1)),"")</f>
        <v/>
      </c>
      <c r="T162" s="25"/>
      <c r="U162" s="25"/>
      <c r="V162" s="25"/>
      <c r="W162" s="25"/>
      <c r="X162" s="25"/>
      <c r="Y162" s="25"/>
      <c r="AA162" s="25"/>
      <c r="AB162" s="25"/>
      <c r="AC162" s="25"/>
      <c r="AD162" s="25"/>
      <c r="AE162" s="25"/>
      <c r="AF162" s="25"/>
      <c r="AG162" s="25"/>
    </row>
    <row r="163" spans="1:33" x14ac:dyDescent="0.25">
      <c r="A163" s="18" t="str">
        <f t="shared" si="2"/>
        <v/>
      </c>
      <c r="B163" s="25"/>
      <c r="C163" s="25"/>
      <c r="D163" s="43"/>
      <c r="E163" s="44"/>
      <c r="F163" s="45"/>
      <c r="G163" s="40"/>
      <c r="H163" s="55" t="s">
        <v>255</v>
      </c>
      <c r="N163" s="66"/>
      <c r="O163" s="25"/>
      <c r="P163" s="72" t="str">
        <f>IFERROR(IF(ISBLANK(O163),"",INDEX(Gen_Vessels!$A$3:$C$500,MATCH(O163,Gen_Vessels!$C$3:$C$500,0),1)),"")</f>
        <v/>
      </c>
      <c r="Q163" s="25"/>
      <c r="R163" s="25"/>
      <c r="S163" s="25" t="str">
        <f>IFERROR(IF(ISBLANK(R163),"",INDEX(Gen_Vessels!$A$3:$C$500,MATCH(CorrectiveMinor!$R163,Gen_Vessels!$C$3:$C$500,0),1)),"")</f>
        <v/>
      </c>
      <c r="T163" s="25"/>
      <c r="U163" s="25"/>
      <c r="V163" s="25"/>
      <c r="W163" s="25"/>
      <c r="X163" s="25"/>
      <c r="Y163" s="25"/>
      <c r="AA163" s="25"/>
      <c r="AB163" s="25"/>
      <c r="AC163" s="25"/>
      <c r="AD163" s="25"/>
      <c r="AE163" s="25"/>
      <c r="AF163" s="25"/>
      <c r="AG163" s="25"/>
    </row>
    <row r="164" spans="1:33" x14ac:dyDescent="0.25">
      <c r="A164" s="18" t="str">
        <f t="shared" si="2"/>
        <v/>
      </c>
      <c r="B164" s="25"/>
      <c r="C164" s="25"/>
      <c r="D164" s="43"/>
      <c r="E164" s="44"/>
      <c r="F164" s="45"/>
      <c r="G164" s="40"/>
      <c r="H164" s="55" t="s">
        <v>255</v>
      </c>
      <c r="N164" s="66"/>
      <c r="O164" s="25"/>
      <c r="P164" s="72" t="str">
        <f>IFERROR(IF(ISBLANK(O164),"",INDEX(Gen_Vessels!$A$3:$C$500,MATCH(O164,Gen_Vessels!$C$3:$C$500,0),1)),"")</f>
        <v/>
      </c>
      <c r="Q164" s="25"/>
      <c r="R164" s="25"/>
      <c r="S164" s="25" t="str">
        <f>IFERROR(IF(ISBLANK(R164),"",INDEX(Gen_Vessels!$A$3:$C$500,MATCH(CorrectiveMinor!$R164,Gen_Vessels!$C$3:$C$500,0),1)),"")</f>
        <v/>
      </c>
      <c r="T164" s="25"/>
      <c r="U164" s="25"/>
      <c r="V164" s="25"/>
      <c r="W164" s="25"/>
      <c r="X164" s="25"/>
      <c r="Y164" s="25"/>
      <c r="AA164" s="25"/>
      <c r="AB164" s="25"/>
      <c r="AC164" s="25"/>
      <c r="AD164" s="25"/>
      <c r="AE164" s="25"/>
      <c r="AF164" s="25"/>
      <c r="AG164" s="25"/>
    </row>
    <row r="165" spans="1:33" x14ac:dyDescent="0.25">
      <c r="A165" s="18" t="str">
        <f t="shared" si="2"/>
        <v/>
      </c>
      <c r="B165" s="25"/>
      <c r="C165" s="25"/>
      <c r="D165" s="43"/>
      <c r="E165" s="44"/>
      <c r="F165" s="45"/>
      <c r="G165" s="40"/>
      <c r="H165" s="55" t="s">
        <v>255</v>
      </c>
      <c r="N165" s="66"/>
      <c r="O165" s="25"/>
      <c r="P165" s="72" t="str">
        <f>IFERROR(IF(ISBLANK(O165),"",INDEX(Gen_Vessels!$A$3:$C$500,MATCH(O165,Gen_Vessels!$C$3:$C$500,0),1)),"")</f>
        <v/>
      </c>
      <c r="Q165" s="25"/>
      <c r="R165" s="25"/>
      <c r="S165" s="25" t="str">
        <f>IFERROR(IF(ISBLANK(R165),"",INDEX(Gen_Vessels!$A$3:$C$500,MATCH(CorrectiveMinor!$R165,Gen_Vessels!$C$3:$C$500,0),1)),"")</f>
        <v/>
      </c>
      <c r="T165" s="25"/>
      <c r="U165" s="25"/>
      <c r="V165" s="25"/>
      <c r="W165" s="25"/>
      <c r="X165" s="25"/>
      <c r="Y165" s="25"/>
      <c r="AA165" s="25"/>
      <c r="AB165" s="25"/>
      <c r="AC165" s="25"/>
      <c r="AD165" s="25"/>
      <c r="AE165" s="25"/>
      <c r="AF165" s="25"/>
      <c r="AG165" s="25"/>
    </row>
    <row r="166" spans="1:33" x14ac:dyDescent="0.25">
      <c r="A166" s="18" t="str">
        <f t="shared" si="2"/>
        <v/>
      </c>
      <c r="B166" s="25"/>
      <c r="C166" s="25"/>
      <c r="D166" s="43"/>
      <c r="E166" s="44"/>
      <c r="F166" s="45"/>
      <c r="G166" s="40"/>
      <c r="H166" s="55" t="s">
        <v>255</v>
      </c>
      <c r="N166" s="66"/>
      <c r="O166" s="25"/>
      <c r="P166" s="72" t="str">
        <f>IFERROR(IF(ISBLANK(O166),"",INDEX(Gen_Vessels!$A$3:$C$500,MATCH(O166,Gen_Vessels!$C$3:$C$500,0),1)),"")</f>
        <v/>
      </c>
      <c r="Q166" s="25"/>
      <c r="R166" s="25"/>
      <c r="S166" s="25" t="str">
        <f>IFERROR(IF(ISBLANK(R166),"",INDEX(Gen_Vessels!$A$3:$C$500,MATCH(CorrectiveMinor!$R166,Gen_Vessels!$C$3:$C$500,0),1)),"")</f>
        <v/>
      </c>
      <c r="T166" s="25"/>
      <c r="U166" s="25"/>
      <c r="V166" s="25"/>
      <c r="W166" s="25"/>
      <c r="X166" s="25"/>
      <c r="Y166" s="25"/>
      <c r="AA166" s="25"/>
      <c r="AB166" s="25"/>
      <c r="AC166" s="25"/>
      <c r="AD166" s="25"/>
      <c r="AE166" s="25"/>
      <c r="AF166" s="25"/>
      <c r="AG166" s="25"/>
    </row>
    <row r="167" spans="1:33" x14ac:dyDescent="0.25">
      <c r="A167" s="18" t="str">
        <f t="shared" si="2"/>
        <v/>
      </c>
      <c r="B167" s="25"/>
      <c r="C167" s="25"/>
      <c r="D167" s="43"/>
      <c r="E167" s="44"/>
      <c r="F167" s="45"/>
      <c r="G167" s="40"/>
      <c r="H167" s="55" t="s">
        <v>255</v>
      </c>
      <c r="N167" s="66"/>
      <c r="O167" s="25"/>
      <c r="P167" s="72" t="str">
        <f>IFERROR(IF(ISBLANK(O167),"",INDEX(Gen_Vessels!$A$3:$C$500,MATCH(O167,Gen_Vessels!$C$3:$C$500,0),1)),"")</f>
        <v/>
      </c>
      <c r="Q167" s="25"/>
      <c r="R167" s="25"/>
      <c r="S167" s="25" t="str">
        <f>IFERROR(IF(ISBLANK(R167),"",INDEX(Gen_Vessels!$A$3:$C$500,MATCH(CorrectiveMinor!$R167,Gen_Vessels!$C$3:$C$500,0),1)),"")</f>
        <v/>
      </c>
      <c r="T167" s="25"/>
      <c r="U167" s="25"/>
      <c r="V167" s="25"/>
      <c r="W167" s="25"/>
      <c r="X167" s="25"/>
      <c r="Y167" s="25"/>
      <c r="AA167" s="25"/>
      <c r="AB167" s="25"/>
      <c r="AC167" s="25"/>
      <c r="AD167" s="25"/>
      <c r="AE167" s="25"/>
      <c r="AF167" s="25"/>
      <c r="AG167" s="25"/>
    </row>
    <row r="168" spans="1:33" x14ac:dyDescent="0.25">
      <c r="A168" s="18" t="str">
        <f t="shared" si="2"/>
        <v/>
      </c>
      <c r="B168" s="25"/>
      <c r="C168" s="25"/>
      <c r="D168" s="43"/>
      <c r="E168" s="44"/>
      <c r="F168" s="45"/>
      <c r="G168" s="40"/>
      <c r="H168" s="55" t="s">
        <v>255</v>
      </c>
      <c r="N168" s="66"/>
      <c r="O168" s="25"/>
      <c r="P168" s="72" t="str">
        <f>IFERROR(IF(ISBLANK(O168),"",INDEX(Gen_Vessels!$A$3:$C$500,MATCH(O168,Gen_Vessels!$C$3:$C$500,0),1)),"")</f>
        <v/>
      </c>
      <c r="Q168" s="25"/>
      <c r="R168" s="25"/>
      <c r="S168" s="25" t="str">
        <f>IFERROR(IF(ISBLANK(R168),"",INDEX(Gen_Vessels!$A$3:$C$500,MATCH(CorrectiveMinor!$R168,Gen_Vessels!$C$3:$C$500,0),1)),"")</f>
        <v/>
      </c>
      <c r="T168" s="25"/>
      <c r="U168" s="25"/>
      <c r="V168" s="25"/>
      <c r="W168" s="25"/>
      <c r="X168" s="25"/>
      <c r="Y168" s="25"/>
      <c r="AA168" s="25"/>
      <c r="AB168" s="25"/>
      <c r="AC168" s="25"/>
      <c r="AD168" s="25"/>
      <c r="AE168" s="25"/>
      <c r="AF168" s="25"/>
      <c r="AG168" s="25"/>
    </row>
    <row r="169" spans="1:33" x14ac:dyDescent="0.25">
      <c r="A169" s="18" t="str">
        <f t="shared" si="2"/>
        <v/>
      </c>
      <c r="B169" s="25"/>
      <c r="C169" s="25"/>
      <c r="D169" s="43"/>
      <c r="E169" s="44"/>
      <c r="F169" s="45"/>
      <c r="G169" s="40"/>
      <c r="H169" s="55" t="s">
        <v>255</v>
      </c>
      <c r="N169" s="66"/>
      <c r="O169" s="25"/>
      <c r="P169" s="72" t="str">
        <f>IFERROR(IF(ISBLANK(O169),"",INDEX(Gen_Vessels!$A$3:$C$500,MATCH(O169,Gen_Vessels!$C$3:$C$500,0),1)),"")</f>
        <v/>
      </c>
      <c r="Q169" s="25"/>
      <c r="R169" s="25"/>
      <c r="S169" s="25" t="str">
        <f>IFERROR(IF(ISBLANK(R169),"",INDEX(Gen_Vessels!$A$3:$C$500,MATCH(CorrectiveMinor!$R169,Gen_Vessels!$C$3:$C$500,0),1)),"")</f>
        <v/>
      </c>
      <c r="T169" s="25"/>
      <c r="U169" s="25"/>
      <c r="V169" s="25"/>
      <c r="W169" s="25"/>
      <c r="X169" s="25"/>
      <c r="Y169" s="25"/>
      <c r="AA169" s="25"/>
      <c r="AB169" s="25"/>
      <c r="AC169" s="25"/>
      <c r="AD169" s="25"/>
      <c r="AE169" s="25"/>
      <c r="AF169" s="25"/>
      <c r="AG169" s="25"/>
    </row>
    <row r="170" spans="1:33" x14ac:dyDescent="0.25">
      <c r="A170" s="18" t="str">
        <f t="shared" si="2"/>
        <v/>
      </c>
      <c r="B170" s="25"/>
      <c r="C170" s="25"/>
      <c r="D170" s="43"/>
      <c r="E170" s="44"/>
      <c r="F170" s="45"/>
      <c r="G170" s="40"/>
      <c r="H170" s="55" t="s">
        <v>255</v>
      </c>
      <c r="N170" s="66"/>
      <c r="O170" s="25"/>
      <c r="P170" s="72" t="str">
        <f>IFERROR(IF(ISBLANK(O170),"",INDEX(Gen_Vessels!$A$3:$C$500,MATCH(O170,Gen_Vessels!$C$3:$C$500,0),1)),"")</f>
        <v/>
      </c>
      <c r="Q170" s="25"/>
      <c r="R170" s="25"/>
      <c r="S170" s="25" t="str">
        <f>IFERROR(IF(ISBLANK(R170),"",INDEX(Gen_Vessels!$A$3:$C$500,MATCH(CorrectiveMinor!$R170,Gen_Vessels!$C$3:$C$500,0),1)),"")</f>
        <v/>
      </c>
      <c r="T170" s="25"/>
      <c r="U170" s="25"/>
      <c r="V170" s="25"/>
      <c r="W170" s="25"/>
      <c r="X170" s="25"/>
      <c r="Y170" s="25"/>
      <c r="AA170" s="25"/>
      <c r="AB170" s="25"/>
      <c r="AC170" s="25"/>
      <c r="AD170" s="25"/>
      <c r="AE170" s="25"/>
      <c r="AF170" s="25"/>
      <c r="AG170" s="25"/>
    </row>
    <row r="171" spans="1:33" x14ac:dyDescent="0.25">
      <c r="A171" s="18" t="str">
        <f t="shared" si="2"/>
        <v/>
      </c>
      <c r="B171" s="25"/>
      <c r="C171" s="25"/>
      <c r="D171" s="43"/>
      <c r="E171" s="44"/>
      <c r="F171" s="45"/>
      <c r="G171" s="40"/>
      <c r="H171" s="55" t="s">
        <v>255</v>
      </c>
      <c r="N171" s="66"/>
      <c r="O171" s="25"/>
      <c r="P171" s="72" t="str">
        <f>IFERROR(IF(ISBLANK(O171),"",INDEX(Gen_Vessels!$A$3:$C$500,MATCH(O171,Gen_Vessels!$C$3:$C$500,0),1)),"")</f>
        <v/>
      </c>
      <c r="Q171" s="25"/>
      <c r="R171" s="25"/>
      <c r="S171" s="25" t="str">
        <f>IFERROR(IF(ISBLANK(R171),"",INDEX(Gen_Vessels!$A$3:$C$500,MATCH(CorrectiveMinor!$R171,Gen_Vessels!$C$3:$C$500,0),1)),"")</f>
        <v/>
      </c>
      <c r="T171" s="25"/>
      <c r="U171" s="25"/>
      <c r="V171" s="25"/>
      <c r="W171" s="25"/>
      <c r="X171" s="25"/>
      <c r="Y171" s="25"/>
      <c r="AA171" s="25"/>
      <c r="AB171" s="25"/>
      <c r="AC171" s="25"/>
      <c r="AD171" s="25"/>
      <c r="AE171" s="25"/>
      <c r="AF171" s="25"/>
      <c r="AG171" s="25"/>
    </row>
    <row r="172" spans="1:33" x14ac:dyDescent="0.25">
      <c r="A172" s="18" t="str">
        <f t="shared" si="2"/>
        <v/>
      </c>
      <c r="B172" s="25"/>
      <c r="C172" s="25"/>
      <c r="D172" s="43"/>
      <c r="E172" s="44"/>
      <c r="F172" s="45"/>
      <c r="G172" s="40"/>
      <c r="H172" s="55" t="s">
        <v>255</v>
      </c>
      <c r="N172" s="66"/>
      <c r="O172" s="25"/>
      <c r="P172" s="72" t="str">
        <f>IFERROR(IF(ISBLANK(O172),"",INDEX(Gen_Vessels!$A$3:$C$500,MATCH(O172,Gen_Vessels!$C$3:$C$500,0),1)),"")</f>
        <v/>
      </c>
      <c r="Q172" s="25"/>
      <c r="R172" s="25"/>
      <c r="S172" s="25" t="str">
        <f>IFERROR(IF(ISBLANK(R172),"",INDEX(Gen_Vessels!$A$3:$C$500,MATCH(CorrectiveMinor!$R172,Gen_Vessels!$C$3:$C$500,0),1)),"")</f>
        <v/>
      </c>
      <c r="T172" s="25"/>
      <c r="U172" s="25"/>
      <c r="V172" s="25"/>
      <c r="W172" s="25"/>
      <c r="X172" s="25"/>
      <c r="Y172" s="25"/>
      <c r="AA172" s="25"/>
      <c r="AB172" s="25"/>
      <c r="AC172" s="25"/>
      <c r="AD172" s="25"/>
      <c r="AE172" s="25"/>
      <c r="AF172" s="25"/>
      <c r="AG172" s="25"/>
    </row>
    <row r="173" spans="1:33" x14ac:dyDescent="0.25">
      <c r="A173" s="18" t="str">
        <f t="shared" si="2"/>
        <v/>
      </c>
      <c r="B173" s="25"/>
      <c r="C173" s="25"/>
      <c r="D173" s="43"/>
      <c r="E173" s="44"/>
      <c r="F173" s="45"/>
      <c r="G173" s="40"/>
      <c r="H173" s="55" t="s">
        <v>255</v>
      </c>
      <c r="N173" s="66"/>
      <c r="O173" s="25"/>
      <c r="P173" s="72" t="str">
        <f>IFERROR(IF(ISBLANK(O173),"",INDEX(Gen_Vessels!$A$3:$C$500,MATCH(O173,Gen_Vessels!$C$3:$C$500,0),1)),"")</f>
        <v/>
      </c>
      <c r="Q173" s="25"/>
      <c r="R173" s="25"/>
      <c r="S173" s="25" t="str">
        <f>IFERROR(IF(ISBLANK(R173),"",INDEX(Gen_Vessels!$A$3:$C$500,MATCH(CorrectiveMinor!$R173,Gen_Vessels!$C$3:$C$500,0),1)),"")</f>
        <v/>
      </c>
      <c r="T173" s="25"/>
      <c r="U173" s="25"/>
      <c r="V173" s="25"/>
      <c r="W173" s="25"/>
      <c r="X173" s="25"/>
      <c r="Y173" s="25"/>
      <c r="AA173" s="25"/>
      <c r="AB173" s="25"/>
      <c r="AC173" s="25"/>
      <c r="AD173" s="25"/>
      <c r="AE173" s="25"/>
      <c r="AF173" s="25"/>
      <c r="AG173" s="25"/>
    </row>
    <row r="174" spans="1:33" x14ac:dyDescent="0.25">
      <c r="A174" s="18" t="str">
        <f t="shared" si="2"/>
        <v/>
      </c>
      <c r="B174" s="25"/>
      <c r="C174" s="25"/>
      <c r="D174" s="43"/>
      <c r="E174" s="44"/>
      <c r="F174" s="45"/>
      <c r="G174" s="40"/>
      <c r="H174" s="55" t="s">
        <v>255</v>
      </c>
      <c r="N174" s="66"/>
      <c r="O174" s="25"/>
      <c r="P174" s="72" t="str">
        <f>IFERROR(IF(ISBLANK(O174),"",INDEX(Gen_Vessels!$A$3:$C$500,MATCH(O174,Gen_Vessels!$C$3:$C$500,0),1)),"")</f>
        <v/>
      </c>
      <c r="Q174" s="25"/>
      <c r="R174" s="25"/>
      <c r="S174" s="25" t="str">
        <f>IFERROR(IF(ISBLANK(R174),"",INDEX(Gen_Vessels!$A$3:$C$500,MATCH(CorrectiveMinor!$R174,Gen_Vessels!$C$3:$C$500,0),1)),"")</f>
        <v/>
      </c>
      <c r="T174" s="25"/>
      <c r="U174" s="25"/>
      <c r="V174" s="25"/>
      <c r="W174" s="25"/>
      <c r="X174" s="25"/>
      <c r="Y174" s="25"/>
      <c r="AA174" s="25"/>
      <c r="AB174" s="25"/>
      <c r="AC174" s="25"/>
      <c r="AD174" s="25"/>
      <c r="AE174" s="25"/>
      <c r="AF174" s="25"/>
      <c r="AG174" s="25"/>
    </row>
    <row r="175" spans="1:33" x14ac:dyDescent="0.25">
      <c r="A175" s="18" t="str">
        <f t="shared" si="2"/>
        <v/>
      </c>
      <c r="B175" s="25"/>
      <c r="C175" s="25"/>
      <c r="D175" s="43"/>
      <c r="E175" s="44"/>
      <c r="F175" s="45"/>
      <c r="G175" s="40"/>
      <c r="H175" s="55" t="s">
        <v>255</v>
      </c>
      <c r="N175" s="66"/>
      <c r="O175" s="25"/>
      <c r="P175" s="72" t="str">
        <f>IFERROR(IF(ISBLANK(O175),"",INDEX(Gen_Vessels!$A$3:$C$500,MATCH(O175,Gen_Vessels!$C$3:$C$500,0),1)),"")</f>
        <v/>
      </c>
      <c r="Q175" s="25"/>
      <c r="R175" s="25"/>
      <c r="S175" s="25" t="str">
        <f>IFERROR(IF(ISBLANK(R175),"",INDEX(Gen_Vessels!$A$3:$C$500,MATCH(CorrectiveMinor!$R175,Gen_Vessels!$C$3:$C$500,0),1)),"")</f>
        <v/>
      </c>
      <c r="T175" s="25"/>
      <c r="U175" s="25"/>
      <c r="V175" s="25"/>
      <c r="W175" s="25"/>
      <c r="X175" s="25"/>
      <c r="Y175" s="25"/>
      <c r="AA175" s="25"/>
      <c r="AB175" s="25"/>
      <c r="AC175" s="25"/>
      <c r="AD175" s="25"/>
      <c r="AE175" s="25"/>
      <c r="AF175" s="25"/>
      <c r="AG175" s="25"/>
    </row>
    <row r="176" spans="1:33" x14ac:dyDescent="0.25">
      <c r="A176" s="18" t="str">
        <f t="shared" si="2"/>
        <v/>
      </c>
      <c r="B176" s="25"/>
      <c r="C176" s="25"/>
      <c r="D176" s="43"/>
      <c r="E176" s="44"/>
      <c r="F176" s="45"/>
      <c r="G176" s="40"/>
      <c r="H176" s="55" t="s">
        <v>255</v>
      </c>
      <c r="N176" s="66"/>
      <c r="O176" s="25"/>
      <c r="P176" s="72" t="str">
        <f>IFERROR(IF(ISBLANK(O176),"",INDEX(Gen_Vessels!$A$3:$C$500,MATCH(O176,Gen_Vessels!$C$3:$C$500,0),1)),"")</f>
        <v/>
      </c>
      <c r="Q176" s="25"/>
      <c r="R176" s="25"/>
      <c r="S176" s="25" t="str">
        <f>IFERROR(IF(ISBLANK(R176),"",INDEX(Gen_Vessels!$A$3:$C$500,MATCH(CorrectiveMinor!$R176,Gen_Vessels!$C$3:$C$500,0),1)),"")</f>
        <v/>
      </c>
      <c r="T176" s="25"/>
      <c r="U176" s="25"/>
      <c r="V176" s="25"/>
      <c r="W176" s="25"/>
      <c r="X176" s="25"/>
      <c r="Y176" s="25"/>
      <c r="AA176" s="25"/>
      <c r="AB176" s="25"/>
      <c r="AC176" s="25"/>
      <c r="AD176" s="25"/>
      <c r="AE176" s="25"/>
      <c r="AF176" s="25"/>
      <c r="AG176" s="25"/>
    </row>
    <row r="177" spans="1:33" x14ac:dyDescent="0.25">
      <c r="A177" s="18" t="str">
        <f t="shared" si="2"/>
        <v/>
      </c>
      <c r="B177" s="25"/>
      <c r="C177" s="25"/>
      <c r="D177" s="43"/>
      <c r="E177" s="44"/>
      <c r="F177" s="45"/>
      <c r="G177" s="40"/>
      <c r="H177" s="55" t="s">
        <v>255</v>
      </c>
      <c r="N177" s="66"/>
      <c r="O177" s="25"/>
      <c r="P177" s="72" t="str">
        <f>IFERROR(IF(ISBLANK(O177),"",INDEX(Gen_Vessels!$A$3:$C$500,MATCH(O177,Gen_Vessels!$C$3:$C$500,0),1)),"")</f>
        <v/>
      </c>
      <c r="Q177" s="25"/>
      <c r="R177" s="25"/>
      <c r="S177" s="25" t="str">
        <f>IFERROR(IF(ISBLANK(R177),"",INDEX(Gen_Vessels!$A$3:$C$500,MATCH(CorrectiveMinor!$R177,Gen_Vessels!$C$3:$C$500,0),1)),"")</f>
        <v/>
      </c>
      <c r="T177" s="25"/>
      <c r="U177" s="25"/>
      <c r="V177" s="25"/>
      <c r="W177" s="25"/>
      <c r="X177" s="25"/>
      <c r="Y177" s="25"/>
      <c r="AA177" s="25"/>
      <c r="AB177" s="25"/>
      <c r="AC177" s="25"/>
      <c r="AD177" s="25"/>
      <c r="AE177" s="25"/>
      <c r="AF177" s="25"/>
      <c r="AG177" s="25"/>
    </row>
    <row r="178" spans="1:33" x14ac:dyDescent="0.25">
      <c r="A178" s="18" t="str">
        <f t="shared" si="2"/>
        <v/>
      </c>
      <c r="B178" s="25"/>
      <c r="C178" s="25"/>
      <c r="D178" s="43"/>
      <c r="E178" s="44"/>
      <c r="F178" s="45"/>
      <c r="G178" s="40"/>
      <c r="H178" s="55" t="s">
        <v>255</v>
      </c>
      <c r="N178" s="66"/>
      <c r="O178" s="25"/>
      <c r="P178" s="72" t="str">
        <f>IFERROR(IF(ISBLANK(O178),"",INDEX(Gen_Vessels!$A$3:$C$500,MATCH(O178,Gen_Vessels!$C$3:$C$500,0),1)),"")</f>
        <v/>
      </c>
      <c r="Q178" s="25"/>
      <c r="R178" s="25"/>
      <c r="S178" s="25" t="str">
        <f>IFERROR(IF(ISBLANK(R178),"",INDEX(Gen_Vessels!$A$3:$C$500,MATCH(CorrectiveMinor!$R178,Gen_Vessels!$C$3:$C$500,0),1)),"")</f>
        <v/>
      </c>
      <c r="T178" s="25"/>
      <c r="U178" s="25"/>
      <c r="V178" s="25"/>
      <c r="W178" s="25"/>
      <c r="X178" s="25"/>
      <c r="Y178" s="25"/>
      <c r="AA178" s="25"/>
      <c r="AB178" s="25"/>
      <c r="AC178" s="25"/>
      <c r="AD178" s="25"/>
      <c r="AE178" s="25"/>
      <c r="AF178" s="25"/>
      <c r="AG178" s="25"/>
    </row>
    <row r="179" spans="1:33" x14ac:dyDescent="0.25">
      <c r="A179" s="18" t="str">
        <f t="shared" si="2"/>
        <v/>
      </c>
      <c r="B179" s="25"/>
      <c r="C179" s="25"/>
      <c r="D179" s="43"/>
      <c r="E179" s="44"/>
      <c r="F179" s="45"/>
      <c r="G179" s="40"/>
      <c r="H179" s="55" t="s">
        <v>255</v>
      </c>
      <c r="N179" s="66"/>
      <c r="O179" s="25"/>
      <c r="P179" s="72" t="str">
        <f>IFERROR(IF(ISBLANK(O179),"",INDEX(Gen_Vessels!$A$3:$C$500,MATCH(O179,Gen_Vessels!$C$3:$C$500,0),1)),"")</f>
        <v/>
      </c>
      <c r="Q179" s="25"/>
      <c r="R179" s="25"/>
      <c r="S179" s="25" t="str">
        <f>IFERROR(IF(ISBLANK(R179),"",INDEX(Gen_Vessels!$A$3:$C$500,MATCH(CorrectiveMinor!$R179,Gen_Vessels!$C$3:$C$500,0),1)),"")</f>
        <v/>
      </c>
      <c r="T179" s="25"/>
      <c r="U179" s="25"/>
      <c r="V179" s="25"/>
      <c r="W179" s="25"/>
      <c r="X179" s="25"/>
      <c r="Y179" s="25"/>
      <c r="AA179" s="25"/>
      <c r="AB179" s="25"/>
      <c r="AC179" s="25"/>
      <c r="AD179" s="25"/>
      <c r="AE179" s="25"/>
      <c r="AF179" s="25"/>
      <c r="AG179" s="25"/>
    </row>
    <row r="180" spans="1:33" x14ac:dyDescent="0.25">
      <c r="A180" s="18" t="str">
        <f t="shared" si="2"/>
        <v/>
      </c>
      <c r="B180" s="25"/>
      <c r="C180" s="25"/>
      <c r="D180" s="43"/>
      <c r="E180" s="44"/>
      <c r="F180" s="45"/>
      <c r="G180" s="40"/>
      <c r="H180" s="55" t="s">
        <v>255</v>
      </c>
      <c r="N180" s="66"/>
      <c r="O180" s="25"/>
      <c r="P180" s="72" t="str">
        <f>IFERROR(IF(ISBLANK(O180),"",INDEX(Gen_Vessels!$A$3:$C$500,MATCH(O180,Gen_Vessels!$C$3:$C$500,0),1)),"")</f>
        <v/>
      </c>
      <c r="Q180" s="25"/>
      <c r="R180" s="25"/>
      <c r="S180" s="25" t="str">
        <f>IFERROR(IF(ISBLANK(R180),"",INDEX(Gen_Vessels!$A$3:$C$500,MATCH(CorrectiveMinor!$R180,Gen_Vessels!$C$3:$C$500,0),1)),"")</f>
        <v/>
      </c>
      <c r="T180" s="25"/>
      <c r="U180" s="25"/>
      <c r="V180" s="25"/>
      <c r="W180" s="25"/>
      <c r="X180" s="25"/>
      <c r="Y180" s="25"/>
      <c r="AA180" s="25"/>
      <c r="AB180" s="25"/>
      <c r="AC180" s="25"/>
      <c r="AD180" s="25"/>
      <c r="AE180" s="25"/>
      <c r="AF180" s="25"/>
      <c r="AG180" s="25"/>
    </row>
    <row r="181" spans="1:33" x14ac:dyDescent="0.25">
      <c r="A181" s="18" t="str">
        <f t="shared" si="2"/>
        <v/>
      </c>
      <c r="B181" s="25"/>
      <c r="C181" s="25"/>
      <c r="D181" s="43"/>
      <c r="E181" s="44"/>
      <c r="F181" s="45"/>
      <c r="G181" s="40"/>
      <c r="H181" s="55" t="s">
        <v>255</v>
      </c>
      <c r="N181" s="66"/>
      <c r="O181" s="25"/>
      <c r="P181" s="72" t="str">
        <f>IFERROR(IF(ISBLANK(O181),"",INDEX(Gen_Vessels!$A$3:$C$500,MATCH(O181,Gen_Vessels!$C$3:$C$500,0),1)),"")</f>
        <v/>
      </c>
      <c r="Q181" s="25"/>
      <c r="R181" s="25"/>
      <c r="S181" s="25" t="str">
        <f>IFERROR(IF(ISBLANK(R181),"",INDEX(Gen_Vessels!$A$3:$C$500,MATCH(CorrectiveMinor!$R181,Gen_Vessels!$C$3:$C$500,0),1)),"")</f>
        <v/>
      </c>
      <c r="T181" s="25"/>
      <c r="U181" s="25"/>
      <c r="V181" s="25"/>
      <c r="W181" s="25"/>
      <c r="X181" s="25"/>
      <c r="Y181" s="25"/>
      <c r="AA181" s="25"/>
      <c r="AB181" s="25"/>
      <c r="AC181" s="25"/>
      <c r="AD181" s="25"/>
      <c r="AE181" s="25"/>
      <c r="AF181" s="25"/>
      <c r="AG181" s="25"/>
    </row>
    <row r="182" spans="1:33" x14ac:dyDescent="0.25">
      <c r="A182" s="18" t="str">
        <f t="shared" si="2"/>
        <v/>
      </c>
      <c r="B182" s="25"/>
      <c r="C182" s="25"/>
      <c r="D182" s="43"/>
      <c r="E182" s="44"/>
      <c r="F182" s="45"/>
      <c r="G182" s="40"/>
      <c r="H182" s="55" t="s">
        <v>255</v>
      </c>
      <c r="N182" s="66"/>
      <c r="O182" s="25"/>
      <c r="P182" s="72" t="str">
        <f>IFERROR(IF(ISBLANK(O182),"",INDEX(Gen_Vessels!$A$3:$C$500,MATCH(O182,Gen_Vessels!$C$3:$C$500,0),1)),"")</f>
        <v/>
      </c>
      <c r="Q182" s="25"/>
      <c r="R182" s="25"/>
      <c r="S182" s="25" t="str">
        <f>IFERROR(IF(ISBLANK(R182),"",INDEX(Gen_Vessels!$A$3:$C$500,MATCH(CorrectiveMinor!$R182,Gen_Vessels!$C$3:$C$500,0),1)),"")</f>
        <v/>
      </c>
      <c r="T182" s="25"/>
      <c r="U182" s="25"/>
      <c r="V182" s="25"/>
      <c r="W182" s="25"/>
      <c r="X182" s="25"/>
      <c r="Y182" s="25"/>
      <c r="AA182" s="25"/>
      <c r="AB182" s="25"/>
      <c r="AC182" s="25"/>
      <c r="AD182" s="25"/>
      <c r="AE182" s="25"/>
      <c r="AF182" s="25"/>
      <c r="AG182" s="25"/>
    </row>
    <row r="183" spans="1:33" x14ac:dyDescent="0.25">
      <c r="A183" s="18" t="str">
        <f t="shared" si="2"/>
        <v/>
      </c>
      <c r="B183" s="25"/>
      <c r="C183" s="25"/>
      <c r="D183" s="43"/>
      <c r="E183" s="44"/>
      <c r="F183" s="45"/>
      <c r="G183" s="40"/>
      <c r="H183" s="55" t="s">
        <v>255</v>
      </c>
      <c r="N183" s="66"/>
      <c r="O183" s="25"/>
      <c r="P183" s="72" t="str">
        <f>IFERROR(IF(ISBLANK(O183),"",INDEX(Gen_Vessels!$A$3:$C$500,MATCH(O183,Gen_Vessels!$C$3:$C$500,0),1)),"")</f>
        <v/>
      </c>
      <c r="Q183" s="25"/>
      <c r="R183" s="25"/>
      <c r="S183" s="25" t="str">
        <f>IFERROR(IF(ISBLANK(R183),"",INDEX(Gen_Vessels!$A$3:$C$500,MATCH(CorrectiveMinor!$R183,Gen_Vessels!$C$3:$C$500,0),1)),"")</f>
        <v/>
      </c>
      <c r="T183" s="25"/>
      <c r="U183" s="25"/>
      <c r="V183" s="25"/>
      <c r="W183" s="25"/>
      <c r="X183" s="25"/>
      <c r="Y183" s="25"/>
      <c r="AA183" s="25"/>
      <c r="AB183" s="25"/>
      <c r="AC183" s="25"/>
      <c r="AD183" s="25"/>
      <c r="AE183" s="25"/>
      <c r="AF183" s="25"/>
      <c r="AG183" s="25"/>
    </row>
    <row r="184" spans="1:33" x14ac:dyDescent="0.25">
      <c r="A184" s="18" t="str">
        <f t="shared" si="2"/>
        <v/>
      </c>
      <c r="B184" s="25"/>
      <c r="C184" s="25"/>
      <c r="D184" s="43"/>
      <c r="E184" s="44"/>
      <c r="F184" s="45"/>
      <c r="G184" s="40"/>
      <c r="H184" s="55" t="s">
        <v>255</v>
      </c>
      <c r="N184" s="66"/>
      <c r="O184" s="25"/>
      <c r="P184" s="72" t="str">
        <f>IFERROR(IF(ISBLANK(O184),"",INDEX(Gen_Vessels!$A$3:$C$500,MATCH(O184,Gen_Vessels!$C$3:$C$500,0),1)),"")</f>
        <v/>
      </c>
      <c r="Q184" s="25"/>
      <c r="R184" s="25"/>
      <c r="S184" s="25" t="str">
        <f>IFERROR(IF(ISBLANK(R184),"",INDEX(Gen_Vessels!$A$3:$C$500,MATCH(CorrectiveMinor!$R184,Gen_Vessels!$C$3:$C$500,0),1)),"")</f>
        <v/>
      </c>
      <c r="T184" s="25"/>
      <c r="U184" s="25"/>
      <c r="V184" s="25"/>
      <c r="W184" s="25"/>
      <c r="X184" s="25"/>
      <c r="Y184" s="25"/>
      <c r="AA184" s="25"/>
      <c r="AB184" s="25"/>
      <c r="AC184" s="25"/>
      <c r="AD184" s="25"/>
      <c r="AE184" s="25"/>
      <c r="AF184" s="25"/>
      <c r="AG184" s="25"/>
    </row>
    <row r="185" spans="1:33" x14ac:dyDescent="0.25">
      <c r="A185" s="18" t="str">
        <f t="shared" si="2"/>
        <v/>
      </c>
      <c r="B185" s="25"/>
      <c r="C185" s="25"/>
      <c r="D185" s="43"/>
      <c r="E185" s="44"/>
      <c r="F185" s="45"/>
      <c r="G185" s="40"/>
      <c r="H185" s="55" t="s">
        <v>255</v>
      </c>
      <c r="N185" s="66"/>
      <c r="O185" s="25"/>
      <c r="P185" s="72" t="str">
        <f>IFERROR(IF(ISBLANK(O185),"",INDEX(Gen_Vessels!$A$3:$C$500,MATCH(O185,Gen_Vessels!$C$3:$C$500,0),1)),"")</f>
        <v/>
      </c>
      <c r="Q185" s="25"/>
      <c r="R185" s="25"/>
      <c r="S185" s="25" t="str">
        <f>IFERROR(IF(ISBLANK(R185),"",INDEX(Gen_Vessels!$A$3:$C$500,MATCH(CorrectiveMinor!$R185,Gen_Vessels!$C$3:$C$500,0),1)),"")</f>
        <v/>
      </c>
      <c r="T185" s="25"/>
      <c r="U185" s="25"/>
      <c r="V185" s="25"/>
      <c r="W185" s="25"/>
      <c r="X185" s="25"/>
      <c r="Y185" s="25"/>
      <c r="AA185" s="25"/>
      <c r="AB185" s="25"/>
      <c r="AC185" s="25"/>
      <c r="AD185" s="25"/>
      <c r="AE185" s="25"/>
      <c r="AF185" s="25"/>
      <c r="AG185" s="25"/>
    </row>
    <row r="186" spans="1:33" x14ac:dyDescent="0.25">
      <c r="A186" s="18" t="str">
        <f t="shared" si="2"/>
        <v/>
      </c>
      <c r="B186" s="25"/>
      <c r="C186" s="25"/>
      <c r="D186" s="43"/>
      <c r="E186" s="44"/>
      <c r="F186" s="45"/>
      <c r="G186" s="40"/>
      <c r="H186" s="55" t="s">
        <v>255</v>
      </c>
      <c r="N186" s="66"/>
      <c r="O186" s="25"/>
      <c r="P186" s="72" t="str">
        <f>IFERROR(IF(ISBLANK(O186),"",INDEX(Gen_Vessels!$A$3:$C$500,MATCH(O186,Gen_Vessels!$C$3:$C$500,0),1)),"")</f>
        <v/>
      </c>
      <c r="Q186" s="25"/>
      <c r="R186" s="25"/>
      <c r="S186" s="25" t="str">
        <f>IFERROR(IF(ISBLANK(R186),"",INDEX(Gen_Vessels!$A$3:$C$500,MATCH(CorrectiveMinor!$R186,Gen_Vessels!$C$3:$C$500,0),1)),"")</f>
        <v/>
      </c>
      <c r="T186" s="25"/>
      <c r="U186" s="25"/>
      <c r="V186" s="25"/>
      <c r="W186" s="25"/>
      <c r="X186" s="25"/>
      <c r="Y186" s="25"/>
      <c r="AA186" s="25"/>
      <c r="AB186" s="25"/>
      <c r="AC186" s="25"/>
      <c r="AD186" s="25"/>
      <c r="AE186" s="25"/>
      <c r="AF186" s="25"/>
      <c r="AG186" s="25"/>
    </row>
    <row r="187" spans="1:33" x14ac:dyDescent="0.25">
      <c r="A187" s="18" t="str">
        <f t="shared" ref="A187:A250" si="3">IF(ISBLANK($B187)=FALSE,IF(AND($D187&gt;0,$E187&lt;=0,$F187&lt;=0),_xlfn.CONCAT("ofw_",$B187),IF(AND($D187&lt;=0,$E187&gt;0,$F187&lt;=0),_xlfn.CONCAT("owc_",$B187),IF(AND($D187&lt;=0,$E187&lt;=0,$F187&gt;0),_xlfn.CONCAT("opv_",$B187),_xlfn.CONCAT("oce_",$B187)))),"")</f>
        <v/>
      </c>
      <c r="B187" s="25"/>
      <c r="C187" s="25"/>
      <c r="D187" s="43"/>
      <c r="E187" s="44"/>
      <c r="F187" s="45"/>
      <c r="G187" s="40"/>
      <c r="H187" s="55" t="s">
        <v>255</v>
      </c>
      <c r="N187" s="66"/>
      <c r="O187" s="25"/>
      <c r="P187" s="72" t="str">
        <f>IFERROR(IF(ISBLANK(O187),"",INDEX(Gen_Vessels!$A$3:$C$500,MATCH(O187,Gen_Vessels!$C$3:$C$500,0),1)),"")</f>
        <v/>
      </c>
      <c r="Q187" s="25"/>
      <c r="R187" s="25"/>
      <c r="S187" s="25" t="str">
        <f>IFERROR(IF(ISBLANK(R187),"",INDEX(Gen_Vessels!$A$3:$C$500,MATCH(CorrectiveMinor!$R187,Gen_Vessels!$C$3:$C$500,0),1)),"")</f>
        <v/>
      </c>
      <c r="T187" s="25"/>
      <c r="U187" s="25"/>
      <c r="V187" s="25"/>
      <c r="W187" s="25"/>
      <c r="X187" s="25"/>
      <c r="Y187" s="25"/>
      <c r="AA187" s="25"/>
      <c r="AB187" s="25"/>
      <c r="AC187" s="25"/>
      <c r="AD187" s="25"/>
      <c r="AE187" s="25"/>
      <c r="AF187" s="25"/>
      <c r="AG187" s="25"/>
    </row>
    <row r="188" spans="1:33" x14ac:dyDescent="0.25">
      <c r="A188" s="18" t="str">
        <f t="shared" si="3"/>
        <v/>
      </c>
      <c r="B188" s="25"/>
      <c r="C188" s="25"/>
      <c r="D188" s="43"/>
      <c r="E188" s="44"/>
      <c r="F188" s="45"/>
      <c r="G188" s="40"/>
      <c r="H188" s="55" t="s">
        <v>255</v>
      </c>
      <c r="N188" s="66"/>
      <c r="O188" s="25"/>
      <c r="P188" s="72" t="str">
        <f>IFERROR(IF(ISBLANK(O188),"",INDEX(Gen_Vessels!$A$3:$C$500,MATCH(O188,Gen_Vessels!$C$3:$C$500,0),1)),"")</f>
        <v/>
      </c>
      <c r="Q188" s="25"/>
      <c r="R188" s="25"/>
      <c r="S188" s="25" t="str">
        <f>IFERROR(IF(ISBLANK(R188),"",INDEX(Gen_Vessels!$A$3:$C$500,MATCH(CorrectiveMinor!$R188,Gen_Vessels!$C$3:$C$500,0),1)),"")</f>
        <v/>
      </c>
      <c r="T188" s="25"/>
      <c r="U188" s="25"/>
      <c r="V188" s="25"/>
      <c r="W188" s="25"/>
      <c r="X188" s="25"/>
      <c r="Y188" s="25"/>
      <c r="AA188" s="25"/>
      <c r="AB188" s="25"/>
      <c r="AC188" s="25"/>
      <c r="AD188" s="25"/>
      <c r="AE188" s="25"/>
      <c r="AF188" s="25"/>
      <c r="AG188" s="25"/>
    </row>
    <row r="189" spans="1:33" x14ac:dyDescent="0.25">
      <c r="A189" s="18" t="str">
        <f t="shared" si="3"/>
        <v/>
      </c>
      <c r="B189" s="25"/>
      <c r="C189" s="25"/>
      <c r="D189" s="43"/>
      <c r="E189" s="44"/>
      <c r="F189" s="45"/>
      <c r="G189" s="40"/>
      <c r="H189" s="55" t="s">
        <v>255</v>
      </c>
      <c r="N189" s="66"/>
      <c r="O189" s="25"/>
      <c r="P189" s="72" t="str">
        <f>IFERROR(IF(ISBLANK(O189),"",INDEX(Gen_Vessels!$A$3:$C$500,MATCH(O189,Gen_Vessels!$C$3:$C$500,0),1)),"")</f>
        <v/>
      </c>
      <c r="Q189" s="25"/>
      <c r="R189" s="25"/>
      <c r="S189" s="25" t="str">
        <f>IFERROR(IF(ISBLANK(R189),"",INDEX(Gen_Vessels!$A$3:$C$500,MATCH(CorrectiveMinor!$R189,Gen_Vessels!$C$3:$C$500,0),1)),"")</f>
        <v/>
      </c>
      <c r="T189" s="25"/>
      <c r="U189" s="25"/>
      <c r="V189" s="25"/>
      <c r="W189" s="25"/>
      <c r="X189" s="25"/>
      <c r="Y189" s="25"/>
      <c r="AA189" s="25"/>
      <c r="AB189" s="25"/>
      <c r="AC189" s="25"/>
      <c r="AD189" s="25"/>
      <c r="AE189" s="25"/>
      <c r="AF189" s="25"/>
      <c r="AG189" s="25"/>
    </row>
    <row r="190" spans="1:33" x14ac:dyDescent="0.25">
      <c r="A190" s="18" t="str">
        <f t="shared" si="3"/>
        <v/>
      </c>
      <c r="B190" s="25"/>
      <c r="C190" s="25"/>
      <c r="D190" s="43"/>
      <c r="E190" s="44"/>
      <c r="F190" s="45"/>
      <c r="G190" s="40"/>
      <c r="H190" s="55" t="s">
        <v>255</v>
      </c>
      <c r="N190" s="66"/>
      <c r="O190" s="25"/>
      <c r="P190" s="72" t="str">
        <f>IFERROR(IF(ISBLANK(O190),"",INDEX(Gen_Vessels!$A$3:$C$500,MATCH(O190,Gen_Vessels!$C$3:$C$500,0),1)),"")</f>
        <v/>
      </c>
      <c r="Q190" s="25"/>
      <c r="R190" s="25"/>
      <c r="S190" s="25" t="str">
        <f>IFERROR(IF(ISBLANK(R190),"",INDEX(Gen_Vessels!$A$3:$C$500,MATCH(CorrectiveMinor!$R190,Gen_Vessels!$C$3:$C$500,0),1)),"")</f>
        <v/>
      </c>
      <c r="T190" s="25"/>
      <c r="U190" s="25"/>
      <c r="V190" s="25"/>
      <c r="W190" s="25"/>
      <c r="X190" s="25"/>
      <c r="Y190" s="25"/>
      <c r="AA190" s="25"/>
      <c r="AB190" s="25"/>
      <c r="AC190" s="25"/>
      <c r="AD190" s="25"/>
      <c r="AE190" s="25"/>
      <c r="AF190" s="25"/>
      <c r="AG190" s="25"/>
    </row>
    <row r="191" spans="1:33" x14ac:dyDescent="0.25">
      <c r="A191" s="18" t="str">
        <f t="shared" si="3"/>
        <v/>
      </c>
      <c r="B191" s="25"/>
      <c r="C191" s="25"/>
      <c r="D191" s="43"/>
      <c r="E191" s="44"/>
      <c r="F191" s="45"/>
      <c r="G191" s="40"/>
      <c r="H191" s="55" t="s">
        <v>255</v>
      </c>
      <c r="N191" s="66"/>
      <c r="O191" s="25"/>
      <c r="P191" s="72" t="str">
        <f>IFERROR(IF(ISBLANK(O191),"",INDEX(Gen_Vessels!$A$3:$C$500,MATCH(O191,Gen_Vessels!$C$3:$C$500,0),1)),"")</f>
        <v/>
      </c>
      <c r="Q191" s="25"/>
      <c r="R191" s="25"/>
      <c r="S191" s="25" t="str">
        <f>IFERROR(IF(ISBLANK(R191),"",INDEX(Gen_Vessels!$A$3:$C$500,MATCH(CorrectiveMinor!$R191,Gen_Vessels!$C$3:$C$500,0),1)),"")</f>
        <v/>
      </c>
      <c r="T191" s="25"/>
      <c r="U191" s="25"/>
      <c r="V191" s="25"/>
      <c r="W191" s="25"/>
      <c r="X191" s="25"/>
      <c r="Y191" s="25"/>
      <c r="AA191" s="25"/>
      <c r="AB191" s="25"/>
      <c r="AC191" s="25"/>
      <c r="AD191" s="25"/>
      <c r="AE191" s="25"/>
      <c r="AF191" s="25"/>
      <c r="AG191" s="25"/>
    </row>
    <row r="192" spans="1:33" x14ac:dyDescent="0.25">
      <c r="A192" s="18" t="str">
        <f t="shared" si="3"/>
        <v/>
      </c>
      <c r="B192" s="25"/>
      <c r="C192" s="25"/>
      <c r="D192" s="43"/>
      <c r="E192" s="44"/>
      <c r="F192" s="45"/>
      <c r="G192" s="40"/>
      <c r="H192" s="55" t="s">
        <v>255</v>
      </c>
      <c r="N192" s="66"/>
      <c r="O192" s="25"/>
      <c r="P192" s="72" t="str">
        <f>IFERROR(IF(ISBLANK(O192),"",INDEX(Gen_Vessels!$A$3:$C$500,MATCH(O192,Gen_Vessels!$C$3:$C$500,0),1)),"")</f>
        <v/>
      </c>
      <c r="Q192" s="25"/>
      <c r="R192" s="25"/>
      <c r="S192" s="25" t="str">
        <f>IFERROR(IF(ISBLANK(R192),"",INDEX(Gen_Vessels!$A$3:$C$500,MATCH(CorrectiveMinor!$R192,Gen_Vessels!$C$3:$C$500,0),1)),"")</f>
        <v/>
      </c>
      <c r="T192" s="25"/>
      <c r="U192" s="25"/>
      <c r="V192" s="25"/>
      <c r="W192" s="25"/>
      <c r="X192" s="25"/>
      <c r="Y192" s="25"/>
      <c r="AA192" s="25"/>
      <c r="AB192" s="25"/>
      <c r="AC192" s="25"/>
      <c r="AD192" s="25"/>
      <c r="AE192" s="25"/>
      <c r="AF192" s="25"/>
      <c r="AG192" s="25"/>
    </row>
    <row r="193" spans="1:33" x14ac:dyDescent="0.25">
      <c r="A193" s="18" t="str">
        <f t="shared" si="3"/>
        <v/>
      </c>
      <c r="B193" s="25"/>
      <c r="C193" s="25"/>
      <c r="D193" s="43"/>
      <c r="E193" s="44"/>
      <c r="F193" s="45"/>
      <c r="G193" s="40"/>
      <c r="H193" s="55" t="s">
        <v>255</v>
      </c>
      <c r="N193" s="66"/>
      <c r="O193" s="25"/>
      <c r="P193" s="72" t="str">
        <f>IFERROR(IF(ISBLANK(O193),"",INDEX(Gen_Vessels!$A$3:$C$500,MATCH(O193,Gen_Vessels!$C$3:$C$500,0),1)),"")</f>
        <v/>
      </c>
      <c r="Q193" s="25"/>
      <c r="R193" s="25"/>
      <c r="S193" s="25" t="str">
        <f>IFERROR(IF(ISBLANK(R193),"",INDEX(Gen_Vessels!$A$3:$C$500,MATCH(CorrectiveMinor!$R193,Gen_Vessels!$C$3:$C$500,0),1)),"")</f>
        <v/>
      </c>
      <c r="T193" s="25"/>
      <c r="U193" s="25"/>
      <c r="V193" s="25"/>
      <c r="W193" s="25"/>
      <c r="X193" s="25"/>
      <c r="Y193" s="25"/>
      <c r="AA193" s="25"/>
      <c r="AB193" s="25"/>
      <c r="AC193" s="25"/>
      <c r="AD193" s="25"/>
      <c r="AE193" s="25"/>
      <c r="AF193" s="25"/>
      <c r="AG193" s="25"/>
    </row>
    <row r="194" spans="1:33" x14ac:dyDescent="0.25">
      <c r="A194" s="18" t="str">
        <f t="shared" si="3"/>
        <v/>
      </c>
      <c r="B194" s="25"/>
      <c r="C194" s="25"/>
      <c r="D194" s="43"/>
      <c r="E194" s="44"/>
      <c r="F194" s="45"/>
      <c r="G194" s="40"/>
      <c r="H194" s="55" t="s">
        <v>255</v>
      </c>
      <c r="N194" s="66"/>
      <c r="O194" s="25"/>
      <c r="P194" s="72" t="str">
        <f>IFERROR(IF(ISBLANK(O194),"",INDEX(Gen_Vessels!$A$3:$C$500,MATCH(O194,Gen_Vessels!$C$3:$C$500,0),1)),"")</f>
        <v/>
      </c>
      <c r="Q194" s="25"/>
      <c r="R194" s="25"/>
      <c r="S194" s="25" t="str">
        <f>IFERROR(IF(ISBLANK(R194),"",INDEX(Gen_Vessels!$A$3:$C$500,MATCH(CorrectiveMinor!$R194,Gen_Vessels!$C$3:$C$500,0),1)),"")</f>
        <v/>
      </c>
      <c r="T194" s="25"/>
      <c r="U194" s="25"/>
      <c r="V194" s="25"/>
      <c r="W194" s="25"/>
      <c r="X194" s="25"/>
      <c r="Y194" s="25"/>
      <c r="AA194" s="25"/>
      <c r="AB194" s="25"/>
      <c r="AC194" s="25"/>
      <c r="AD194" s="25"/>
      <c r="AE194" s="25"/>
      <c r="AF194" s="25"/>
      <c r="AG194" s="25"/>
    </row>
    <row r="195" spans="1:33" x14ac:dyDescent="0.25">
      <c r="A195" s="18" t="str">
        <f t="shared" si="3"/>
        <v/>
      </c>
      <c r="B195" s="25"/>
      <c r="C195" s="25"/>
      <c r="D195" s="43"/>
      <c r="E195" s="44"/>
      <c r="F195" s="45"/>
      <c r="G195" s="40"/>
      <c r="H195" s="55" t="s">
        <v>255</v>
      </c>
      <c r="N195" s="66"/>
      <c r="O195" s="25"/>
      <c r="P195" s="72" t="str">
        <f>IFERROR(IF(ISBLANK(O195),"",INDEX(Gen_Vessels!$A$3:$C$500,MATCH(O195,Gen_Vessels!$C$3:$C$500,0),1)),"")</f>
        <v/>
      </c>
      <c r="Q195" s="25"/>
      <c r="R195" s="25"/>
      <c r="S195" s="25" t="str">
        <f>IFERROR(IF(ISBLANK(R195),"",INDEX(Gen_Vessels!$A$3:$C$500,MATCH(CorrectiveMinor!$R195,Gen_Vessels!$C$3:$C$500,0),1)),"")</f>
        <v/>
      </c>
      <c r="T195" s="25"/>
      <c r="U195" s="25"/>
      <c r="V195" s="25"/>
      <c r="W195" s="25"/>
      <c r="X195" s="25"/>
      <c r="Y195" s="25"/>
      <c r="AA195" s="25"/>
      <c r="AB195" s="25"/>
      <c r="AC195" s="25"/>
      <c r="AD195" s="25"/>
      <c r="AE195" s="25"/>
      <c r="AF195" s="25"/>
      <c r="AG195" s="25"/>
    </row>
    <row r="196" spans="1:33" x14ac:dyDescent="0.25">
      <c r="A196" s="18" t="str">
        <f t="shared" si="3"/>
        <v/>
      </c>
      <c r="B196" s="25"/>
      <c r="C196" s="25"/>
      <c r="D196" s="43"/>
      <c r="E196" s="44"/>
      <c r="F196" s="45"/>
      <c r="G196" s="40"/>
      <c r="H196" s="55" t="s">
        <v>255</v>
      </c>
      <c r="N196" s="66"/>
      <c r="O196" s="25"/>
      <c r="P196" s="72" t="str">
        <f>IFERROR(IF(ISBLANK(O196),"",INDEX(Gen_Vessels!$A$3:$C$500,MATCH(O196,Gen_Vessels!$C$3:$C$500,0),1)),"")</f>
        <v/>
      </c>
      <c r="Q196" s="25"/>
      <c r="R196" s="25"/>
      <c r="S196" s="25" t="str">
        <f>IFERROR(IF(ISBLANK(R196),"",INDEX(Gen_Vessels!$A$3:$C$500,MATCH(CorrectiveMinor!$R196,Gen_Vessels!$C$3:$C$500,0),1)),"")</f>
        <v/>
      </c>
      <c r="T196" s="25"/>
      <c r="U196" s="25"/>
      <c r="V196" s="25"/>
      <c r="W196" s="25"/>
      <c r="X196" s="25"/>
      <c r="Y196" s="25"/>
      <c r="AA196" s="25"/>
      <c r="AB196" s="25"/>
      <c r="AC196" s="25"/>
      <c r="AD196" s="25"/>
      <c r="AE196" s="25"/>
      <c r="AF196" s="25"/>
      <c r="AG196" s="25"/>
    </row>
    <row r="197" spans="1:33" x14ac:dyDescent="0.25">
      <c r="A197" s="18" t="str">
        <f t="shared" si="3"/>
        <v/>
      </c>
      <c r="B197" s="25"/>
      <c r="C197" s="25"/>
      <c r="D197" s="43"/>
      <c r="E197" s="44"/>
      <c r="F197" s="45"/>
      <c r="G197" s="40"/>
      <c r="H197" s="55" t="s">
        <v>255</v>
      </c>
      <c r="N197" s="66"/>
      <c r="O197" s="25"/>
      <c r="P197" s="72" t="str">
        <f>IFERROR(IF(ISBLANK(O197),"",INDEX(Gen_Vessels!$A$3:$C$500,MATCH(O197,Gen_Vessels!$C$3:$C$500,0),1)),"")</f>
        <v/>
      </c>
      <c r="Q197" s="25"/>
      <c r="R197" s="25"/>
      <c r="S197" s="25" t="str">
        <f>IFERROR(IF(ISBLANK(R197),"",INDEX(Gen_Vessels!$A$3:$C$500,MATCH(CorrectiveMinor!$R197,Gen_Vessels!$C$3:$C$500,0),1)),"")</f>
        <v/>
      </c>
      <c r="T197" s="25"/>
      <c r="U197" s="25"/>
      <c r="V197" s="25"/>
      <c r="W197" s="25"/>
      <c r="X197" s="25"/>
      <c r="Y197" s="25"/>
      <c r="AA197" s="25"/>
      <c r="AB197" s="25"/>
      <c r="AC197" s="25"/>
      <c r="AD197" s="25"/>
      <c r="AE197" s="25"/>
      <c r="AF197" s="25"/>
      <c r="AG197" s="25"/>
    </row>
    <row r="198" spans="1:33" x14ac:dyDescent="0.25">
      <c r="A198" s="18" t="str">
        <f t="shared" si="3"/>
        <v/>
      </c>
      <c r="B198" s="25"/>
      <c r="C198" s="25"/>
      <c r="D198" s="43"/>
      <c r="E198" s="44"/>
      <c r="F198" s="45"/>
      <c r="G198" s="40"/>
      <c r="H198" s="55" t="s">
        <v>255</v>
      </c>
      <c r="N198" s="66"/>
      <c r="O198" s="25"/>
      <c r="P198" s="72" t="str">
        <f>IFERROR(IF(ISBLANK(O198),"",INDEX(Gen_Vessels!$A$3:$C$500,MATCH(O198,Gen_Vessels!$C$3:$C$500,0),1)),"")</f>
        <v/>
      </c>
      <c r="Q198" s="25"/>
      <c r="R198" s="25"/>
      <c r="S198" s="25" t="str">
        <f>IFERROR(IF(ISBLANK(R198),"",INDEX(Gen_Vessels!$A$3:$C$500,MATCH(CorrectiveMinor!$R198,Gen_Vessels!$C$3:$C$500,0),1)),"")</f>
        <v/>
      </c>
      <c r="T198" s="25"/>
      <c r="U198" s="25"/>
      <c r="V198" s="25"/>
      <c r="W198" s="25"/>
      <c r="X198" s="25"/>
      <c r="Y198" s="25"/>
      <c r="AA198" s="25"/>
      <c r="AB198" s="25"/>
      <c r="AC198" s="25"/>
      <c r="AD198" s="25"/>
      <c r="AE198" s="25"/>
      <c r="AF198" s="25"/>
      <c r="AG198" s="25"/>
    </row>
    <row r="199" spans="1:33" x14ac:dyDescent="0.25">
      <c r="A199" s="18" t="str">
        <f t="shared" si="3"/>
        <v/>
      </c>
      <c r="B199" s="25"/>
      <c r="C199" s="25"/>
      <c r="D199" s="43"/>
      <c r="E199" s="44"/>
      <c r="F199" s="45"/>
      <c r="G199" s="40"/>
      <c r="H199" s="55" t="s">
        <v>255</v>
      </c>
      <c r="N199" s="66"/>
      <c r="O199" s="25"/>
      <c r="P199" s="72" t="str">
        <f>IFERROR(IF(ISBLANK(O199),"",INDEX(Gen_Vessels!$A$3:$C$500,MATCH(O199,Gen_Vessels!$C$3:$C$500,0),1)),"")</f>
        <v/>
      </c>
      <c r="Q199" s="25"/>
      <c r="R199" s="25"/>
      <c r="S199" s="25" t="str">
        <f>IFERROR(IF(ISBLANK(R199),"",INDEX(Gen_Vessels!$A$3:$C$500,MATCH(CorrectiveMinor!$R199,Gen_Vessels!$C$3:$C$500,0),1)),"")</f>
        <v/>
      </c>
      <c r="T199" s="25"/>
      <c r="U199" s="25"/>
      <c r="V199" s="25"/>
      <c r="W199" s="25"/>
      <c r="X199" s="25"/>
      <c r="Y199" s="25"/>
      <c r="AA199" s="25"/>
      <c r="AB199" s="25"/>
      <c r="AC199" s="25"/>
      <c r="AD199" s="25"/>
      <c r="AE199" s="25"/>
      <c r="AF199" s="25"/>
      <c r="AG199" s="25"/>
    </row>
    <row r="200" spans="1:33" x14ac:dyDescent="0.25">
      <c r="A200" s="18" t="str">
        <f t="shared" si="3"/>
        <v/>
      </c>
      <c r="B200" s="25"/>
      <c r="C200" s="25"/>
      <c r="D200" s="43"/>
      <c r="E200" s="44"/>
      <c r="F200" s="45"/>
      <c r="G200" s="40"/>
      <c r="H200" s="55" t="s">
        <v>255</v>
      </c>
      <c r="N200" s="66"/>
      <c r="O200" s="25"/>
      <c r="P200" s="72" t="str">
        <f>IFERROR(IF(ISBLANK(O200),"",INDEX(Gen_Vessels!$A$3:$C$500,MATCH(O200,Gen_Vessels!$C$3:$C$500,0),1)),"")</f>
        <v/>
      </c>
      <c r="Q200" s="25"/>
      <c r="R200" s="25"/>
      <c r="S200" s="25" t="str">
        <f>IFERROR(IF(ISBLANK(R200),"",INDEX(Gen_Vessels!$A$3:$C$500,MATCH(CorrectiveMinor!$R200,Gen_Vessels!$C$3:$C$500,0),1)),"")</f>
        <v/>
      </c>
      <c r="T200" s="25"/>
      <c r="U200" s="25"/>
      <c r="V200" s="25"/>
      <c r="W200" s="25"/>
      <c r="X200" s="25"/>
      <c r="Y200" s="25"/>
      <c r="AA200" s="25"/>
      <c r="AB200" s="25"/>
      <c r="AC200" s="25"/>
      <c r="AD200" s="25"/>
      <c r="AE200" s="25"/>
      <c r="AF200" s="25"/>
      <c r="AG200" s="25"/>
    </row>
    <row r="201" spans="1:33" x14ac:dyDescent="0.25">
      <c r="A201" s="18" t="str">
        <f t="shared" si="3"/>
        <v/>
      </c>
      <c r="B201" s="25"/>
      <c r="C201" s="25"/>
      <c r="D201" s="43"/>
      <c r="E201" s="44"/>
      <c r="F201" s="45"/>
      <c r="G201" s="40"/>
      <c r="H201" s="55" t="s">
        <v>255</v>
      </c>
      <c r="N201" s="66"/>
      <c r="O201" s="25"/>
      <c r="P201" s="72" t="str">
        <f>IFERROR(IF(ISBLANK(O201),"",INDEX(Gen_Vessels!$A$3:$C$500,MATCH(O201,Gen_Vessels!$C$3:$C$500,0),1)),"")</f>
        <v/>
      </c>
      <c r="Q201" s="25"/>
      <c r="R201" s="25"/>
      <c r="S201" s="25" t="str">
        <f>IFERROR(IF(ISBLANK(R201),"",INDEX(Gen_Vessels!$A$3:$C$500,MATCH(CorrectiveMinor!$R201,Gen_Vessels!$C$3:$C$500,0),1)),"")</f>
        <v/>
      </c>
      <c r="T201" s="25"/>
      <c r="U201" s="25"/>
      <c r="V201" s="25"/>
      <c r="W201" s="25"/>
      <c r="X201" s="25"/>
      <c r="Y201" s="25"/>
      <c r="AA201" s="25"/>
      <c r="AB201" s="25"/>
      <c r="AC201" s="25"/>
      <c r="AD201" s="25"/>
      <c r="AE201" s="25"/>
      <c r="AF201" s="25"/>
      <c r="AG201" s="25"/>
    </row>
    <row r="202" spans="1:33" x14ac:dyDescent="0.25">
      <c r="A202" s="18" t="str">
        <f t="shared" si="3"/>
        <v/>
      </c>
      <c r="B202" s="25"/>
      <c r="C202" s="25"/>
      <c r="D202" s="43"/>
      <c r="E202" s="44"/>
      <c r="F202" s="45"/>
      <c r="G202" s="40"/>
      <c r="H202" s="55" t="s">
        <v>255</v>
      </c>
      <c r="N202" s="66"/>
      <c r="O202" s="25"/>
      <c r="P202" s="72" t="str">
        <f>IFERROR(IF(ISBLANK(O202),"",INDEX(Gen_Vessels!$A$3:$C$500,MATCH(O202,Gen_Vessels!$C$3:$C$500,0),1)),"")</f>
        <v/>
      </c>
      <c r="Q202" s="25"/>
      <c r="R202" s="25"/>
      <c r="S202" s="25" t="str">
        <f>IFERROR(IF(ISBLANK(R202),"",INDEX(Gen_Vessels!$A$3:$C$500,MATCH(CorrectiveMinor!$R202,Gen_Vessels!$C$3:$C$500,0),1)),"")</f>
        <v/>
      </c>
      <c r="T202" s="25"/>
      <c r="U202" s="25"/>
      <c r="V202" s="25"/>
      <c r="W202" s="25"/>
      <c r="X202" s="25"/>
      <c r="Y202" s="25"/>
      <c r="AA202" s="25"/>
      <c r="AB202" s="25"/>
      <c r="AC202" s="25"/>
      <c r="AD202" s="25"/>
      <c r="AE202" s="25"/>
      <c r="AF202" s="25"/>
      <c r="AG202" s="25"/>
    </row>
    <row r="203" spans="1:33" x14ac:dyDescent="0.25">
      <c r="A203" s="18" t="str">
        <f t="shared" si="3"/>
        <v/>
      </c>
      <c r="B203" s="25"/>
      <c r="C203" s="25"/>
      <c r="D203" s="43"/>
      <c r="E203" s="44"/>
      <c r="F203" s="45"/>
      <c r="G203" s="40"/>
      <c r="H203" s="55" t="s">
        <v>255</v>
      </c>
      <c r="N203" s="66"/>
      <c r="O203" s="25"/>
      <c r="P203" s="72" t="str">
        <f>IFERROR(IF(ISBLANK(O203),"",INDEX(Gen_Vessels!$A$3:$C$500,MATCH(O203,Gen_Vessels!$C$3:$C$500,0),1)),"")</f>
        <v/>
      </c>
      <c r="Q203" s="25"/>
      <c r="R203" s="25"/>
      <c r="S203" s="25" t="str">
        <f>IFERROR(IF(ISBLANK(R203),"",INDEX(Gen_Vessels!$A$3:$C$500,MATCH(CorrectiveMinor!$R203,Gen_Vessels!$C$3:$C$500,0),1)),"")</f>
        <v/>
      </c>
      <c r="T203" s="25"/>
      <c r="U203" s="25"/>
      <c r="V203" s="25"/>
      <c r="W203" s="25"/>
      <c r="X203" s="25"/>
      <c r="Y203" s="25"/>
      <c r="AA203" s="25"/>
      <c r="AB203" s="25"/>
      <c r="AC203" s="25"/>
      <c r="AD203" s="25"/>
      <c r="AE203" s="25"/>
      <c r="AF203" s="25"/>
      <c r="AG203" s="25"/>
    </row>
    <row r="204" spans="1:33" x14ac:dyDescent="0.25">
      <c r="A204" s="18" t="str">
        <f t="shared" si="3"/>
        <v/>
      </c>
      <c r="B204" s="25"/>
      <c r="C204" s="25"/>
      <c r="D204" s="43"/>
      <c r="E204" s="44"/>
      <c r="F204" s="45"/>
      <c r="G204" s="40"/>
      <c r="H204" s="55" t="s">
        <v>255</v>
      </c>
      <c r="N204" s="66"/>
      <c r="O204" s="25"/>
      <c r="P204" s="72" t="str">
        <f>IFERROR(IF(ISBLANK(O204),"",INDEX(Gen_Vessels!$A$3:$C$500,MATCH(O204,Gen_Vessels!$C$3:$C$500,0),1)),"")</f>
        <v/>
      </c>
      <c r="Q204" s="25"/>
      <c r="R204" s="25"/>
      <c r="S204" s="25" t="str">
        <f>IFERROR(IF(ISBLANK(R204),"",INDEX(Gen_Vessels!$A$3:$C$500,MATCH(CorrectiveMinor!$R204,Gen_Vessels!$C$3:$C$500,0),1)),"")</f>
        <v/>
      </c>
      <c r="T204" s="25"/>
      <c r="U204" s="25"/>
      <c r="V204" s="25"/>
      <c r="W204" s="25"/>
      <c r="X204" s="25"/>
      <c r="Y204" s="25"/>
      <c r="AA204" s="25"/>
      <c r="AB204" s="25"/>
      <c r="AC204" s="25"/>
      <c r="AD204" s="25"/>
      <c r="AE204" s="25"/>
      <c r="AF204" s="25"/>
      <c r="AG204" s="25"/>
    </row>
    <row r="205" spans="1:33" x14ac:dyDescent="0.25">
      <c r="A205" s="18" t="str">
        <f t="shared" si="3"/>
        <v/>
      </c>
      <c r="B205" s="25"/>
      <c r="C205" s="25"/>
      <c r="D205" s="43"/>
      <c r="E205" s="44"/>
      <c r="F205" s="45"/>
      <c r="G205" s="40"/>
      <c r="H205" s="55" t="s">
        <v>255</v>
      </c>
      <c r="N205" s="66"/>
      <c r="O205" s="25"/>
      <c r="P205" s="72" t="str">
        <f>IFERROR(IF(ISBLANK(O205),"",INDEX(Gen_Vessels!$A$3:$C$500,MATCH(O205,Gen_Vessels!$C$3:$C$500,0),1)),"")</f>
        <v/>
      </c>
      <c r="Q205" s="25"/>
      <c r="R205" s="25"/>
      <c r="S205" s="25" t="str">
        <f>IFERROR(IF(ISBLANK(R205),"",INDEX(Gen_Vessels!$A$3:$C$500,MATCH(CorrectiveMinor!$R205,Gen_Vessels!$C$3:$C$500,0),1)),"")</f>
        <v/>
      </c>
      <c r="T205" s="25"/>
      <c r="U205" s="25"/>
      <c r="V205" s="25"/>
      <c r="W205" s="25"/>
      <c r="X205" s="25"/>
      <c r="Y205" s="25"/>
      <c r="AA205" s="25"/>
      <c r="AB205" s="25"/>
      <c r="AC205" s="25"/>
      <c r="AD205" s="25"/>
      <c r="AE205" s="25"/>
      <c r="AF205" s="25"/>
      <c r="AG205" s="25"/>
    </row>
    <row r="206" spans="1:33" x14ac:dyDescent="0.25">
      <c r="A206" s="18" t="str">
        <f t="shared" si="3"/>
        <v/>
      </c>
      <c r="B206" s="25"/>
      <c r="C206" s="25"/>
      <c r="D206" s="43"/>
      <c r="E206" s="44"/>
      <c r="F206" s="45"/>
      <c r="G206" s="40"/>
      <c r="H206" s="55" t="s">
        <v>255</v>
      </c>
      <c r="N206" s="66"/>
      <c r="O206" s="25"/>
      <c r="P206" s="72" t="str">
        <f>IFERROR(IF(ISBLANK(O206),"",INDEX(Gen_Vessels!$A$3:$C$500,MATCH(O206,Gen_Vessels!$C$3:$C$500,0),1)),"")</f>
        <v/>
      </c>
      <c r="Q206" s="25"/>
      <c r="R206" s="25"/>
      <c r="S206" s="25" t="str">
        <f>IFERROR(IF(ISBLANK(R206),"",INDEX(Gen_Vessels!$A$3:$C$500,MATCH(CorrectiveMinor!$R206,Gen_Vessels!$C$3:$C$500,0),1)),"")</f>
        <v/>
      </c>
      <c r="T206" s="25"/>
      <c r="U206" s="25"/>
      <c r="V206" s="25"/>
      <c r="W206" s="25"/>
      <c r="X206" s="25"/>
      <c r="Y206" s="25"/>
      <c r="AA206" s="25"/>
      <c r="AB206" s="25"/>
      <c r="AC206" s="25"/>
      <c r="AD206" s="25"/>
      <c r="AE206" s="25"/>
      <c r="AF206" s="25"/>
      <c r="AG206" s="25"/>
    </row>
    <row r="207" spans="1:33" x14ac:dyDescent="0.25">
      <c r="A207" s="18" t="str">
        <f t="shared" si="3"/>
        <v/>
      </c>
      <c r="B207" s="25"/>
      <c r="C207" s="25"/>
      <c r="D207" s="43"/>
      <c r="E207" s="44"/>
      <c r="F207" s="45"/>
      <c r="G207" s="40"/>
      <c r="H207" s="55" t="s">
        <v>255</v>
      </c>
      <c r="N207" s="66"/>
      <c r="O207" s="25"/>
      <c r="P207" s="72" t="str">
        <f>IFERROR(IF(ISBLANK(O207),"",INDEX(Gen_Vessels!$A$3:$C$500,MATCH(O207,Gen_Vessels!$C$3:$C$500,0),1)),"")</f>
        <v/>
      </c>
      <c r="Q207" s="25"/>
      <c r="R207" s="25"/>
      <c r="S207" s="25" t="str">
        <f>IFERROR(IF(ISBLANK(R207),"",INDEX(Gen_Vessels!$A$3:$C$500,MATCH(CorrectiveMinor!$R207,Gen_Vessels!$C$3:$C$500,0),1)),"")</f>
        <v/>
      </c>
      <c r="T207" s="25"/>
      <c r="U207" s="25"/>
      <c r="V207" s="25"/>
      <c r="W207" s="25"/>
      <c r="X207" s="25"/>
      <c r="Y207" s="25"/>
      <c r="AA207" s="25"/>
      <c r="AB207" s="25"/>
      <c r="AC207" s="25"/>
      <c r="AD207" s="25"/>
      <c r="AE207" s="25"/>
      <c r="AF207" s="25"/>
      <c r="AG207" s="25"/>
    </row>
    <row r="208" spans="1:33" x14ac:dyDescent="0.25">
      <c r="A208" s="18" t="str">
        <f t="shared" si="3"/>
        <v/>
      </c>
      <c r="B208" s="25"/>
      <c r="C208" s="25"/>
      <c r="D208" s="43"/>
      <c r="E208" s="44"/>
      <c r="F208" s="45"/>
      <c r="G208" s="40"/>
      <c r="H208" s="55" t="s">
        <v>255</v>
      </c>
      <c r="N208" s="66"/>
      <c r="O208" s="25"/>
      <c r="P208" s="72" t="str">
        <f>IFERROR(IF(ISBLANK(O208),"",INDEX(Gen_Vessels!$A$3:$C$500,MATCH(O208,Gen_Vessels!$C$3:$C$500,0),1)),"")</f>
        <v/>
      </c>
      <c r="Q208" s="25"/>
      <c r="R208" s="25"/>
      <c r="S208" s="25" t="str">
        <f>IFERROR(IF(ISBLANK(R208),"",INDEX(Gen_Vessels!$A$3:$C$500,MATCH(CorrectiveMinor!$R208,Gen_Vessels!$C$3:$C$500,0),1)),"")</f>
        <v/>
      </c>
      <c r="T208" s="25"/>
      <c r="U208" s="25"/>
      <c r="V208" s="25"/>
      <c r="W208" s="25"/>
      <c r="X208" s="25"/>
      <c r="Y208" s="25"/>
      <c r="AA208" s="25"/>
      <c r="AB208" s="25"/>
      <c r="AC208" s="25"/>
      <c r="AD208" s="25"/>
      <c r="AE208" s="25"/>
      <c r="AF208" s="25"/>
      <c r="AG208" s="25"/>
    </row>
    <row r="209" spans="1:33" x14ac:dyDescent="0.25">
      <c r="A209" s="18" t="str">
        <f t="shared" si="3"/>
        <v/>
      </c>
      <c r="B209" s="25"/>
      <c r="C209" s="25"/>
      <c r="D209" s="43"/>
      <c r="E209" s="44"/>
      <c r="F209" s="45"/>
      <c r="G209" s="40"/>
      <c r="H209" s="55" t="s">
        <v>255</v>
      </c>
      <c r="N209" s="66"/>
      <c r="O209" s="25"/>
      <c r="P209" s="72" t="str">
        <f>IFERROR(IF(ISBLANK(O209),"",INDEX(Gen_Vessels!$A$3:$C$500,MATCH(O209,Gen_Vessels!$C$3:$C$500,0),1)),"")</f>
        <v/>
      </c>
      <c r="Q209" s="25"/>
      <c r="R209" s="25"/>
      <c r="S209" s="25" t="str">
        <f>IFERROR(IF(ISBLANK(R209),"",INDEX(Gen_Vessels!$A$3:$C$500,MATCH(CorrectiveMinor!$R209,Gen_Vessels!$C$3:$C$500,0),1)),"")</f>
        <v/>
      </c>
      <c r="T209" s="25"/>
      <c r="U209" s="25"/>
      <c r="V209" s="25"/>
      <c r="W209" s="25"/>
      <c r="X209" s="25"/>
      <c r="Y209" s="25"/>
      <c r="AA209" s="25"/>
      <c r="AB209" s="25"/>
      <c r="AC209" s="25"/>
      <c r="AD209" s="25"/>
      <c r="AE209" s="25"/>
      <c r="AF209" s="25"/>
      <c r="AG209" s="25"/>
    </row>
    <row r="210" spans="1:33" x14ac:dyDescent="0.25">
      <c r="A210" s="18" t="str">
        <f t="shared" si="3"/>
        <v/>
      </c>
      <c r="B210" s="25"/>
      <c r="C210" s="25"/>
      <c r="D210" s="43"/>
      <c r="E210" s="44"/>
      <c r="F210" s="45"/>
      <c r="G210" s="40"/>
      <c r="H210" s="55" t="s">
        <v>255</v>
      </c>
      <c r="N210" s="66"/>
      <c r="O210" s="25"/>
      <c r="P210" s="72" t="str">
        <f>IFERROR(IF(ISBLANK(O210),"",INDEX(Gen_Vessels!$A$3:$C$500,MATCH(O210,Gen_Vessels!$C$3:$C$500,0),1)),"")</f>
        <v/>
      </c>
      <c r="Q210" s="25"/>
      <c r="R210" s="25"/>
      <c r="S210" s="25" t="str">
        <f>IFERROR(IF(ISBLANK(R210),"",INDEX(Gen_Vessels!$A$3:$C$500,MATCH(CorrectiveMinor!$R210,Gen_Vessels!$C$3:$C$500,0),1)),"")</f>
        <v/>
      </c>
      <c r="T210" s="25"/>
      <c r="U210" s="25"/>
      <c r="V210" s="25"/>
      <c r="W210" s="25"/>
      <c r="X210" s="25"/>
      <c r="Y210" s="25"/>
      <c r="AA210" s="25"/>
      <c r="AB210" s="25"/>
      <c r="AC210" s="25"/>
      <c r="AD210" s="25"/>
      <c r="AE210" s="25"/>
      <c r="AF210" s="25"/>
      <c r="AG210" s="25"/>
    </row>
    <row r="211" spans="1:33" x14ac:dyDescent="0.25">
      <c r="A211" s="18" t="str">
        <f t="shared" si="3"/>
        <v/>
      </c>
      <c r="B211" s="25"/>
      <c r="C211" s="25"/>
      <c r="D211" s="43"/>
      <c r="E211" s="44"/>
      <c r="F211" s="45"/>
      <c r="G211" s="40"/>
      <c r="H211" s="55" t="s">
        <v>255</v>
      </c>
      <c r="N211" s="66"/>
      <c r="O211" s="25"/>
      <c r="P211" s="72" t="str">
        <f>IFERROR(IF(ISBLANK(O211),"",INDEX(Gen_Vessels!$A$3:$C$500,MATCH(O211,Gen_Vessels!$C$3:$C$500,0),1)),"")</f>
        <v/>
      </c>
      <c r="Q211" s="25"/>
      <c r="R211" s="25"/>
      <c r="S211" s="25" t="str">
        <f>IFERROR(IF(ISBLANK(R211),"",INDEX(Gen_Vessels!$A$3:$C$500,MATCH(CorrectiveMinor!$R211,Gen_Vessels!$C$3:$C$500,0),1)),"")</f>
        <v/>
      </c>
      <c r="T211" s="25"/>
      <c r="U211" s="25"/>
      <c r="V211" s="25"/>
      <c r="W211" s="25"/>
      <c r="X211" s="25"/>
      <c r="Y211" s="25"/>
      <c r="AA211" s="25"/>
      <c r="AB211" s="25"/>
      <c r="AC211" s="25"/>
      <c r="AD211" s="25"/>
      <c r="AE211" s="25"/>
      <c r="AF211" s="25"/>
      <c r="AG211" s="25"/>
    </row>
    <row r="212" spans="1:33" x14ac:dyDescent="0.25">
      <c r="A212" s="18" t="str">
        <f t="shared" si="3"/>
        <v/>
      </c>
      <c r="B212" s="25"/>
      <c r="C212" s="25"/>
      <c r="D212" s="43"/>
      <c r="E212" s="44"/>
      <c r="F212" s="45"/>
      <c r="G212" s="40"/>
      <c r="H212" s="55" t="s">
        <v>255</v>
      </c>
      <c r="N212" s="66"/>
      <c r="O212" s="25"/>
      <c r="P212" s="72" t="str">
        <f>IFERROR(IF(ISBLANK(O212),"",INDEX(Gen_Vessels!$A$3:$C$500,MATCH(O212,Gen_Vessels!$C$3:$C$500,0),1)),"")</f>
        <v/>
      </c>
      <c r="Q212" s="25"/>
      <c r="R212" s="25"/>
      <c r="S212" s="25" t="str">
        <f>IFERROR(IF(ISBLANK(R212),"",INDEX(Gen_Vessels!$A$3:$C$500,MATCH(CorrectiveMinor!$R212,Gen_Vessels!$C$3:$C$500,0),1)),"")</f>
        <v/>
      </c>
      <c r="T212" s="25"/>
      <c r="U212" s="25"/>
      <c r="V212" s="25"/>
      <c r="W212" s="25"/>
      <c r="X212" s="25"/>
      <c r="Y212" s="25"/>
      <c r="AA212" s="25"/>
      <c r="AB212" s="25"/>
      <c r="AC212" s="25"/>
      <c r="AD212" s="25"/>
      <c r="AE212" s="25"/>
      <c r="AF212" s="25"/>
      <c r="AG212" s="25"/>
    </row>
    <row r="213" spans="1:33" x14ac:dyDescent="0.25">
      <c r="A213" s="18" t="str">
        <f t="shared" si="3"/>
        <v/>
      </c>
      <c r="B213" s="25"/>
      <c r="C213" s="25"/>
      <c r="D213" s="43"/>
      <c r="E213" s="44"/>
      <c r="F213" s="45"/>
      <c r="G213" s="40"/>
      <c r="H213" s="55" t="s">
        <v>255</v>
      </c>
      <c r="N213" s="66"/>
      <c r="O213" s="25"/>
      <c r="P213" s="72" t="str">
        <f>IFERROR(IF(ISBLANK(O213),"",INDEX(Gen_Vessels!$A$3:$C$500,MATCH(O213,Gen_Vessels!$C$3:$C$500,0),1)),"")</f>
        <v/>
      </c>
      <c r="Q213" s="25"/>
      <c r="R213" s="25"/>
      <c r="S213" s="25" t="str">
        <f>IFERROR(IF(ISBLANK(R213),"",INDEX(Gen_Vessels!$A$3:$C$500,MATCH(CorrectiveMinor!$R213,Gen_Vessels!$C$3:$C$500,0),1)),"")</f>
        <v/>
      </c>
      <c r="T213" s="25"/>
      <c r="U213" s="25"/>
      <c r="V213" s="25"/>
      <c r="W213" s="25"/>
      <c r="X213" s="25"/>
      <c r="Y213" s="25"/>
      <c r="AA213" s="25"/>
      <c r="AB213" s="25"/>
      <c r="AC213" s="25"/>
      <c r="AD213" s="25"/>
      <c r="AE213" s="25"/>
      <c r="AF213" s="25"/>
      <c r="AG213" s="25"/>
    </row>
    <row r="214" spans="1:33" x14ac:dyDescent="0.25">
      <c r="A214" s="18" t="str">
        <f t="shared" si="3"/>
        <v/>
      </c>
      <c r="B214" s="25"/>
      <c r="C214" s="25"/>
      <c r="D214" s="43"/>
      <c r="E214" s="44"/>
      <c r="F214" s="45"/>
      <c r="G214" s="40"/>
      <c r="H214" s="55" t="s">
        <v>255</v>
      </c>
      <c r="N214" s="66"/>
      <c r="O214" s="25"/>
      <c r="P214" s="72" t="str">
        <f>IFERROR(IF(ISBLANK(O214),"",INDEX(Gen_Vessels!$A$3:$C$500,MATCH(O214,Gen_Vessels!$C$3:$C$500,0),1)),"")</f>
        <v/>
      </c>
      <c r="Q214" s="25"/>
      <c r="R214" s="25"/>
      <c r="S214" s="25" t="str">
        <f>IFERROR(IF(ISBLANK(R214),"",INDEX(Gen_Vessels!$A$3:$C$500,MATCH(CorrectiveMinor!$R214,Gen_Vessels!$C$3:$C$500,0),1)),"")</f>
        <v/>
      </c>
      <c r="T214" s="25"/>
      <c r="U214" s="25"/>
      <c r="V214" s="25"/>
      <c r="W214" s="25"/>
      <c r="X214" s="25"/>
      <c r="Y214" s="25"/>
      <c r="AA214" s="25"/>
      <c r="AB214" s="25"/>
      <c r="AC214" s="25"/>
      <c r="AD214" s="25"/>
      <c r="AE214" s="25"/>
      <c r="AF214" s="25"/>
      <c r="AG214" s="25"/>
    </row>
    <row r="215" spans="1:33" x14ac:dyDescent="0.25">
      <c r="A215" s="18" t="str">
        <f t="shared" si="3"/>
        <v/>
      </c>
      <c r="B215" s="25"/>
      <c r="C215" s="25"/>
      <c r="D215" s="43"/>
      <c r="E215" s="44"/>
      <c r="F215" s="45"/>
      <c r="G215" s="40"/>
      <c r="H215" s="55" t="s">
        <v>255</v>
      </c>
      <c r="N215" s="66"/>
      <c r="O215" s="25"/>
      <c r="P215" s="72" t="str">
        <f>IFERROR(IF(ISBLANK(O215),"",INDEX(Gen_Vessels!$A$3:$C$500,MATCH(O215,Gen_Vessels!$C$3:$C$500,0),1)),"")</f>
        <v/>
      </c>
      <c r="Q215" s="25"/>
      <c r="R215" s="25"/>
      <c r="S215" s="25" t="str">
        <f>IFERROR(IF(ISBLANK(R215),"",INDEX(Gen_Vessels!$A$3:$C$500,MATCH(CorrectiveMinor!$R215,Gen_Vessels!$C$3:$C$500,0),1)),"")</f>
        <v/>
      </c>
      <c r="T215" s="25"/>
      <c r="U215" s="25"/>
      <c r="V215" s="25"/>
      <c r="W215" s="25"/>
      <c r="X215" s="25"/>
      <c r="Y215" s="25"/>
      <c r="AA215" s="25"/>
      <c r="AB215" s="25"/>
      <c r="AC215" s="25"/>
      <c r="AD215" s="25"/>
      <c r="AE215" s="25"/>
      <c r="AF215" s="25"/>
      <c r="AG215" s="25"/>
    </row>
    <row r="216" spans="1:33" x14ac:dyDescent="0.25">
      <c r="A216" s="18" t="str">
        <f t="shared" si="3"/>
        <v/>
      </c>
      <c r="B216" s="25"/>
      <c r="C216" s="25"/>
      <c r="D216" s="43"/>
      <c r="E216" s="44"/>
      <c r="F216" s="45"/>
      <c r="G216" s="40"/>
      <c r="H216" s="55" t="s">
        <v>255</v>
      </c>
      <c r="N216" s="66"/>
      <c r="O216" s="25"/>
      <c r="P216" s="72" t="str">
        <f>IFERROR(IF(ISBLANK(O216),"",INDEX(Gen_Vessels!$A$3:$C$500,MATCH(O216,Gen_Vessels!$C$3:$C$500,0),1)),"")</f>
        <v/>
      </c>
      <c r="Q216" s="25"/>
      <c r="R216" s="25"/>
      <c r="S216" s="25" t="str">
        <f>IFERROR(IF(ISBLANK(R216),"",INDEX(Gen_Vessels!$A$3:$C$500,MATCH(CorrectiveMinor!$R216,Gen_Vessels!$C$3:$C$500,0),1)),"")</f>
        <v/>
      </c>
      <c r="T216" s="25"/>
      <c r="U216" s="25"/>
      <c r="V216" s="25"/>
      <c r="W216" s="25"/>
      <c r="X216" s="25"/>
      <c r="Y216" s="25"/>
      <c r="AA216" s="25"/>
      <c r="AB216" s="25"/>
      <c r="AC216" s="25"/>
      <c r="AD216" s="25"/>
      <c r="AE216" s="25"/>
      <c r="AF216" s="25"/>
      <c r="AG216" s="25"/>
    </row>
    <row r="217" spans="1:33" x14ac:dyDescent="0.25">
      <c r="A217" s="18" t="str">
        <f t="shared" si="3"/>
        <v/>
      </c>
      <c r="B217" s="25"/>
      <c r="C217" s="25"/>
      <c r="D217" s="43"/>
      <c r="E217" s="44"/>
      <c r="F217" s="45"/>
      <c r="G217" s="40"/>
      <c r="H217" s="55" t="s">
        <v>255</v>
      </c>
      <c r="N217" s="66"/>
      <c r="O217" s="25"/>
      <c r="P217" s="72" t="str">
        <f>IFERROR(IF(ISBLANK(O217),"",INDEX(Gen_Vessels!$A$3:$C$500,MATCH(O217,Gen_Vessels!$C$3:$C$500,0),1)),"")</f>
        <v/>
      </c>
      <c r="Q217" s="25"/>
      <c r="R217" s="25"/>
      <c r="S217" s="25" t="str">
        <f>IFERROR(IF(ISBLANK(R217),"",INDEX(Gen_Vessels!$A$3:$C$500,MATCH(CorrectiveMinor!$R217,Gen_Vessels!$C$3:$C$500,0),1)),"")</f>
        <v/>
      </c>
      <c r="T217" s="25"/>
      <c r="U217" s="25"/>
      <c r="V217" s="25"/>
      <c r="W217" s="25"/>
      <c r="X217" s="25"/>
      <c r="Y217" s="25"/>
      <c r="AA217" s="25"/>
      <c r="AB217" s="25"/>
      <c r="AC217" s="25"/>
      <c r="AD217" s="25"/>
      <c r="AE217" s="25"/>
      <c r="AF217" s="25"/>
      <c r="AG217" s="25"/>
    </row>
    <row r="218" spans="1:33" x14ac:dyDescent="0.25">
      <c r="A218" s="18" t="str">
        <f t="shared" si="3"/>
        <v/>
      </c>
      <c r="B218" s="25"/>
      <c r="C218" s="25"/>
      <c r="D218" s="43"/>
      <c r="E218" s="44"/>
      <c r="F218" s="45"/>
      <c r="G218" s="40"/>
      <c r="H218" s="55" t="s">
        <v>255</v>
      </c>
      <c r="N218" s="66"/>
      <c r="O218" s="25"/>
      <c r="P218" s="72" t="str">
        <f>IFERROR(IF(ISBLANK(O218),"",INDEX(Gen_Vessels!$A$3:$C$500,MATCH(O218,Gen_Vessels!$C$3:$C$500,0),1)),"")</f>
        <v/>
      </c>
      <c r="Q218" s="25"/>
      <c r="R218" s="25"/>
      <c r="S218" s="25" t="str">
        <f>IFERROR(IF(ISBLANK(R218),"",INDEX(Gen_Vessels!$A$3:$C$500,MATCH(CorrectiveMinor!$R218,Gen_Vessels!$C$3:$C$500,0),1)),"")</f>
        <v/>
      </c>
      <c r="T218" s="25"/>
      <c r="U218" s="25"/>
      <c r="V218" s="25"/>
      <c r="W218" s="25"/>
      <c r="X218" s="25"/>
      <c r="Y218" s="25"/>
      <c r="AA218" s="25"/>
      <c r="AB218" s="25"/>
      <c r="AC218" s="25"/>
      <c r="AD218" s="25"/>
      <c r="AE218" s="25"/>
      <c r="AF218" s="25"/>
      <c r="AG218" s="25"/>
    </row>
    <row r="219" spans="1:33" x14ac:dyDescent="0.25">
      <c r="A219" s="18" t="str">
        <f t="shared" si="3"/>
        <v/>
      </c>
      <c r="B219" s="25"/>
      <c r="C219" s="25"/>
      <c r="D219" s="43"/>
      <c r="E219" s="44"/>
      <c r="F219" s="45"/>
      <c r="G219" s="40"/>
      <c r="H219" s="55" t="s">
        <v>255</v>
      </c>
      <c r="N219" s="66"/>
      <c r="O219" s="25"/>
      <c r="P219" s="72" t="str">
        <f>IFERROR(IF(ISBLANK(O219),"",INDEX(Gen_Vessels!$A$3:$C$500,MATCH(O219,Gen_Vessels!$C$3:$C$500,0),1)),"")</f>
        <v/>
      </c>
      <c r="Q219" s="25"/>
      <c r="R219" s="25"/>
      <c r="S219" s="25" t="str">
        <f>IFERROR(IF(ISBLANK(R219),"",INDEX(Gen_Vessels!$A$3:$C$500,MATCH(CorrectiveMinor!$R219,Gen_Vessels!$C$3:$C$500,0),1)),"")</f>
        <v/>
      </c>
      <c r="T219" s="25"/>
      <c r="U219" s="25"/>
      <c r="V219" s="25"/>
      <c r="W219" s="25"/>
      <c r="X219" s="25"/>
      <c r="Y219" s="25"/>
      <c r="AA219" s="25"/>
      <c r="AB219" s="25"/>
      <c r="AC219" s="25"/>
      <c r="AD219" s="25"/>
      <c r="AE219" s="25"/>
      <c r="AF219" s="25"/>
      <c r="AG219" s="25"/>
    </row>
    <row r="220" spans="1:33" x14ac:dyDescent="0.25">
      <c r="A220" s="18" t="str">
        <f t="shared" si="3"/>
        <v/>
      </c>
      <c r="B220" s="25"/>
      <c r="C220" s="25"/>
      <c r="D220" s="43"/>
      <c r="E220" s="44"/>
      <c r="F220" s="45"/>
      <c r="G220" s="40"/>
      <c r="H220" s="55" t="s">
        <v>255</v>
      </c>
      <c r="N220" s="66"/>
      <c r="O220" s="25"/>
      <c r="P220" s="72" t="str">
        <f>IFERROR(IF(ISBLANK(O220),"",INDEX(Gen_Vessels!$A$3:$C$500,MATCH(O220,Gen_Vessels!$C$3:$C$500,0),1)),"")</f>
        <v/>
      </c>
      <c r="Q220" s="25"/>
      <c r="R220" s="25"/>
      <c r="S220" s="25" t="str">
        <f>IFERROR(IF(ISBLANK(R220),"",INDEX(Gen_Vessels!$A$3:$C$500,MATCH(CorrectiveMinor!$R220,Gen_Vessels!$C$3:$C$500,0),1)),"")</f>
        <v/>
      </c>
      <c r="T220" s="25"/>
      <c r="U220" s="25"/>
      <c r="V220" s="25"/>
      <c r="W220" s="25"/>
      <c r="X220" s="25"/>
      <c r="Y220" s="25"/>
      <c r="AA220" s="25"/>
      <c r="AB220" s="25"/>
      <c r="AC220" s="25"/>
      <c r="AD220" s="25"/>
      <c r="AE220" s="25"/>
      <c r="AF220" s="25"/>
      <c r="AG220" s="25"/>
    </row>
    <row r="221" spans="1:33" x14ac:dyDescent="0.25">
      <c r="A221" s="18" t="str">
        <f t="shared" si="3"/>
        <v/>
      </c>
      <c r="B221" s="25"/>
      <c r="C221" s="25"/>
      <c r="D221" s="43"/>
      <c r="E221" s="44"/>
      <c r="F221" s="45"/>
      <c r="G221" s="40"/>
      <c r="H221" s="55" t="s">
        <v>255</v>
      </c>
      <c r="N221" s="66"/>
      <c r="O221" s="25"/>
      <c r="P221" s="72" t="str">
        <f>IFERROR(IF(ISBLANK(O221),"",INDEX(Gen_Vessels!$A$3:$C$500,MATCH(O221,Gen_Vessels!$C$3:$C$500,0),1)),"")</f>
        <v/>
      </c>
      <c r="Q221" s="25"/>
      <c r="R221" s="25"/>
      <c r="S221" s="25" t="str">
        <f>IFERROR(IF(ISBLANK(R221),"",INDEX(Gen_Vessels!$A$3:$C$500,MATCH(CorrectiveMinor!$R221,Gen_Vessels!$C$3:$C$500,0),1)),"")</f>
        <v/>
      </c>
      <c r="T221" s="25"/>
      <c r="U221" s="25"/>
      <c r="V221" s="25"/>
      <c r="W221" s="25"/>
      <c r="X221" s="25"/>
      <c r="Y221" s="25"/>
      <c r="AA221" s="25"/>
      <c r="AB221" s="25"/>
      <c r="AC221" s="25"/>
      <c r="AD221" s="25"/>
      <c r="AE221" s="25"/>
      <c r="AF221" s="25"/>
      <c r="AG221" s="25"/>
    </row>
    <row r="222" spans="1:33" x14ac:dyDescent="0.25">
      <c r="A222" s="18" t="str">
        <f t="shared" si="3"/>
        <v/>
      </c>
      <c r="B222" s="25"/>
      <c r="C222" s="25"/>
      <c r="D222" s="43"/>
      <c r="E222" s="44"/>
      <c r="F222" s="45"/>
      <c r="G222" s="40"/>
      <c r="H222" s="55" t="s">
        <v>255</v>
      </c>
      <c r="N222" s="66"/>
      <c r="O222" s="25"/>
      <c r="P222" s="72" t="str">
        <f>IFERROR(IF(ISBLANK(O222),"",INDEX(Gen_Vessels!$A$3:$C$500,MATCH(O222,Gen_Vessels!$C$3:$C$500,0),1)),"")</f>
        <v/>
      </c>
      <c r="Q222" s="25"/>
      <c r="R222" s="25"/>
      <c r="S222" s="25" t="str">
        <f>IFERROR(IF(ISBLANK(R222),"",INDEX(Gen_Vessels!$A$3:$C$500,MATCH(CorrectiveMinor!$R222,Gen_Vessels!$C$3:$C$500,0),1)),"")</f>
        <v/>
      </c>
      <c r="T222" s="25"/>
      <c r="U222" s="25"/>
      <c r="V222" s="25"/>
      <c r="W222" s="25"/>
      <c r="X222" s="25"/>
      <c r="Y222" s="25"/>
      <c r="AA222" s="25"/>
      <c r="AB222" s="25"/>
      <c r="AC222" s="25"/>
      <c r="AD222" s="25"/>
      <c r="AE222" s="25"/>
      <c r="AF222" s="25"/>
      <c r="AG222" s="25"/>
    </row>
    <row r="223" spans="1:33" x14ac:dyDescent="0.25">
      <c r="A223" s="18" t="str">
        <f t="shared" si="3"/>
        <v/>
      </c>
      <c r="B223" s="25"/>
      <c r="C223" s="25"/>
      <c r="D223" s="43"/>
      <c r="E223" s="44"/>
      <c r="F223" s="45"/>
      <c r="G223" s="40"/>
      <c r="H223" s="55" t="s">
        <v>255</v>
      </c>
      <c r="N223" s="66"/>
      <c r="O223" s="25"/>
      <c r="P223" s="72" t="str">
        <f>IFERROR(IF(ISBLANK(O223),"",INDEX(Gen_Vessels!$A$3:$C$500,MATCH(O223,Gen_Vessels!$C$3:$C$500,0),1)),"")</f>
        <v/>
      </c>
      <c r="Q223" s="25"/>
      <c r="R223" s="25"/>
      <c r="S223" s="25" t="str">
        <f>IFERROR(IF(ISBLANK(R223),"",INDEX(Gen_Vessels!$A$3:$C$500,MATCH(CorrectiveMinor!$R223,Gen_Vessels!$C$3:$C$500,0),1)),"")</f>
        <v/>
      </c>
      <c r="T223" s="25"/>
      <c r="U223" s="25"/>
      <c r="V223" s="25"/>
      <c r="W223" s="25"/>
      <c r="X223" s="25"/>
      <c r="Y223" s="25"/>
      <c r="AA223" s="25"/>
      <c r="AB223" s="25"/>
      <c r="AC223" s="25"/>
      <c r="AD223" s="25"/>
      <c r="AE223" s="25"/>
      <c r="AF223" s="25"/>
      <c r="AG223" s="25"/>
    </row>
    <row r="224" spans="1:33" x14ac:dyDescent="0.25">
      <c r="A224" s="18" t="str">
        <f t="shared" si="3"/>
        <v/>
      </c>
      <c r="B224" s="25"/>
      <c r="C224" s="25"/>
      <c r="D224" s="43"/>
      <c r="E224" s="44"/>
      <c r="F224" s="45"/>
      <c r="G224" s="40"/>
      <c r="H224" s="55" t="s">
        <v>255</v>
      </c>
      <c r="N224" s="66"/>
      <c r="O224" s="25"/>
      <c r="P224" s="72" t="str">
        <f>IFERROR(IF(ISBLANK(O224),"",INDEX(Gen_Vessels!$A$3:$C$500,MATCH(O224,Gen_Vessels!$C$3:$C$500,0),1)),"")</f>
        <v/>
      </c>
      <c r="Q224" s="25"/>
      <c r="R224" s="25"/>
      <c r="S224" s="25" t="str">
        <f>IFERROR(IF(ISBLANK(R224),"",INDEX(Gen_Vessels!$A$3:$C$500,MATCH(CorrectiveMinor!$R224,Gen_Vessels!$C$3:$C$500,0),1)),"")</f>
        <v/>
      </c>
      <c r="T224" s="25"/>
      <c r="U224" s="25"/>
      <c r="V224" s="25"/>
      <c r="W224" s="25"/>
      <c r="X224" s="25"/>
      <c r="Y224" s="25"/>
      <c r="AA224" s="25"/>
      <c r="AB224" s="25"/>
      <c r="AC224" s="25"/>
      <c r="AD224" s="25"/>
      <c r="AE224" s="25"/>
      <c r="AF224" s="25"/>
      <c r="AG224" s="25"/>
    </row>
    <row r="225" spans="1:33" x14ac:dyDescent="0.25">
      <c r="A225" s="18" t="str">
        <f t="shared" si="3"/>
        <v/>
      </c>
      <c r="B225" s="25"/>
      <c r="C225" s="25"/>
      <c r="D225" s="43"/>
      <c r="E225" s="44"/>
      <c r="F225" s="45"/>
      <c r="G225" s="40"/>
      <c r="H225" s="55" t="s">
        <v>255</v>
      </c>
      <c r="N225" s="66"/>
      <c r="O225" s="25"/>
      <c r="P225" s="72" t="str">
        <f>IFERROR(IF(ISBLANK(O225),"",INDEX(Gen_Vessels!$A$3:$C$500,MATCH(O225,Gen_Vessels!$C$3:$C$500,0),1)),"")</f>
        <v/>
      </c>
      <c r="Q225" s="25"/>
      <c r="R225" s="25"/>
      <c r="S225" s="25" t="str">
        <f>IFERROR(IF(ISBLANK(R225),"",INDEX(Gen_Vessels!$A$3:$C$500,MATCH(CorrectiveMinor!$R225,Gen_Vessels!$C$3:$C$500,0),1)),"")</f>
        <v/>
      </c>
      <c r="T225" s="25"/>
      <c r="U225" s="25"/>
      <c r="V225" s="25"/>
      <c r="W225" s="25"/>
      <c r="X225" s="25"/>
      <c r="Y225" s="25"/>
      <c r="AA225" s="25"/>
      <c r="AB225" s="25"/>
      <c r="AC225" s="25"/>
      <c r="AD225" s="25"/>
      <c r="AE225" s="25"/>
      <c r="AF225" s="25"/>
      <c r="AG225" s="25"/>
    </row>
    <row r="226" spans="1:33" x14ac:dyDescent="0.25">
      <c r="A226" s="18" t="str">
        <f t="shared" si="3"/>
        <v/>
      </c>
      <c r="B226" s="25"/>
      <c r="C226" s="25"/>
      <c r="D226" s="43"/>
      <c r="E226" s="44"/>
      <c r="F226" s="45"/>
      <c r="G226" s="40"/>
      <c r="H226" s="55" t="s">
        <v>255</v>
      </c>
      <c r="N226" s="66"/>
      <c r="O226" s="25"/>
      <c r="P226" s="72" t="str">
        <f>IFERROR(IF(ISBLANK(O226),"",INDEX(Gen_Vessels!$A$3:$C$500,MATCH(O226,Gen_Vessels!$C$3:$C$500,0),1)),"")</f>
        <v/>
      </c>
      <c r="Q226" s="25"/>
      <c r="R226" s="25"/>
      <c r="S226" s="25" t="str">
        <f>IFERROR(IF(ISBLANK(R226),"",INDEX(Gen_Vessels!$A$3:$C$500,MATCH(CorrectiveMinor!$R226,Gen_Vessels!$C$3:$C$500,0),1)),"")</f>
        <v/>
      </c>
      <c r="T226" s="25"/>
      <c r="U226" s="25"/>
      <c r="V226" s="25"/>
      <c r="W226" s="25"/>
      <c r="X226" s="25"/>
      <c r="Y226" s="25"/>
      <c r="AA226" s="25"/>
      <c r="AB226" s="25"/>
      <c r="AC226" s="25"/>
      <c r="AD226" s="25"/>
      <c r="AE226" s="25"/>
      <c r="AF226" s="25"/>
      <c r="AG226" s="25"/>
    </row>
    <row r="227" spans="1:33" x14ac:dyDescent="0.25">
      <c r="A227" s="18" t="str">
        <f t="shared" si="3"/>
        <v/>
      </c>
      <c r="B227" s="25"/>
      <c r="C227" s="25"/>
      <c r="D227" s="43"/>
      <c r="E227" s="44"/>
      <c r="F227" s="45"/>
      <c r="G227" s="40"/>
      <c r="H227" s="55" t="s">
        <v>255</v>
      </c>
      <c r="N227" s="66"/>
      <c r="O227" s="25"/>
      <c r="P227" s="72" t="str">
        <f>IFERROR(IF(ISBLANK(O227),"",INDEX(Gen_Vessels!$A$3:$C$500,MATCH(O227,Gen_Vessels!$C$3:$C$500,0),1)),"")</f>
        <v/>
      </c>
      <c r="Q227" s="25"/>
      <c r="R227" s="25"/>
      <c r="S227" s="25" t="str">
        <f>IFERROR(IF(ISBLANK(R227),"",INDEX(Gen_Vessels!$A$3:$C$500,MATCH(CorrectiveMinor!$R227,Gen_Vessels!$C$3:$C$500,0),1)),"")</f>
        <v/>
      </c>
      <c r="T227" s="25"/>
      <c r="U227" s="25"/>
      <c r="V227" s="25"/>
      <c r="W227" s="25"/>
      <c r="X227" s="25"/>
      <c r="Y227" s="25"/>
      <c r="AA227" s="25"/>
      <c r="AB227" s="25"/>
      <c r="AC227" s="25"/>
      <c r="AD227" s="25"/>
      <c r="AE227" s="25"/>
      <c r="AF227" s="25"/>
      <c r="AG227" s="25"/>
    </row>
    <row r="228" spans="1:33" x14ac:dyDescent="0.25">
      <c r="A228" s="18" t="str">
        <f t="shared" si="3"/>
        <v/>
      </c>
      <c r="B228" s="25"/>
      <c r="C228" s="25"/>
      <c r="D228" s="43"/>
      <c r="E228" s="44"/>
      <c r="F228" s="45"/>
      <c r="G228" s="40"/>
      <c r="H228" s="55" t="s">
        <v>255</v>
      </c>
      <c r="N228" s="66"/>
      <c r="O228" s="25"/>
      <c r="P228" s="72" t="str">
        <f>IFERROR(IF(ISBLANK(O228),"",INDEX(Gen_Vessels!$A$3:$C$500,MATCH(O228,Gen_Vessels!$C$3:$C$500,0),1)),"")</f>
        <v/>
      </c>
      <c r="Q228" s="25"/>
      <c r="R228" s="25"/>
      <c r="S228" s="25" t="str">
        <f>IFERROR(IF(ISBLANK(R228),"",INDEX(Gen_Vessels!$A$3:$C$500,MATCH(CorrectiveMinor!$R228,Gen_Vessels!$C$3:$C$500,0),1)),"")</f>
        <v/>
      </c>
      <c r="T228" s="25"/>
      <c r="U228" s="25"/>
      <c r="V228" s="25"/>
      <c r="W228" s="25"/>
      <c r="X228" s="25"/>
      <c r="Y228" s="25"/>
      <c r="AA228" s="25"/>
      <c r="AB228" s="25"/>
      <c r="AC228" s="25"/>
      <c r="AD228" s="25"/>
      <c r="AE228" s="25"/>
      <c r="AF228" s="25"/>
      <c r="AG228" s="25"/>
    </row>
    <row r="229" spans="1:33" x14ac:dyDescent="0.25">
      <c r="A229" s="18" t="str">
        <f t="shared" si="3"/>
        <v/>
      </c>
      <c r="B229" s="25"/>
      <c r="C229" s="25"/>
      <c r="D229" s="43"/>
      <c r="E229" s="44"/>
      <c r="F229" s="45"/>
      <c r="G229" s="40"/>
      <c r="H229" s="55" t="s">
        <v>255</v>
      </c>
      <c r="N229" s="66"/>
      <c r="O229" s="25"/>
      <c r="P229" s="72" t="str">
        <f>IFERROR(IF(ISBLANK(O229),"",INDEX(Gen_Vessels!$A$3:$C$500,MATCH(O229,Gen_Vessels!$C$3:$C$500,0),1)),"")</f>
        <v/>
      </c>
      <c r="Q229" s="25"/>
      <c r="R229" s="25"/>
      <c r="S229" s="25" t="str">
        <f>IFERROR(IF(ISBLANK(R229),"",INDEX(Gen_Vessels!$A$3:$C$500,MATCH(CorrectiveMinor!$R229,Gen_Vessels!$C$3:$C$500,0),1)),"")</f>
        <v/>
      </c>
      <c r="T229" s="25"/>
      <c r="U229" s="25"/>
      <c r="V229" s="25"/>
      <c r="W229" s="25"/>
      <c r="X229" s="25"/>
      <c r="Y229" s="25"/>
      <c r="AA229" s="25"/>
      <c r="AB229" s="25"/>
      <c r="AC229" s="25"/>
      <c r="AD229" s="25"/>
      <c r="AE229" s="25"/>
      <c r="AF229" s="25"/>
      <c r="AG229" s="25"/>
    </row>
    <row r="230" spans="1:33" x14ac:dyDescent="0.25">
      <c r="A230" s="18" t="str">
        <f t="shared" si="3"/>
        <v/>
      </c>
      <c r="B230" s="25"/>
      <c r="C230" s="25"/>
      <c r="D230" s="43"/>
      <c r="E230" s="44"/>
      <c r="F230" s="45"/>
      <c r="G230" s="40"/>
      <c r="H230" s="55" t="s">
        <v>255</v>
      </c>
      <c r="N230" s="66"/>
      <c r="O230" s="25"/>
      <c r="P230" s="72" t="str">
        <f>IFERROR(IF(ISBLANK(O230),"",INDEX(Gen_Vessels!$A$3:$C$500,MATCH(O230,Gen_Vessels!$C$3:$C$500,0),1)),"")</f>
        <v/>
      </c>
      <c r="Q230" s="25"/>
      <c r="R230" s="25"/>
      <c r="S230" s="25" t="str">
        <f>IFERROR(IF(ISBLANK(R230),"",INDEX(Gen_Vessels!$A$3:$C$500,MATCH(CorrectiveMinor!$R230,Gen_Vessels!$C$3:$C$500,0),1)),"")</f>
        <v/>
      </c>
      <c r="T230" s="25"/>
      <c r="U230" s="25"/>
      <c r="V230" s="25"/>
      <c r="W230" s="25"/>
      <c r="X230" s="25"/>
      <c r="Y230" s="25"/>
      <c r="AA230" s="25"/>
      <c r="AB230" s="25"/>
      <c r="AC230" s="25"/>
      <c r="AD230" s="25"/>
      <c r="AE230" s="25"/>
      <c r="AF230" s="25"/>
      <c r="AG230" s="25"/>
    </row>
    <row r="231" spans="1:33" x14ac:dyDescent="0.25">
      <c r="A231" s="18" t="str">
        <f t="shared" si="3"/>
        <v/>
      </c>
      <c r="B231" s="25"/>
      <c r="C231" s="25"/>
      <c r="D231" s="43"/>
      <c r="E231" s="44"/>
      <c r="F231" s="45"/>
      <c r="G231" s="40"/>
      <c r="H231" s="55" t="s">
        <v>255</v>
      </c>
      <c r="N231" s="66"/>
      <c r="O231" s="25"/>
      <c r="P231" s="72" t="str">
        <f>IFERROR(IF(ISBLANK(O231),"",INDEX(Gen_Vessels!$A$3:$C$500,MATCH(O231,Gen_Vessels!$C$3:$C$500,0),1)),"")</f>
        <v/>
      </c>
      <c r="Q231" s="25"/>
      <c r="R231" s="25"/>
      <c r="S231" s="25" t="str">
        <f>IFERROR(IF(ISBLANK(R231),"",INDEX(Gen_Vessels!$A$3:$C$500,MATCH(CorrectiveMinor!$R231,Gen_Vessels!$C$3:$C$500,0),1)),"")</f>
        <v/>
      </c>
      <c r="T231" s="25"/>
      <c r="U231" s="25"/>
      <c r="V231" s="25"/>
      <c r="W231" s="25"/>
      <c r="X231" s="25"/>
      <c r="Y231" s="25"/>
      <c r="AA231" s="25"/>
      <c r="AB231" s="25"/>
      <c r="AC231" s="25"/>
      <c r="AD231" s="25"/>
      <c r="AE231" s="25"/>
      <c r="AF231" s="25"/>
      <c r="AG231" s="25"/>
    </row>
    <row r="232" spans="1:33" x14ac:dyDescent="0.25">
      <c r="A232" s="18" t="str">
        <f t="shared" si="3"/>
        <v/>
      </c>
      <c r="B232" s="25"/>
      <c r="C232" s="25"/>
      <c r="D232" s="43"/>
      <c r="E232" s="44"/>
      <c r="F232" s="45"/>
      <c r="G232" s="40"/>
      <c r="H232" s="55" t="s">
        <v>255</v>
      </c>
      <c r="N232" s="66"/>
      <c r="O232" s="25"/>
      <c r="P232" s="72" t="str">
        <f>IFERROR(IF(ISBLANK(O232),"",INDEX(Gen_Vessels!$A$3:$C$500,MATCH(O232,Gen_Vessels!$C$3:$C$500,0),1)),"")</f>
        <v/>
      </c>
      <c r="Q232" s="25"/>
      <c r="R232" s="25"/>
      <c r="S232" s="25" t="str">
        <f>IFERROR(IF(ISBLANK(R232),"",INDEX(Gen_Vessels!$A$3:$C$500,MATCH(CorrectiveMinor!$R232,Gen_Vessels!$C$3:$C$500,0),1)),"")</f>
        <v/>
      </c>
      <c r="T232" s="25"/>
      <c r="U232" s="25"/>
      <c r="V232" s="25"/>
      <c r="W232" s="25"/>
      <c r="X232" s="25"/>
      <c r="Y232" s="25"/>
      <c r="AA232" s="25"/>
      <c r="AB232" s="25"/>
      <c r="AC232" s="25"/>
      <c r="AD232" s="25"/>
      <c r="AE232" s="25"/>
      <c r="AF232" s="25"/>
      <c r="AG232" s="25"/>
    </row>
    <row r="233" spans="1:33" x14ac:dyDescent="0.25">
      <c r="A233" s="18" t="str">
        <f t="shared" si="3"/>
        <v/>
      </c>
      <c r="B233" s="25"/>
      <c r="C233" s="25"/>
      <c r="D233" s="43"/>
      <c r="E233" s="44"/>
      <c r="F233" s="45"/>
      <c r="G233" s="40"/>
      <c r="H233" s="55" t="s">
        <v>255</v>
      </c>
      <c r="N233" s="66"/>
      <c r="O233" s="25"/>
      <c r="P233" s="72" t="str">
        <f>IFERROR(IF(ISBLANK(O233),"",INDEX(Gen_Vessels!$A$3:$C$500,MATCH(O233,Gen_Vessels!$C$3:$C$500,0),1)),"")</f>
        <v/>
      </c>
      <c r="Q233" s="25"/>
      <c r="R233" s="25"/>
      <c r="S233" s="25" t="str">
        <f>IFERROR(IF(ISBLANK(R233),"",INDEX(Gen_Vessels!$A$3:$C$500,MATCH(CorrectiveMinor!$R233,Gen_Vessels!$C$3:$C$500,0),1)),"")</f>
        <v/>
      </c>
      <c r="T233" s="25"/>
      <c r="U233" s="25"/>
      <c r="V233" s="25"/>
      <c r="W233" s="25"/>
      <c r="X233" s="25"/>
      <c r="Y233" s="25"/>
      <c r="AA233" s="25"/>
      <c r="AB233" s="25"/>
      <c r="AC233" s="25"/>
      <c r="AD233" s="25"/>
      <c r="AE233" s="25"/>
      <c r="AF233" s="25"/>
      <c r="AG233" s="25"/>
    </row>
    <row r="234" spans="1:33" x14ac:dyDescent="0.25">
      <c r="A234" s="18" t="str">
        <f t="shared" si="3"/>
        <v/>
      </c>
      <c r="B234" s="25"/>
      <c r="C234" s="25"/>
      <c r="D234" s="43"/>
      <c r="E234" s="44"/>
      <c r="F234" s="45"/>
      <c r="G234" s="40"/>
      <c r="H234" s="55" t="s">
        <v>255</v>
      </c>
      <c r="N234" s="66"/>
      <c r="O234" s="25"/>
      <c r="P234" s="72" t="str">
        <f>IFERROR(IF(ISBLANK(O234),"",INDEX(Gen_Vessels!$A$3:$C$500,MATCH(O234,Gen_Vessels!$C$3:$C$500,0),1)),"")</f>
        <v/>
      </c>
      <c r="Q234" s="25"/>
      <c r="R234" s="25"/>
      <c r="S234" s="25" t="str">
        <f>IFERROR(IF(ISBLANK(R234),"",INDEX(Gen_Vessels!$A$3:$C$500,MATCH(CorrectiveMinor!$R234,Gen_Vessels!$C$3:$C$500,0),1)),"")</f>
        <v/>
      </c>
      <c r="T234" s="25"/>
      <c r="U234" s="25"/>
      <c r="V234" s="25"/>
      <c r="W234" s="25"/>
      <c r="X234" s="25"/>
      <c r="Y234" s="25"/>
      <c r="AA234" s="25"/>
      <c r="AB234" s="25"/>
      <c r="AC234" s="25"/>
      <c r="AD234" s="25"/>
      <c r="AE234" s="25"/>
      <c r="AF234" s="25"/>
      <c r="AG234" s="25"/>
    </row>
    <row r="235" spans="1:33" x14ac:dyDescent="0.25">
      <c r="A235" s="18" t="str">
        <f t="shared" si="3"/>
        <v/>
      </c>
      <c r="B235" s="25"/>
      <c r="C235" s="25"/>
      <c r="D235" s="43"/>
      <c r="E235" s="44"/>
      <c r="F235" s="45"/>
      <c r="G235" s="40"/>
      <c r="H235" s="55" t="s">
        <v>255</v>
      </c>
      <c r="N235" s="66"/>
      <c r="O235" s="25"/>
      <c r="P235" s="72" t="str">
        <f>IFERROR(IF(ISBLANK(O235),"",INDEX(Gen_Vessels!$A$3:$C$500,MATCH(O235,Gen_Vessels!$C$3:$C$500,0),1)),"")</f>
        <v/>
      </c>
      <c r="Q235" s="25"/>
      <c r="R235" s="25"/>
      <c r="S235" s="25" t="str">
        <f>IFERROR(IF(ISBLANK(R235),"",INDEX(Gen_Vessels!$A$3:$C$500,MATCH(CorrectiveMinor!$R235,Gen_Vessels!$C$3:$C$500,0),1)),"")</f>
        <v/>
      </c>
      <c r="T235" s="25"/>
      <c r="U235" s="25"/>
      <c r="V235" s="25"/>
      <c r="W235" s="25"/>
      <c r="X235" s="25"/>
      <c r="Y235" s="25"/>
      <c r="AA235" s="25"/>
      <c r="AB235" s="25"/>
      <c r="AC235" s="25"/>
      <c r="AD235" s="25"/>
      <c r="AE235" s="25"/>
      <c r="AF235" s="25"/>
      <c r="AG235" s="25"/>
    </row>
    <row r="236" spans="1:33" x14ac:dyDescent="0.25">
      <c r="A236" s="18" t="str">
        <f t="shared" si="3"/>
        <v/>
      </c>
      <c r="B236" s="25"/>
      <c r="C236" s="25"/>
      <c r="D236" s="43"/>
      <c r="E236" s="44"/>
      <c r="F236" s="45"/>
      <c r="G236" s="40"/>
      <c r="H236" s="55" t="s">
        <v>255</v>
      </c>
      <c r="N236" s="66"/>
      <c r="O236" s="25"/>
      <c r="P236" s="72" t="str">
        <f>IFERROR(IF(ISBLANK(O236),"",INDEX(Gen_Vessels!$A$3:$C$500,MATCH(O236,Gen_Vessels!$C$3:$C$500,0),1)),"")</f>
        <v/>
      </c>
      <c r="Q236" s="25"/>
      <c r="R236" s="25"/>
      <c r="S236" s="25" t="str">
        <f>IFERROR(IF(ISBLANK(R236),"",INDEX(Gen_Vessels!$A$3:$C$500,MATCH(CorrectiveMinor!$R236,Gen_Vessels!$C$3:$C$500,0),1)),"")</f>
        <v/>
      </c>
      <c r="T236" s="25"/>
      <c r="U236" s="25"/>
      <c r="V236" s="25"/>
      <c r="W236" s="25"/>
      <c r="X236" s="25"/>
      <c r="Y236" s="25"/>
      <c r="AA236" s="25"/>
      <c r="AB236" s="25"/>
      <c r="AC236" s="25"/>
      <c r="AD236" s="25"/>
      <c r="AE236" s="25"/>
      <c r="AF236" s="25"/>
      <c r="AG236" s="25"/>
    </row>
    <row r="237" spans="1:33" x14ac:dyDescent="0.25">
      <c r="A237" s="18" t="str">
        <f t="shared" si="3"/>
        <v/>
      </c>
      <c r="B237" s="25"/>
      <c r="C237" s="25"/>
      <c r="D237" s="43"/>
      <c r="E237" s="44"/>
      <c r="F237" s="45"/>
      <c r="G237" s="40"/>
      <c r="H237" s="55" t="s">
        <v>255</v>
      </c>
      <c r="N237" s="66"/>
      <c r="O237" s="25"/>
      <c r="P237" s="72" t="str">
        <f>IFERROR(IF(ISBLANK(O237),"",INDEX(Gen_Vessels!$A$3:$C$500,MATCH(O237,Gen_Vessels!$C$3:$C$500,0),1)),"")</f>
        <v/>
      </c>
      <c r="Q237" s="25"/>
      <c r="R237" s="25"/>
      <c r="S237" s="25" t="str">
        <f>IFERROR(IF(ISBLANK(R237),"",INDEX(Gen_Vessels!$A$3:$C$500,MATCH(CorrectiveMinor!$R237,Gen_Vessels!$C$3:$C$500,0),1)),"")</f>
        <v/>
      </c>
      <c r="T237" s="25"/>
      <c r="U237" s="25"/>
      <c r="V237" s="25"/>
      <c r="W237" s="25"/>
      <c r="X237" s="25"/>
      <c r="Y237" s="25"/>
      <c r="AA237" s="25"/>
      <c r="AB237" s="25"/>
      <c r="AC237" s="25"/>
      <c r="AD237" s="25"/>
      <c r="AE237" s="25"/>
      <c r="AF237" s="25"/>
      <c r="AG237" s="25"/>
    </row>
    <row r="238" spans="1:33" x14ac:dyDescent="0.25">
      <c r="A238" s="18" t="str">
        <f t="shared" si="3"/>
        <v/>
      </c>
      <c r="B238" s="25"/>
      <c r="C238" s="25"/>
      <c r="D238" s="43"/>
      <c r="E238" s="44"/>
      <c r="F238" s="45"/>
      <c r="G238" s="40"/>
      <c r="H238" s="55" t="s">
        <v>255</v>
      </c>
      <c r="N238" s="66"/>
      <c r="O238" s="25"/>
      <c r="P238" s="72" t="str">
        <f>IFERROR(IF(ISBLANK(O238),"",INDEX(Gen_Vessels!$A$3:$C$500,MATCH(O238,Gen_Vessels!$C$3:$C$500,0),1)),"")</f>
        <v/>
      </c>
      <c r="Q238" s="25"/>
      <c r="R238" s="25"/>
      <c r="S238" s="25" t="str">
        <f>IFERROR(IF(ISBLANK(R238),"",INDEX(Gen_Vessels!$A$3:$C$500,MATCH(CorrectiveMinor!$R238,Gen_Vessels!$C$3:$C$500,0),1)),"")</f>
        <v/>
      </c>
      <c r="T238" s="25"/>
      <c r="U238" s="25"/>
      <c r="V238" s="25"/>
      <c r="W238" s="25"/>
      <c r="X238" s="25"/>
      <c r="Y238" s="25"/>
      <c r="AA238" s="25"/>
      <c r="AB238" s="25"/>
      <c r="AC238" s="25"/>
      <c r="AD238" s="25"/>
      <c r="AE238" s="25"/>
      <c r="AF238" s="25"/>
      <c r="AG238" s="25"/>
    </row>
    <row r="239" spans="1:33" x14ac:dyDescent="0.25">
      <c r="A239" s="18" t="str">
        <f t="shared" si="3"/>
        <v/>
      </c>
      <c r="B239" s="25"/>
      <c r="C239" s="25"/>
      <c r="D239" s="43"/>
      <c r="E239" s="44"/>
      <c r="F239" s="45"/>
      <c r="G239" s="40"/>
      <c r="H239" s="55" t="s">
        <v>255</v>
      </c>
      <c r="N239" s="66"/>
      <c r="O239" s="25"/>
      <c r="P239" s="72" t="str">
        <f>IFERROR(IF(ISBLANK(O239),"",INDEX(Gen_Vessels!$A$3:$C$500,MATCH(O239,Gen_Vessels!$C$3:$C$500,0),1)),"")</f>
        <v/>
      </c>
      <c r="Q239" s="25"/>
      <c r="R239" s="25"/>
      <c r="S239" s="25" t="str">
        <f>IFERROR(IF(ISBLANK(R239),"",INDEX(Gen_Vessels!$A$3:$C$500,MATCH(CorrectiveMinor!$R239,Gen_Vessels!$C$3:$C$500,0),1)),"")</f>
        <v/>
      </c>
      <c r="T239" s="25"/>
      <c r="U239" s="25"/>
      <c r="V239" s="25"/>
      <c r="W239" s="25"/>
      <c r="X239" s="25"/>
      <c r="Y239" s="25"/>
      <c r="AA239" s="25"/>
      <c r="AB239" s="25"/>
      <c r="AC239" s="25"/>
      <c r="AD239" s="25"/>
      <c r="AE239" s="25"/>
      <c r="AF239" s="25"/>
      <c r="AG239" s="25"/>
    </row>
    <row r="240" spans="1:33" x14ac:dyDescent="0.25">
      <c r="A240" s="18" t="str">
        <f t="shared" si="3"/>
        <v/>
      </c>
      <c r="B240" s="25"/>
      <c r="C240" s="25"/>
      <c r="D240" s="43"/>
      <c r="E240" s="44"/>
      <c r="F240" s="45"/>
      <c r="G240" s="40"/>
      <c r="H240" s="55" t="s">
        <v>255</v>
      </c>
      <c r="N240" s="66"/>
      <c r="O240" s="25"/>
      <c r="P240" s="72" t="str">
        <f>IFERROR(IF(ISBLANK(O240),"",INDEX(Gen_Vessels!$A$3:$C$500,MATCH(O240,Gen_Vessels!$C$3:$C$500,0),1)),"")</f>
        <v/>
      </c>
      <c r="Q240" s="25"/>
      <c r="R240" s="25"/>
      <c r="S240" s="25" t="str">
        <f>IFERROR(IF(ISBLANK(R240),"",INDEX(Gen_Vessels!$A$3:$C$500,MATCH(CorrectiveMinor!$R240,Gen_Vessels!$C$3:$C$500,0),1)),"")</f>
        <v/>
      </c>
      <c r="T240" s="25"/>
      <c r="U240" s="25"/>
      <c r="V240" s="25"/>
      <c r="W240" s="25"/>
      <c r="X240" s="25"/>
      <c r="Y240" s="25"/>
      <c r="AA240" s="25"/>
      <c r="AB240" s="25"/>
      <c r="AC240" s="25"/>
      <c r="AD240" s="25"/>
      <c r="AE240" s="25"/>
      <c r="AF240" s="25"/>
      <c r="AG240" s="25"/>
    </row>
    <row r="241" spans="1:33" x14ac:dyDescent="0.25">
      <c r="A241" s="18" t="str">
        <f t="shared" si="3"/>
        <v/>
      </c>
      <c r="B241" s="25"/>
      <c r="C241" s="25"/>
      <c r="D241" s="43"/>
      <c r="E241" s="44"/>
      <c r="F241" s="45"/>
      <c r="G241" s="40"/>
      <c r="H241" s="55" t="s">
        <v>255</v>
      </c>
      <c r="N241" s="66"/>
      <c r="O241" s="25"/>
      <c r="P241" s="72" t="str">
        <f>IFERROR(IF(ISBLANK(O241),"",INDEX(Gen_Vessels!$A$3:$C$500,MATCH(O241,Gen_Vessels!$C$3:$C$500,0),1)),"")</f>
        <v/>
      </c>
      <c r="Q241" s="25"/>
      <c r="R241" s="25"/>
      <c r="S241" s="25" t="str">
        <f>IFERROR(IF(ISBLANK(R241),"",INDEX(Gen_Vessels!$A$3:$C$500,MATCH(CorrectiveMinor!$R241,Gen_Vessels!$C$3:$C$500,0),1)),"")</f>
        <v/>
      </c>
      <c r="T241" s="25"/>
      <c r="U241" s="25"/>
      <c r="V241" s="25"/>
      <c r="W241" s="25"/>
      <c r="X241" s="25"/>
      <c r="Y241" s="25"/>
      <c r="AA241" s="25"/>
      <c r="AB241" s="25"/>
      <c r="AC241" s="25"/>
      <c r="AD241" s="25"/>
      <c r="AE241" s="25"/>
      <c r="AF241" s="25"/>
      <c r="AG241" s="25"/>
    </row>
    <row r="242" spans="1:33" x14ac:dyDescent="0.25">
      <c r="A242" s="18" t="str">
        <f t="shared" si="3"/>
        <v/>
      </c>
      <c r="B242" s="25"/>
      <c r="C242" s="25"/>
      <c r="D242" s="43"/>
      <c r="E242" s="44"/>
      <c r="F242" s="45"/>
      <c r="G242" s="40"/>
      <c r="H242" s="55" t="s">
        <v>255</v>
      </c>
      <c r="N242" s="66"/>
      <c r="O242" s="25"/>
      <c r="P242" s="72" t="str">
        <f>IFERROR(IF(ISBLANK(O242),"",INDEX(Gen_Vessels!$A$3:$C$500,MATCH(O242,Gen_Vessels!$C$3:$C$500,0),1)),"")</f>
        <v/>
      </c>
      <c r="Q242" s="25"/>
      <c r="R242" s="25"/>
      <c r="S242" s="25" t="str">
        <f>IFERROR(IF(ISBLANK(R242),"",INDEX(Gen_Vessels!$A$3:$C$500,MATCH(CorrectiveMinor!$R242,Gen_Vessels!$C$3:$C$500,0),1)),"")</f>
        <v/>
      </c>
      <c r="T242" s="25"/>
      <c r="U242" s="25"/>
      <c r="V242" s="25"/>
      <c r="W242" s="25"/>
      <c r="X242" s="25"/>
      <c r="Y242" s="25"/>
      <c r="AA242" s="25"/>
      <c r="AB242" s="25"/>
      <c r="AC242" s="25"/>
      <c r="AD242" s="25"/>
      <c r="AE242" s="25"/>
      <c r="AF242" s="25"/>
      <c r="AG242" s="25"/>
    </row>
    <row r="243" spans="1:33" x14ac:dyDescent="0.25">
      <c r="A243" s="18" t="str">
        <f t="shared" si="3"/>
        <v/>
      </c>
      <c r="B243" s="25"/>
      <c r="C243" s="25"/>
      <c r="D243" s="43"/>
      <c r="E243" s="44"/>
      <c r="F243" s="45"/>
      <c r="G243" s="40"/>
      <c r="H243" s="55" t="s">
        <v>255</v>
      </c>
      <c r="N243" s="66"/>
      <c r="O243" s="25"/>
      <c r="P243" s="72" t="str">
        <f>IFERROR(IF(ISBLANK(O243),"",INDEX(Gen_Vessels!$A$3:$C$500,MATCH(O243,Gen_Vessels!$C$3:$C$500,0),1)),"")</f>
        <v/>
      </c>
      <c r="Q243" s="25"/>
      <c r="R243" s="25"/>
      <c r="S243" s="25" t="str">
        <f>IFERROR(IF(ISBLANK(R243),"",INDEX(Gen_Vessels!$A$3:$C$500,MATCH(CorrectiveMinor!$R243,Gen_Vessels!$C$3:$C$500,0),1)),"")</f>
        <v/>
      </c>
      <c r="T243" s="25"/>
      <c r="U243" s="25"/>
      <c r="V243" s="25"/>
      <c r="W243" s="25"/>
      <c r="X243" s="25"/>
      <c r="Y243" s="25"/>
      <c r="AA243" s="25"/>
      <c r="AB243" s="25"/>
      <c r="AC243" s="25"/>
      <c r="AD243" s="25"/>
      <c r="AE243" s="25"/>
      <c r="AF243" s="25"/>
      <c r="AG243" s="25"/>
    </row>
    <row r="244" spans="1:33" x14ac:dyDescent="0.25">
      <c r="A244" s="18" t="str">
        <f t="shared" si="3"/>
        <v/>
      </c>
      <c r="B244" s="25"/>
      <c r="C244" s="25"/>
      <c r="D244" s="43"/>
      <c r="E244" s="44"/>
      <c r="F244" s="45"/>
      <c r="G244" s="40"/>
      <c r="H244" s="55" t="s">
        <v>255</v>
      </c>
      <c r="N244" s="66"/>
      <c r="O244" s="25"/>
      <c r="P244" s="72" t="str">
        <f>IFERROR(IF(ISBLANK(O244),"",INDEX(Gen_Vessels!$A$3:$C$500,MATCH(O244,Gen_Vessels!$C$3:$C$500,0),1)),"")</f>
        <v/>
      </c>
      <c r="Q244" s="25"/>
      <c r="R244" s="25"/>
      <c r="S244" s="25" t="str">
        <f>IFERROR(IF(ISBLANK(R244),"",INDEX(Gen_Vessels!$A$3:$C$500,MATCH(CorrectiveMinor!$R244,Gen_Vessels!$C$3:$C$500,0),1)),"")</f>
        <v/>
      </c>
      <c r="T244" s="25"/>
      <c r="U244" s="25"/>
      <c r="V244" s="25"/>
      <c r="W244" s="25"/>
      <c r="X244" s="25"/>
      <c r="Y244" s="25"/>
      <c r="AA244" s="25"/>
      <c r="AB244" s="25"/>
      <c r="AC244" s="25"/>
      <c r="AD244" s="25"/>
      <c r="AE244" s="25"/>
      <c r="AF244" s="25"/>
      <c r="AG244" s="25"/>
    </row>
    <row r="245" spans="1:33" x14ac:dyDescent="0.25">
      <c r="A245" s="18" t="str">
        <f t="shared" si="3"/>
        <v/>
      </c>
      <c r="B245" s="25"/>
      <c r="C245" s="25"/>
      <c r="D245" s="43"/>
      <c r="E245" s="44"/>
      <c r="F245" s="45"/>
      <c r="G245" s="40"/>
      <c r="H245" s="55" t="s">
        <v>255</v>
      </c>
      <c r="N245" s="66"/>
      <c r="O245" s="25"/>
      <c r="P245" s="72" t="str">
        <f>IFERROR(IF(ISBLANK(O245),"",INDEX(Gen_Vessels!$A$3:$C$500,MATCH(O245,Gen_Vessels!$C$3:$C$500,0),1)),"")</f>
        <v/>
      </c>
      <c r="Q245" s="25"/>
      <c r="R245" s="25"/>
      <c r="S245" s="25" t="str">
        <f>IFERROR(IF(ISBLANK(R245),"",INDEX(Gen_Vessels!$A$3:$C$500,MATCH(CorrectiveMinor!$R245,Gen_Vessels!$C$3:$C$500,0),1)),"")</f>
        <v/>
      </c>
      <c r="T245" s="25"/>
      <c r="U245" s="25"/>
      <c r="V245" s="25"/>
      <c r="W245" s="25"/>
      <c r="X245" s="25"/>
      <c r="Y245" s="25"/>
      <c r="AA245" s="25"/>
      <c r="AB245" s="25"/>
      <c r="AC245" s="25"/>
      <c r="AD245" s="25"/>
      <c r="AE245" s="25"/>
      <c r="AF245" s="25"/>
      <c r="AG245" s="25"/>
    </row>
    <row r="246" spans="1:33" x14ac:dyDescent="0.25">
      <c r="A246" s="18" t="str">
        <f t="shared" si="3"/>
        <v/>
      </c>
      <c r="B246" s="25"/>
      <c r="C246" s="25"/>
      <c r="D246" s="43"/>
      <c r="E246" s="44"/>
      <c r="F246" s="45"/>
      <c r="G246" s="40"/>
      <c r="H246" s="55" t="s">
        <v>255</v>
      </c>
      <c r="N246" s="66"/>
      <c r="O246" s="25"/>
      <c r="P246" s="72" t="str">
        <f>IFERROR(IF(ISBLANK(O246),"",INDEX(Gen_Vessels!$A$3:$C$500,MATCH(O246,Gen_Vessels!$C$3:$C$500,0),1)),"")</f>
        <v/>
      </c>
      <c r="Q246" s="25"/>
      <c r="R246" s="25"/>
      <c r="S246" s="25" t="str">
        <f>IFERROR(IF(ISBLANK(R246),"",INDEX(Gen_Vessels!$A$3:$C$500,MATCH(CorrectiveMinor!$R246,Gen_Vessels!$C$3:$C$500,0),1)),"")</f>
        <v/>
      </c>
      <c r="T246" s="25"/>
      <c r="U246" s="25"/>
      <c r="V246" s="25"/>
      <c r="W246" s="25"/>
      <c r="X246" s="25"/>
      <c r="Y246" s="25"/>
      <c r="AA246" s="25"/>
      <c r="AB246" s="25"/>
      <c r="AC246" s="25"/>
      <c r="AD246" s="25"/>
      <c r="AE246" s="25"/>
      <c r="AF246" s="25"/>
      <c r="AG246" s="25"/>
    </row>
    <row r="247" spans="1:33" x14ac:dyDescent="0.25">
      <c r="A247" s="18" t="str">
        <f t="shared" si="3"/>
        <v/>
      </c>
      <c r="B247" s="25"/>
      <c r="C247" s="25"/>
      <c r="D247" s="43"/>
      <c r="E247" s="44"/>
      <c r="F247" s="45"/>
      <c r="G247" s="40"/>
      <c r="H247" s="55" t="s">
        <v>255</v>
      </c>
      <c r="N247" s="66"/>
      <c r="O247" s="25"/>
      <c r="P247" s="72" t="str">
        <f>IFERROR(IF(ISBLANK(O247),"",INDEX(Gen_Vessels!$A$3:$C$500,MATCH(O247,Gen_Vessels!$C$3:$C$500,0),1)),"")</f>
        <v/>
      </c>
      <c r="Q247" s="25"/>
      <c r="R247" s="25"/>
      <c r="S247" s="25" t="str">
        <f>IFERROR(IF(ISBLANK(R247),"",INDEX(Gen_Vessels!$A$3:$C$500,MATCH(CorrectiveMinor!$R247,Gen_Vessels!$C$3:$C$500,0),1)),"")</f>
        <v/>
      </c>
      <c r="T247" s="25"/>
      <c r="U247" s="25"/>
      <c r="V247" s="25"/>
      <c r="W247" s="25"/>
      <c r="X247" s="25"/>
      <c r="Y247" s="25"/>
      <c r="AA247" s="25"/>
      <c r="AB247" s="25"/>
      <c r="AC247" s="25"/>
      <c r="AD247" s="25"/>
      <c r="AE247" s="25"/>
      <c r="AF247" s="25"/>
      <c r="AG247" s="25"/>
    </row>
    <row r="248" spans="1:33" x14ac:dyDescent="0.25">
      <c r="A248" s="18" t="str">
        <f t="shared" si="3"/>
        <v/>
      </c>
      <c r="B248" s="25"/>
      <c r="C248" s="25"/>
      <c r="D248" s="43"/>
      <c r="E248" s="44"/>
      <c r="F248" s="45"/>
      <c r="G248" s="40"/>
      <c r="H248" s="55" t="s">
        <v>255</v>
      </c>
      <c r="N248" s="66"/>
      <c r="O248" s="25"/>
      <c r="P248" s="72" t="str">
        <f>IFERROR(IF(ISBLANK(O248),"",INDEX(Gen_Vessels!$A$3:$C$500,MATCH(O248,Gen_Vessels!$C$3:$C$500,0),1)),"")</f>
        <v/>
      </c>
      <c r="Q248" s="25"/>
      <c r="R248" s="25"/>
      <c r="S248" s="25" t="str">
        <f>IFERROR(IF(ISBLANK(R248),"",INDEX(Gen_Vessels!$A$3:$C$500,MATCH(CorrectiveMinor!$R248,Gen_Vessels!$C$3:$C$500,0),1)),"")</f>
        <v/>
      </c>
      <c r="T248" s="25"/>
      <c r="U248" s="25"/>
      <c r="V248" s="25"/>
      <c r="W248" s="25"/>
      <c r="X248" s="25"/>
      <c r="Y248" s="25"/>
      <c r="AA248" s="25"/>
      <c r="AB248" s="25"/>
      <c r="AC248" s="25"/>
      <c r="AD248" s="25"/>
      <c r="AE248" s="25"/>
      <c r="AF248" s="25"/>
      <c r="AG248" s="25"/>
    </row>
    <row r="249" spans="1:33" x14ac:dyDescent="0.25">
      <c r="A249" s="18" t="str">
        <f t="shared" si="3"/>
        <v/>
      </c>
      <c r="B249" s="25"/>
      <c r="C249" s="25"/>
      <c r="D249" s="43"/>
      <c r="E249" s="44"/>
      <c r="F249" s="45"/>
      <c r="G249" s="40"/>
      <c r="H249" s="55" t="s">
        <v>255</v>
      </c>
      <c r="N249" s="66"/>
      <c r="O249" s="25"/>
      <c r="P249" s="72" t="str">
        <f>IFERROR(IF(ISBLANK(O249),"",INDEX(Gen_Vessels!$A$3:$C$500,MATCH(O249,Gen_Vessels!$C$3:$C$500,0),1)),"")</f>
        <v/>
      </c>
      <c r="Q249" s="25"/>
      <c r="R249" s="25"/>
      <c r="S249" s="25" t="str">
        <f>IFERROR(IF(ISBLANK(R249),"",INDEX(Gen_Vessels!$A$3:$C$500,MATCH(CorrectiveMinor!$R249,Gen_Vessels!$C$3:$C$500,0),1)),"")</f>
        <v/>
      </c>
      <c r="T249" s="25"/>
      <c r="U249" s="25"/>
      <c r="V249" s="25"/>
      <c r="W249" s="25"/>
      <c r="X249" s="25"/>
      <c r="Y249" s="25"/>
      <c r="AA249" s="25"/>
      <c r="AB249" s="25"/>
      <c r="AC249" s="25"/>
      <c r="AD249" s="25"/>
      <c r="AE249" s="25"/>
      <c r="AF249" s="25"/>
      <c r="AG249" s="25"/>
    </row>
    <row r="250" spans="1:33" x14ac:dyDescent="0.25">
      <c r="A250" s="18" t="str">
        <f t="shared" si="3"/>
        <v/>
      </c>
      <c r="B250" s="25"/>
      <c r="C250" s="25"/>
      <c r="D250" s="43"/>
      <c r="E250" s="44"/>
      <c r="F250" s="45"/>
      <c r="G250" s="40"/>
      <c r="H250" s="55" t="s">
        <v>255</v>
      </c>
      <c r="N250" s="66"/>
      <c r="O250" s="25"/>
      <c r="P250" s="72" t="str">
        <f>IFERROR(IF(ISBLANK(O250),"",INDEX(Gen_Vessels!$A$3:$C$500,MATCH(O250,Gen_Vessels!$C$3:$C$500,0),1)),"")</f>
        <v/>
      </c>
      <c r="Q250" s="25"/>
      <c r="R250" s="25"/>
      <c r="S250" s="25" t="str">
        <f>IFERROR(IF(ISBLANK(R250),"",INDEX(Gen_Vessels!$A$3:$C$500,MATCH(CorrectiveMinor!$R250,Gen_Vessels!$C$3:$C$500,0),1)),"")</f>
        <v/>
      </c>
      <c r="T250" s="25"/>
      <c r="U250" s="25"/>
      <c r="V250" s="25"/>
      <c r="W250" s="25"/>
      <c r="X250" s="25"/>
      <c r="Y250" s="25"/>
      <c r="AA250" s="25"/>
      <c r="AB250" s="25"/>
      <c r="AC250" s="25"/>
      <c r="AD250" s="25"/>
      <c r="AE250" s="25"/>
      <c r="AF250" s="25"/>
      <c r="AG250" s="25"/>
    </row>
    <row r="251" spans="1:33" x14ac:dyDescent="0.25">
      <c r="A251" s="18" t="str">
        <f t="shared" ref="A251:A314" si="4">IF(ISBLANK($B251)=FALSE,IF(AND($D251&gt;0,$E251&lt;=0,$F251&lt;=0),_xlfn.CONCAT("ofw_",$B251),IF(AND($D251&lt;=0,$E251&gt;0,$F251&lt;=0),_xlfn.CONCAT("owc_",$B251),IF(AND($D251&lt;=0,$E251&lt;=0,$F251&gt;0),_xlfn.CONCAT("opv_",$B251),_xlfn.CONCAT("oce_",$B251)))),"")</f>
        <v/>
      </c>
      <c r="B251" s="25"/>
      <c r="C251" s="25"/>
      <c r="D251" s="43"/>
      <c r="E251" s="44"/>
      <c r="F251" s="45"/>
      <c r="G251" s="40"/>
      <c r="H251" s="55" t="s">
        <v>255</v>
      </c>
      <c r="N251" s="66"/>
      <c r="O251" s="25"/>
      <c r="P251" s="72" t="str">
        <f>IFERROR(IF(ISBLANK(O251),"",INDEX(Gen_Vessels!$A$3:$C$500,MATCH(O251,Gen_Vessels!$C$3:$C$500,0),1)),"")</f>
        <v/>
      </c>
      <c r="Q251" s="25"/>
      <c r="R251" s="25"/>
      <c r="S251" s="25" t="str">
        <f>IFERROR(IF(ISBLANK(R251),"",INDEX(Gen_Vessels!$A$3:$C$500,MATCH(CorrectiveMinor!$R251,Gen_Vessels!$C$3:$C$500,0),1)),"")</f>
        <v/>
      </c>
      <c r="T251" s="25"/>
      <c r="U251" s="25"/>
      <c r="V251" s="25"/>
      <c r="W251" s="25"/>
      <c r="X251" s="25"/>
      <c r="Y251" s="25"/>
      <c r="AA251" s="25"/>
      <c r="AB251" s="25"/>
      <c r="AC251" s="25"/>
      <c r="AD251" s="25"/>
      <c r="AE251" s="25"/>
      <c r="AF251" s="25"/>
      <c r="AG251" s="25"/>
    </row>
    <row r="252" spans="1:33" x14ac:dyDescent="0.25">
      <c r="A252" s="18" t="str">
        <f t="shared" si="4"/>
        <v/>
      </c>
      <c r="B252" s="25"/>
      <c r="C252" s="25"/>
      <c r="D252" s="43"/>
      <c r="E252" s="44"/>
      <c r="F252" s="45"/>
      <c r="G252" s="40"/>
      <c r="H252" s="55" t="s">
        <v>255</v>
      </c>
      <c r="N252" s="66"/>
      <c r="O252" s="25"/>
      <c r="P252" s="72" t="str">
        <f>IFERROR(IF(ISBLANK(O252),"",INDEX(Gen_Vessels!$A$3:$C$500,MATCH(O252,Gen_Vessels!$C$3:$C$500,0),1)),"")</f>
        <v/>
      </c>
      <c r="Q252" s="25"/>
      <c r="R252" s="25"/>
      <c r="S252" s="25" t="str">
        <f>IFERROR(IF(ISBLANK(R252),"",INDEX(Gen_Vessels!$A$3:$C$500,MATCH(CorrectiveMinor!$R252,Gen_Vessels!$C$3:$C$500,0),1)),"")</f>
        <v/>
      </c>
      <c r="T252" s="25"/>
      <c r="U252" s="25"/>
      <c r="V252" s="25"/>
      <c r="W252" s="25"/>
      <c r="X252" s="25"/>
      <c r="Y252" s="25"/>
      <c r="AA252" s="25"/>
      <c r="AB252" s="25"/>
      <c r="AC252" s="25"/>
      <c r="AD252" s="25"/>
      <c r="AE252" s="25"/>
      <c r="AF252" s="25"/>
      <c r="AG252" s="25"/>
    </row>
    <row r="253" spans="1:33" x14ac:dyDescent="0.25">
      <c r="A253" s="18" t="str">
        <f t="shared" si="4"/>
        <v/>
      </c>
      <c r="B253" s="25"/>
      <c r="C253" s="25"/>
      <c r="D253" s="43"/>
      <c r="E253" s="44"/>
      <c r="F253" s="45"/>
      <c r="G253" s="40"/>
      <c r="H253" s="55" t="s">
        <v>255</v>
      </c>
      <c r="N253" s="66"/>
      <c r="O253" s="25"/>
      <c r="P253" s="72" t="str">
        <f>IFERROR(IF(ISBLANK(O253),"",INDEX(Gen_Vessels!$A$3:$C$500,MATCH(O253,Gen_Vessels!$C$3:$C$500,0),1)),"")</f>
        <v/>
      </c>
      <c r="Q253" s="25"/>
      <c r="R253" s="25"/>
      <c r="S253" s="25" t="str">
        <f>IFERROR(IF(ISBLANK(R253),"",INDEX(Gen_Vessels!$A$3:$C$500,MATCH(CorrectiveMinor!$R253,Gen_Vessels!$C$3:$C$500,0),1)),"")</f>
        <v/>
      </c>
      <c r="T253" s="25"/>
      <c r="U253" s="25"/>
      <c r="V253" s="25"/>
      <c r="W253" s="25"/>
      <c r="X253" s="25"/>
      <c r="Y253" s="25"/>
      <c r="AA253" s="25"/>
      <c r="AB253" s="25"/>
      <c r="AC253" s="25"/>
      <c r="AD253" s="25"/>
      <c r="AE253" s="25"/>
      <c r="AF253" s="25"/>
      <c r="AG253" s="25"/>
    </row>
    <row r="254" spans="1:33" x14ac:dyDescent="0.25">
      <c r="A254" s="18" t="str">
        <f t="shared" si="4"/>
        <v/>
      </c>
      <c r="B254" s="25"/>
      <c r="C254" s="25"/>
      <c r="D254" s="43"/>
      <c r="E254" s="44"/>
      <c r="F254" s="45"/>
      <c r="G254" s="40"/>
      <c r="H254" s="55" t="s">
        <v>255</v>
      </c>
      <c r="N254" s="66"/>
      <c r="O254" s="25"/>
      <c r="P254" s="72" t="str">
        <f>IFERROR(IF(ISBLANK(O254),"",INDEX(Gen_Vessels!$A$3:$C$500,MATCH(O254,Gen_Vessels!$C$3:$C$500,0),1)),"")</f>
        <v/>
      </c>
      <c r="Q254" s="25"/>
      <c r="R254" s="25"/>
      <c r="S254" s="25" t="str">
        <f>IFERROR(IF(ISBLANK(R254),"",INDEX(Gen_Vessels!$A$3:$C$500,MATCH(CorrectiveMinor!$R254,Gen_Vessels!$C$3:$C$500,0),1)),"")</f>
        <v/>
      </c>
      <c r="T254" s="25"/>
      <c r="U254" s="25"/>
      <c r="V254" s="25"/>
      <c r="W254" s="25"/>
      <c r="X254" s="25"/>
      <c r="Y254" s="25"/>
      <c r="AA254" s="25"/>
      <c r="AB254" s="25"/>
      <c r="AC254" s="25"/>
      <c r="AD254" s="25"/>
      <c r="AE254" s="25"/>
      <c r="AF254" s="25"/>
      <c r="AG254" s="25"/>
    </row>
    <row r="255" spans="1:33" x14ac:dyDescent="0.25">
      <c r="A255" s="18" t="str">
        <f t="shared" si="4"/>
        <v/>
      </c>
      <c r="B255" s="25"/>
      <c r="C255" s="25"/>
      <c r="D255" s="43"/>
      <c r="E255" s="44"/>
      <c r="F255" s="45"/>
      <c r="G255" s="40"/>
      <c r="H255" s="55" t="s">
        <v>255</v>
      </c>
      <c r="N255" s="66"/>
      <c r="O255" s="25"/>
      <c r="P255" s="72" t="str">
        <f>IFERROR(IF(ISBLANK(O255),"",INDEX(Gen_Vessels!$A$3:$C$500,MATCH(O255,Gen_Vessels!$C$3:$C$500,0),1)),"")</f>
        <v/>
      </c>
      <c r="Q255" s="25"/>
      <c r="R255" s="25"/>
      <c r="S255" s="25" t="str">
        <f>IFERROR(IF(ISBLANK(R255),"",INDEX(Gen_Vessels!$A$3:$C$500,MATCH(CorrectiveMinor!$R255,Gen_Vessels!$C$3:$C$500,0),1)),"")</f>
        <v/>
      </c>
      <c r="T255" s="25"/>
      <c r="U255" s="25"/>
      <c r="V255" s="25"/>
      <c r="W255" s="25"/>
      <c r="X255" s="25"/>
      <c r="Y255" s="25"/>
      <c r="AA255" s="25"/>
      <c r="AB255" s="25"/>
      <c r="AC255" s="25"/>
      <c r="AD255" s="25"/>
      <c r="AE255" s="25"/>
      <c r="AF255" s="25"/>
      <c r="AG255" s="25"/>
    </row>
    <row r="256" spans="1:33" x14ac:dyDescent="0.25">
      <c r="A256" s="18" t="str">
        <f t="shared" si="4"/>
        <v/>
      </c>
      <c r="B256" s="25"/>
      <c r="C256" s="25"/>
      <c r="D256" s="43"/>
      <c r="E256" s="44"/>
      <c r="F256" s="45"/>
      <c r="G256" s="40"/>
      <c r="H256" s="55" t="s">
        <v>255</v>
      </c>
      <c r="N256" s="66"/>
      <c r="O256" s="25"/>
      <c r="P256" s="72" t="str">
        <f>IFERROR(IF(ISBLANK(O256),"",INDEX(Gen_Vessels!$A$3:$C$500,MATCH(O256,Gen_Vessels!$C$3:$C$500,0),1)),"")</f>
        <v/>
      </c>
      <c r="Q256" s="25"/>
      <c r="R256" s="25"/>
      <c r="S256" s="25" t="str">
        <f>IFERROR(IF(ISBLANK(R256),"",INDEX(Gen_Vessels!$A$3:$C$500,MATCH(CorrectiveMinor!$R256,Gen_Vessels!$C$3:$C$500,0),1)),"")</f>
        <v/>
      </c>
      <c r="T256" s="25"/>
      <c r="U256" s="25"/>
      <c r="V256" s="25"/>
      <c r="W256" s="25"/>
      <c r="X256" s="25"/>
      <c r="Y256" s="25"/>
      <c r="AA256" s="25"/>
      <c r="AB256" s="25"/>
      <c r="AC256" s="25"/>
      <c r="AD256" s="25"/>
      <c r="AE256" s="25"/>
      <c r="AF256" s="25"/>
      <c r="AG256" s="25"/>
    </row>
    <row r="257" spans="1:33" x14ac:dyDescent="0.25">
      <c r="A257" s="18" t="str">
        <f t="shared" si="4"/>
        <v/>
      </c>
      <c r="B257" s="25"/>
      <c r="C257" s="25"/>
      <c r="D257" s="43"/>
      <c r="E257" s="44"/>
      <c r="F257" s="45"/>
      <c r="G257" s="40"/>
      <c r="H257" s="55" t="s">
        <v>255</v>
      </c>
      <c r="N257" s="66"/>
      <c r="O257" s="25"/>
      <c r="P257" s="72" t="str">
        <f>IFERROR(IF(ISBLANK(O257),"",INDEX(Gen_Vessels!$A$3:$C$500,MATCH(O257,Gen_Vessels!$C$3:$C$500,0),1)),"")</f>
        <v/>
      </c>
      <c r="Q257" s="25"/>
      <c r="R257" s="25"/>
      <c r="S257" s="25" t="str">
        <f>IFERROR(IF(ISBLANK(R257),"",INDEX(Gen_Vessels!$A$3:$C$500,MATCH(CorrectiveMinor!$R257,Gen_Vessels!$C$3:$C$500,0),1)),"")</f>
        <v/>
      </c>
      <c r="T257" s="25"/>
      <c r="U257" s="25"/>
      <c r="V257" s="25"/>
      <c r="W257" s="25"/>
      <c r="X257" s="25"/>
      <c r="Y257" s="25"/>
      <c r="AA257" s="25"/>
      <c r="AB257" s="25"/>
      <c r="AC257" s="25"/>
      <c r="AD257" s="25"/>
      <c r="AE257" s="25"/>
      <c r="AF257" s="25"/>
      <c r="AG257" s="25"/>
    </row>
    <row r="258" spans="1:33" x14ac:dyDescent="0.25">
      <c r="A258" s="18" t="str">
        <f t="shared" si="4"/>
        <v/>
      </c>
      <c r="B258" s="25"/>
      <c r="C258" s="25"/>
      <c r="D258" s="43"/>
      <c r="E258" s="44"/>
      <c r="F258" s="45"/>
      <c r="G258" s="40"/>
      <c r="H258" s="55" t="s">
        <v>255</v>
      </c>
      <c r="N258" s="66"/>
      <c r="O258" s="25"/>
      <c r="P258" s="72" t="str">
        <f>IFERROR(IF(ISBLANK(O258),"",INDEX(Gen_Vessels!$A$3:$C$500,MATCH(O258,Gen_Vessels!$C$3:$C$500,0),1)),"")</f>
        <v/>
      </c>
      <c r="Q258" s="25"/>
      <c r="R258" s="25"/>
      <c r="S258" s="25" t="str">
        <f>IFERROR(IF(ISBLANK(R258),"",INDEX(Gen_Vessels!$A$3:$C$500,MATCH(CorrectiveMinor!$R258,Gen_Vessels!$C$3:$C$500,0),1)),"")</f>
        <v/>
      </c>
      <c r="T258" s="25"/>
      <c r="U258" s="25"/>
      <c r="V258" s="25"/>
      <c r="W258" s="25"/>
      <c r="X258" s="25"/>
      <c r="Y258" s="25"/>
      <c r="AA258" s="25"/>
      <c r="AB258" s="25"/>
      <c r="AC258" s="25"/>
      <c r="AD258" s="25"/>
      <c r="AE258" s="25"/>
      <c r="AF258" s="25"/>
      <c r="AG258" s="25"/>
    </row>
    <row r="259" spans="1:33" x14ac:dyDescent="0.25">
      <c r="A259" s="18" t="str">
        <f t="shared" si="4"/>
        <v/>
      </c>
      <c r="B259" s="25"/>
      <c r="C259" s="25"/>
      <c r="D259" s="43"/>
      <c r="E259" s="44"/>
      <c r="F259" s="45"/>
      <c r="G259" s="40"/>
      <c r="H259" s="55" t="s">
        <v>255</v>
      </c>
      <c r="N259" s="66"/>
      <c r="O259" s="25"/>
      <c r="P259" s="72" t="str">
        <f>IFERROR(IF(ISBLANK(O259),"",INDEX(Gen_Vessels!$A$3:$C$500,MATCH(O259,Gen_Vessels!$C$3:$C$500,0),1)),"")</f>
        <v/>
      </c>
      <c r="Q259" s="25"/>
      <c r="R259" s="25"/>
      <c r="S259" s="25" t="str">
        <f>IFERROR(IF(ISBLANK(R259),"",INDEX(Gen_Vessels!$A$3:$C$500,MATCH(CorrectiveMinor!$R259,Gen_Vessels!$C$3:$C$500,0),1)),"")</f>
        <v/>
      </c>
      <c r="T259" s="25"/>
      <c r="U259" s="25"/>
      <c r="V259" s="25"/>
      <c r="W259" s="25"/>
      <c r="X259" s="25"/>
      <c r="Y259" s="25"/>
      <c r="AA259" s="25"/>
      <c r="AB259" s="25"/>
      <c r="AC259" s="25"/>
      <c r="AD259" s="25"/>
      <c r="AE259" s="25"/>
      <c r="AF259" s="25"/>
      <c r="AG259" s="25"/>
    </row>
    <row r="260" spans="1:33" x14ac:dyDescent="0.25">
      <c r="A260" s="18" t="str">
        <f t="shared" si="4"/>
        <v/>
      </c>
      <c r="B260" s="25"/>
      <c r="C260" s="25"/>
      <c r="D260" s="43"/>
      <c r="E260" s="44"/>
      <c r="F260" s="45"/>
      <c r="G260" s="40"/>
      <c r="H260" s="55" t="s">
        <v>255</v>
      </c>
      <c r="N260" s="66"/>
      <c r="O260" s="25"/>
      <c r="P260" s="72" t="str">
        <f>IFERROR(IF(ISBLANK(O260),"",INDEX(Gen_Vessels!$A$3:$C$500,MATCH(O260,Gen_Vessels!$C$3:$C$500,0),1)),"")</f>
        <v/>
      </c>
      <c r="Q260" s="25"/>
      <c r="R260" s="25"/>
      <c r="S260" s="25" t="str">
        <f>IFERROR(IF(ISBLANK(R260),"",INDEX(Gen_Vessels!$A$3:$C$500,MATCH(CorrectiveMinor!$R260,Gen_Vessels!$C$3:$C$500,0),1)),"")</f>
        <v/>
      </c>
      <c r="T260" s="25"/>
      <c r="U260" s="25"/>
      <c r="V260" s="25"/>
      <c r="W260" s="25"/>
      <c r="X260" s="25"/>
      <c r="Y260" s="25"/>
      <c r="AA260" s="25"/>
      <c r="AB260" s="25"/>
      <c r="AC260" s="25"/>
      <c r="AD260" s="25"/>
      <c r="AE260" s="25"/>
      <c r="AF260" s="25"/>
      <c r="AG260" s="25"/>
    </row>
    <row r="261" spans="1:33" x14ac:dyDescent="0.25">
      <c r="A261" s="18" t="str">
        <f t="shared" si="4"/>
        <v/>
      </c>
      <c r="B261" s="25"/>
      <c r="C261" s="25"/>
      <c r="D261" s="43"/>
      <c r="E261" s="44"/>
      <c r="F261" s="45"/>
      <c r="G261" s="40"/>
      <c r="H261" s="55" t="s">
        <v>255</v>
      </c>
      <c r="N261" s="66"/>
      <c r="O261" s="25"/>
      <c r="P261" s="72" t="str">
        <f>IFERROR(IF(ISBLANK(O261),"",INDEX(Gen_Vessels!$A$3:$C$500,MATCH(O261,Gen_Vessels!$C$3:$C$500,0),1)),"")</f>
        <v/>
      </c>
      <c r="Q261" s="25"/>
      <c r="R261" s="25"/>
      <c r="S261" s="25" t="str">
        <f>IFERROR(IF(ISBLANK(R261),"",INDEX(Gen_Vessels!$A$3:$C$500,MATCH(CorrectiveMinor!$R261,Gen_Vessels!$C$3:$C$500,0),1)),"")</f>
        <v/>
      </c>
      <c r="T261" s="25"/>
      <c r="U261" s="25"/>
      <c r="V261" s="25"/>
      <c r="W261" s="25"/>
      <c r="X261" s="25"/>
      <c r="Y261" s="25"/>
      <c r="AA261" s="25"/>
      <c r="AB261" s="25"/>
      <c r="AC261" s="25"/>
      <c r="AD261" s="25"/>
      <c r="AE261" s="25"/>
      <c r="AF261" s="25"/>
      <c r="AG261" s="25"/>
    </row>
    <row r="262" spans="1:33" x14ac:dyDescent="0.25">
      <c r="A262" s="18" t="str">
        <f t="shared" si="4"/>
        <v/>
      </c>
      <c r="B262" s="25"/>
      <c r="C262" s="25"/>
      <c r="D262" s="43"/>
      <c r="E262" s="44"/>
      <c r="F262" s="45"/>
      <c r="G262" s="40"/>
      <c r="H262" s="55" t="s">
        <v>255</v>
      </c>
      <c r="N262" s="66"/>
      <c r="O262" s="25"/>
      <c r="P262" s="72" t="str">
        <f>IFERROR(IF(ISBLANK(O262),"",INDEX(Gen_Vessels!$A$3:$C$500,MATCH(O262,Gen_Vessels!$C$3:$C$500,0),1)),"")</f>
        <v/>
      </c>
      <c r="Q262" s="25"/>
      <c r="R262" s="25"/>
      <c r="S262" s="25" t="str">
        <f>IFERROR(IF(ISBLANK(R262),"",INDEX(Gen_Vessels!$A$3:$C$500,MATCH(CorrectiveMinor!$R262,Gen_Vessels!$C$3:$C$500,0),1)),"")</f>
        <v/>
      </c>
      <c r="T262" s="25"/>
      <c r="U262" s="25"/>
      <c r="V262" s="25"/>
      <c r="W262" s="25"/>
      <c r="X262" s="25"/>
      <c r="Y262" s="25"/>
      <c r="AA262" s="25"/>
      <c r="AB262" s="25"/>
      <c r="AC262" s="25"/>
      <c r="AD262" s="25"/>
      <c r="AE262" s="25"/>
      <c r="AF262" s="25"/>
      <c r="AG262" s="25"/>
    </row>
    <row r="263" spans="1:33" x14ac:dyDescent="0.25">
      <c r="A263" s="18" t="str">
        <f t="shared" si="4"/>
        <v/>
      </c>
      <c r="B263" s="25"/>
      <c r="C263" s="25"/>
      <c r="D263" s="43"/>
      <c r="E263" s="44"/>
      <c r="F263" s="45"/>
      <c r="G263" s="40"/>
      <c r="H263" s="55" t="s">
        <v>255</v>
      </c>
      <c r="N263" s="66"/>
      <c r="O263" s="25"/>
      <c r="P263" s="72" t="str">
        <f>IFERROR(IF(ISBLANK(O263),"",INDEX(Gen_Vessels!$A$3:$C$500,MATCH(O263,Gen_Vessels!$C$3:$C$500,0),1)),"")</f>
        <v/>
      </c>
      <c r="Q263" s="25"/>
      <c r="R263" s="25"/>
      <c r="S263" s="25" t="str">
        <f>IFERROR(IF(ISBLANK(R263),"",INDEX(Gen_Vessels!$A$3:$C$500,MATCH(CorrectiveMinor!$R263,Gen_Vessels!$C$3:$C$500,0),1)),"")</f>
        <v/>
      </c>
      <c r="T263" s="25"/>
      <c r="U263" s="25"/>
      <c r="V263" s="25"/>
      <c r="W263" s="25"/>
      <c r="X263" s="25"/>
      <c r="Y263" s="25"/>
      <c r="AA263" s="25"/>
      <c r="AB263" s="25"/>
      <c r="AC263" s="25"/>
      <c r="AD263" s="25"/>
      <c r="AE263" s="25"/>
      <c r="AF263" s="25"/>
      <c r="AG263" s="25"/>
    </row>
    <row r="264" spans="1:33" x14ac:dyDescent="0.25">
      <c r="A264" s="18" t="str">
        <f t="shared" si="4"/>
        <v/>
      </c>
      <c r="B264" s="25"/>
      <c r="C264" s="25"/>
      <c r="D264" s="43"/>
      <c r="E264" s="44"/>
      <c r="F264" s="45"/>
      <c r="G264" s="40"/>
      <c r="H264" s="55" t="s">
        <v>255</v>
      </c>
      <c r="N264" s="66"/>
      <c r="O264" s="25"/>
      <c r="P264" s="72" t="str">
        <f>IFERROR(IF(ISBLANK(O264),"",INDEX(Gen_Vessels!$A$3:$C$500,MATCH(O264,Gen_Vessels!$C$3:$C$500,0),1)),"")</f>
        <v/>
      </c>
      <c r="Q264" s="25"/>
      <c r="R264" s="25"/>
      <c r="S264" s="25" t="str">
        <f>IFERROR(IF(ISBLANK(R264),"",INDEX(Gen_Vessels!$A$3:$C$500,MATCH(CorrectiveMinor!$R264,Gen_Vessels!$C$3:$C$500,0),1)),"")</f>
        <v/>
      </c>
      <c r="T264" s="25"/>
      <c r="U264" s="25"/>
      <c r="V264" s="25"/>
      <c r="W264" s="25"/>
      <c r="X264" s="25"/>
      <c r="Y264" s="25"/>
      <c r="AA264" s="25"/>
      <c r="AB264" s="25"/>
      <c r="AC264" s="25"/>
      <c r="AD264" s="25"/>
      <c r="AE264" s="25"/>
      <c r="AF264" s="25"/>
      <c r="AG264" s="25"/>
    </row>
    <row r="265" spans="1:33" x14ac:dyDescent="0.25">
      <c r="A265" s="18" t="str">
        <f t="shared" si="4"/>
        <v/>
      </c>
      <c r="B265" s="25"/>
      <c r="C265" s="25"/>
      <c r="D265" s="43"/>
      <c r="E265" s="44"/>
      <c r="F265" s="45"/>
      <c r="G265" s="40"/>
      <c r="H265" s="55" t="s">
        <v>255</v>
      </c>
      <c r="N265" s="66"/>
      <c r="O265" s="25"/>
      <c r="P265" s="72" t="str">
        <f>IFERROR(IF(ISBLANK(O265),"",INDEX(Gen_Vessels!$A$3:$C$500,MATCH(O265,Gen_Vessels!$C$3:$C$500,0),1)),"")</f>
        <v/>
      </c>
      <c r="Q265" s="25"/>
      <c r="R265" s="25"/>
      <c r="S265" s="25" t="str">
        <f>IFERROR(IF(ISBLANK(R265),"",INDEX(Gen_Vessels!$A$3:$C$500,MATCH(CorrectiveMinor!$R265,Gen_Vessels!$C$3:$C$500,0),1)),"")</f>
        <v/>
      </c>
      <c r="T265" s="25"/>
      <c r="U265" s="25"/>
      <c r="V265" s="25"/>
      <c r="W265" s="25"/>
      <c r="X265" s="25"/>
      <c r="Y265" s="25"/>
      <c r="AA265" s="25"/>
      <c r="AB265" s="25"/>
      <c r="AC265" s="25"/>
      <c r="AD265" s="25"/>
      <c r="AE265" s="25"/>
      <c r="AF265" s="25"/>
      <c r="AG265" s="25"/>
    </row>
    <row r="266" spans="1:33" x14ac:dyDescent="0.25">
      <c r="A266" s="18" t="str">
        <f t="shared" si="4"/>
        <v/>
      </c>
      <c r="B266" s="25"/>
      <c r="C266" s="25"/>
      <c r="D266" s="43"/>
      <c r="E266" s="44"/>
      <c r="F266" s="45"/>
      <c r="G266" s="40"/>
      <c r="H266" s="55" t="s">
        <v>255</v>
      </c>
      <c r="N266" s="66"/>
      <c r="O266" s="25"/>
      <c r="P266" s="72" t="str">
        <f>IFERROR(IF(ISBLANK(O266),"",INDEX(Gen_Vessels!$A$3:$C$500,MATCH(O266,Gen_Vessels!$C$3:$C$500,0),1)),"")</f>
        <v/>
      </c>
      <c r="Q266" s="25"/>
      <c r="R266" s="25"/>
      <c r="S266" s="25" t="str">
        <f>IFERROR(IF(ISBLANK(R266),"",INDEX(Gen_Vessels!$A$3:$C$500,MATCH(CorrectiveMinor!$R266,Gen_Vessels!$C$3:$C$500,0),1)),"")</f>
        <v/>
      </c>
      <c r="T266" s="25"/>
      <c r="U266" s="25"/>
      <c r="V266" s="25"/>
      <c r="W266" s="25"/>
      <c r="X266" s="25"/>
      <c r="Y266" s="25"/>
      <c r="AA266" s="25"/>
      <c r="AB266" s="25"/>
      <c r="AC266" s="25"/>
      <c r="AD266" s="25"/>
      <c r="AE266" s="25"/>
      <c r="AF266" s="25"/>
      <c r="AG266" s="25"/>
    </row>
    <row r="267" spans="1:33" x14ac:dyDescent="0.25">
      <c r="A267" s="18" t="str">
        <f t="shared" si="4"/>
        <v/>
      </c>
      <c r="B267" s="25"/>
      <c r="C267" s="25"/>
      <c r="D267" s="43"/>
      <c r="E267" s="44"/>
      <c r="F267" s="45"/>
      <c r="G267" s="40"/>
      <c r="H267" s="55" t="s">
        <v>255</v>
      </c>
      <c r="N267" s="66"/>
      <c r="O267" s="25"/>
      <c r="P267" s="72" t="str">
        <f>IFERROR(IF(ISBLANK(O267),"",INDEX(Gen_Vessels!$A$3:$C$500,MATCH(O267,Gen_Vessels!$C$3:$C$500,0),1)),"")</f>
        <v/>
      </c>
      <c r="Q267" s="25"/>
      <c r="R267" s="25"/>
      <c r="S267" s="25" t="str">
        <f>IFERROR(IF(ISBLANK(R267),"",INDEX(Gen_Vessels!$A$3:$C$500,MATCH(CorrectiveMinor!$R267,Gen_Vessels!$C$3:$C$500,0),1)),"")</f>
        <v/>
      </c>
      <c r="T267" s="25"/>
      <c r="U267" s="25"/>
      <c r="V267" s="25"/>
      <c r="W267" s="25"/>
      <c r="X267" s="25"/>
      <c r="Y267" s="25"/>
      <c r="AA267" s="25"/>
      <c r="AB267" s="25"/>
      <c r="AC267" s="25"/>
      <c r="AD267" s="25"/>
      <c r="AE267" s="25"/>
      <c r="AF267" s="25"/>
      <c r="AG267" s="25"/>
    </row>
    <row r="268" spans="1:33" x14ac:dyDescent="0.25">
      <c r="A268" s="18" t="str">
        <f t="shared" si="4"/>
        <v/>
      </c>
      <c r="B268" s="25"/>
      <c r="C268" s="25"/>
      <c r="D268" s="43"/>
      <c r="E268" s="44"/>
      <c r="F268" s="45"/>
      <c r="G268" s="40"/>
      <c r="H268" s="55" t="s">
        <v>255</v>
      </c>
      <c r="N268" s="66"/>
      <c r="O268" s="25"/>
      <c r="P268" s="72" t="str">
        <f>IFERROR(IF(ISBLANK(O268),"",INDEX(Gen_Vessels!$A$3:$C$500,MATCH(O268,Gen_Vessels!$C$3:$C$500,0),1)),"")</f>
        <v/>
      </c>
      <c r="Q268" s="25"/>
      <c r="R268" s="25"/>
      <c r="S268" s="25" t="str">
        <f>IFERROR(IF(ISBLANK(R268),"",INDEX(Gen_Vessels!$A$3:$C$500,MATCH(CorrectiveMinor!$R268,Gen_Vessels!$C$3:$C$500,0),1)),"")</f>
        <v/>
      </c>
      <c r="T268" s="25"/>
      <c r="U268" s="25"/>
      <c r="V268" s="25"/>
      <c r="W268" s="25"/>
      <c r="X268" s="25"/>
      <c r="Y268" s="25"/>
      <c r="AA268" s="25"/>
      <c r="AB268" s="25"/>
      <c r="AC268" s="25"/>
      <c r="AD268" s="25"/>
      <c r="AE268" s="25"/>
      <c r="AF268" s="25"/>
      <c r="AG268" s="25"/>
    </row>
    <row r="269" spans="1:33" x14ac:dyDescent="0.25">
      <c r="A269" s="18" t="str">
        <f t="shared" si="4"/>
        <v/>
      </c>
      <c r="B269" s="25"/>
      <c r="C269" s="25"/>
      <c r="D269" s="43"/>
      <c r="E269" s="44"/>
      <c r="F269" s="45"/>
      <c r="G269" s="40"/>
      <c r="H269" s="55" t="s">
        <v>255</v>
      </c>
      <c r="N269" s="66"/>
      <c r="O269" s="25"/>
      <c r="P269" s="72" t="str">
        <f>IFERROR(IF(ISBLANK(O269),"",INDEX(Gen_Vessels!$A$3:$C$500,MATCH(O269,Gen_Vessels!$C$3:$C$500,0),1)),"")</f>
        <v/>
      </c>
      <c r="Q269" s="25"/>
      <c r="R269" s="25"/>
      <c r="S269" s="25" t="str">
        <f>IFERROR(IF(ISBLANK(R269),"",INDEX(Gen_Vessels!$A$3:$C$500,MATCH(CorrectiveMinor!$R269,Gen_Vessels!$C$3:$C$500,0),1)),"")</f>
        <v/>
      </c>
      <c r="T269" s="25"/>
      <c r="U269" s="25"/>
      <c r="V269" s="25"/>
      <c r="W269" s="25"/>
      <c r="X269" s="25"/>
      <c r="Y269" s="25"/>
      <c r="AA269" s="25"/>
      <c r="AB269" s="25"/>
      <c r="AC269" s="25"/>
      <c r="AD269" s="25"/>
      <c r="AE269" s="25"/>
      <c r="AF269" s="25"/>
      <c r="AG269" s="25"/>
    </row>
    <row r="270" spans="1:33" x14ac:dyDescent="0.25">
      <c r="A270" s="18" t="str">
        <f t="shared" si="4"/>
        <v/>
      </c>
      <c r="B270" s="25"/>
      <c r="C270" s="25"/>
      <c r="D270" s="43"/>
      <c r="E270" s="44"/>
      <c r="F270" s="45"/>
      <c r="G270" s="40"/>
      <c r="H270" s="55" t="s">
        <v>255</v>
      </c>
      <c r="N270" s="66"/>
      <c r="O270" s="25"/>
      <c r="P270" s="72" t="str">
        <f>IFERROR(IF(ISBLANK(O270),"",INDEX(Gen_Vessels!$A$3:$C$500,MATCH(O270,Gen_Vessels!$C$3:$C$500,0),1)),"")</f>
        <v/>
      </c>
      <c r="Q270" s="25"/>
      <c r="R270" s="25"/>
      <c r="S270" s="25" t="str">
        <f>IFERROR(IF(ISBLANK(R270),"",INDEX(Gen_Vessels!$A$3:$C$500,MATCH(CorrectiveMinor!$R270,Gen_Vessels!$C$3:$C$500,0),1)),"")</f>
        <v/>
      </c>
      <c r="T270" s="25"/>
      <c r="U270" s="25"/>
      <c r="V270" s="25"/>
      <c r="W270" s="25"/>
      <c r="X270" s="25"/>
      <c r="Y270" s="25"/>
      <c r="AA270" s="25"/>
      <c r="AB270" s="25"/>
      <c r="AC270" s="25"/>
      <c r="AD270" s="25"/>
      <c r="AE270" s="25"/>
      <c r="AF270" s="25"/>
      <c r="AG270" s="25"/>
    </row>
    <row r="271" spans="1:33" x14ac:dyDescent="0.25">
      <c r="A271" s="18" t="str">
        <f t="shared" si="4"/>
        <v/>
      </c>
      <c r="B271" s="25"/>
      <c r="C271" s="25"/>
      <c r="D271" s="43"/>
      <c r="E271" s="44"/>
      <c r="F271" s="45"/>
      <c r="G271" s="40"/>
      <c r="H271" s="55" t="s">
        <v>255</v>
      </c>
      <c r="N271" s="66"/>
      <c r="O271" s="25"/>
      <c r="P271" s="72" t="str">
        <f>IFERROR(IF(ISBLANK(O271),"",INDEX(Gen_Vessels!$A$3:$C$500,MATCH(O271,Gen_Vessels!$C$3:$C$500,0),1)),"")</f>
        <v/>
      </c>
      <c r="Q271" s="25"/>
      <c r="R271" s="25"/>
      <c r="S271" s="25" t="str">
        <f>IFERROR(IF(ISBLANK(R271),"",INDEX(Gen_Vessels!$A$3:$C$500,MATCH(CorrectiveMinor!$R271,Gen_Vessels!$C$3:$C$500,0),1)),"")</f>
        <v/>
      </c>
      <c r="T271" s="25"/>
      <c r="U271" s="25"/>
      <c r="V271" s="25"/>
      <c r="W271" s="25"/>
      <c r="X271" s="25"/>
      <c r="Y271" s="25"/>
      <c r="AA271" s="25"/>
      <c r="AB271" s="25"/>
      <c r="AC271" s="25"/>
      <c r="AD271" s="25"/>
      <c r="AE271" s="25"/>
      <c r="AF271" s="25"/>
      <c r="AG271" s="25"/>
    </row>
    <row r="272" spans="1:33" x14ac:dyDescent="0.25">
      <c r="A272" s="18" t="str">
        <f t="shared" si="4"/>
        <v/>
      </c>
      <c r="B272" s="25"/>
      <c r="C272" s="25"/>
      <c r="D272" s="43"/>
      <c r="E272" s="44"/>
      <c r="F272" s="45"/>
      <c r="G272" s="40"/>
      <c r="H272" s="55" t="s">
        <v>255</v>
      </c>
      <c r="N272" s="66"/>
      <c r="O272" s="25"/>
      <c r="P272" s="72" t="str">
        <f>IFERROR(IF(ISBLANK(O272),"",INDEX(Gen_Vessels!$A$3:$C$500,MATCH(O272,Gen_Vessels!$C$3:$C$500,0),1)),"")</f>
        <v/>
      </c>
      <c r="Q272" s="25"/>
      <c r="R272" s="25"/>
      <c r="S272" s="25" t="str">
        <f>IFERROR(IF(ISBLANK(R272),"",INDEX(Gen_Vessels!$A$3:$C$500,MATCH(CorrectiveMinor!$R272,Gen_Vessels!$C$3:$C$500,0),1)),"")</f>
        <v/>
      </c>
      <c r="T272" s="25"/>
      <c r="U272" s="25"/>
      <c r="V272" s="25"/>
      <c r="W272" s="25"/>
      <c r="X272" s="25"/>
      <c r="Y272" s="25"/>
      <c r="AA272" s="25"/>
      <c r="AB272" s="25"/>
      <c r="AC272" s="25"/>
      <c r="AD272" s="25"/>
      <c r="AE272" s="25"/>
      <c r="AF272" s="25"/>
      <c r="AG272" s="25"/>
    </row>
    <row r="273" spans="1:33" x14ac:dyDescent="0.25">
      <c r="A273" s="18" t="str">
        <f t="shared" si="4"/>
        <v/>
      </c>
      <c r="B273" s="25"/>
      <c r="C273" s="25"/>
      <c r="D273" s="43"/>
      <c r="E273" s="44"/>
      <c r="F273" s="45"/>
      <c r="G273" s="40"/>
      <c r="H273" s="55" t="s">
        <v>255</v>
      </c>
      <c r="N273" s="66"/>
      <c r="O273" s="25"/>
      <c r="P273" s="72" t="str">
        <f>IFERROR(IF(ISBLANK(O273),"",INDEX(Gen_Vessels!$A$3:$C$500,MATCH(O273,Gen_Vessels!$C$3:$C$500,0),1)),"")</f>
        <v/>
      </c>
      <c r="Q273" s="25"/>
      <c r="R273" s="25"/>
      <c r="S273" s="25" t="str">
        <f>IFERROR(IF(ISBLANK(R273),"",INDEX(Gen_Vessels!$A$3:$C$500,MATCH(CorrectiveMinor!$R273,Gen_Vessels!$C$3:$C$500,0),1)),"")</f>
        <v/>
      </c>
      <c r="T273" s="25"/>
      <c r="U273" s="25"/>
      <c r="V273" s="25"/>
      <c r="W273" s="25"/>
      <c r="X273" s="25"/>
      <c r="Y273" s="25"/>
      <c r="AA273" s="25"/>
      <c r="AB273" s="25"/>
      <c r="AC273" s="25"/>
      <c r="AD273" s="25"/>
      <c r="AE273" s="25"/>
      <c r="AF273" s="25"/>
      <c r="AG273" s="25"/>
    </row>
    <row r="274" spans="1:33" x14ac:dyDescent="0.25">
      <c r="A274" s="18" t="str">
        <f t="shared" si="4"/>
        <v/>
      </c>
      <c r="B274" s="25"/>
      <c r="C274" s="25"/>
      <c r="D274" s="43"/>
      <c r="E274" s="44"/>
      <c r="F274" s="45"/>
      <c r="G274" s="40"/>
      <c r="H274" s="55" t="s">
        <v>255</v>
      </c>
      <c r="N274" s="66"/>
      <c r="O274" s="25"/>
      <c r="P274" s="72" t="str">
        <f>IFERROR(IF(ISBLANK(O274),"",INDEX(Gen_Vessels!$A$3:$C$500,MATCH(O274,Gen_Vessels!$C$3:$C$500,0),1)),"")</f>
        <v/>
      </c>
      <c r="Q274" s="25"/>
      <c r="R274" s="25"/>
      <c r="S274" s="25" t="str">
        <f>IFERROR(IF(ISBLANK(R274),"",INDEX(Gen_Vessels!$A$3:$C$500,MATCH(CorrectiveMinor!$R274,Gen_Vessels!$C$3:$C$500,0),1)),"")</f>
        <v/>
      </c>
      <c r="T274" s="25"/>
      <c r="U274" s="25"/>
      <c r="V274" s="25"/>
      <c r="W274" s="25"/>
      <c r="X274" s="25"/>
      <c r="Y274" s="25"/>
      <c r="AA274" s="25"/>
      <c r="AB274" s="25"/>
      <c r="AC274" s="25"/>
      <c r="AD274" s="25"/>
      <c r="AE274" s="25"/>
      <c r="AF274" s="25"/>
      <c r="AG274" s="25"/>
    </row>
    <row r="275" spans="1:33" x14ac:dyDescent="0.25">
      <c r="A275" s="18" t="str">
        <f t="shared" si="4"/>
        <v/>
      </c>
      <c r="B275" s="25"/>
      <c r="C275" s="25"/>
      <c r="D275" s="43"/>
      <c r="E275" s="44"/>
      <c r="F275" s="45"/>
      <c r="G275" s="40"/>
      <c r="H275" s="55" t="s">
        <v>255</v>
      </c>
      <c r="N275" s="66"/>
      <c r="O275" s="25"/>
      <c r="P275" s="72" t="str">
        <f>IFERROR(IF(ISBLANK(O275),"",INDEX(Gen_Vessels!$A$3:$C$500,MATCH(O275,Gen_Vessels!$C$3:$C$500,0),1)),"")</f>
        <v/>
      </c>
      <c r="Q275" s="25"/>
      <c r="R275" s="25"/>
      <c r="S275" s="25" t="str">
        <f>IFERROR(IF(ISBLANK(R275),"",INDEX(Gen_Vessels!$A$3:$C$500,MATCH(CorrectiveMinor!$R275,Gen_Vessels!$C$3:$C$500,0),1)),"")</f>
        <v/>
      </c>
      <c r="T275" s="25"/>
      <c r="U275" s="25"/>
      <c r="V275" s="25"/>
      <c r="W275" s="25"/>
      <c r="X275" s="25"/>
      <c r="Y275" s="25"/>
      <c r="AA275" s="25"/>
      <c r="AB275" s="25"/>
      <c r="AC275" s="25"/>
      <c r="AD275" s="25"/>
      <c r="AE275" s="25"/>
      <c r="AF275" s="25"/>
      <c r="AG275" s="25"/>
    </row>
    <row r="276" spans="1:33" x14ac:dyDescent="0.25">
      <c r="A276" s="18" t="str">
        <f t="shared" si="4"/>
        <v/>
      </c>
      <c r="B276" s="25"/>
      <c r="C276" s="25"/>
      <c r="D276" s="43"/>
      <c r="E276" s="44"/>
      <c r="F276" s="45"/>
      <c r="G276" s="40"/>
      <c r="H276" s="55" t="s">
        <v>255</v>
      </c>
      <c r="N276" s="66"/>
      <c r="O276" s="25"/>
      <c r="P276" s="72" t="str">
        <f>IFERROR(IF(ISBLANK(O276),"",INDEX(Gen_Vessels!$A$3:$C$500,MATCH(O276,Gen_Vessels!$C$3:$C$500,0),1)),"")</f>
        <v/>
      </c>
      <c r="Q276" s="25"/>
      <c r="R276" s="25"/>
      <c r="S276" s="25" t="str">
        <f>IFERROR(IF(ISBLANK(R276),"",INDEX(Gen_Vessels!$A$3:$C$500,MATCH(CorrectiveMinor!$R276,Gen_Vessels!$C$3:$C$500,0),1)),"")</f>
        <v/>
      </c>
      <c r="T276" s="25"/>
      <c r="U276" s="25"/>
      <c r="V276" s="25"/>
      <c r="W276" s="25"/>
      <c r="X276" s="25"/>
      <c r="Y276" s="25"/>
      <c r="AA276" s="25"/>
      <c r="AB276" s="25"/>
      <c r="AC276" s="25"/>
      <c r="AD276" s="25"/>
      <c r="AE276" s="25"/>
      <c r="AF276" s="25"/>
      <c r="AG276" s="25"/>
    </row>
    <row r="277" spans="1:33" x14ac:dyDescent="0.25">
      <c r="A277" s="18" t="str">
        <f t="shared" si="4"/>
        <v/>
      </c>
      <c r="B277" s="25"/>
      <c r="C277" s="25"/>
      <c r="D277" s="43"/>
      <c r="E277" s="44"/>
      <c r="F277" s="45"/>
      <c r="G277" s="40"/>
      <c r="H277" s="55" t="s">
        <v>255</v>
      </c>
      <c r="N277" s="66"/>
      <c r="O277" s="25"/>
      <c r="P277" s="72" t="str">
        <f>IFERROR(IF(ISBLANK(O277),"",INDEX(Gen_Vessels!$A$3:$C$500,MATCH(O277,Gen_Vessels!$C$3:$C$500,0),1)),"")</f>
        <v/>
      </c>
      <c r="Q277" s="25"/>
      <c r="R277" s="25"/>
      <c r="S277" s="25" t="str">
        <f>IFERROR(IF(ISBLANK(R277),"",INDEX(Gen_Vessels!$A$3:$C$500,MATCH(CorrectiveMinor!$R277,Gen_Vessels!$C$3:$C$500,0),1)),"")</f>
        <v/>
      </c>
      <c r="T277" s="25"/>
      <c r="U277" s="25"/>
      <c r="V277" s="25"/>
      <c r="W277" s="25"/>
      <c r="X277" s="25"/>
      <c r="Y277" s="25"/>
      <c r="AA277" s="25"/>
      <c r="AB277" s="25"/>
      <c r="AC277" s="25"/>
      <c r="AD277" s="25"/>
      <c r="AE277" s="25"/>
      <c r="AF277" s="25"/>
      <c r="AG277" s="25"/>
    </row>
    <row r="278" spans="1:33" x14ac:dyDescent="0.25">
      <c r="A278" s="18" t="str">
        <f t="shared" si="4"/>
        <v/>
      </c>
      <c r="B278" s="25"/>
      <c r="C278" s="25"/>
      <c r="D278" s="43"/>
      <c r="E278" s="44"/>
      <c r="F278" s="45"/>
      <c r="G278" s="40"/>
      <c r="H278" s="55" t="s">
        <v>255</v>
      </c>
      <c r="N278" s="66"/>
      <c r="O278" s="25"/>
      <c r="P278" s="72" t="str">
        <f>IFERROR(IF(ISBLANK(O278),"",INDEX(Gen_Vessels!$A$3:$C$500,MATCH(O278,Gen_Vessels!$C$3:$C$500,0),1)),"")</f>
        <v/>
      </c>
      <c r="Q278" s="25"/>
      <c r="R278" s="25"/>
      <c r="S278" s="25" t="str">
        <f>IFERROR(IF(ISBLANK(R278),"",INDEX(Gen_Vessels!$A$3:$C$500,MATCH(CorrectiveMinor!$R278,Gen_Vessels!$C$3:$C$500,0),1)),"")</f>
        <v/>
      </c>
      <c r="T278" s="25"/>
      <c r="U278" s="25"/>
      <c r="V278" s="25"/>
      <c r="W278" s="25"/>
      <c r="X278" s="25"/>
      <c r="Y278" s="25"/>
      <c r="AA278" s="25"/>
      <c r="AB278" s="25"/>
      <c r="AC278" s="25"/>
      <c r="AD278" s="25"/>
      <c r="AE278" s="25"/>
      <c r="AF278" s="25"/>
      <c r="AG278" s="25"/>
    </row>
    <row r="279" spans="1:33" x14ac:dyDescent="0.25">
      <c r="A279" s="18" t="str">
        <f t="shared" si="4"/>
        <v/>
      </c>
      <c r="B279" s="25"/>
      <c r="C279" s="25"/>
      <c r="D279" s="43"/>
      <c r="E279" s="44"/>
      <c r="F279" s="45"/>
      <c r="G279" s="40"/>
      <c r="H279" s="55" t="s">
        <v>255</v>
      </c>
      <c r="N279" s="66"/>
      <c r="O279" s="25"/>
      <c r="P279" s="72" t="str">
        <f>IFERROR(IF(ISBLANK(O279),"",INDEX(Gen_Vessels!$A$3:$C$500,MATCH(O279,Gen_Vessels!$C$3:$C$500,0),1)),"")</f>
        <v/>
      </c>
      <c r="Q279" s="25"/>
      <c r="R279" s="25"/>
      <c r="S279" s="25" t="str">
        <f>IFERROR(IF(ISBLANK(R279),"",INDEX(Gen_Vessels!$A$3:$C$500,MATCH(CorrectiveMinor!$R279,Gen_Vessels!$C$3:$C$500,0),1)),"")</f>
        <v/>
      </c>
      <c r="T279" s="25"/>
      <c r="U279" s="25"/>
      <c r="V279" s="25"/>
      <c r="W279" s="25"/>
      <c r="X279" s="25"/>
      <c r="Y279" s="25"/>
      <c r="AA279" s="25"/>
      <c r="AB279" s="25"/>
      <c r="AC279" s="25"/>
      <c r="AD279" s="25"/>
      <c r="AE279" s="25"/>
      <c r="AF279" s="25"/>
      <c r="AG279" s="25"/>
    </row>
    <row r="280" spans="1:33" x14ac:dyDescent="0.25">
      <c r="A280" s="18" t="str">
        <f t="shared" si="4"/>
        <v/>
      </c>
      <c r="B280" s="25"/>
      <c r="C280" s="25"/>
      <c r="D280" s="43"/>
      <c r="E280" s="44"/>
      <c r="F280" s="45"/>
      <c r="G280" s="40"/>
      <c r="H280" s="55" t="s">
        <v>255</v>
      </c>
      <c r="N280" s="66"/>
      <c r="O280" s="25"/>
      <c r="P280" s="72" t="str">
        <f>IFERROR(IF(ISBLANK(O280),"",INDEX(Gen_Vessels!$A$3:$C$500,MATCH(O280,Gen_Vessels!$C$3:$C$500,0),1)),"")</f>
        <v/>
      </c>
      <c r="Q280" s="25"/>
      <c r="R280" s="25"/>
      <c r="S280" s="25" t="str">
        <f>IFERROR(IF(ISBLANK(R280),"",INDEX(Gen_Vessels!$A$3:$C$500,MATCH(CorrectiveMinor!$R280,Gen_Vessels!$C$3:$C$500,0),1)),"")</f>
        <v/>
      </c>
      <c r="T280" s="25"/>
      <c r="U280" s="25"/>
      <c r="V280" s="25"/>
      <c r="W280" s="25"/>
      <c r="X280" s="25"/>
      <c r="Y280" s="25"/>
      <c r="AA280" s="25"/>
      <c r="AB280" s="25"/>
      <c r="AC280" s="25"/>
      <c r="AD280" s="25"/>
      <c r="AE280" s="25"/>
      <c r="AF280" s="25"/>
      <c r="AG280" s="25"/>
    </row>
    <row r="281" spans="1:33" x14ac:dyDescent="0.25">
      <c r="A281" s="18" t="str">
        <f t="shared" si="4"/>
        <v/>
      </c>
      <c r="B281" s="25"/>
      <c r="C281" s="25"/>
      <c r="D281" s="43"/>
      <c r="E281" s="44"/>
      <c r="F281" s="45"/>
      <c r="G281" s="40"/>
      <c r="H281" s="55" t="s">
        <v>255</v>
      </c>
      <c r="N281" s="66"/>
      <c r="O281" s="25"/>
      <c r="P281" s="72" t="str">
        <f>IFERROR(IF(ISBLANK(O281),"",INDEX(Gen_Vessels!$A$3:$C$500,MATCH(O281,Gen_Vessels!$C$3:$C$500,0),1)),"")</f>
        <v/>
      </c>
      <c r="Q281" s="25"/>
      <c r="R281" s="25"/>
      <c r="S281" s="25" t="str">
        <f>IFERROR(IF(ISBLANK(R281),"",INDEX(Gen_Vessels!$A$3:$C$500,MATCH(CorrectiveMinor!$R281,Gen_Vessels!$C$3:$C$500,0),1)),"")</f>
        <v/>
      </c>
      <c r="T281" s="25"/>
      <c r="U281" s="25"/>
      <c r="V281" s="25"/>
      <c r="W281" s="25"/>
      <c r="X281" s="25"/>
      <c r="Y281" s="25"/>
      <c r="AA281" s="25"/>
      <c r="AB281" s="25"/>
      <c r="AC281" s="25"/>
      <c r="AD281" s="25"/>
      <c r="AE281" s="25"/>
      <c r="AF281" s="25"/>
      <c r="AG281" s="25"/>
    </row>
    <row r="282" spans="1:33" x14ac:dyDescent="0.25">
      <c r="A282" s="18" t="str">
        <f t="shared" si="4"/>
        <v/>
      </c>
      <c r="B282" s="25"/>
      <c r="C282" s="25"/>
      <c r="D282" s="43"/>
      <c r="E282" s="44"/>
      <c r="F282" s="45"/>
      <c r="G282" s="40"/>
      <c r="H282" s="55" t="s">
        <v>255</v>
      </c>
      <c r="N282" s="66"/>
      <c r="O282" s="25"/>
      <c r="P282" s="72" t="str">
        <f>IFERROR(IF(ISBLANK(O282),"",INDEX(Gen_Vessels!$A$3:$C$500,MATCH(O282,Gen_Vessels!$C$3:$C$500,0),1)),"")</f>
        <v/>
      </c>
      <c r="Q282" s="25"/>
      <c r="R282" s="25"/>
      <c r="S282" s="25" t="str">
        <f>IFERROR(IF(ISBLANK(R282),"",INDEX(Gen_Vessels!$A$3:$C$500,MATCH(CorrectiveMinor!$R282,Gen_Vessels!$C$3:$C$500,0),1)),"")</f>
        <v/>
      </c>
      <c r="T282" s="25"/>
      <c r="U282" s="25"/>
      <c r="V282" s="25"/>
      <c r="W282" s="25"/>
      <c r="X282" s="25"/>
      <c r="Y282" s="25"/>
      <c r="AA282" s="25"/>
      <c r="AB282" s="25"/>
      <c r="AC282" s="25"/>
      <c r="AD282" s="25"/>
      <c r="AE282" s="25"/>
      <c r="AF282" s="25"/>
      <c r="AG282" s="25"/>
    </row>
    <row r="283" spans="1:33" x14ac:dyDescent="0.25">
      <c r="A283" s="18" t="str">
        <f t="shared" si="4"/>
        <v/>
      </c>
      <c r="B283" s="25"/>
      <c r="C283" s="25"/>
      <c r="D283" s="43"/>
      <c r="E283" s="44"/>
      <c r="F283" s="45"/>
      <c r="G283" s="40"/>
      <c r="H283" s="55" t="s">
        <v>255</v>
      </c>
      <c r="N283" s="66"/>
      <c r="O283" s="25"/>
      <c r="P283" s="72" t="str">
        <f>IFERROR(IF(ISBLANK(O283),"",INDEX(Gen_Vessels!$A$3:$C$500,MATCH(O283,Gen_Vessels!$C$3:$C$500,0),1)),"")</f>
        <v/>
      </c>
      <c r="Q283" s="25"/>
      <c r="R283" s="25"/>
      <c r="S283" s="25" t="str">
        <f>IFERROR(IF(ISBLANK(R283),"",INDEX(Gen_Vessels!$A$3:$C$500,MATCH(CorrectiveMinor!$R283,Gen_Vessels!$C$3:$C$500,0),1)),"")</f>
        <v/>
      </c>
      <c r="T283" s="25"/>
      <c r="U283" s="25"/>
      <c r="V283" s="25"/>
      <c r="W283" s="25"/>
      <c r="X283" s="25"/>
      <c r="Y283" s="25"/>
      <c r="AA283" s="25"/>
      <c r="AB283" s="25"/>
      <c r="AC283" s="25"/>
      <c r="AD283" s="25"/>
      <c r="AE283" s="25"/>
      <c r="AF283" s="25"/>
      <c r="AG283" s="25"/>
    </row>
    <row r="284" spans="1:33" x14ac:dyDescent="0.25">
      <c r="A284" s="18" t="str">
        <f t="shared" si="4"/>
        <v/>
      </c>
      <c r="B284" s="25"/>
      <c r="C284" s="25"/>
      <c r="D284" s="43"/>
      <c r="E284" s="44"/>
      <c r="F284" s="45"/>
      <c r="G284" s="40"/>
      <c r="H284" s="55" t="s">
        <v>255</v>
      </c>
      <c r="N284" s="66"/>
      <c r="O284" s="25"/>
      <c r="P284" s="72" t="str">
        <f>IFERROR(IF(ISBLANK(O284),"",INDEX(Gen_Vessels!$A$3:$C$500,MATCH(O284,Gen_Vessels!$C$3:$C$500,0),1)),"")</f>
        <v/>
      </c>
      <c r="Q284" s="25"/>
      <c r="R284" s="25"/>
      <c r="S284" s="25" t="str">
        <f>IFERROR(IF(ISBLANK(R284),"",INDEX(Gen_Vessels!$A$3:$C$500,MATCH(CorrectiveMinor!$R284,Gen_Vessels!$C$3:$C$500,0),1)),"")</f>
        <v/>
      </c>
      <c r="T284" s="25"/>
      <c r="U284" s="25"/>
      <c r="V284" s="25"/>
      <c r="W284" s="25"/>
      <c r="X284" s="25"/>
      <c r="Y284" s="25"/>
      <c r="AA284" s="25"/>
      <c r="AB284" s="25"/>
      <c r="AC284" s="25"/>
      <c r="AD284" s="25"/>
      <c r="AE284" s="25"/>
      <c r="AF284" s="25"/>
      <c r="AG284" s="25"/>
    </row>
    <row r="285" spans="1:33" x14ac:dyDescent="0.25">
      <c r="A285" s="18" t="str">
        <f t="shared" si="4"/>
        <v/>
      </c>
      <c r="B285" s="25"/>
      <c r="C285" s="25"/>
      <c r="D285" s="43"/>
      <c r="E285" s="44"/>
      <c r="F285" s="45"/>
      <c r="G285" s="40"/>
      <c r="H285" s="55" t="s">
        <v>255</v>
      </c>
      <c r="N285" s="66"/>
      <c r="O285" s="25"/>
      <c r="P285" s="72" t="str">
        <f>IFERROR(IF(ISBLANK(O285),"",INDEX(Gen_Vessels!$A$3:$C$500,MATCH(O285,Gen_Vessels!$C$3:$C$500,0),1)),"")</f>
        <v/>
      </c>
      <c r="Q285" s="25"/>
      <c r="R285" s="25"/>
      <c r="S285" s="25" t="str">
        <f>IFERROR(IF(ISBLANK(R285),"",INDEX(Gen_Vessels!$A$3:$C$500,MATCH(CorrectiveMinor!$R285,Gen_Vessels!$C$3:$C$500,0),1)),"")</f>
        <v/>
      </c>
      <c r="T285" s="25"/>
      <c r="U285" s="25"/>
      <c r="V285" s="25"/>
      <c r="W285" s="25"/>
      <c r="X285" s="25"/>
      <c r="Y285" s="25"/>
      <c r="AA285" s="25"/>
      <c r="AB285" s="25"/>
      <c r="AC285" s="25"/>
      <c r="AD285" s="25"/>
      <c r="AE285" s="25"/>
      <c r="AF285" s="25"/>
      <c r="AG285" s="25"/>
    </row>
    <row r="286" spans="1:33" x14ac:dyDescent="0.25">
      <c r="A286" s="18" t="str">
        <f t="shared" si="4"/>
        <v/>
      </c>
      <c r="B286" s="25"/>
      <c r="C286" s="25"/>
      <c r="D286" s="43"/>
      <c r="E286" s="44"/>
      <c r="F286" s="45"/>
      <c r="G286" s="40"/>
      <c r="H286" s="55" t="s">
        <v>255</v>
      </c>
      <c r="N286" s="66"/>
      <c r="O286" s="25"/>
      <c r="P286" s="72" t="str">
        <f>IFERROR(IF(ISBLANK(O286),"",INDEX(Gen_Vessels!$A$3:$C$500,MATCH(O286,Gen_Vessels!$C$3:$C$500,0),1)),"")</f>
        <v/>
      </c>
      <c r="Q286" s="25"/>
      <c r="R286" s="25"/>
      <c r="S286" s="25" t="str">
        <f>IFERROR(IF(ISBLANK(R286),"",INDEX(Gen_Vessels!$A$3:$C$500,MATCH(CorrectiveMinor!$R286,Gen_Vessels!$C$3:$C$500,0),1)),"")</f>
        <v/>
      </c>
      <c r="T286" s="25"/>
      <c r="U286" s="25"/>
      <c r="V286" s="25"/>
      <c r="W286" s="25"/>
      <c r="X286" s="25"/>
      <c r="Y286" s="25"/>
      <c r="AA286" s="25"/>
      <c r="AB286" s="25"/>
      <c r="AC286" s="25"/>
      <c r="AD286" s="25"/>
      <c r="AE286" s="25"/>
      <c r="AF286" s="25"/>
      <c r="AG286" s="25"/>
    </row>
    <row r="287" spans="1:33" x14ac:dyDescent="0.25">
      <c r="A287" s="18" t="str">
        <f t="shared" si="4"/>
        <v/>
      </c>
      <c r="B287" s="25"/>
      <c r="C287" s="25"/>
      <c r="D287" s="43"/>
      <c r="E287" s="44"/>
      <c r="F287" s="45"/>
      <c r="G287" s="40"/>
      <c r="H287" s="55" t="s">
        <v>255</v>
      </c>
      <c r="N287" s="66"/>
      <c r="O287" s="25"/>
      <c r="P287" s="72" t="str">
        <f>IFERROR(IF(ISBLANK(O287),"",INDEX(Gen_Vessels!$A$3:$C$500,MATCH(O287,Gen_Vessels!$C$3:$C$500,0),1)),"")</f>
        <v/>
      </c>
      <c r="Q287" s="25"/>
      <c r="R287" s="25"/>
      <c r="S287" s="25" t="str">
        <f>IFERROR(IF(ISBLANK(R287),"",INDEX(Gen_Vessels!$A$3:$C$500,MATCH(CorrectiveMinor!$R287,Gen_Vessels!$C$3:$C$500,0),1)),"")</f>
        <v/>
      </c>
      <c r="T287" s="25"/>
      <c r="U287" s="25"/>
      <c r="V287" s="25"/>
      <c r="W287" s="25"/>
      <c r="X287" s="25"/>
      <c r="Y287" s="25"/>
      <c r="AA287" s="25"/>
      <c r="AB287" s="25"/>
      <c r="AC287" s="25"/>
      <c r="AD287" s="25"/>
      <c r="AE287" s="25"/>
      <c r="AF287" s="25"/>
      <c r="AG287" s="25"/>
    </row>
    <row r="288" spans="1:33" x14ac:dyDescent="0.25">
      <c r="A288" s="18" t="str">
        <f t="shared" si="4"/>
        <v/>
      </c>
      <c r="B288" s="25"/>
      <c r="C288" s="25"/>
      <c r="D288" s="43"/>
      <c r="E288" s="44"/>
      <c r="F288" s="45"/>
      <c r="G288" s="40"/>
      <c r="H288" s="55" t="s">
        <v>255</v>
      </c>
      <c r="N288" s="66"/>
      <c r="O288" s="25"/>
      <c r="P288" s="72" t="str">
        <f>IFERROR(IF(ISBLANK(O288),"",INDEX(Gen_Vessels!$A$3:$C$500,MATCH(O288,Gen_Vessels!$C$3:$C$500,0),1)),"")</f>
        <v/>
      </c>
      <c r="Q288" s="25"/>
      <c r="R288" s="25"/>
      <c r="S288" s="25" t="str">
        <f>IFERROR(IF(ISBLANK(R288),"",INDEX(Gen_Vessels!$A$3:$C$500,MATCH(CorrectiveMinor!$R288,Gen_Vessels!$C$3:$C$500,0),1)),"")</f>
        <v/>
      </c>
      <c r="T288" s="25"/>
      <c r="U288" s="25"/>
      <c r="V288" s="25"/>
      <c r="W288" s="25"/>
      <c r="X288" s="25"/>
      <c r="Y288" s="25"/>
      <c r="AA288" s="25"/>
      <c r="AB288" s="25"/>
      <c r="AC288" s="25"/>
      <c r="AD288" s="25"/>
      <c r="AE288" s="25"/>
      <c r="AF288" s="25"/>
      <c r="AG288" s="25"/>
    </row>
    <row r="289" spans="1:33" x14ac:dyDescent="0.25">
      <c r="A289" s="18" t="str">
        <f t="shared" si="4"/>
        <v/>
      </c>
      <c r="B289" s="25"/>
      <c r="C289" s="25"/>
      <c r="D289" s="43"/>
      <c r="E289" s="44"/>
      <c r="F289" s="45"/>
      <c r="G289" s="40"/>
      <c r="H289" s="55" t="s">
        <v>255</v>
      </c>
      <c r="N289" s="66"/>
      <c r="O289" s="25"/>
      <c r="P289" s="72" t="str">
        <f>IFERROR(IF(ISBLANK(O289),"",INDEX(Gen_Vessels!$A$3:$C$500,MATCH(O289,Gen_Vessels!$C$3:$C$500,0),1)),"")</f>
        <v/>
      </c>
      <c r="Q289" s="25"/>
      <c r="R289" s="25"/>
      <c r="S289" s="25" t="str">
        <f>IFERROR(IF(ISBLANK(R289),"",INDEX(Gen_Vessels!$A$3:$C$500,MATCH(CorrectiveMinor!$R289,Gen_Vessels!$C$3:$C$500,0),1)),"")</f>
        <v/>
      </c>
      <c r="T289" s="25"/>
      <c r="U289" s="25"/>
      <c r="V289" s="25"/>
      <c r="W289" s="25"/>
      <c r="X289" s="25"/>
      <c r="Y289" s="25"/>
      <c r="AA289" s="25"/>
      <c r="AB289" s="25"/>
      <c r="AC289" s="25"/>
      <c r="AD289" s="25"/>
      <c r="AE289" s="25"/>
      <c r="AF289" s="25"/>
      <c r="AG289" s="25"/>
    </row>
    <row r="290" spans="1:33" x14ac:dyDescent="0.25">
      <c r="A290" s="18" t="str">
        <f t="shared" si="4"/>
        <v/>
      </c>
      <c r="B290" s="25"/>
      <c r="C290" s="25"/>
      <c r="D290" s="43"/>
      <c r="E290" s="44"/>
      <c r="F290" s="45"/>
      <c r="G290" s="40"/>
      <c r="H290" s="55" t="s">
        <v>255</v>
      </c>
      <c r="N290" s="66"/>
      <c r="O290" s="25"/>
      <c r="P290" s="72" t="str">
        <f>IFERROR(IF(ISBLANK(O290),"",INDEX(Gen_Vessels!$A$3:$C$500,MATCH(O290,Gen_Vessels!$C$3:$C$500,0),1)),"")</f>
        <v/>
      </c>
      <c r="Q290" s="25"/>
      <c r="R290" s="25"/>
      <c r="S290" s="25" t="str">
        <f>IFERROR(IF(ISBLANK(R290),"",INDEX(Gen_Vessels!$A$3:$C$500,MATCH(CorrectiveMinor!$R290,Gen_Vessels!$C$3:$C$500,0),1)),"")</f>
        <v/>
      </c>
      <c r="T290" s="25"/>
      <c r="U290" s="25"/>
      <c r="V290" s="25"/>
      <c r="W290" s="25"/>
      <c r="X290" s="25"/>
      <c r="Y290" s="25"/>
      <c r="AA290" s="25"/>
      <c r="AB290" s="25"/>
      <c r="AC290" s="25"/>
      <c r="AD290" s="25"/>
      <c r="AE290" s="25"/>
      <c r="AF290" s="25"/>
      <c r="AG290" s="25"/>
    </row>
    <row r="291" spans="1:33" x14ac:dyDescent="0.25">
      <c r="A291" s="18" t="str">
        <f t="shared" si="4"/>
        <v/>
      </c>
      <c r="B291" s="25"/>
      <c r="C291" s="25"/>
      <c r="D291" s="43"/>
      <c r="E291" s="44"/>
      <c r="F291" s="45"/>
      <c r="G291" s="40"/>
      <c r="H291" s="55" t="s">
        <v>255</v>
      </c>
      <c r="N291" s="66"/>
      <c r="O291" s="25"/>
      <c r="P291" s="72" t="str">
        <f>IFERROR(IF(ISBLANK(O291),"",INDEX(Gen_Vessels!$A$3:$C$500,MATCH(O291,Gen_Vessels!$C$3:$C$500,0),1)),"")</f>
        <v/>
      </c>
      <c r="Q291" s="25"/>
      <c r="R291" s="25"/>
      <c r="S291" s="25" t="str">
        <f>IFERROR(IF(ISBLANK(R291),"",INDEX(Gen_Vessels!$A$3:$C$500,MATCH(CorrectiveMinor!$R291,Gen_Vessels!$C$3:$C$500,0),1)),"")</f>
        <v/>
      </c>
      <c r="T291" s="25"/>
      <c r="U291" s="25"/>
      <c r="V291" s="25"/>
      <c r="W291" s="25"/>
      <c r="X291" s="25"/>
      <c r="Y291" s="25"/>
      <c r="AA291" s="25"/>
      <c r="AB291" s="25"/>
      <c r="AC291" s="25"/>
      <c r="AD291" s="25"/>
      <c r="AE291" s="25"/>
      <c r="AF291" s="25"/>
      <c r="AG291" s="25"/>
    </row>
    <row r="292" spans="1:33" x14ac:dyDescent="0.25">
      <c r="A292" s="18" t="str">
        <f t="shared" si="4"/>
        <v/>
      </c>
      <c r="B292" s="25"/>
      <c r="C292" s="25"/>
      <c r="D292" s="43"/>
      <c r="E292" s="44"/>
      <c r="F292" s="45"/>
      <c r="G292" s="40"/>
      <c r="H292" s="55" t="s">
        <v>255</v>
      </c>
      <c r="N292" s="66"/>
      <c r="O292" s="25"/>
      <c r="P292" s="72" t="str">
        <f>IFERROR(IF(ISBLANK(O292),"",INDEX(Gen_Vessels!$A$3:$C$500,MATCH(O292,Gen_Vessels!$C$3:$C$500,0),1)),"")</f>
        <v/>
      </c>
      <c r="Q292" s="25"/>
      <c r="R292" s="25"/>
      <c r="S292" s="25" t="str">
        <f>IFERROR(IF(ISBLANK(R292),"",INDEX(Gen_Vessels!$A$3:$C$500,MATCH(CorrectiveMinor!$R292,Gen_Vessels!$C$3:$C$500,0),1)),"")</f>
        <v/>
      </c>
      <c r="T292" s="25"/>
      <c r="U292" s="25"/>
      <c r="V292" s="25"/>
      <c r="W292" s="25"/>
      <c r="X292" s="25"/>
      <c r="Y292" s="25"/>
      <c r="AA292" s="25"/>
      <c r="AB292" s="25"/>
      <c r="AC292" s="25"/>
      <c r="AD292" s="25"/>
      <c r="AE292" s="25"/>
      <c r="AF292" s="25"/>
      <c r="AG292" s="25"/>
    </row>
    <row r="293" spans="1:33" x14ac:dyDescent="0.25">
      <c r="A293" s="18" t="str">
        <f t="shared" si="4"/>
        <v/>
      </c>
      <c r="B293" s="25"/>
      <c r="C293" s="25"/>
      <c r="D293" s="43"/>
      <c r="E293" s="44"/>
      <c r="F293" s="45"/>
      <c r="G293" s="40"/>
      <c r="H293" s="55" t="s">
        <v>255</v>
      </c>
      <c r="N293" s="66"/>
      <c r="O293" s="25"/>
      <c r="P293" s="72" t="str">
        <f>IFERROR(IF(ISBLANK(O293),"",INDEX(Gen_Vessels!$A$3:$C$500,MATCH(O293,Gen_Vessels!$C$3:$C$500,0),1)),"")</f>
        <v/>
      </c>
      <c r="Q293" s="25"/>
      <c r="R293" s="25"/>
      <c r="S293" s="25" t="str">
        <f>IFERROR(IF(ISBLANK(R293),"",INDEX(Gen_Vessels!$A$3:$C$500,MATCH(CorrectiveMinor!$R293,Gen_Vessels!$C$3:$C$500,0),1)),"")</f>
        <v/>
      </c>
      <c r="T293" s="25"/>
      <c r="U293" s="25"/>
      <c r="V293" s="25"/>
      <c r="W293" s="25"/>
      <c r="X293" s="25"/>
      <c r="Y293" s="25"/>
      <c r="AA293" s="25"/>
      <c r="AB293" s="25"/>
      <c r="AC293" s="25"/>
      <c r="AD293" s="25"/>
      <c r="AE293" s="25"/>
      <c r="AF293" s="25"/>
      <c r="AG293" s="25"/>
    </row>
    <row r="294" spans="1:33" x14ac:dyDescent="0.25">
      <c r="A294" s="18" t="str">
        <f t="shared" si="4"/>
        <v/>
      </c>
      <c r="B294" s="25"/>
      <c r="C294" s="25"/>
      <c r="D294" s="43"/>
      <c r="E294" s="44"/>
      <c r="F294" s="45"/>
      <c r="G294" s="40"/>
      <c r="H294" s="55" t="s">
        <v>255</v>
      </c>
      <c r="N294" s="66"/>
      <c r="O294" s="25"/>
      <c r="P294" s="72" t="str">
        <f>IFERROR(IF(ISBLANK(O294),"",INDEX(Gen_Vessels!$A$3:$C$500,MATCH(O294,Gen_Vessels!$C$3:$C$500,0),1)),"")</f>
        <v/>
      </c>
      <c r="Q294" s="25"/>
      <c r="R294" s="25"/>
      <c r="S294" s="25" t="str">
        <f>IFERROR(IF(ISBLANK(R294),"",INDEX(Gen_Vessels!$A$3:$C$500,MATCH(CorrectiveMinor!$R294,Gen_Vessels!$C$3:$C$500,0),1)),"")</f>
        <v/>
      </c>
      <c r="T294" s="25"/>
      <c r="U294" s="25"/>
      <c r="V294" s="25"/>
      <c r="W294" s="25"/>
      <c r="X294" s="25"/>
      <c r="Y294" s="25"/>
      <c r="AA294" s="25"/>
      <c r="AB294" s="25"/>
      <c r="AC294" s="25"/>
      <c r="AD294" s="25"/>
      <c r="AE294" s="25"/>
      <c r="AF294" s="25"/>
      <c r="AG294" s="25"/>
    </row>
    <row r="295" spans="1:33" x14ac:dyDescent="0.25">
      <c r="A295" s="18" t="str">
        <f t="shared" si="4"/>
        <v/>
      </c>
      <c r="B295" s="25"/>
      <c r="C295" s="25"/>
      <c r="D295" s="43"/>
      <c r="E295" s="44"/>
      <c r="F295" s="45"/>
      <c r="G295" s="40"/>
      <c r="H295" s="55" t="s">
        <v>255</v>
      </c>
      <c r="N295" s="66"/>
      <c r="O295" s="25"/>
      <c r="P295" s="72" t="str">
        <f>IFERROR(IF(ISBLANK(O295),"",INDEX(Gen_Vessels!$A$3:$C$500,MATCH(O295,Gen_Vessels!$C$3:$C$500,0),1)),"")</f>
        <v/>
      </c>
      <c r="Q295" s="25"/>
      <c r="R295" s="25"/>
      <c r="S295" s="25" t="str">
        <f>IFERROR(IF(ISBLANK(R295),"",INDEX(Gen_Vessels!$A$3:$C$500,MATCH(CorrectiveMinor!$R295,Gen_Vessels!$C$3:$C$500,0),1)),"")</f>
        <v/>
      </c>
      <c r="T295" s="25"/>
      <c r="U295" s="25"/>
      <c r="V295" s="25"/>
      <c r="W295" s="25"/>
      <c r="X295" s="25"/>
      <c r="Y295" s="25"/>
      <c r="AA295" s="25"/>
      <c r="AB295" s="25"/>
      <c r="AC295" s="25"/>
      <c r="AD295" s="25"/>
      <c r="AE295" s="25"/>
      <c r="AF295" s="25"/>
      <c r="AG295" s="25"/>
    </row>
    <row r="296" spans="1:33" x14ac:dyDescent="0.25">
      <c r="A296" s="18" t="str">
        <f t="shared" si="4"/>
        <v/>
      </c>
      <c r="B296" s="25"/>
      <c r="C296" s="25"/>
      <c r="D296" s="43"/>
      <c r="E296" s="44"/>
      <c r="F296" s="45"/>
      <c r="G296" s="40"/>
      <c r="H296" s="55" t="s">
        <v>255</v>
      </c>
      <c r="N296" s="66"/>
      <c r="O296" s="25"/>
      <c r="P296" s="72" t="str">
        <f>IFERROR(IF(ISBLANK(O296),"",INDEX(Gen_Vessels!$A$3:$C$500,MATCH(O296,Gen_Vessels!$C$3:$C$500,0),1)),"")</f>
        <v/>
      </c>
      <c r="Q296" s="25"/>
      <c r="R296" s="25"/>
      <c r="S296" s="25" t="str">
        <f>IFERROR(IF(ISBLANK(R296),"",INDEX(Gen_Vessels!$A$3:$C$500,MATCH(CorrectiveMinor!$R296,Gen_Vessels!$C$3:$C$500,0),1)),"")</f>
        <v/>
      </c>
      <c r="T296" s="25"/>
      <c r="U296" s="25"/>
      <c r="V296" s="25"/>
      <c r="W296" s="25"/>
      <c r="X296" s="25"/>
      <c r="Y296" s="25"/>
      <c r="AA296" s="25"/>
      <c r="AB296" s="25"/>
      <c r="AC296" s="25"/>
      <c r="AD296" s="25"/>
      <c r="AE296" s="25"/>
      <c r="AF296" s="25"/>
      <c r="AG296" s="25"/>
    </row>
    <row r="297" spans="1:33" x14ac:dyDescent="0.25">
      <c r="A297" s="18" t="str">
        <f t="shared" si="4"/>
        <v/>
      </c>
      <c r="B297" s="25"/>
      <c r="C297" s="25"/>
      <c r="D297" s="43"/>
      <c r="E297" s="44"/>
      <c r="F297" s="45"/>
      <c r="G297" s="40"/>
      <c r="H297" s="55" t="s">
        <v>255</v>
      </c>
      <c r="N297" s="66"/>
      <c r="O297" s="25"/>
      <c r="P297" s="72" t="str">
        <f>IFERROR(IF(ISBLANK(O297),"",INDEX(Gen_Vessels!$A$3:$C$500,MATCH(O297,Gen_Vessels!$C$3:$C$500,0),1)),"")</f>
        <v/>
      </c>
      <c r="Q297" s="25"/>
      <c r="R297" s="25"/>
      <c r="S297" s="25" t="str">
        <f>IFERROR(IF(ISBLANK(R297),"",INDEX(Gen_Vessels!$A$3:$C$500,MATCH(CorrectiveMinor!$R297,Gen_Vessels!$C$3:$C$500,0),1)),"")</f>
        <v/>
      </c>
      <c r="T297" s="25"/>
      <c r="U297" s="25"/>
      <c r="V297" s="25"/>
      <c r="W297" s="25"/>
      <c r="X297" s="25"/>
      <c r="Y297" s="25"/>
      <c r="AA297" s="25"/>
      <c r="AB297" s="25"/>
      <c r="AC297" s="25"/>
      <c r="AD297" s="25"/>
      <c r="AE297" s="25"/>
      <c r="AF297" s="25"/>
      <c r="AG297" s="25"/>
    </row>
    <row r="298" spans="1:33" x14ac:dyDescent="0.25">
      <c r="A298" s="18" t="str">
        <f t="shared" si="4"/>
        <v/>
      </c>
      <c r="B298" s="25"/>
      <c r="C298" s="25"/>
      <c r="D298" s="43"/>
      <c r="E298" s="44"/>
      <c r="F298" s="45"/>
      <c r="G298" s="40"/>
      <c r="H298" s="55" t="s">
        <v>255</v>
      </c>
      <c r="N298" s="66"/>
      <c r="O298" s="25"/>
      <c r="P298" s="72" t="str">
        <f>IFERROR(IF(ISBLANK(O298),"",INDEX(Gen_Vessels!$A$3:$C$500,MATCH(O298,Gen_Vessels!$C$3:$C$500,0),1)),"")</f>
        <v/>
      </c>
      <c r="Q298" s="25"/>
      <c r="R298" s="25"/>
      <c r="S298" s="25" t="str">
        <f>IFERROR(IF(ISBLANK(R298),"",INDEX(Gen_Vessels!$A$3:$C$500,MATCH(CorrectiveMinor!$R298,Gen_Vessels!$C$3:$C$500,0),1)),"")</f>
        <v/>
      </c>
      <c r="T298" s="25"/>
      <c r="U298" s="25"/>
      <c r="V298" s="25"/>
      <c r="W298" s="25"/>
      <c r="X298" s="25"/>
      <c r="Y298" s="25"/>
      <c r="AA298" s="25"/>
      <c r="AB298" s="25"/>
      <c r="AC298" s="25"/>
      <c r="AD298" s="25"/>
      <c r="AE298" s="25"/>
      <c r="AF298" s="25"/>
      <c r="AG298" s="25"/>
    </row>
    <row r="299" spans="1:33" x14ac:dyDescent="0.25">
      <c r="A299" s="18" t="str">
        <f t="shared" si="4"/>
        <v/>
      </c>
      <c r="B299" s="25"/>
      <c r="C299" s="25"/>
      <c r="D299" s="43"/>
      <c r="E299" s="44"/>
      <c r="F299" s="45"/>
      <c r="G299" s="40"/>
      <c r="H299" s="55" t="s">
        <v>255</v>
      </c>
      <c r="N299" s="66"/>
      <c r="O299" s="25"/>
      <c r="P299" s="72" t="str">
        <f>IFERROR(IF(ISBLANK(O299),"",INDEX(Gen_Vessels!$A$3:$C$500,MATCH(O299,Gen_Vessels!$C$3:$C$500,0),1)),"")</f>
        <v/>
      </c>
      <c r="Q299" s="25"/>
      <c r="R299" s="25"/>
      <c r="S299" s="25" t="str">
        <f>IFERROR(IF(ISBLANK(R299),"",INDEX(Gen_Vessels!$A$3:$C$500,MATCH(CorrectiveMinor!$R299,Gen_Vessels!$C$3:$C$500,0),1)),"")</f>
        <v/>
      </c>
      <c r="T299" s="25"/>
      <c r="U299" s="25"/>
      <c r="V299" s="25"/>
      <c r="W299" s="25"/>
      <c r="X299" s="25"/>
      <c r="Y299" s="25"/>
      <c r="AA299" s="25"/>
      <c r="AB299" s="25"/>
      <c r="AC299" s="25"/>
      <c r="AD299" s="25"/>
      <c r="AE299" s="25"/>
      <c r="AF299" s="25"/>
      <c r="AG299" s="25"/>
    </row>
    <row r="300" spans="1:33" x14ac:dyDescent="0.25">
      <c r="A300" s="18" t="str">
        <f t="shared" si="4"/>
        <v/>
      </c>
      <c r="B300" s="25"/>
      <c r="C300" s="25"/>
      <c r="D300" s="43"/>
      <c r="E300" s="44"/>
      <c r="F300" s="45"/>
      <c r="G300" s="40"/>
      <c r="H300" s="55" t="s">
        <v>255</v>
      </c>
      <c r="N300" s="66"/>
      <c r="O300" s="25"/>
      <c r="P300" s="72" t="str">
        <f>IFERROR(IF(ISBLANK(O300),"",INDEX(Gen_Vessels!$A$3:$C$500,MATCH(O300,Gen_Vessels!$C$3:$C$500,0),1)),"")</f>
        <v/>
      </c>
      <c r="Q300" s="25"/>
      <c r="R300" s="25"/>
      <c r="S300" s="25" t="str">
        <f>IFERROR(IF(ISBLANK(R300),"",INDEX(Gen_Vessels!$A$3:$C$500,MATCH(CorrectiveMinor!$R300,Gen_Vessels!$C$3:$C$500,0),1)),"")</f>
        <v/>
      </c>
      <c r="T300" s="25"/>
      <c r="U300" s="25"/>
      <c r="V300" s="25"/>
      <c r="W300" s="25"/>
      <c r="X300" s="25"/>
      <c r="Y300" s="25"/>
      <c r="AA300" s="25"/>
      <c r="AB300" s="25"/>
      <c r="AC300" s="25"/>
      <c r="AD300" s="25"/>
      <c r="AE300" s="25"/>
      <c r="AF300" s="25"/>
      <c r="AG300" s="25"/>
    </row>
    <row r="301" spans="1:33" x14ac:dyDescent="0.25">
      <c r="A301" s="18" t="str">
        <f t="shared" si="4"/>
        <v/>
      </c>
      <c r="B301" s="25"/>
      <c r="C301" s="25"/>
      <c r="D301" s="43"/>
      <c r="E301" s="44"/>
      <c r="F301" s="45"/>
      <c r="G301" s="40"/>
      <c r="H301" s="55" t="s">
        <v>255</v>
      </c>
      <c r="N301" s="66"/>
      <c r="O301" s="25"/>
      <c r="P301" s="72" t="str">
        <f>IFERROR(IF(ISBLANK(O301),"",INDEX(Gen_Vessels!$A$3:$C$500,MATCH(O301,Gen_Vessels!$C$3:$C$500,0),1)),"")</f>
        <v/>
      </c>
      <c r="Q301" s="25"/>
      <c r="R301" s="25"/>
      <c r="S301" s="25" t="str">
        <f>IFERROR(IF(ISBLANK(R301),"",INDEX(Gen_Vessels!$A$3:$C$500,MATCH(CorrectiveMinor!$R301,Gen_Vessels!$C$3:$C$500,0),1)),"")</f>
        <v/>
      </c>
      <c r="T301" s="25"/>
      <c r="U301" s="25"/>
      <c r="V301" s="25"/>
      <c r="W301" s="25"/>
      <c r="X301" s="25"/>
      <c r="Y301" s="25"/>
      <c r="AA301" s="25"/>
      <c r="AB301" s="25"/>
      <c r="AC301" s="25"/>
      <c r="AD301" s="25"/>
      <c r="AE301" s="25"/>
      <c r="AF301" s="25"/>
      <c r="AG301" s="25"/>
    </row>
    <row r="302" spans="1:33" x14ac:dyDescent="0.25">
      <c r="A302" s="18" t="str">
        <f t="shared" si="4"/>
        <v/>
      </c>
      <c r="B302" s="25"/>
      <c r="C302" s="25"/>
      <c r="D302" s="43"/>
      <c r="E302" s="44"/>
      <c r="F302" s="45"/>
      <c r="G302" s="40"/>
      <c r="H302" s="55" t="s">
        <v>255</v>
      </c>
      <c r="N302" s="66"/>
      <c r="O302" s="25"/>
      <c r="P302" s="72" t="str">
        <f>IFERROR(IF(ISBLANK(O302),"",INDEX(Gen_Vessels!$A$3:$C$500,MATCH(O302,Gen_Vessels!$C$3:$C$500,0),1)),"")</f>
        <v/>
      </c>
      <c r="Q302" s="25"/>
      <c r="R302" s="25"/>
      <c r="S302" s="25" t="str">
        <f>IFERROR(IF(ISBLANK(R302),"",INDEX(Gen_Vessels!$A$3:$C$500,MATCH(CorrectiveMinor!$R302,Gen_Vessels!$C$3:$C$500,0),1)),"")</f>
        <v/>
      </c>
      <c r="T302" s="25"/>
      <c r="U302" s="25"/>
      <c r="V302" s="25"/>
      <c r="W302" s="25"/>
      <c r="X302" s="25"/>
      <c r="Y302" s="25"/>
      <c r="AA302" s="25"/>
      <c r="AB302" s="25"/>
      <c r="AC302" s="25"/>
      <c r="AD302" s="25"/>
      <c r="AE302" s="25"/>
      <c r="AF302" s="25"/>
      <c r="AG302" s="25"/>
    </row>
    <row r="303" spans="1:33" x14ac:dyDescent="0.25">
      <c r="A303" s="18" t="str">
        <f t="shared" si="4"/>
        <v/>
      </c>
      <c r="B303" s="25"/>
      <c r="C303" s="25"/>
      <c r="D303" s="43"/>
      <c r="E303" s="44"/>
      <c r="F303" s="45"/>
      <c r="G303" s="40"/>
      <c r="H303" s="55" t="s">
        <v>255</v>
      </c>
      <c r="N303" s="66"/>
      <c r="O303" s="25"/>
      <c r="P303" s="72" t="str">
        <f>IFERROR(IF(ISBLANK(O303),"",INDEX(Gen_Vessels!$A$3:$C$500,MATCH(O303,Gen_Vessels!$C$3:$C$500,0),1)),"")</f>
        <v/>
      </c>
      <c r="Q303" s="25"/>
      <c r="R303" s="25"/>
      <c r="S303" s="25" t="str">
        <f>IFERROR(IF(ISBLANK(R303),"",INDEX(Gen_Vessels!$A$3:$C$500,MATCH(CorrectiveMinor!$R303,Gen_Vessels!$C$3:$C$500,0),1)),"")</f>
        <v/>
      </c>
      <c r="T303" s="25"/>
      <c r="U303" s="25"/>
      <c r="V303" s="25"/>
      <c r="W303" s="25"/>
      <c r="X303" s="25"/>
      <c r="Y303" s="25"/>
      <c r="AA303" s="25"/>
      <c r="AB303" s="25"/>
      <c r="AC303" s="25"/>
      <c r="AD303" s="25"/>
      <c r="AE303" s="25"/>
      <c r="AF303" s="25"/>
      <c r="AG303" s="25"/>
    </row>
    <row r="304" spans="1:33" x14ac:dyDescent="0.25">
      <c r="A304" s="18" t="str">
        <f t="shared" si="4"/>
        <v/>
      </c>
      <c r="B304" s="25"/>
      <c r="C304" s="25"/>
      <c r="D304" s="43"/>
      <c r="E304" s="44"/>
      <c r="F304" s="45"/>
      <c r="G304" s="40"/>
      <c r="H304" s="55" t="s">
        <v>255</v>
      </c>
      <c r="N304" s="66"/>
      <c r="O304" s="25"/>
      <c r="P304" s="72" t="str">
        <f>IFERROR(IF(ISBLANK(O304),"",INDEX(Gen_Vessels!$A$3:$C$500,MATCH(O304,Gen_Vessels!$C$3:$C$500,0),1)),"")</f>
        <v/>
      </c>
      <c r="Q304" s="25"/>
      <c r="R304" s="25"/>
      <c r="S304" s="25" t="str">
        <f>IFERROR(IF(ISBLANK(R304),"",INDEX(Gen_Vessels!$A$3:$C$500,MATCH(CorrectiveMinor!$R304,Gen_Vessels!$C$3:$C$500,0),1)),"")</f>
        <v/>
      </c>
      <c r="T304" s="25"/>
      <c r="U304" s="25"/>
      <c r="V304" s="25"/>
      <c r="W304" s="25"/>
      <c r="X304" s="25"/>
      <c r="Y304" s="25"/>
      <c r="AA304" s="25"/>
      <c r="AB304" s="25"/>
      <c r="AC304" s="25"/>
      <c r="AD304" s="25"/>
      <c r="AE304" s="25"/>
      <c r="AF304" s="25"/>
      <c r="AG304" s="25"/>
    </row>
    <row r="305" spans="1:33" x14ac:dyDescent="0.25">
      <c r="A305" s="18" t="str">
        <f t="shared" si="4"/>
        <v/>
      </c>
      <c r="B305" s="25"/>
      <c r="C305" s="25"/>
      <c r="D305" s="43"/>
      <c r="E305" s="44"/>
      <c r="F305" s="45"/>
      <c r="G305" s="40"/>
      <c r="H305" s="55" t="s">
        <v>255</v>
      </c>
      <c r="N305" s="66"/>
      <c r="O305" s="25"/>
      <c r="P305" s="72" t="str">
        <f>IFERROR(IF(ISBLANK(O305),"",INDEX(Gen_Vessels!$A$3:$C$500,MATCH(O305,Gen_Vessels!$C$3:$C$500,0),1)),"")</f>
        <v/>
      </c>
      <c r="Q305" s="25"/>
      <c r="R305" s="25"/>
      <c r="S305" s="25" t="str">
        <f>IFERROR(IF(ISBLANK(R305),"",INDEX(Gen_Vessels!$A$3:$C$500,MATCH(CorrectiveMinor!$R305,Gen_Vessels!$C$3:$C$500,0),1)),"")</f>
        <v/>
      </c>
      <c r="T305" s="25"/>
      <c r="U305" s="25"/>
      <c r="V305" s="25"/>
      <c r="W305" s="25"/>
      <c r="X305" s="25"/>
      <c r="Y305" s="25"/>
      <c r="AA305" s="25"/>
      <c r="AB305" s="25"/>
      <c r="AC305" s="25"/>
      <c r="AD305" s="25"/>
      <c r="AE305" s="25"/>
      <c r="AF305" s="25"/>
      <c r="AG305" s="25"/>
    </row>
    <row r="306" spans="1:33" x14ac:dyDescent="0.25">
      <c r="A306" s="18" t="str">
        <f t="shared" si="4"/>
        <v/>
      </c>
      <c r="B306" s="25"/>
      <c r="C306" s="25"/>
      <c r="D306" s="43"/>
      <c r="E306" s="44"/>
      <c r="F306" s="45"/>
      <c r="G306" s="40"/>
      <c r="H306" s="55" t="s">
        <v>255</v>
      </c>
      <c r="N306" s="66"/>
      <c r="O306" s="25"/>
      <c r="P306" s="72" t="str">
        <f>IFERROR(IF(ISBLANK(O306),"",INDEX(Gen_Vessels!$A$3:$C$500,MATCH(O306,Gen_Vessels!$C$3:$C$500,0),1)),"")</f>
        <v/>
      </c>
      <c r="Q306" s="25"/>
      <c r="R306" s="25"/>
      <c r="S306" s="25" t="str">
        <f>IFERROR(IF(ISBLANK(R306),"",INDEX(Gen_Vessels!$A$3:$C$500,MATCH(CorrectiveMinor!$R306,Gen_Vessels!$C$3:$C$500,0),1)),"")</f>
        <v/>
      </c>
      <c r="T306" s="25"/>
      <c r="U306" s="25"/>
      <c r="V306" s="25"/>
      <c r="W306" s="25"/>
      <c r="X306" s="25"/>
      <c r="Y306" s="25"/>
      <c r="AA306" s="25"/>
      <c r="AB306" s="25"/>
      <c r="AC306" s="25"/>
      <c r="AD306" s="25"/>
      <c r="AE306" s="25"/>
      <c r="AF306" s="25"/>
      <c r="AG306" s="25"/>
    </row>
    <row r="307" spans="1:33" x14ac:dyDescent="0.25">
      <c r="A307" s="18" t="str">
        <f t="shared" si="4"/>
        <v/>
      </c>
      <c r="B307" s="25"/>
      <c r="C307" s="25"/>
      <c r="D307" s="43"/>
      <c r="E307" s="44"/>
      <c r="F307" s="45"/>
      <c r="G307" s="40"/>
      <c r="H307" s="55" t="s">
        <v>255</v>
      </c>
      <c r="N307" s="66"/>
      <c r="O307" s="25"/>
      <c r="P307" s="72" t="str">
        <f>IFERROR(IF(ISBLANK(O307),"",INDEX(Gen_Vessels!$A$3:$C$500,MATCH(O307,Gen_Vessels!$C$3:$C$500,0),1)),"")</f>
        <v/>
      </c>
      <c r="Q307" s="25"/>
      <c r="R307" s="25"/>
      <c r="S307" s="25" t="str">
        <f>IFERROR(IF(ISBLANK(R307),"",INDEX(Gen_Vessels!$A$3:$C$500,MATCH(CorrectiveMinor!$R307,Gen_Vessels!$C$3:$C$500,0),1)),"")</f>
        <v/>
      </c>
      <c r="T307" s="25"/>
      <c r="U307" s="25"/>
      <c r="V307" s="25"/>
      <c r="W307" s="25"/>
      <c r="X307" s="25"/>
      <c r="Y307" s="25"/>
      <c r="AA307" s="25"/>
      <c r="AB307" s="25"/>
      <c r="AC307" s="25"/>
      <c r="AD307" s="25"/>
      <c r="AE307" s="25"/>
      <c r="AF307" s="25"/>
      <c r="AG307" s="25"/>
    </row>
    <row r="308" spans="1:33" x14ac:dyDescent="0.25">
      <c r="A308" s="18" t="str">
        <f t="shared" si="4"/>
        <v/>
      </c>
      <c r="B308" s="25"/>
      <c r="C308" s="25"/>
      <c r="D308" s="43"/>
      <c r="E308" s="44"/>
      <c r="F308" s="45"/>
      <c r="G308" s="40"/>
      <c r="H308" s="55" t="s">
        <v>255</v>
      </c>
      <c r="N308" s="66"/>
      <c r="O308" s="25"/>
      <c r="P308" s="72" t="str">
        <f>IFERROR(IF(ISBLANK(O308),"",INDEX(Gen_Vessels!$A$3:$C$500,MATCH(O308,Gen_Vessels!$C$3:$C$500,0),1)),"")</f>
        <v/>
      </c>
      <c r="Q308" s="25"/>
      <c r="R308" s="25"/>
      <c r="S308" s="25" t="str">
        <f>IFERROR(IF(ISBLANK(R308),"",INDEX(Gen_Vessels!$A$3:$C$500,MATCH(CorrectiveMinor!$R308,Gen_Vessels!$C$3:$C$500,0),1)),"")</f>
        <v/>
      </c>
      <c r="T308" s="25"/>
      <c r="U308" s="25"/>
      <c r="V308" s="25"/>
      <c r="W308" s="25"/>
      <c r="X308" s="25"/>
      <c r="Y308" s="25"/>
      <c r="AA308" s="25"/>
      <c r="AB308" s="25"/>
      <c r="AC308" s="25"/>
      <c r="AD308" s="25"/>
      <c r="AE308" s="25"/>
      <c r="AF308" s="25"/>
      <c r="AG308" s="25"/>
    </row>
    <row r="309" spans="1:33" x14ac:dyDescent="0.25">
      <c r="A309" s="18" t="str">
        <f t="shared" si="4"/>
        <v/>
      </c>
      <c r="B309" s="25"/>
      <c r="C309" s="25"/>
      <c r="D309" s="43"/>
      <c r="E309" s="44"/>
      <c r="F309" s="45"/>
      <c r="G309" s="40"/>
      <c r="H309" s="55" t="s">
        <v>255</v>
      </c>
      <c r="N309" s="66"/>
      <c r="O309" s="25"/>
      <c r="P309" s="72" t="str">
        <f>IFERROR(IF(ISBLANK(O309),"",INDEX(Gen_Vessels!$A$3:$C$500,MATCH(O309,Gen_Vessels!$C$3:$C$500,0),1)),"")</f>
        <v/>
      </c>
      <c r="Q309" s="25"/>
      <c r="R309" s="25"/>
      <c r="S309" s="25" t="str">
        <f>IFERROR(IF(ISBLANK(R309),"",INDEX(Gen_Vessels!$A$3:$C$500,MATCH(CorrectiveMinor!$R309,Gen_Vessels!$C$3:$C$500,0),1)),"")</f>
        <v/>
      </c>
      <c r="T309" s="25"/>
      <c r="U309" s="25"/>
      <c r="V309" s="25"/>
      <c r="W309" s="25"/>
      <c r="X309" s="25"/>
      <c r="Y309" s="25"/>
      <c r="AA309" s="25"/>
      <c r="AB309" s="25"/>
      <c r="AC309" s="25"/>
      <c r="AD309" s="25"/>
      <c r="AE309" s="25"/>
      <c r="AF309" s="25"/>
      <c r="AG309" s="25"/>
    </row>
    <row r="310" spans="1:33" x14ac:dyDescent="0.25">
      <c r="A310" s="18" t="str">
        <f t="shared" si="4"/>
        <v/>
      </c>
      <c r="B310" s="25"/>
      <c r="C310" s="25"/>
      <c r="D310" s="43"/>
      <c r="E310" s="44"/>
      <c r="F310" s="45"/>
      <c r="G310" s="40"/>
      <c r="H310" s="55" t="s">
        <v>255</v>
      </c>
      <c r="N310" s="66"/>
      <c r="O310" s="25"/>
      <c r="P310" s="72" t="str">
        <f>IFERROR(IF(ISBLANK(O310),"",INDEX(Gen_Vessels!$A$3:$C$500,MATCH(O310,Gen_Vessels!$C$3:$C$500,0),1)),"")</f>
        <v/>
      </c>
      <c r="Q310" s="25"/>
      <c r="R310" s="25"/>
      <c r="S310" s="25" t="str">
        <f>IFERROR(IF(ISBLANK(R310),"",INDEX(Gen_Vessels!$A$3:$C$500,MATCH(CorrectiveMinor!$R310,Gen_Vessels!$C$3:$C$500,0),1)),"")</f>
        <v/>
      </c>
      <c r="T310" s="25"/>
      <c r="U310" s="25"/>
      <c r="V310" s="25"/>
      <c r="W310" s="25"/>
      <c r="X310" s="25"/>
      <c r="Y310" s="25"/>
      <c r="AA310" s="25"/>
      <c r="AB310" s="25"/>
      <c r="AC310" s="25"/>
      <c r="AD310" s="25"/>
      <c r="AE310" s="25"/>
      <c r="AF310" s="25"/>
      <c r="AG310" s="25"/>
    </row>
    <row r="311" spans="1:33" x14ac:dyDescent="0.25">
      <c r="A311" s="18" t="str">
        <f t="shared" si="4"/>
        <v/>
      </c>
      <c r="B311" s="25"/>
      <c r="C311" s="25"/>
      <c r="D311" s="43"/>
      <c r="E311" s="44"/>
      <c r="F311" s="45"/>
      <c r="G311" s="40"/>
      <c r="H311" s="55" t="s">
        <v>255</v>
      </c>
      <c r="N311" s="66"/>
      <c r="O311" s="25"/>
      <c r="P311" s="72" t="str">
        <f>IFERROR(IF(ISBLANK(O311),"",INDEX(Gen_Vessels!$A$3:$C$500,MATCH(O311,Gen_Vessels!$C$3:$C$500,0),1)),"")</f>
        <v/>
      </c>
      <c r="Q311" s="25"/>
      <c r="R311" s="25"/>
      <c r="S311" s="25" t="str">
        <f>IFERROR(IF(ISBLANK(R311),"",INDEX(Gen_Vessels!$A$3:$C$500,MATCH(CorrectiveMinor!$R311,Gen_Vessels!$C$3:$C$500,0),1)),"")</f>
        <v/>
      </c>
      <c r="T311" s="25"/>
      <c r="U311" s="25"/>
      <c r="V311" s="25"/>
      <c r="W311" s="25"/>
      <c r="X311" s="25"/>
      <c r="Y311" s="25"/>
      <c r="AA311" s="25"/>
      <c r="AB311" s="25"/>
      <c r="AC311" s="25"/>
      <c r="AD311" s="25"/>
      <c r="AE311" s="25"/>
      <c r="AF311" s="25"/>
      <c r="AG311" s="25"/>
    </row>
    <row r="312" spans="1:33" x14ac:dyDescent="0.25">
      <c r="A312" s="18" t="str">
        <f t="shared" si="4"/>
        <v/>
      </c>
      <c r="B312" s="25"/>
      <c r="C312" s="25"/>
      <c r="D312" s="43"/>
      <c r="E312" s="44"/>
      <c r="F312" s="45"/>
      <c r="G312" s="40"/>
      <c r="H312" s="55" t="s">
        <v>255</v>
      </c>
      <c r="N312" s="66"/>
      <c r="O312" s="25"/>
      <c r="P312" s="72" t="str">
        <f>IFERROR(IF(ISBLANK(O312),"",INDEX(Gen_Vessels!$A$3:$C$500,MATCH(O312,Gen_Vessels!$C$3:$C$500,0),1)),"")</f>
        <v/>
      </c>
      <c r="Q312" s="25"/>
      <c r="R312" s="25"/>
      <c r="S312" s="25" t="str">
        <f>IFERROR(IF(ISBLANK(R312),"",INDEX(Gen_Vessels!$A$3:$C$500,MATCH(CorrectiveMinor!$R312,Gen_Vessels!$C$3:$C$500,0),1)),"")</f>
        <v/>
      </c>
      <c r="T312" s="25"/>
      <c r="U312" s="25"/>
      <c r="V312" s="25"/>
      <c r="W312" s="25"/>
      <c r="X312" s="25"/>
      <c r="Y312" s="25"/>
      <c r="AA312" s="25"/>
      <c r="AB312" s="25"/>
      <c r="AC312" s="25"/>
      <c r="AD312" s="25"/>
      <c r="AE312" s="25"/>
      <c r="AF312" s="25"/>
      <c r="AG312" s="25"/>
    </row>
    <row r="313" spans="1:33" x14ac:dyDescent="0.25">
      <c r="A313" s="18" t="str">
        <f t="shared" si="4"/>
        <v/>
      </c>
      <c r="B313" s="25"/>
      <c r="C313" s="25"/>
      <c r="D313" s="43"/>
      <c r="E313" s="44"/>
      <c r="F313" s="45"/>
      <c r="G313" s="40"/>
      <c r="H313" s="55" t="s">
        <v>255</v>
      </c>
      <c r="N313" s="66"/>
      <c r="O313" s="25"/>
      <c r="P313" s="72" t="str">
        <f>IFERROR(IF(ISBLANK(O313),"",INDEX(Gen_Vessels!$A$3:$C$500,MATCH(O313,Gen_Vessels!$C$3:$C$500,0),1)),"")</f>
        <v/>
      </c>
      <c r="Q313" s="25"/>
      <c r="R313" s="25"/>
      <c r="S313" s="25" t="str">
        <f>IFERROR(IF(ISBLANK(R313),"",INDEX(Gen_Vessels!$A$3:$C$500,MATCH(CorrectiveMinor!$R313,Gen_Vessels!$C$3:$C$500,0),1)),"")</f>
        <v/>
      </c>
      <c r="T313" s="25"/>
      <c r="U313" s="25"/>
      <c r="V313" s="25"/>
      <c r="W313" s="25"/>
      <c r="X313" s="25"/>
      <c r="Y313" s="25"/>
      <c r="AA313" s="25"/>
      <c r="AB313" s="25"/>
      <c r="AC313" s="25"/>
      <c r="AD313" s="25"/>
      <c r="AE313" s="25"/>
      <c r="AF313" s="25"/>
      <c r="AG313" s="25"/>
    </row>
    <row r="314" spans="1:33" x14ac:dyDescent="0.25">
      <c r="A314" s="18" t="str">
        <f t="shared" si="4"/>
        <v/>
      </c>
      <c r="B314" s="25"/>
      <c r="C314" s="25"/>
      <c r="D314" s="43"/>
      <c r="E314" s="44"/>
      <c r="F314" s="45"/>
      <c r="G314" s="40"/>
      <c r="H314" s="55" t="s">
        <v>255</v>
      </c>
      <c r="N314" s="66"/>
      <c r="O314" s="25"/>
      <c r="P314" s="72" t="str">
        <f>IFERROR(IF(ISBLANK(O314),"",INDEX(Gen_Vessels!$A$3:$C$500,MATCH(O314,Gen_Vessels!$C$3:$C$500,0),1)),"")</f>
        <v/>
      </c>
      <c r="Q314" s="25"/>
      <c r="R314" s="25"/>
      <c r="S314" s="25" t="str">
        <f>IFERROR(IF(ISBLANK(R314),"",INDEX(Gen_Vessels!$A$3:$C$500,MATCH(CorrectiveMinor!$R314,Gen_Vessels!$C$3:$C$500,0),1)),"")</f>
        <v/>
      </c>
      <c r="T314" s="25"/>
      <c r="U314" s="25"/>
      <c r="V314" s="25"/>
      <c r="W314" s="25"/>
      <c r="X314" s="25"/>
      <c r="Y314" s="25"/>
      <c r="AA314" s="25"/>
      <c r="AB314" s="25"/>
      <c r="AC314" s="25"/>
      <c r="AD314" s="25"/>
      <c r="AE314" s="25"/>
      <c r="AF314" s="25"/>
      <c r="AG314" s="25"/>
    </row>
    <row r="315" spans="1:33" x14ac:dyDescent="0.25">
      <c r="A315" s="18" t="str">
        <f t="shared" ref="A315:A378" si="5">IF(ISBLANK($B315)=FALSE,IF(AND($D315&gt;0,$E315&lt;=0,$F315&lt;=0),_xlfn.CONCAT("ofw_",$B315),IF(AND($D315&lt;=0,$E315&gt;0,$F315&lt;=0),_xlfn.CONCAT("owc_",$B315),IF(AND($D315&lt;=0,$E315&lt;=0,$F315&gt;0),_xlfn.CONCAT("opv_",$B315),_xlfn.CONCAT("oce_",$B315)))),"")</f>
        <v/>
      </c>
      <c r="B315" s="25"/>
      <c r="C315" s="25"/>
      <c r="D315" s="43"/>
      <c r="E315" s="44"/>
      <c r="F315" s="45"/>
      <c r="G315" s="40"/>
      <c r="H315" s="55" t="s">
        <v>255</v>
      </c>
      <c r="N315" s="66"/>
      <c r="O315" s="25"/>
      <c r="P315" s="72" t="str">
        <f>IFERROR(IF(ISBLANK(O315),"",INDEX(Gen_Vessels!$A$3:$C$500,MATCH(O315,Gen_Vessels!$C$3:$C$500,0),1)),"")</f>
        <v/>
      </c>
      <c r="Q315" s="25"/>
      <c r="R315" s="25"/>
      <c r="S315" s="25" t="str">
        <f>IFERROR(IF(ISBLANK(R315),"",INDEX(Gen_Vessels!$A$3:$C$500,MATCH(CorrectiveMinor!$R315,Gen_Vessels!$C$3:$C$500,0),1)),"")</f>
        <v/>
      </c>
      <c r="T315" s="25"/>
      <c r="U315" s="25"/>
      <c r="V315" s="25"/>
      <c r="W315" s="25"/>
      <c r="X315" s="25"/>
      <c r="Y315" s="25"/>
      <c r="AA315" s="25"/>
      <c r="AB315" s="25"/>
      <c r="AC315" s="25"/>
      <c r="AD315" s="25"/>
      <c r="AE315" s="25"/>
      <c r="AF315" s="25"/>
      <c r="AG315" s="25"/>
    </row>
    <row r="316" spans="1:33" x14ac:dyDescent="0.25">
      <c r="A316" s="18" t="str">
        <f t="shared" si="5"/>
        <v/>
      </c>
      <c r="B316" s="25"/>
      <c r="C316" s="25"/>
      <c r="D316" s="43"/>
      <c r="E316" s="44"/>
      <c r="F316" s="45"/>
      <c r="G316" s="40"/>
      <c r="H316" s="55" t="s">
        <v>255</v>
      </c>
      <c r="N316" s="66"/>
      <c r="O316" s="25"/>
      <c r="P316" s="72" t="str">
        <f>IFERROR(IF(ISBLANK(O316),"",INDEX(Gen_Vessels!$A$3:$C$500,MATCH(O316,Gen_Vessels!$C$3:$C$500,0),1)),"")</f>
        <v/>
      </c>
      <c r="Q316" s="25"/>
      <c r="R316" s="25"/>
      <c r="S316" s="25" t="str">
        <f>IFERROR(IF(ISBLANK(R316),"",INDEX(Gen_Vessels!$A$3:$C$500,MATCH(CorrectiveMinor!$R316,Gen_Vessels!$C$3:$C$500,0),1)),"")</f>
        <v/>
      </c>
      <c r="T316" s="25"/>
      <c r="U316" s="25"/>
      <c r="V316" s="25"/>
      <c r="W316" s="25"/>
      <c r="X316" s="25"/>
      <c r="Y316" s="25"/>
      <c r="AA316" s="25"/>
      <c r="AB316" s="25"/>
      <c r="AC316" s="25"/>
      <c r="AD316" s="25"/>
      <c r="AE316" s="25"/>
      <c r="AF316" s="25"/>
      <c r="AG316" s="25"/>
    </row>
    <row r="317" spans="1:33" x14ac:dyDescent="0.25">
      <c r="A317" s="18" t="str">
        <f t="shared" si="5"/>
        <v/>
      </c>
      <c r="B317" s="25"/>
      <c r="C317" s="25"/>
      <c r="D317" s="43"/>
      <c r="E317" s="44"/>
      <c r="F317" s="45"/>
      <c r="G317" s="40"/>
      <c r="H317" s="55" t="s">
        <v>255</v>
      </c>
      <c r="N317" s="66"/>
      <c r="O317" s="25"/>
      <c r="P317" s="72" t="str">
        <f>IFERROR(IF(ISBLANK(O317),"",INDEX(Gen_Vessels!$A$3:$C$500,MATCH(O317,Gen_Vessels!$C$3:$C$500,0),1)),"")</f>
        <v/>
      </c>
      <c r="Q317" s="25"/>
      <c r="R317" s="25"/>
      <c r="S317" s="25" t="str">
        <f>IFERROR(IF(ISBLANK(R317),"",INDEX(Gen_Vessels!$A$3:$C$500,MATCH(CorrectiveMinor!$R317,Gen_Vessels!$C$3:$C$500,0),1)),"")</f>
        <v/>
      </c>
      <c r="T317" s="25"/>
      <c r="U317" s="25"/>
      <c r="V317" s="25"/>
      <c r="W317" s="25"/>
      <c r="X317" s="25"/>
      <c r="Y317" s="25"/>
      <c r="AA317" s="25"/>
      <c r="AB317" s="25"/>
      <c r="AC317" s="25"/>
      <c r="AD317" s="25"/>
      <c r="AE317" s="25"/>
      <c r="AF317" s="25"/>
      <c r="AG317" s="25"/>
    </row>
    <row r="318" spans="1:33" x14ac:dyDescent="0.25">
      <c r="A318" s="18" t="str">
        <f t="shared" si="5"/>
        <v/>
      </c>
      <c r="B318" s="25"/>
      <c r="C318" s="25"/>
      <c r="D318" s="43"/>
      <c r="E318" s="44"/>
      <c r="F318" s="45"/>
      <c r="G318" s="40"/>
      <c r="H318" s="55" t="s">
        <v>255</v>
      </c>
      <c r="N318" s="66"/>
      <c r="O318" s="25"/>
      <c r="P318" s="72" t="str">
        <f>IFERROR(IF(ISBLANK(O318),"",INDEX(Gen_Vessels!$A$3:$C$500,MATCH(O318,Gen_Vessels!$C$3:$C$500,0),1)),"")</f>
        <v/>
      </c>
      <c r="Q318" s="25"/>
      <c r="R318" s="25"/>
      <c r="S318" s="25" t="str">
        <f>IFERROR(IF(ISBLANK(R318),"",INDEX(Gen_Vessels!$A$3:$C$500,MATCH(CorrectiveMinor!$R318,Gen_Vessels!$C$3:$C$500,0),1)),"")</f>
        <v/>
      </c>
      <c r="T318" s="25"/>
      <c r="U318" s="25"/>
      <c r="V318" s="25"/>
      <c r="W318" s="25"/>
      <c r="X318" s="25"/>
      <c r="Y318" s="25"/>
      <c r="AA318" s="25"/>
      <c r="AB318" s="25"/>
      <c r="AC318" s="25"/>
      <c r="AD318" s="25"/>
      <c r="AE318" s="25"/>
      <c r="AF318" s="25"/>
      <c r="AG318" s="25"/>
    </row>
    <row r="319" spans="1:33" x14ac:dyDescent="0.25">
      <c r="A319" s="18" t="str">
        <f t="shared" si="5"/>
        <v/>
      </c>
      <c r="B319" s="25"/>
      <c r="C319" s="25"/>
      <c r="D319" s="43"/>
      <c r="E319" s="44"/>
      <c r="F319" s="45"/>
      <c r="G319" s="40"/>
      <c r="H319" s="55" t="s">
        <v>255</v>
      </c>
      <c r="N319" s="66"/>
      <c r="O319" s="25"/>
      <c r="P319" s="72" t="str">
        <f>IFERROR(IF(ISBLANK(O319),"",INDEX(Gen_Vessels!$A$3:$C$500,MATCH(O319,Gen_Vessels!$C$3:$C$500,0),1)),"")</f>
        <v/>
      </c>
      <c r="Q319" s="25"/>
      <c r="R319" s="25"/>
      <c r="S319" s="25" t="str">
        <f>IFERROR(IF(ISBLANK(R319),"",INDEX(Gen_Vessels!$A$3:$C$500,MATCH(CorrectiveMinor!$R319,Gen_Vessels!$C$3:$C$500,0),1)),"")</f>
        <v/>
      </c>
      <c r="T319" s="25"/>
      <c r="U319" s="25"/>
      <c r="V319" s="25"/>
      <c r="W319" s="25"/>
      <c r="X319" s="25"/>
      <c r="Y319" s="25"/>
      <c r="AA319" s="25"/>
      <c r="AB319" s="25"/>
      <c r="AC319" s="25"/>
      <c r="AD319" s="25"/>
      <c r="AE319" s="25"/>
      <c r="AF319" s="25"/>
      <c r="AG319" s="25"/>
    </row>
    <row r="320" spans="1:33" x14ac:dyDescent="0.25">
      <c r="A320" s="18" t="str">
        <f t="shared" si="5"/>
        <v/>
      </c>
      <c r="B320" s="25"/>
      <c r="C320" s="25"/>
      <c r="D320" s="43"/>
      <c r="E320" s="44"/>
      <c r="F320" s="45"/>
      <c r="G320" s="40"/>
      <c r="H320" s="55" t="s">
        <v>255</v>
      </c>
      <c r="N320" s="66"/>
      <c r="O320" s="25"/>
      <c r="P320" s="72" t="str">
        <f>IFERROR(IF(ISBLANK(O320),"",INDEX(Gen_Vessels!$A$3:$C$500,MATCH(O320,Gen_Vessels!$C$3:$C$500,0),1)),"")</f>
        <v/>
      </c>
      <c r="Q320" s="25"/>
      <c r="R320" s="25"/>
      <c r="S320" s="25" t="str">
        <f>IFERROR(IF(ISBLANK(R320),"",INDEX(Gen_Vessels!$A$3:$C$500,MATCH(CorrectiveMinor!$R320,Gen_Vessels!$C$3:$C$500,0),1)),"")</f>
        <v/>
      </c>
      <c r="T320" s="25"/>
      <c r="U320" s="25"/>
      <c r="V320" s="25"/>
      <c r="W320" s="25"/>
      <c r="X320" s="25"/>
      <c r="Y320" s="25"/>
      <c r="AA320" s="25"/>
      <c r="AB320" s="25"/>
      <c r="AC320" s="25"/>
      <c r="AD320" s="25"/>
      <c r="AE320" s="25"/>
      <c r="AF320" s="25"/>
      <c r="AG320" s="25"/>
    </row>
    <row r="321" spans="1:33" x14ac:dyDescent="0.25">
      <c r="A321" s="18" t="str">
        <f t="shared" si="5"/>
        <v/>
      </c>
      <c r="B321" s="25"/>
      <c r="C321" s="25"/>
      <c r="D321" s="43"/>
      <c r="E321" s="44"/>
      <c r="F321" s="45"/>
      <c r="G321" s="40"/>
      <c r="H321" s="55" t="s">
        <v>255</v>
      </c>
      <c r="N321" s="66"/>
      <c r="O321" s="25"/>
      <c r="P321" s="72" t="str">
        <f>IFERROR(IF(ISBLANK(O321),"",INDEX(Gen_Vessels!$A$3:$C$500,MATCH(O321,Gen_Vessels!$C$3:$C$500,0),1)),"")</f>
        <v/>
      </c>
      <c r="Q321" s="25"/>
      <c r="R321" s="25"/>
      <c r="S321" s="25" t="str">
        <f>IFERROR(IF(ISBLANK(R321),"",INDEX(Gen_Vessels!$A$3:$C$500,MATCH(CorrectiveMinor!$R321,Gen_Vessels!$C$3:$C$500,0),1)),"")</f>
        <v/>
      </c>
      <c r="T321" s="25"/>
      <c r="U321" s="25"/>
      <c r="V321" s="25"/>
      <c r="W321" s="25"/>
      <c r="X321" s="25"/>
      <c r="Y321" s="25"/>
      <c r="AA321" s="25"/>
      <c r="AB321" s="25"/>
      <c r="AC321" s="25"/>
      <c r="AD321" s="25"/>
      <c r="AE321" s="25"/>
      <c r="AF321" s="25"/>
      <c r="AG321" s="25"/>
    </row>
    <row r="322" spans="1:33" x14ac:dyDescent="0.25">
      <c r="A322" s="18" t="str">
        <f t="shared" si="5"/>
        <v/>
      </c>
      <c r="B322" s="25"/>
      <c r="C322" s="25"/>
      <c r="D322" s="43"/>
      <c r="E322" s="44"/>
      <c r="F322" s="45"/>
      <c r="G322" s="40"/>
      <c r="H322" s="55" t="s">
        <v>255</v>
      </c>
      <c r="N322" s="66"/>
      <c r="O322" s="25"/>
      <c r="P322" s="72" t="str">
        <f>IFERROR(IF(ISBLANK(O322),"",INDEX(Gen_Vessels!$A$3:$C$500,MATCH(O322,Gen_Vessels!$C$3:$C$500,0),1)),"")</f>
        <v/>
      </c>
      <c r="Q322" s="25"/>
      <c r="R322" s="25"/>
      <c r="S322" s="25" t="str">
        <f>IFERROR(IF(ISBLANK(R322),"",INDEX(Gen_Vessels!$A$3:$C$500,MATCH(CorrectiveMinor!$R322,Gen_Vessels!$C$3:$C$500,0),1)),"")</f>
        <v/>
      </c>
      <c r="T322" s="25"/>
      <c r="U322" s="25"/>
      <c r="V322" s="25"/>
      <c r="W322" s="25"/>
      <c r="X322" s="25"/>
      <c r="Y322" s="25"/>
      <c r="AA322" s="25"/>
      <c r="AB322" s="25"/>
      <c r="AC322" s="25"/>
      <c r="AD322" s="25"/>
      <c r="AE322" s="25"/>
      <c r="AF322" s="25"/>
      <c r="AG322" s="25"/>
    </row>
    <row r="323" spans="1:33" x14ac:dyDescent="0.25">
      <c r="A323" s="18" t="str">
        <f t="shared" si="5"/>
        <v/>
      </c>
      <c r="B323" s="25"/>
      <c r="C323" s="25"/>
      <c r="D323" s="43"/>
      <c r="E323" s="44"/>
      <c r="F323" s="45"/>
      <c r="G323" s="40"/>
      <c r="H323" s="55" t="s">
        <v>255</v>
      </c>
      <c r="N323" s="66"/>
      <c r="O323" s="25"/>
      <c r="P323" s="72" t="str">
        <f>IFERROR(IF(ISBLANK(O323),"",INDEX(Gen_Vessels!$A$3:$C$500,MATCH(O323,Gen_Vessels!$C$3:$C$500,0),1)),"")</f>
        <v/>
      </c>
      <c r="Q323" s="25"/>
      <c r="R323" s="25"/>
      <c r="S323" s="25" t="str">
        <f>IFERROR(IF(ISBLANK(R323),"",INDEX(Gen_Vessels!$A$3:$C$500,MATCH(CorrectiveMinor!$R323,Gen_Vessels!$C$3:$C$500,0),1)),"")</f>
        <v/>
      </c>
      <c r="T323" s="25"/>
      <c r="U323" s="25"/>
      <c r="V323" s="25"/>
      <c r="W323" s="25"/>
      <c r="X323" s="25"/>
      <c r="Y323" s="25"/>
      <c r="AA323" s="25"/>
      <c r="AB323" s="25"/>
      <c r="AC323" s="25"/>
      <c r="AD323" s="25"/>
      <c r="AE323" s="25"/>
      <c r="AF323" s="25"/>
      <c r="AG323" s="25"/>
    </row>
    <row r="324" spans="1:33" x14ac:dyDescent="0.25">
      <c r="A324" s="18" t="str">
        <f t="shared" si="5"/>
        <v/>
      </c>
      <c r="B324" s="25"/>
      <c r="C324" s="25"/>
      <c r="D324" s="43"/>
      <c r="E324" s="44"/>
      <c r="F324" s="45"/>
      <c r="G324" s="40"/>
      <c r="H324" s="55" t="s">
        <v>255</v>
      </c>
      <c r="N324" s="66"/>
      <c r="O324" s="25"/>
      <c r="P324" s="72" t="str">
        <f>IFERROR(IF(ISBLANK(O324),"",INDEX(Gen_Vessels!$A$3:$C$500,MATCH(O324,Gen_Vessels!$C$3:$C$500,0),1)),"")</f>
        <v/>
      </c>
      <c r="Q324" s="25"/>
      <c r="R324" s="25"/>
      <c r="S324" s="25" t="str">
        <f>IFERROR(IF(ISBLANK(R324),"",INDEX(Gen_Vessels!$A$3:$C$500,MATCH(CorrectiveMinor!$R324,Gen_Vessels!$C$3:$C$500,0),1)),"")</f>
        <v/>
      </c>
      <c r="T324" s="25"/>
      <c r="U324" s="25"/>
      <c r="V324" s="25"/>
      <c r="W324" s="25"/>
      <c r="X324" s="25"/>
      <c r="Y324" s="25"/>
      <c r="AA324" s="25"/>
      <c r="AB324" s="25"/>
      <c r="AC324" s="25"/>
      <c r="AD324" s="25"/>
      <c r="AE324" s="25"/>
      <c r="AF324" s="25"/>
      <c r="AG324" s="25"/>
    </row>
    <row r="325" spans="1:33" x14ac:dyDescent="0.25">
      <c r="A325" s="18" t="str">
        <f t="shared" si="5"/>
        <v/>
      </c>
      <c r="B325" s="25"/>
      <c r="C325" s="25"/>
      <c r="D325" s="43"/>
      <c r="E325" s="44"/>
      <c r="F325" s="45"/>
      <c r="G325" s="40"/>
      <c r="H325" s="55" t="s">
        <v>255</v>
      </c>
      <c r="N325" s="66"/>
      <c r="O325" s="25"/>
      <c r="P325" s="72" t="str">
        <f>IFERROR(IF(ISBLANK(O325),"",INDEX(Gen_Vessels!$A$3:$C$500,MATCH(O325,Gen_Vessels!$C$3:$C$500,0),1)),"")</f>
        <v/>
      </c>
      <c r="Q325" s="25"/>
      <c r="R325" s="25"/>
      <c r="S325" s="25" t="str">
        <f>IFERROR(IF(ISBLANK(R325),"",INDEX(Gen_Vessels!$A$3:$C$500,MATCH(CorrectiveMinor!$R325,Gen_Vessels!$C$3:$C$500,0),1)),"")</f>
        <v/>
      </c>
      <c r="T325" s="25"/>
      <c r="U325" s="25"/>
      <c r="V325" s="25"/>
      <c r="W325" s="25"/>
      <c r="X325" s="25"/>
      <c r="Y325" s="25"/>
      <c r="AA325" s="25"/>
      <c r="AB325" s="25"/>
      <c r="AC325" s="25"/>
      <c r="AD325" s="25"/>
      <c r="AE325" s="25"/>
      <c r="AF325" s="25"/>
      <c r="AG325" s="25"/>
    </row>
    <row r="326" spans="1:33" x14ac:dyDescent="0.25">
      <c r="A326" s="18" t="str">
        <f t="shared" si="5"/>
        <v/>
      </c>
      <c r="B326" s="25"/>
      <c r="C326" s="25"/>
      <c r="D326" s="43"/>
      <c r="E326" s="44"/>
      <c r="F326" s="45"/>
      <c r="G326" s="40"/>
      <c r="H326" s="55" t="s">
        <v>255</v>
      </c>
      <c r="N326" s="66"/>
      <c r="O326" s="25"/>
      <c r="P326" s="72" t="str">
        <f>IFERROR(IF(ISBLANK(O326),"",INDEX(Gen_Vessels!$A$3:$C$500,MATCH(O326,Gen_Vessels!$C$3:$C$500,0),1)),"")</f>
        <v/>
      </c>
      <c r="Q326" s="25"/>
      <c r="R326" s="25"/>
      <c r="S326" s="25" t="str">
        <f>IFERROR(IF(ISBLANK(R326),"",INDEX(Gen_Vessels!$A$3:$C$500,MATCH(CorrectiveMinor!$R326,Gen_Vessels!$C$3:$C$500,0),1)),"")</f>
        <v/>
      </c>
      <c r="T326" s="25"/>
      <c r="U326" s="25"/>
      <c r="V326" s="25"/>
      <c r="W326" s="25"/>
      <c r="X326" s="25"/>
      <c r="Y326" s="25"/>
      <c r="AA326" s="25"/>
      <c r="AB326" s="25"/>
      <c r="AC326" s="25"/>
      <c r="AD326" s="25"/>
      <c r="AE326" s="25"/>
      <c r="AF326" s="25"/>
      <c r="AG326" s="25"/>
    </row>
    <row r="327" spans="1:33" x14ac:dyDescent="0.25">
      <c r="A327" s="18" t="str">
        <f t="shared" si="5"/>
        <v/>
      </c>
      <c r="B327" s="25"/>
      <c r="C327" s="25"/>
      <c r="D327" s="43"/>
      <c r="E327" s="44"/>
      <c r="F327" s="45"/>
      <c r="G327" s="40"/>
      <c r="H327" s="55" t="s">
        <v>255</v>
      </c>
      <c r="N327" s="66"/>
      <c r="O327" s="25"/>
      <c r="P327" s="72" t="str">
        <f>IFERROR(IF(ISBLANK(O327),"",INDEX(Gen_Vessels!$A$3:$C$500,MATCH(O327,Gen_Vessels!$C$3:$C$500,0),1)),"")</f>
        <v/>
      </c>
      <c r="Q327" s="25"/>
      <c r="R327" s="25"/>
      <c r="S327" s="25" t="str">
        <f>IFERROR(IF(ISBLANK(R327),"",INDEX(Gen_Vessels!$A$3:$C$500,MATCH(CorrectiveMinor!$R327,Gen_Vessels!$C$3:$C$500,0),1)),"")</f>
        <v/>
      </c>
      <c r="T327" s="25"/>
      <c r="U327" s="25"/>
      <c r="V327" s="25"/>
      <c r="W327" s="25"/>
      <c r="X327" s="25"/>
      <c r="Y327" s="25"/>
      <c r="AA327" s="25"/>
      <c r="AB327" s="25"/>
      <c r="AC327" s="25"/>
      <c r="AD327" s="25"/>
      <c r="AE327" s="25"/>
      <c r="AF327" s="25"/>
      <c r="AG327" s="25"/>
    </row>
    <row r="328" spans="1:33" x14ac:dyDescent="0.25">
      <c r="A328" s="18" t="str">
        <f t="shared" si="5"/>
        <v/>
      </c>
      <c r="B328" s="25"/>
      <c r="C328" s="25"/>
      <c r="D328" s="43"/>
      <c r="E328" s="44"/>
      <c r="F328" s="45"/>
      <c r="G328" s="40"/>
      <c r="H328" s="55" t="s">
        <v>255</v>
      </c>
      <c r="N328" s="66"/>
      <c r="O328" s="25"/>
      <c r="P328" s="72" t="str">
        <f>IFERROR(IF(ISBLANK(O328),"",INDEX(Gen_Vessels!$A$3:$C$500,MATCH(O328,Gen_Vessels!$C$3:$C$500,0),1)),"")</f>
        <v/>
      </c>
      <c r="Q328" s="25"/>
      <c r="R328" s="25"/>
      <c r="S328" s="25" t="str">
        <f>IFERROR(IF(ISBLANK(R328),"",INDEX(Gen_Vessels!$A$3:$C$500,MATCH(CorrectiveMinor!$R328,Gen_Vessels!$C$3:$C$500,0),1)),"")</f>
        <v/>
      </c>
      <c r="T328" s="25"/>
      <c r="U328" s="25"/>
      <c r="V328" s="25"/>
      <c r="W328" s="25"/>
      <c r="X328" s="25"/>
      <c r="Y328" s="25"/>
      <c r="AA328" s="25"/>
      <c r="AB328" s="25"/>
      <c r="AC328" s="25"/>
      <c r="AD328" s="25"/>
      <c r="AE328" s="25"/>
      <c r="AF328" s="25"/>
      <c r="AG328" s="25"/>
    </row>
    <row r="329" spans="1:33" x14ac:dyDescent="0.25">
      <c r="A329" s="18" t="str">
        <f t="shared" si="5"/>
        <v/>
      </c>
      <c r="B329" s="25"/>
      <c r="C329" s="25"/>
      <c r="D329" s="43"/>
      <c r="E329" s="44"/>
      <c r="F329" s="45"/>
      <c r="G329" s="40"/>
      <c r="H329" s="55" t="s">
        <v>255</v>
      </c>
      <c r="N329" s="66"/>
      <c r="O329" s="25"/>
      <c r="P329" s="72" t="str">
        <f>IFERROR(IF(ISBLANK(O329),"",INDEX(Gen_Vessels!$A$3:$C$500,MATCH(O329,Gen_Vessels!$C$3:$C$500,0),1)),"")</f>
        <v/>
      </c>
      <c r="Q329" s="25"/>
      <c r="R329" s="25"/>
      <c r="S329" s="25" t="str">
        <f>IFERROR(IF(ISBLANK(R329),"",INDEX(Gen_Vessels!$A$3:$C$500,MATCH(CorrectiveMinor!$R329,Gen_Vessels!$C$3:$C$500,0),1)),"")</f>
        <v/>
      </c>
      <c r="T329" s="25"/>
      <c r="U329" s="25"/>
      <c r="V329" s="25"/>
      <c r="W329" s="25"/>
      <c r="X329" s="25"/>
      <c r="Y329" s="25"/>
      <c r="AA329" s="25"/>
      <c r="AB329" s="25"/>
      <c r="AC329" s="25"/>
      <c r="AD329" s="25"/>
      <c r="AE329" s="25"/>
      <c r="AF329" s="25"/>
      <c r="AG329" s="25"/>
    </row>
    <row r="330" spans="1:33" x14ac:dyDescent="0.25">
      <c r="A330" s="18" t="str">
        <f t="shared" si="5"/>
        <v/>
      </c>
      <c r="B330" s="25"/>
      <c r="C330" s="25"/>
      <c r="D330" s="43"/>
      <c r="E330" s="44"/>
      <c r="F330" s="45"/>
      <c r="G330" s="40"/>
      <c r="H330" s="55" t="s">
        <v>255</v>
      </c>
      <c r="N330" s="66"/>
      <c r="O330" s="25"/>
      <c r="P330" s="72" t="str">
        <f>IFERROR(IF(ISBLANK(O330),"",INDEX(Gen_Vessels!$A$3:$C$500,MATCH(O330,Gen_Vessels!$C$3:$C$500,0),1)),"")</f>
        <v/>
      </c>
      <c r="Q330" s="25"/>
      <c r="R330" s="25"/>
      <c r="S330" s="25" t="str">
        <f>IFERROR(IF(ISBLANK(R330),"",INDEX(Gen_Vessels!$A$3:$C$500,MATCH(CorrectiveMinor!$R330,Gen_Vessels!$C$3:$C$500,0),1)),"")</f>
        <v/>
      </c>
      <c r="T330" s="25"/>
      <c r="U330" s="25"/>
      <c r="V330" s="25"/>
      <c r="W330" s="25"/>
      <c r="X330" s="25"/>
      <c r="Y330" s="25"/>
      <c r="AA330" s="25"/>
      <c r="AB330" s="25"/>
      <c r="AC330" s="25"/>
      <c r="AD330" s="25"/>
      <c r="AE330" s="25"/>
      <c r="AF330" s="25"/>
      <c r="AG330" s="25"/>
    </row>
    <row r="331" spans="1:33" x14ac:dyDescent="0.25">
      <c r="A331" s="18" t="str">
        <f t="shared" si="5"/>
        <v/>
      </c>
      <c r="B331" s="25"/>
      <c r="C331" s="25"/>
      <c r="D331" s="43"/>
      <c r="E331" s="44"/>
      <c r="F331" s="45"/>
      <c r="G331" s="40"/>
      <c r="H331" s="55" t="s">
        <v>255</v>
      </c>
      <c r="N331" s="66"/>
      <c r="O331" s="25"/>
      <c r="P331" s="72" t="str">
        <f>IFERROR(IF(ISBLANK(O331),"",INDEX(Gen_Vessels!$A$3:$C$500,MATCH(O331,Gen_Vessels!$C$3:$C$500,0),1)),"")</f>
        <v/>
      </c>
      <c r="Q331" s="25"/>
      <c r="R331" s="25"/>
      <c r="S331" s="25" t="str">
        <f>IFERROR(IF(ISBLANK(R331),"",INDEX(Gen_Vessels!$A$3:$C$500,MATCH(CorrectiveMinor!$R331,Gen_Vessels!$C$3:$C$500,0),1)),"")</f>
        <v/>
      </c>
      <c r="T331" s="25"/>
      <c r="U331" s="25"/>
      <c r="V331" s="25"/>
      <c r="W331" s="25"/>
      <c r="X331" s="25"/>
      <c r="Y331" s="25"/>
      <c r="AA331" s="25"/>
      <c r="AB331" s="25"/>
      <c r="AC331" s="25"/>
      <c r="AD331" s="25"/>
      <c r="AE331" s="25"/>
      <c r="AF331" s="25"/>
      <c r="AG331" s="25"/>
    </row>
    <row r="332" spans="1:33" x14ac:dyDescent="0.25">
      <c r="A332" s="18" t="str">
        <f t="shared" si="5"/>
        <v/>
      </c>
      <c r="B332" s="25"/>
      <c r="C332" s="25"/>
      <c r="D332" s="43"/>
      <c r="E332" s="44"/>
      <c r="F332" s="45"/>
      <c r="G332" s="40"/>
      <c r="H332" s="55" t="s">
        <v>255</v>
      </c>
      <c r="N332" s="66"/>
      <c r="O332" s="25"/>
      <c r="P332" s="72" t="str">
        <f>IFERROR(IF(ISBLANK(O332),"",INDEX(Gen_Vessels!$A$3:$C$500,MATCH(O332,Gen_Vessels!$C$3:$C$500,0),1)),"")</f>
        <v/>
      </c>
      <c r="Q332" s="25"/>
      <c r="R332" s="25"/>
      <c r="S332" s="25" t="str">
        <f>IFERROR(IF(ISBLANK(R332),"",INDEX(Gen_Vessels!$A$3:$C$500,MATCH(CorrectiveMinor!$R332,Gen_Vessels!$C$3:$C$500,0),1)),"")</f>
        <v/>
      </c>
      <c r="T332" s="25"/>
      <c r="U332" s="25"/>
      <c r="V332" s="25"/>
      <c r="W332" s="25"/>
      <c r="X332" s="25"/>
      <c r="Y332" s="25"/>
      <c r="AA332" s="25"/>
      <c r="AB332" s="25"/>
      <c r="AC332" s="25"/>
      <c r="AD332" s="25"/>
      <c r="AE332" s="25"/>
      <c r="AF332" s="25"/>
      <c r="AG332" s="25"/>
    </row>
    <row r="333" spans="1:33" x14ac:dyDescent="0.25">
      <c r="A333" s="18" t="str">
        <f t="shared" si="5"/>
        <v/>
      </c>
      <c r="B333" s="25"/>
      <c r="C333" s="25"/>
      <c r="D333" s="43"/>
      <c r="E333" s="44"/>
      <c r="F333" s="45"/>
      <c r="G333" s="40"/>
      <c r="H333" s="55" t="s">
        <v>255</v>
      </c>
      <c r="N333" s="66"/>
      <c r="O333" s="25"/>
      <c r="P333" s="72" t="str">
        <f>IFERROR(IF(ISBLANK(O333),"",INDEX(Gen_Vessels!$A$3:$C$500,MATCH(O333,Gen_Vessels!$C$3:$C$500,0),1)),"")</f>
        <v/>
      </c>
      <c r="Q333" s="25"/>
      <c r="R333" s="25"/>
      <c r="S333" s="25" t="str">
        <f>IFERROR(IF(ISBLANK(R333),"",INDEX(Gen_Vessels!$A$3:$C$500,MATCH(CorrectiveMinor!$R333,Gen_Vessels!$C$3:$C$500,0),1)),"")</f>
        <v/>
      </c>
      <c r="T333" s="25"/>
      <c r="U333" s="25"/>
      <c r="V333" s="25"/>
      <c r="W333" s="25"/>
      <c r="X333" s="25"/>
      <c r="Y333" s="25"/>
      <c r="AA333" s="25"/>
      <c r="AB333" s="25"/>
      <c r="AC333" s="25"/>
      <c r="AD333" s="25"/>
      <c r="AE333" s="25"/>
      <c r="AF333" s="25"/>
      <c r="AG333" s="25"/>
    </row>
    <row r="334" spans="1:33" x14ac:dyDescent="0.25">
      <c r="A334" s="18" t="str">
        <f t="shared" si="5"/>
        <v/>
      </c>
      <c r="B334" s="25"/>
      <c r="C334" s="25"/>
      <c r="D334" s="43"/>
      <c r="E334" s="44"/>
      <c r="F334" s="45"/>
      <c r="G334" s="40"/>
      <c r="H334" s="55" t="s">
        <v>255</v>
      </c>
      <c r="N334" s="66"/>
      <c r="O334" s="25"/>
      <c r="P334" s="72" t="str">
        <f>IFERROR(IF(ISBLANK(O334),"",INDEX(Gen_Vessels!$A$3:$C$500,MATCH(O334,Gen_Vessels!$C$3:$C$500,0),1)),"")</f>
        <v/>
      </c>
      <c r="Q334" s="25"/>
      <c r="R334" s="25"/>
      <c r="S334" s="25" t="str">
        <f>IFERROR(IF(ISBLANK(R334),"",INDEX(Gen_Vessels!$A$3:$C$500,MATCH(CorrectiveMinor!$R334,Gen_Vessels!$C$3:$C$500,0),1)),"")</f>
        <v/>
      </c>
      <c r="T334" s="25"/>
      <c r="U334" s="25"/>
      <c r="V334" s="25"/>
      <c r="W334" s="25"/>
      <c r="X334" s="25"/>
      <c r="Y334" s="25"/>
      <c r="AA334" s="25"/>
      <c r="AB334" s="25"/>
      <c r="AC334" s="25"/>
      <c r="AD334" s="25"/>
      <c r="AE334" s="25"/>
      <c r="AF334" s="25"/>
      <c r="AG334" s="25"/>
    </row>
    <row r="335" spans="1:33" x14ac:dyDescent="0.25">
      <c r="A335" s="18" t="str">
        <f t="shared" si="5"/>
        <v/>
      </c>
      <c r="B335" s="25"/>
      <c r="C335" s="25"/>
      <c r="D335" s="43"/>
      <c r="E335" s="44"/>
      <c r="F335" s="45"/>
      <c r="G335" s="40"/>
      <c r="H335" s="55" t="s">
        <v>255</v>
      </c>
      <c r="N335" s="66"/>
      <c r="O335" s="25"/>
      <c r="P335" s="72" t="str">
        <f>IFERROR(IF(ISBLANK(O335),"",INDEX(Gen_Vessels!$A$3:$C$500,MATCH(O335,Gen_Vessels!$C$3:$C$500,0),1)),"")</f>
        <v/>
      </c>
      <c r="Q335" s="25"/>
      <c r="R335" s="25"/>
      <c r="S335" s="25" t="str">
        <f>IFERROR(IF(ISBLANK(R335),"",INDEX(Gen_Vessels!$A$3:$C$500,MATCH(CorrectiveMinor!$R335,Gen_Vessels!$C$3:$C$500,0),1)),"")</f>
        <v/>
      </c>
      <c r="T335" s="25"/>
      <c r="U335" s="25"/>
      <c r="V335" s="25"/>
      <c r="W335" s="25"/>
      <c r="X335" s="25"/>
      <c r="Y335" s="25"/>
      <c r="AA335" s="25"/>
      <c r="AB335" s="25"/>
      <c r="AC335" s="25"/>
      <c r="AD335" s="25"/>
      <c r="AE335" s="25"/>
      <c r="AF335" s="25"/>
      <c r="AG335" s="25"/>
    </row>
    <row r="336" spans="1:33" x14ac:dyDescent="0.25">
      <c r="A336" s="18" t="str">
        <f t="shared" si="5"/>
        <v/>
      </c>
      <c r="B336" s="25"/>
      <c r="C336" s="25"/>
      <c r="D336" s="43"/>
      <c r="E336" s="44"/>
      <c r="F336" s="45"/>
      <c r="G336" s="40"/>
      <c r="H336" s="55" t="s">
        <v>255</v>
      </c>
      <c r="N336" s="66"/>
      <c r="O336" s="25"/>
      <c r="P336" s="72" t="str">
        <f>IFERROR(IF(ISBLANK(O336),"",INDEX(Gen_Vessels!$A$3:$C$500,MATCH(O336,Gen_Vessels!$C$3:$C$500,0),1)),"")</f>
        <v/>
      </c>
      <c r="Q336" s="25"/>
      <c r="R336" s="25"/>
      <c r="S336" s="25" t="str">
        <f>IFERROR(IF(ISBLANK(R336),"",INDEX(Gen_Vessels!$A$3:$C$500,MATCH(CorrectiveMinor!$R336,Gen_Vessels!$C$3:$C$500,0),1)),"")</f>
        <v/>
      </c>
      <c r="T336" s="25"/>
      <c r="U336" s="25"/>
      <c r="V336" s="25"/>
      <c r="W336" s="25"/>
      <c r="X336" s="25"/>
      <c r="Y336" s="25"/>
      <c r="AA336" s="25"/>
      <c r="AB336" s="25"/>
      <c r="AC336" s="25"/>
      <c r="AD336" s="25"/>
      <c r="AE336" s="25"/>
      <c r="AF336" s="25"/>
      <c r="AG336" s="25"/>
    </row>
    <row r="337" spans="1:33" x14ac:dyDescent="0.25">
      <c r="A337" s="18" t="str">
        <f t="shared" si="5"/>
        <v/>
      </c>
      <c r="B337" s="25"/>
      <c r="C337" s="25"/>
      <c r="D337" s="43"/>
      <c r="E337" s="44"/>
      <c r="F337" s="45"/>
      <c r="G337" s="40"/>
      <c r="H337" s="55" t="s">
        <v>255</v>
      </c>
      <c r="N337" s="66"/>
      <c r="O337" s="25"/>
      <c r="P337" s="72" t="str">
        <f>IFERROR(IF(ISBLANK(O337),"",INDEX(Gen_Vessels!$A$3:$C$500,MATCH(O337,Gen_Vessels!$C$3:$C$500,0),1)),"")</f>
        <v/>
      </c>
      <c r="Q337" s="25"/>
      <c r="R337" s="25"/>
      <c r="S337" s="25" t="str">
        <f>IFERROR(IF(ISBLANK(R337),"",INDEX(Gen_Vessels!$A$3:$C$500,MATCH(CorrectiveMinor!$R337,Gen_Vessels!$C$3:$C$500,0),1)),"")</f>
        <v/>
      </c>
      <c r="T337" s="25"/>
      <c r="U337" s="25"/>
      <c r="V337" s="25"/>
      <c r="W337" s="25"/>
      <c r="X337" s="25"/>
      <c r="Y337" s="25"/>
      <c r="AA337" s="25"/>
      <c r="AB337" s="25"/>
      <c r="AC337" s="25"/>
      <c r="AD337" s="25"/>
      <c r="AE337" s="25"/>
      <c r="AF337" s="25"/>
      <c r="AG337" s="25"/>
    </row>
    <row r="338" spans="1:33" x14ac:dyDescent="0.25">
      <c r="A338" s="18" t="str">
        <f t="shared" si="5"/>
        <v/>
      </c>
      <c r="B338" s="25"/>
      <c r="C338" s="25"/>
      <c r="D338" s="43"/>
      <c r="E338" s="44"/>
      <c r="F338" s="45"/>
      <c r="G338" s="40"/>
      <c r="H338" s="55" t="s">
        <v>255</v>
      </c>
      <c r="N338" s="66"/>
      <c r="O338" s="25"/>
      <c r="P338" s="72" t="str">
        <f>IFERROR(IF(ISBLANK(O338),"",INDEX(Gen_Vessels!$A$3:$C$500,MATCH(O338,Gen_Vessels!$C$3:$C$500,0),1)),"")</f>
        <v/>
      </c>
      <c r="Q338" s="25"/>
      <c r="R338" s="25"/>
      <c r="S338" s="25" t="str">
        <f>IFERROR(IF(ISBLANK(R338),"",INDEX(Gen_Vessels!$A$3:$C$500,MATCH(CorrectiveMinor!$R338,Gen_Vessels!$C$3:$C$500,0),1)),"")</f>
        <v/>
      </c>
      <c r="T338" s="25"/>
      <c r="U338" s="25"/>
      <c r="V338" s="25"/>
      <c r="W338" s="25"/>
      <c r="X338" s="25"/>
      <c r="Y338" s="25"/>
      <c r="AA338" s="25"/>
      <c r="AB338" s="25"/>
      <c r="AC338" s="25"/>
      <c r="AD338" s="25"/>
      <c r="AE338" s="25"/>
      <c r="AF338" s="25"/>
      <c r="AG338" s="25"/>
    </row>
    <row r="339" spans="1:33" x14ac:dyDescent="0.25">
      <c r="A339" s="18" t="str">
        <f t="shared" si="5"/>
        <v/>
      </c>
      <c r="B339" s="25"/>
      <c r="C339" s="25"/>
      <c r="D339" s="43"/>
      <c r="E339" s="44"/>
      <c r="F339" s="45"/>
      <c r="G339" s="40"/>
      <c r="H339" s="55" t="s">
        <v>255</v>
      </c>
      <c r="N339" s="66"/>
      <c r="O339" s="25"/>
      <c r="P339" s="72" t="str">
        <f>IFERROR(IF(ISBLANK(O339),"",INDEX(Gen_Vessels!$A$3:$C$500,MATCH(O339,Gen_Vessels!$C$3:$C$500,0),1)),"")</f>
        <v/>
      </c>
      <c r="Q339" s="25"/>
      <c r="R339" s="25"/>
      <c r="S339" s="25" t="str">
        <f>IFERROR(IF(ISBLANK(R339),"",INDEX(Gen_Vessels!$A$3:$C$500,MATCH(CorrectiveMinor!$R339,Gen_Vessels!$C$3:$C$500,0),1)),"")</f>
        <v/>
      </c>
      <c r="T339" s="25"/>
      <c r="U339" s="25"/>
      <c r="V339" s="25"/>
      <c r="W339" s="25"/>
      <c r="X339" s="25"/>
      <c r="Y339" s="25"/>
      <c r="AA339" s="25"/>
      <c r="AB339" s="25"/>
      <c r="AC339" s="25"/>
      <c r="AD339" s="25"/>
      <c r="AE339" s="25"/>
      <c r="AF339" s="25"/>
      <c r="AG339" s="25"/>
    </row>
    <row r="340" spans="1:33" x14ac:dyDescent="0.25">
      <c r="A340" s="18" t="str">
        <f t="shared" si="5"/>
        <v/>
      </c>
      <c r="B340" s="25"/>
      <c r="C340" s="25"/>
      <c r="D340" s="43"/>
      <c r="E340" s="44"/>
      <c r="F340" s="45"/>
      <c r="G340" s="40"/>
      <c r="H340" s="55" t="s">
        <v>255</v>
      </c>
      <c r="N340" s="66"/>
      <c r="O340" s="25"/>
      <c r="P340" s="72" t="str">
        <f>IFERROR(IF(ISBLANK(O340),"",INDEX(Gen_Vessels!$A$3:$C$500,MATCH(O340,Gen_Vessels!$C$3:$C$500,0),1)),"")</f>
        <v/>
      </c>
      <c r="Q340" s="25"/>
      <c r="R340" s="25"/>
      <c r="S340" s="25" t="str">
        <f>IFERROR(IF(ISBLANK(R340),"",INDEX(Gen_Vessels!$A$3:$C$500,MATCH(CorrectiveMinor!$R340,Gen_Vessels!$C$3:$C$500,0),1)),"")</f>
        <v/>
      </c>
      <c r="T340" s="25"/>
      <c r="U340" s="25"/>
      <c r="V340" s="25"/>
      <c r="W340" s="25"/>
      <c r="X340" s="25"/>
      <c r="Y340" s="25"/>
      <c r="AA340" s="25"/>
      <c r="AB340" s="25"/>
      <c r="AC340" s="25"/>
      <c r="AD340" s="25"/>
      <c r="AE340" s="25"/>
      <c r="AF340" s="25"/>
      <c r="AG340" s="25"/>
    </row>
    <row r="341" spans="1:33" x14ac:dyDescent="0.25">
      <c r="A341" s="18" t="str">
        <f t="shared" si="5"/>
        <v/>
      </c>
      <c r="B341" s="25"/>
      <c r="C341" s="25"/>
      <c r="D341" s="43"/>
      <c r="E341" s="44"/>
      <c r="F341" s="45"/>
      <c r="G341" s="40"/>
      <c r="H341" s="55" t="s">
        <v>255</v>
      </c>
      <c r="N341" s="66"/>
      <c r="O341" s="25"/>
      <c r="P341" s="72" t="str">
        <f>IFERROR(IF(ISBLANK(O341),"",INDEX(Gen_Vessels!$A$3:$C$500,MATCH(O341,Gen_Vessels!$C$3:$C$500,0),1)),"")</f>
        <v/>
      </c>
      <c r="Q341" s="25"/>
      <c r="R341" s="25"/>
      <c r="S341" s="25" t="str">
        <f>IFERROR(IF(ISBLANK(R341),"",INDEX(Gen_Vessels!$A$3:$C$500,MATCH(CorrectiveMinor!$R341,Gen_Vessels!$C$3:$C$500,0),1)),"")</f>
        <v/>
      </c>
      <c r="T341" s="25"/>
      <c r="U341" s="25"/>
      <c r="V341" s="25"/>
      <c r="W341" s="25"/>
      <c r="X341" s="25"/>
      <c r="Y341" s="25"/>
      <c r="AA341" s="25"/>
      <c r="AB341" s="25"/>
      <c r="AC341" s="25"/>
      <c r="AD341" s="25"/>
      <c r="AE341" s="25"/>
      <c r="AF341" s="25"/>
      <c r="AG341" s="25"/>
    </row>
    <row r="342" spans="1:33" x14ac:dyDescent="0.25">
      <c r="A342" s="18" t="str">
        <f t="shared" si="5"/>
        <v/>
      </c>
      <c r="B342" s="25"/>
      <c r="C342" s="25"/>
      <c r="D342" s="43"/>
      <c r="E342" s="44"/>
      <c r="F342" s="45"/>
      <c r="G342" s="40"/>
      <c r="H342" s="55" t="s">
        <v>255</v>
      </c>
      <c r="N342" s="66"/>
      <c r="O342" s="25"/>
      <c r="P342" s="72" t="str">
        <f>IFERROR(IF(ISBLANK(O342),"",INDEX(Gen_Vessels!$A$3:$C$500,MATCH(O342,Gen_Vessels!$C$3:$C$500,0),1)),"")</f>
        <v/>
      </c>
      <c r="Q342" s="25"/>
      <c r="R342" s="25"/>
      <c r="S342" s="25" t="str">
        <f>IFERROR(IF(ISBLANK(R342),"",INDEX(Gen_Vessels!$A$3:$C$500,MATCH(CorrectiveMinor!$R342,Gen_Vessels!$C$3:$C$500,0),1)),"")</f>
        <v/>
      </c>
      <c r="T342" s="25"/>
      <c r="U342" s="25"/>
      <c r="V342" s="25"/>
      <c r="W342" s="25"/>
      <c r="X342" s="25"/>
      <c r="Y342" s="25"/>
      <c r="AA342" s="25"/>
      <c r="AB342" s="25"/>
      <c r="AC342" s="25"/>
      <c r="AD342" s="25"/>
      <c r="AE342" s="25"/>
      <c r="AF342" s="25"/>
      <c r="AG342" s="25"/>
    </row>
    <row r="343" spans="1:33" x14ac:dyDescent="0.25">
      <c r="A343" s="18" t="str">
        <f t="shared" si="5"/>
        <v/>
      </c>
      <c r="B343" s="25"/>
      <c r="C343" s="25"/>
      <c r="D343" s="43"/>
      <c r="E343" s="44"/>
      <c r="F343" s="45"/>
      <c r="G343" s="40"/>
      <c r="H343" s="55" t="s">
        <v>255</v>
      </c>
      <c r="N343" s="66"/>
      <c r="O343" s="25"/>
      <c r="P343" s="72" t="str">
        <f>IFERROR(IF(ISBLANK(O343),"",INDEX(Gen_Vessels!$A$3:$C$500,MATCH(O343,Gen_Vessels!$C$3:$C$500,0),1)),"")</f>
        <v/>
      </c>
      <c r="Q343" s="25"/>
      <c r="R343" s="25"/>
      <c r="S343" s="25" t="str">
        <f>IFERROR(IF(ISBLANK(R343),"",INDEX(Gen_Vessels!$A$3:$C$500,MATCH(CorrectiveMinor!$R343,Gen_Vessels!$C$3:$C$500,0),1)),"")</f>
        <v/>
      </c>
      <c r="T343" s="25"/>
      <c r="U343" s="25"/>
      <c r="V343" s="25"/>
      <c r="W343" s="25"/>
      <c r="X343" s="25"/>
      <c r="Y343" s="25"/>
      <c r="AA343" s="25"/>
      <c r="AB343" s="25"/>
      <c r="AC343" s="25"/>
      <c r="AD343" s="25"/>
      <c r="AE343" s="25"/>
      <c r="AF343" s="25"/>
      <c r="AG343" s="25"/>
    </row>
    <row r="344" spans="1:33" x14ac:dyDescent="0.25">
      <c r="A344" s="18" t="str">
        <f t="shared" si="5"/>
        <v/>
      </c>
      <c r="B344" s="25"/>
      <c r="C344" s="25"/>
      <c r="D344" s="43"/>
      <c r="E344" s="44"/>
      <c r="F344" s="45"/>
      <c r="G344" s="40"/>
      <c r="H344" s="55" t="s">
        <v>255</v>
      </c>
      <c r="N344" s="66"/>
      <c r="O344" s="25"/>
      <c r="P344" s="72" t="str">
        <f>IFERROR(IF(ISBLANK(O344),"",INDEX(Gen_Vessels!$A$3:$C$500,MATCH(O344,Gen_Vessels!$C$3:$C$500,0),1)),"")</f>
        <v/>
      </c>
      <c r="Q344" s="25"/>
      <c r="R344" s="25"/>
      <c r="S344" s="25" t="str">
        <f>IFERROR(IF(ISBLANK(R344),"",INDEX(Gen_Vessels!$A$3:$C$500,MATCH(CorrectiveMinor!$R344,Gen_Vessels!$C$3:$C$500,0),1)),"")</f>
        <v/>
      </c>
      <c r="T344" s="25"/>
      <c r="U344" s="25"/>
      <c r="V344" s="25"/>
      <c r="W344" s="25"/>
      <c r="X344" s="25"/>
      <c r="Y344" s="25"/>
      <c r="AA344" s="25"/>
      <c r="AB344" s="25"/>
      <c r="AC344" s="25"/>
      <c r="AD344" s="25"/>
      <c r="AE344" s="25"/>
      <c r="AF344" s="25"/>
      <c r="AG344" s="25"/>
    </row>
    <row r="345" spans="1:33" x14ac:dyDescent="0.25">
      <c r="A345" s="18" t="str">
        <f t="shared" si="5"/>
        <v/>
      </c>
      <c r="B345" s="25"/>
      <c r="C345" s="25"/>
      <c r="D345" s="43"/>
      <c r="E345" s="44"/>
      <c r="F345" s="45"/>
      <c r="G345" s="40"/>
      <c r="H345" s="55" t="s">
        <v>255</v>
      </c>
      <c r="N345" s="66"/>
      <c r="O345" s="25"/>
      <c r="P345" s="72" t="str">
        <f>IFERROR(IF(ISBLANK(O345),"",INDEX(Gen_Vessels!$A$3:$C$500,MATCH(O345,Gen_Vessels!$C$3:$C$500,0),1)),"")</f>
        <v/>
      </c>
      <c r="Q345" s="25"/>
      <c r="R345" s="25"/>
      <c r="S345" s="25" t="str">
        <f>IFERROR(IF(ISBLANK(R345),"",INDEX(Gen_Vessels!$A$3:$C$500,MATCH(CorrectiveMinor!$R345,Gen_Vessels!$C$3:$C$500,0),1)),"")</f>
        <v/>
      </c>
      <c r="T345" s="25"/>
      <c r="U345" s="25"/>
      <c r="V345" s="25"/>
      <c r="W345" s="25"/>
      <c r="X345" s="25"/>
      <c r="Y345" s="25"/>
      <c r="AA345" s="25"/>
      <c r="AB345" s="25"/>
      <c r="AC345" s="25"/>
      <c r="AD345" s="25"/>
      <c r="AE345" s="25"/>
      <c r="AF345" s="25"/>
      <c r="AG345" s="25"/>
    </row>
    <row r="346" spans="1:33" x14ac:dyDescent="0.25">
      <c r="A346" s="18" t="str">
        <f t="shared" si="5"/>
        <v/>
      </c>
      <c r="B346" s="25"/>
      <c r="C346" s="25"/>
      <c r="D346" s="43"/>
      <c r="E346" s="44"/>
      <c r="F346" s="45"/>
      <c r="G346" s="40"/>
      <c r="H346" s="55" t="s">
        <v>255</v>
      </c>
      <c r="N346" s="66"/>
      <c r="O346" s="25"/>
      <c r="P346" s="72" t="str">
        <f>IFERROR(IF(ISBLANK(O346),"",INDEX(Gen_Vessels!$A$3:$C$500,MATCH(O346,Gen_Vessels!$C$3:$C$500,0),1)),"")</f>
        <v/>
      </c>
      <c r="Q346" s="25"/>
      <c r="R346" s="25"/>
      <c r="S346" s="25" t="str">
        <f>IFERROR(IF(ISBLANK(R346),"",INDEX(Gen_Vessels!$A$3:$C$500,MATCH(CorrectiveMinor!$R346,Gen_Vessels!$C$3:$C$500,0),1)),"")</f>
        <v/>
      </c>
      <c r="T346" s="25"/>
      <c r="U346" s="25"/>
      <c r="V346" s="25"/>
      <c r="W346" s="25"/>
      <c r="X346" s="25"/>
      <c r="Y346" s="25"/>
      <c r="AA346" s="25"/>
      <c r="AB346" s="25"/>
      <c r="AC346" s="25"/>
      <c r="AD346" s="25"/>
      <c r="AE346" s="25"/>
      <c r="AF346" s="25"/>
      <c r="AG346" s="25"/>
    </row>
    <row r="347" spans="1:33" x14ac:dyDescent="0.25">
      <c r="A347" s="18" t="str">
        <f t="shared" si="5"/>
        <v/>
      </c>
      <c r="B347" s="25"/>
      <c r="C347" s="25"/>
      <c r="D347" s="43"/>
      <c r="E347" s="44"/>
      <c r="F347" s="45"/>
      <c r="G347" s="40"/>
      <c r="H347" s="55" t="s">
        <v>255</v>
      </c>
      <c r="N347" s="66"/>
      <c r="O347" s="25"/>
      <c r="P347" s="72" t="str">
        <f>IFERROR(IF(ISBLANK(O347),"",INDEX(Gen_Vessels!$A$3:$C$500,MATCH(O347,Gen_Vessels!$C$3:$C$500,0),1)),"")</f>
        <v/>
      </c>
      <c r="Q347" s="25"/>
      <c r="R347" s="25"/>
      <c r="S347" s="25" t="str">
        <f>IFERROR(IF(ISBLANK(R347),"",INDEX(Gen_Vessels!$A$3:$C$500,MATCH(CorrectiveMinor!$R347,Gen_Vessels!$C$3:$C$500,0),1)),"")</f>
        <v/>
      </c>
      <c r="T347" s="25"/>
      <c r="U347" s="25"/>
      <c r="V347" s="25"/>
      <c r="W347" s="25"/>
      <c r="X347" s="25"/>
      <c r="Y347" s="25"/>
      <c r="AA347" s="25"/>
      <c r="AB347" s="25"/>
      <c r="AC347" s="25"/>
      <c r="AD347" s="25"/>
      <c r="AE347" s="25"/>
      <c r="AF347" s="25"/>
      <c r="AG347" s="25"/>
    </row>
    <row r="348" spans="1:33" x14ac:dyDescent="0.25">
      <c r="A348" s="18" t="str">
        <f t="shared" si="5"/>
        <v/>
      </c>
      <c r="B348" s="25"/>
      <c r="C348" s="25"/>
      <c r="D348" s="43"/>
      <c r="E348" s="44"/>
      <c r="F348" s="45"/>
      <c r="G348" s="40"/>
      <c r="H348" s="55" t="s">
        <v>255</v>
      </c>
      <c r="N348" s="66"/>
      <c r="O348" s="25"/>
      <c r="P348" s="72" t="str">
        <f>IFERROR(IF(ISBLANK(O348),"",INDEX(Gen_Vessels!$A$3:$C$500,MATCH(O348,Gen_Vessels!$C$3:$C$500,0),1)),"")</f>
        <v/>
      </c>
      <c r="Q348" s="25"/>
      <c r="R348" s="25"/>
      <c r="S348" s="25" t="str">
        <f>IFERROR(IF(ISBLANK(R348),"",INDEX(Gen_Vessels!$A$3:$C$500,MATCH(CorrectiveMinor!$R348,Gen_Vessels!$C$3:$C$500,0),1)),"")</f>
        <v/>
      </c>
      <c r="T348" s="25"/>
      <c r="U348" s="25"/>
      <c r="V348" s="25"/>
      <c r="W348" s="25"/>
      <c r="X348" s="25"/>
      <c r="Y348" s="25"/>
      <c r="AA348" s="25"/>
      <c r="AB348" s="25"/>
      <c r="AC348" s="25"/>
      <c r="AD348" s="25"/>
      <c r="AE348" s="25"/>
      <c r="AF348" s="25"/>
      <c r="AG348" s="25"/>
    </row>
    <row r="349" spans="1:33" x14ac:dyDescent="0.25">
      <c r="A349" s="18" t="str">
        <f t="shared" si="5"/>
        <v/>
      </c>
      <c r="B349" s="25"/>
      <c r="C349" s="25"/>
      <c r="D349" s="43"/>
      <c r="E349" s="44"/>
      <c r="F349" s="45"/>
      <c r="G349" s="40"/>
      <c r="H349" s="55" t="s">
        <v>255</v>
      </c>
      <c r="N349" s="66"/>
      <c r="O349" s="25"/>
      <c r="P349" s="72" t="str">
        <f>IFERROR(IF(ISBLANK(O349),"",INDEX(Gen_Vessels!$A$3:$C$500,MATCH(O349,Gen_Vessels!$C$3:$C$500,0),1)),"")</f>
        <v/>
      </c>
      <c r="Q349" s="25"/>
      <c r="R349" s="25"/>
      <c r="S349" s="25" t="str">
        <f>IFERROR(IF(ISBLANK(R349),"",INDEX(Gen_Vessels!$A$3:$C$500,MATCH(CorrectiveMinor!$R349,Gen_Vessels!$C$3:$C$500,0),1)),"")</f>
        <v/>
      </c>
      <c r="T349" s="25"/>
      <c r="U349" s="25"/>
      <c r="V349" s="25"/>
      <c r="W349" s="25"/>
      <c r="X349" s="25"/>
      <c r="Y349" s="25"/>
      <c r="AA349" s="25"/>
      <c r="AB349" s="25"/>
      <c r="AC349" s="25"/>
      <c r="AD349" s="25"/>
      <c r="AE349" s="25"/>
      <c r="AF349" s="25"/>
      <c r="AG349" s="25"/>
    </row>
    <row r="350" spans="1:33" x14ac:dyDescent="0.25">
      <c r="A350" s="18" t="str">
        <f t="shared" si="5"/>
        <v/>
      </c>
      <c r="B350" s="25"/>
      <c r="C350" s="25"/>
      <c r="D350" s="43"/>
      <c r="E350" s="44"/>
      <c r="F350" s="45"/>
      <c r="G350" s="40"/>
      <c r="H350" s="55" t="s">
        <v>255</v>
      </c>
      <c r="N350" s="66"/>
      <c r="O350" s="25"/>
      <c r="P350" s="72" t="str">
        <f>IFERROR(IF(ISBLANK(O350),"",INDEX(Gen_Vessels!$A$3:$C$500,MATCH(O350,Gen_Vessels!$C$3:$C$500,0),1)),"")</f>
        <v/>
      </c>
      <c r="Q350" s="25"/>
      <c r="R350" s="25"/>
      <c r="S350" s="25" t="str">
        <f>IFERROR(IF(ISBLANK(R350),"",INDEX(Gen_Vessels!$A$3:$C$500,MATCH(CorrectiveMinor!$R350,Gen_Vessels!$C$3:$C$500,0),1)),"")</f>
        <v/>
      </c>
      <c r="T350" s="25"/>
      <c r="U350" s="25"/>
      <c r="V350" s="25"/>
      <c r="W350" s="25"/>
      <c r="X350" s="25"/>
      <c r="Y350" s="25"/>
      <c r="AA350" s="25"/>
      <c r="AB350" s="25"/>
      <c r="AC350" s="25"/>
      <c r="AD350" s="25"/>
      <c r="AE350" s="25"/>
      <c r="AF350" s="25"/>
      <c r="AG350" s="25"/>
    </row>
    <row r="351" spans="1:33" x14ac:dyDescent="0.25">
      <c r="A351" s="18" t="str">
        <f t="shared" si="5"/>
        <v/>
      </c>
      <c r="B351" s="25"/>
      <c r="C351" s="25"/>
      <c r="D351" s="43"/>
      <c r="E351" s="44"/>
      <c r="F351" s="45"/>
      <c r="G351" s="40"/>
      <c r="H351" s="55" t="s">
        <v>255</v>
      </c>
      <c r="N351" s="66"/>
      <c r="O351" s="25"/>
      <c r="P351" s="72" t="str">
        <f>IFERROR(IF(ISBLANK(O351),"",INDEX(Gen_Vessels!$A$3:$C$500,MATCH(O351,Gen_Vessels!$C$3:$C$500,0),1)),"")</f>
        <v/>
      </c>
      <c r="Q351" s="25"/>
      <c r="R351" s="25"/>
      <c r="S351" s="25" t="str">
        <f>IFERROR(IF(ISBLANK(R351),"",INDEX(Gen_Vessels!$A$3:$C$500,MATCH(CorrectiveMinor!$R351,Gen_Vessels!$C$3:$C$500,0),1)),"")</f>
        <v/>
      </c>
      <c r="T351" s="25"/>
      <c r="U351" s="25"/>
      <c r="V351" s="25"/>
      <c r="W351" s="25"/>
      <c r="X351" s="25"/>
      <c r="Y351" s="25"/>
      <c r="AA351" s="25"/>
      <c r="AB351" s="25"/>
      <c r="AC351" s="25"/>
      <c r="AD351" s="25"/>
      <c r="AE351" s="25"/>
      <c r="AF351" s="25"/>
      <c r="AG351" s="25"/>
    </row>
    <row r="352" spans="1:33" x14ac:dyDescent="0.25">
      <c r="A352" s="18" t="str">
        <f t="shared" si="5"/>
        <v/>
      </c>
      <c r="B352" s="25"/>
      <c r="C352" s="25"/>
      <c r="D352" s="43"/>
      <c r="E352" s="44"/>
      <c r="F352" s="45"/>
      <c r="G352" s="40"/>
      <c r="H352" s="55" t="s">
        <v>255</v>
      </c>
      <c r="N352" s="66"/>
      <c r="O352" s="25"/>
      <c r="P352" s="72" t="str">
        <f>IFERROR(IF(ISBLANK(O352),"",INDEX(Gen_Vessels!$A$3:$C$500,MATCH(O352,Gen_Vessels!$C$3:$C$500,0),1)),"")</f>
        <v/>
      </c>
      <c r="Q352" s="25"/>
      <c r="R352" s="25"/>
      <c r="S352" s="25" t="str">
        <f>IFERROR(IF(ISBLANK(R352),"",INDEX(Gen_Vessels!$A$3:$C$500,MATCH(CorrectiveMinor!$R352,Gen_Vessels!$C$3:$C$500,0),1)),"")</f>
        <v/>
      </c>
      <c r="T352" s="25"/>
      <c r="U352" s="25"/>
      <c r="V352" s="25"/>
      <c r="W352" s="25"/>
      <c r="X352" s="25"/>
      <c r="Y352" s="25"/>
      <c r="AA352" s="25"/>
      <c r="AB352" s="25"/>
      <c r="AC352" s="25"/>
      <c r="AD352" s="25"/>
      <c r="AE352" s="25"/>
      <c r="AF352" s="25"/>
      <c r="AG352" s="25"/>
    </row>
    <row r="353" spans="1:33" x14ac:dyDescent="0.25">
      <c r="A353" s="18" t="str">
        <f t="shared" si="5"/>
        <v/>
      </c>
      <c r="B353" s="25"/>
      <c r="C353" s="25"/>
      <c r="D353" s="43"/>
      <c r="E353" s="44"/>
      <c r="F353" s="45"/>
      <c r="G353" s="40"/>
      <c r="H353" s="55" t="s">
        <v>255</v>
      </c>
      <c r="N353" s="66"/>
      <c r="O353" s="25"/>
      <c r="P353" s="72" t="str">
        <f>IFERROR(IF(ISBLANK(O353),"",INDEX(Gen_Vessels!$A$3:$C$500,MATCH(O353,Gen_Vessels!$C$3:$C$500,0),1)),"")</f>
        <v/>
      </c>
      <c r="Q353" s="25"/>
      <c r="R353" s="25"/>
      <c r="S353" s="25" t="str">
        <f>IFERROR(IF(ISBLANK(R353),"",INDEX(Gen_Vessels!$A$3:$C$500,MATCH(CorrectiveMinor!$R353,Gen_Vessels!$C$3:$C$500,0),1)),"")</f>
        <v/>
      </c>
      <c r="T353" s="25"/>
      <c r="U353" s="25"/>
      <c r="V353" s="25"/>
      <c r="W353" s="25"/>
      <c r="X353" s="25"/>
      <c r="Y353" s="25"/>
      <c r="AA353" s="25"/>
      <c r="AB353" s="25"/>
      <c r="AC353" s="25"/>
      <c r="AD353" s="25"/>
      <c r="AE353" s="25"/>
      <c r="AF353" s="25"/>
      <c r="AG353" s="25"/>
    </row>
    <row r="354" spans="1:33" x14ac:dyDescent="0.25">
      <c r="A354" s="18" t="str">
        <f t="shared" si="5"/>
        <v/>
      </c>
      <c r="B354" s="25"/>
      <c r="C354" s="25"/>
      <c r="D354" s="43"/>
      <c r="E354" s="44"/>
      <c r="F354" s="45"/>
      <c r="G354" s="40"/>
      <c r="H354" s="55" t="s">
        <v>255</v>
      </c>
      <c r="N354" s="66"/>
      <c r="O354" s="25"/>
      <c r="P354" s="72" t="str">
        <f>IFERROR(IF(ISBLANK(O354),"",INDEX(Gen_Vessels!$A$3:$C$500,MATCH(O354,Gen_Vessels!$C$3:$C$500,0),1)),"")</f>
        <v/>
      </c>
      <c r="Q354" s="25"/>
      <c r="R354" s="25"/>
      <c r="S354" s="25" t="str">
        <f>IFERROR(IF(ISBLANK(R354),"",INDEX(Gen_Vessels!$A$3:$C$500,MATCH(CorrectiveMinor!$R354,Gen_Vessels!$C$3:$C$500,0),1)),"")</f>
        <v/>
      </c>
      <c r="T354" s="25"/>
      <c r="U354" s="25"/>
      <c r="V354" s="25"/>
      <c r="W354" s="25"/>
      <c r="X354" s="25"/>
      <c r="Y354" s="25"/>
      <c r="AA354" s="25"/>
      <c r="AB354" s="25"/>
      <c r="AC354" s="25"/>
      <c r="AD354" s="25"/>
      <c r="AE354" s="25"/>
      <c r="AF354" s="25"/>
      <c r="AG354" s="25"/>
    </row>
    <row r="355" spans="1:33" x14ac:dyDescent="0.25">
      <c r="A355" s="18" t="str">
        <f t="shared" si="5"/>
        <v/>
      </c>
      <c r="B355" s="25"/>
      <c r="C355" s="25"/>
      <c r="D355" s="43"/>
      <c r="E355" s="44"/>
      <c r="F355" s="45"/>
      <c r="G355" s="40"/>
      <c r="H355" s="55" t="s">
        <v>255</v>
      </c>
      <c r="N355" s="66"/>
      <c r="O355" s="25"/>
      <c r="P355" s="72" t="str">
        <f>IFERROR(IF(ISBLANK(O355),"",INDEX(Gen_Vessels!$A$3:$C$500,MATCH(O355,Gen_Vessels!$C$3:$C$500,0),1)),"")</f>
        <v/>
      </c>
      <c r="Q355" s="25"/>
      <c r="R355" s="25"/>
      <c r="S355" s="25" t="str">
        <f>IFERROR(IF(ISBLANK(R355),"",INDEX(Gen_Vessels!$A$3:$C$500,MATCH(CorrectiveMinor!$R355,Gen_Vessels!$C$3:$C$500,0),1)),"")</f>
        <v/>
      </c>
      <c r="T355" s="25"/>
      <c r="U355" s="25"/>
      <c r="V355" s="25"/>
      <c r="W355" s="25"/>
      <c r="X355" s="25"/>
      <c r="Y355" s="25"/>
      <c r="AA355" s="25"/>
      <c r="AB355" s="25"/>
      <c r="AC355" s="25"/>
      <c r="AD355" s="25"/>
      <c r="AE355" s="25"/>
      <c r="AF355" s="25"/>
      <c r="AG355" s="25"/>
    </row>
    <row r="356" spans="1:33" x14ac:dyDescent="0.25">
      <c r="A356" s="18" t="str">
        <f t="shared" si="5"/>
        <v/>
      </c>
      <c r="B356" s="25"/>
      <c r="C356" s="25"/>
      <c r="D356" s="43"/>
      <c r="E356" s="44"/>
      <c r="F356" s="45"/>
      <c r="G356" s="40"/>
      <c r="H356" s="55" t="s">
        <v>255</v>
      </c>
      <c r="N356" s="66"/>
      <c r="O356" s="25"/>
      <c r="P356" s="72" t="str">
        <f>IFERROR(IF(ISBLANK(O356),"",INDEX(Gen_Vessels!$A$3:$C$500,MATCH(O356,Gen_Vessels!$C$3:$C$500,0),1)),"")</f>
        <v/>
      </c>
      <c r="Q356" s="25"/>
      <c r="R356" s="25"/>
      <c r="S356" s="25" t="str">
        <f>IFERROR(IF(ISBLANK(R356),"",INDEX(Gen_Vessels!$A$3:$C$500,MATCH(CorrectiveMinor!$R356,Gen_Vessels!$C$3:$C$500,0),1)),"")</f>
        <v/>
      </c>
      <c r="T356" s="25"/>
      <c r="U356" s="25"/>
      <c r="V356" s="25"/>
      <c r="W356" s="25"/>
      <c r="X356" s="25"/>
      <c r="Y356" s="25"/>
      <c r="AA356" s="25"/>
      <c r="AB356" s="25"/>
      <c r="AC356" s="25"/>
      <c r="AD356" s="25"/>
      <c r="AE356" s="25"/>
      <c r="AF356" s="25"/>
      <c r="AG356" s="25"/>
    </row>
    <row r="357" spans="1:33" x14ac:dyDescent="0.25">
      <c r="A357" s="18" t="str">
        <f t="shared" si="5"/>
        <v/>
      </c>
      <c r="B357" s="25"/>
      <c r="C357" s="25"/>
      <c r="D357" s="43"/>
      <c r="E357" s="44"/>
      <c r="F357" s="45"/>
      <c r="G357" s="40"/>
      <c r="H357" s="55" t="s">
        <v>255</v>
      </c>
      <c r="N357" s="66"/>
      <c r="O357" s="25"/>
      <c r="P357" s="72" t="str">
        <f>IFERROR(IF(ISBLANK(O357),"",INDEX(Gen_Vessels!$A$3:$C$500,MATCH(O357,Gen_Vessels!$C$3:$C$500,0),1)),"")</f>
        <v/>
      </c>
      <c r="Q357" s="25"/>
      <c r="R357" s="25"/>
      <c r="S357" s="25" t="str">
        <f>IFERROR(IF(ISBLANK(R357),"",INDEX(Gen_Vessels!$A$3:$C$500,MATCH(CorrectiveMinor!$R357,Gen_Vessels!$C$3:$C$500,0),1)),"")</f>
        <v/>
      </c>
      <c r="T357" s="25"/>
      <c r="U357" s="25"/>
      <c r="V357" s="25"/>
      <c r="W357" s="25"/>
      <c r="X357" s="25"/>
      <c r="Y357" s="25"/>
      <c r="AA357" s="25"/>
      <c r="AB357" s="25"/>
      <c r="AC357" s="25"/>
      <c r="AD357" s="25"/>
      <c r="AE357" s="25"/>
      <c r="AF357" s="25"/>
      <c r="AG357" s="25"/>
    </row>
    <row r="358" spans="1:33" x14ac:dyDescent="0.25">
      <c r="A358" s="18" t="str">
        <f t="shared" si="5"/>
        <v/>
      </c>
      <c r="B358" s="25"/>
      <c r="C358" s="25"/>
      <c r="D358" s="43"/>
      <c r="E358" s="44"/>
      <c r="F358" s="45"/>
      <c r="G358" s="40"/>
      <c r="H358" s="55" t="s">
        <v>255</v>
      </c>
      <c r="N358" s="66"/>
      <c r="O358" s="25"/>
      <c r="P358" s="72" t="str">
        <f>IFERROR(IF(ISBLANK(O358),"",INDEX(Gen_Vessels!$A$3:$C$500,MATCH(O358,Gen_Vessels!$C$3:$C$500,0),1)),"")</f>
        <v/>
      </c>
      <c r="Q358" s="25"/>
      <c r="R358" s="25"/>
      <c r="S358" s="25" t="str">
        <f>IFERROR(IF(ISBLANK(R358),"",INDEX(Gen_Vessels!$A$3:$C$500,MATCH(CorrectiveMinor!$R358,Gen_Vessels!$C$3:$C$500,0),1)),"")</f>
        <v/>
      </c>
      <c r="T358" s="25"/>
      <c r="U358" s="25"/>
      <c r="V358" s="25"/>
      <c r="W358" s="25"/>
      <c r="X358" s="25"/>
      <c r="Y358" s="25"/>
      <c r="AA358" s="25"/>
      <c r="AB358" s="25"/>
      <c r="AC358" s="25"/>
      <c r="AD358" s="25"/>
      <c r="AE358" s="25"/>
      <c r="AF358" s="25"/>
      <c r="AG358" s="25"/>
    </row>
    <row r="359" spans="1:33" x14ac:dyDescent="0.25">
      <c r="A359" s="18" t="str">
        <f t="shared" si="5"/>
        <v/>
      </c>
      <c r="B359" s="25"/>
      <c r="C359" s="25"/>
      <c r="D359" s="43"/>
      <c r="E359" s="44"/>
      <c r="F359" s="45"/>
      <c r="G359" s="40"/>
      <c r="H359" s="55" t="s">
        <v>255</v>
      </c>
      <c r="N359" s="66"/>
      <c r="O359" s="25"/>
      <c r="P359" s="72" t="str">
        <f>IFERROR(IF(ISBLANK(O359),"",INDEX(Gen_Vessels!$A$3:$C$500,MATCH(O359,Gen_Vessels!$C$3:$C$500,0),1)),"")</f>
        <v/>
      </c>
      <c r="Q359" s="25"/>
      <c r="R359" s="25"/>
      <c r="S359" s="25" t="str">
        <f>IFERROR(IF(ISBLANK(R359),"",INDEX(Gen_Vessels!$A$3:$C$500,MATCH(CorrectiveMinor!$R359,Gen_Vessels!$C$3:$C$500,0),1)),"")</f>
        <v/>
      </c>
      <c r="T359" s="25"/>
      <c r="U359" s="25"/>
      <c r="V359" s="25"/>
      <c r="W359" s="25"/>
      <c r="X359" s="25"/>
      <c r="Y359" s="25"/>
      <c r="AA359" s="25"/>
      <c r="AB359" s="25"/>
      <c r="AC359" s="25"/>
      <c r="AD359" s="25"/>
      <c r="AE359" s="25"/>
      <c r="AF359" s="25"/>
      <c r="AG359" s="25"/>
    </row>
    <row r="360" spans="1:33" x14ac:dyDescent="0.25">
      <c r="A360" s="18" t="str">
        <f t="shared" si="5"/>
        <v/>
      </c>
      <c r="B360" s="25"/>
      <c r="C360" s="25"/>
      <c r="D360" s="43"/>
      <c r="E360" s="44"/>
      <c r="F360" s="45"/>
      <c r="G360" s="40"/>
      <c r="H360" s="55" t="s">
        <v>255</v>
      </c>
      <c r="N360" s="66"/>
      <c r="O360" s="25"/>
      <c r="P360" s="72" t="str">
        <f>IFERROR(IF(ISBLANK(O360),"",INDEX(Gen_Vessels!$A$3:$C$500,MATCH(O360,Gen_Vessels!$C$3:$C$500,0),1)),"")</f>
        <v/>
      </c>
      <c r="Q360" s="25"/>
      <c r="R360" s="25"/>
      <c r="S360" s="25" t="str">
        <f>IFERROR(IF(ISBLANK(R360),"",INDEX(Gen_Vessels!$A$3:$C$500,MATCH(CorrectiveMinor!$R360,Gen_Vessels!$C$3:$C$500,0),1)),"")</f>
        <v/>
      </c>
      <c r="T360" s="25"/>
      <c r="U360" s="25"/>
      <c r="V360" s="25"/>
      <c r="W360" s="25"/>
      <c r="X360" s="25"/>
      <c r="Y360" s="25"/>
      <c r="AA360" s="25"/>
      <c r="AB360" s="25"/>
      <c r="AC360" s="25"/>
      <c r="AD360" s="25"/>
      <c r="AE360" s="25"/>
      <c r="AF360" s="25"/>
      <c r="AG360" s="25"/>
    </row>
    <row r="361" spans="1:33" x14ac:dyDescent="0.25">
      <c r="A361" s="18" t="str">
        <f t="shared" si="5"/>
        <v/>
      </c>
      <c r="B361" s="25"/>
      <c r="C361" s="25"/>
      <c r="D361" s="43"/>
      <c r="E361" s="44"/>
      <c r="F361" s="45"/>
      <c r="G361" s="40"/>
      <c r="H361" s="55" t="s">
        <v>255</v>
      </c>
      <c r="N361" s="66"/>
      <c r="O361" s="25"/>
      <c r="P361" s="72" t="str">
        <f>IFERROR(IF(ISBLANK(O361),"",INDEX(Gen_Vessels!$A$3:$C$500,MATCH(O361,Gen_Vessels!$C$3:$C$500,0),1)),"")</f>
        <v/>
      </c>
      <c r="Q361" s="25"/>
      <c r="R361" s="25"/>
      <c r="S361" s="25" t="str">
        <f>IFERROR(IF(ISBLANK(R361),"",INDEX(Gen_Vessels!$A$3:$C$500,MATCH(CorrectiveMinor!$R361,Gen_Vessels!$C$3:$C$500,0),1)),"")</f>
        <v/>
      </c>
      <c r="T361" s="25"/>
      <c r="U361" s="25"/>
      <c r="V361" s="25"/>
      <c r="W361" s="25"/>
      <c r="X361" s="25"/>
      <c r="Y361" s="25"/>
      <c r="AA361" s="25"/>
      <c r="AB361" s="25"/>
      <c r="AC361" s="25"/>
      <c r="AD361" s="25"/>
      <c r="AE361" s="25"/>
      <c r="AF361" s="25"/>
      <c r="AG361" s="25"/>
    </row>
    <row r="362" spans="1:33" x14ac:dyDescent="0.25">
      <c r="A362" s="18" t="str">
        <f t="shared" si="5"/>
        <v/>
      </c>
      <c r="B362" s="25"/>
      <c r="C362" s="25"/>
      <c r="D362" s="43"/>
      <c r="E362" s="44"/>
      <c r="F362" s="45"/>
      <c r="G362" s="40"/>
      <c r="H362" s="55" t="s">
        <v>255</v>
      </c>
      <c r="N362" s="66"/>
      <c r="O362" s="25"/>
      <c r="P362" s="72" t="str">
        <f>IFERROR(IF(ISBLANK(O362),"",INDEX(Gen_Vessels!$A$3:$C$500,MATCH(O362,Gen_Vessels!$C$3:$C$500,0),1)),"")</f>
        <v/>
      </c>
      <c r="Q362" s="25"/>
      <c r="R362" s="25"/>
      <c r="S362" s="25" t="str">
        <f>IFERROR(IF(ISBLANK(R362),"",INDEX(Gen_Vessels!$A$3:$C$500,MATCH(CorrectiveMinor!$R362,Gen_Vessels!$C$3:$C$500,0),1)),"")</f>
        <v/>
      </c>
      <c r="T362" s="25"/>
      <c r="U362" s="25"/>
      <c r="V362" s="25"/>
      <c r="W362" s="25"/>
      <c r="X362" s="25"/>
      <c r="Y362" s="25"/>
      <c r="AA362" s="25"/>
      <c r="AB362" s="25"/>
      <c r="AC362" s="25"/>
      <c r="AD362" s="25"/>
      <c r="AE362" s="25"/>
      <c r="AF362" s="25"/>
      <c r="AG362" s="25"/>
    </row>
    <row r="363" spans="1:33" x14ac:dyDescent="0.25">
      <c r="A363" s="18" t="str">
        <f t="shared" si="5"/>
        <v/>
      </c>
      <c r="B363" s="25"/>
      <c r="C363" s="25"/>
      <c r="D363" s="43"/>
      <c r="E363" s="44"/>
      <c r="F363" s="45"/>
      <c r="G363" s="40"/>
      <c r="H363" s="55" t="s">
        <v>255</v>
      </c>
      <c r="N363" s="66"/>
      <c r="O363" s="25"/>
      <c r="P363" s="72" t="str">
        <f>IFERROR(IF(ISBLANK(O363),"",INDEX(Gen_Vessels!$A$3:$C$500,MATCH(O363,Gen_Vessels!$C$3:$C$500,0),1)),"")</f>
        <v/>
      </c>
      <c r="Q363" s="25"/>
      <c r="R363" s="25"/>
      <c r="S363" s="25" t="str">
        <f>IFERROR(IF(ISBLANK(R363),"",INDEX(Gen_Vessels!$A$3:$C$500,MATCH(CorrectiveMinor!$R363,Gen_Vessels!$C$3:$C$500,0),1)),"")</f>
        <v/>
      </c>
      <c r="T363" s="25"/>
      <c r="U363" s="25"/>
      <c r="V363" s="25"/>
      <c r="W363" s="25"/>
      <c r="X363" s="25"/>
      <c r="Y363" s="25"/>
      <c r="AA363" s="25"/>
      <c r="AB363" s="25"/>
      <c r="AC363" s="25"/>
      <c r="AD363" s="25"/>
      <c r="AE363" s="25"/>
      <c r="AF363" s="25"/>
      <c r="AG363" s="25"/>
    </row>
    <row r="364" spans="1:33" x14ac:dyDescent="0.25">
      <c r="A364" s="18" t="str">
        <f t="shared" si="5"/>
        <v/>
      </c>
      <c r="B364" s="25"/>
      <c r="C364" s="25"/>
      <c r="D364" s="43"/>
      <c r="E364" s="44"/>
      <c r="F364" s="45"/>
      <c r="G364" s="40"/>
      <c r="H364" s="55" t="s">
        <v>255</v>
      </c>
      <c r="N364" s="66"/>
      <c r="O364" s="25"/>
      <c r="P364" s="72" t="str">
        <f>IFERROR(IF(ISBLANK(O364),"",INDEX(Gen_Vessels!$A$3:$C$500,MATCH(O364,Gen_Vessels!$C$3:$C$500,0),1)),"")</f>
        <v/>
      </c>
      <c r="Q364" s="25"/>
      <c r="R364" s="25"/>
      <c r="S364" s="25" t="str">
        <f>IFERROR(IF(ISBLANK(R364),"",INDEX(Gen_Vessels!$A$3:$C$500,MATCH(CorrectiveMinor!$R364,Gen_Vessels!$C$3:$C$500,0),1)),"")</f>
        <v/>
      </c>
      <c r="T364" s="25"/>
      <c r="U364" s="25"/>
      <c r="V364" s="25"/>
      <c r="W364" s="25"/>
      <c r="X364" s="25"/>
      <c r="Y364" s="25"/>
      <c r="AA364" s="25"/>
      <c r="AB364" s="25"/>
      <c r="AC364" s="25"/>
      <c r="AD364" s="25"/>
      <c r="AE364" s="25"/>
      <c r="AF364" s="25"/>
      <c r="AG364" s="25"/>
    </row>
    <row r="365" spans="1:33" x14ac:dyDescent="0.25">
      <c r="A365" s="18" t="str">
        <f t="shared" si="5"/>
        <v/>
      </c>
      <c r="B365" s="25"/>
      <c r="C365" s="25"/>
      <c r="D365" s="43"/>
      <c r="E365" s="44"/>
      <c r="F365" s="45"/>
      <c r="G365" s="40"/>
      <c r="H365" s="55" t="s">
        <v>255</v>
      </c>
      <c r="N365" s="66"/>
      <c r="O365" s="25"/>
      <c r="P365" s="72" t="str">
        <f>IFERROR(IF(ISBLANK(O365),"",INDEX(Gen_Vessels!$A$3:$C$500,MATCH(O365,Gen_Vessels!$C$3:$C$500,0),1)),"")</f>
        <v/>
      </c>
      <c r="Q365" s="25"/>
      <c r="R365" s="25"/>
      <c r="S365" s="25" t="str">
        <f>IFERROR(IF(ISBLANK(R365),"",INDEX(Gen_Vessels!$A$3:$C$500,MATCH(CorrectiveMinor!$R365,Gen_Vessels!$C$3:$C$500,0),1)),"")</f>
        <v/>
      </c>
      <c r="T365" s="25"/>
      <c r="U365" s="25"/>
      <c r="V365" s="25"/>
      <c r="W365" s="25"/>
      <c r="X365" s="25"/>
      <c r="Y365" s="25"/>
      <c r="AA365" s="25"/>
      <c r="AB365" s="25"/>
      <c r="AC365" s="25"/>
      <c r="AD365" s="25"/>
      <c r="AE365" s="25"/>
      <c r="AF365" s="25"/>
      <c r="AG365" s="25"/>
    </row>
    <row r="366" spans="1:33" x14ac:dyDescent="0.25">
      <c r="A366" s="18" t="str">
        <f t="shared" si="5"/>
        <v/>
      </c>
      <c r="B366" s="25"/>
      <c r="C366" s="25"/>
      <c r="D366" s="43"/>
      <c r="E366" s="44"/>
      <c r="F366" s="45"/>
      <c r="G366" s="40"/>
      <c r="H366" s="55" t="s">
        <v>255</v>
      </c>
      <c r="N366" s="66"/>
      <c r="O366" s="25"/>
      <c r="P366" s="72" t="str">
        <f>IFERROR(IF(ISBLANK(O366),"",INDEX(Gen_Vessels!$A$3:$C$500,MATCH(O366,Gen_Vessels!$C$3:$C$500,0),1)),"")</f>
        <v/>
      </c>
      <c r="Q366" s="25"/>
      <c r="R366" s="25"/>
      <c r="S366" s="25" t="str">
        <f>IFERROR(IF(ISBLANK(R366),"",INDEX(Gen_Vessels!$A$3:$C$500,MATCH(CorrectiveMinor!$R366,Gen_Vessels!$C$3:$C$500,0),1)),"")</f>
        <v/>
      </c>
      <c r="T366" s="25"/>
      <c r="U366" s="25"/>
      <c r="V366" s="25"/>
      <c r="W366" s="25"/>
      <c r="X366" s="25"/>
      <c r="Y366" s="25"/>
      <c r="AA366" s="25"/>
      <c r="AB366" s="25"/>
      <c r="AC366" s="25"/>
      <c r="AD366" s="25"/>
      <c r="AE366" s="25"/>
      <c r="AF366" s="25"/>
      <c r="AG366" s="25"/>
    </row>
    <row r="367" spans="1:33" x14ac:dyDescent="0.25">
      <c r="A367" s="18" t="str">
        <f t="shared" si="5"/>
        <v/>
      </c>
      <c r="B367" s="25"/>
      <c r="C367" s="25"/>
      <c r="D367" s="43"/>
      <c r="E367" s="44"/>
      <c r="F367" s="45"/>
      <c r="G367" s="40"/>
      <c r="H367" s="55" t="s">
        <v>255</v>
      </c>
      <c r="N367" s="66"/>
      <c r="O367" s="25"/>
      <c r="P367" s="72" t="str">
        <f>IFERROR(IF(ISBLANK(O367),"",INDEX(Gen_Vessels!$A$3:$C$500,MATCH(O367,Gen_Vessels!$C$3:$C$500,0),1)),"")</f>
        <v/>
      </c>
      <c r="Q367" s="25"/>
      <c r="R367" s="25"/>
      <c r="S367" s="25" t="str">
        <f>IFERROR(IF(ISBLANK(R367),"",INDEX(Gen_Vessels!$A$3:$C$500,MATCH(CorrectiveMinor!$R367,Gen_Vessels!$C$3:$C$500,0),1)),"")</f>
        <v/>
      </c>
      <c r="T367" s="25"/>
      <c r="U367" s="25"/>
      <c r="V367" s="25"/>
      <c r="W367" s="25"/>
      <c r="X367" s="25"/>
      <c r="Y367" s="25"/>
      <c r="AA367" s="25"/>
      <c r="AB367" s="25"/>
      <c r="AC367" s="25"/>
      <c r="AD367" s="25"/>
      <c r="AE367" s="25"/>
      <c r="AF367" s="25"/>
      <c r="AG367" s="25"/>
    </row>
    <row r="368" spans="1:33" x14ac:dyDescent="0.25">
      <c r="A368" s="18" t="str">
        <f t="shared" si="5"/>
        <v/>
      </c>
      <c r="B368" s="25"/>
      <c r="C368" s="25"/>
      <c r="D368" s="43"/>
      <c r="E368" s="44"/>
      <c r="F368" s="45"/>
      <c r="G368" s="40"/>
      <c r="H368" s="55" t="s">
        <v>255</v>
      </c>
      <c r="N368" s="66"/>
      <c r="O368" s="25"/>
      <c r="P368" s="72" t="str">
        <f>IFERROR(IF(ISBLANK(O368),"",INDEX(Gen_Vessels!$A$3:$C$500,MATCH(O368,Gen_Vessels!$C$3:$C$500,0),1)),"")</f>
        <v/>
      </c>
      <c r="Q368" s="25"/>
      <c r="R368" s="25"/>
      <c r="S368" s="25" t="str">
        <f>IFERROR(IF(ISBLANK(R368),"",INDEX(Gen_Vessels!$A$3:$C$500,MATCH(CorrectiveMinor!$R368,Gen_Vessels!$C$3:$C$500,0),1)),"")</f>
        <v/>
      </c>
      <c r="T368" s="25"/>
      <c r="U368" s="25"/>
      <c r="V368" s="25"/>
      <c r="W368" s="25"/>
      <c r="X368" s="25"/>
      <c r="Y368" s="25"/>
      <c r="AA368" s="25"/>
      <c r="AB368" s="25"/>
      <c r="AC368" s="25"/>
      <c r="AD368" s="25"/>
      <c r="AE368" s="25"/>
      <c r="AF368" s="25"/>
      <c r="AG368" s="25"/>
    </row>
    <row r="369" spans="1:33" x14ac:dyDescent="0.25">
      <c r="A369" s="18" t="str">
        <f t="shared" si="5"/>
        <v/>
      </c>
      <c r="B369" s="25"/>
      <c r="C369" s="25"/>
      <c r="D369" s="43"/>
      <c r="E369" s="44"/>
      <c r="F369" s="45"/>
      <c r="G369" s="40"/>
      <c r="H369" s="55" t="s">
        <v>255</v>
      </c>
      <c r="N369" s="66"/>
      <c r="O369" s="25"/>
      <c r="P369" s="72" t="str">
        <f>IFERROR(IF(ISBLANK(O369),"",INDEX(Gen_Vessels!$A$3:$C$500,MATCH(O369,Gen_Vessels!$C$3:$C$500,0),1)),"")</f>
        <v/>
      </c>
      <c r="Q369" s="25"/>
      <c r="R369" s="25"/>
      <c r="S369" s="25" t="str">
        <f>IFERROR(IF(ISBLANK(R369),"",INDEX(Gen_Vessels!$A$3:$C$500,MATCH(CorrectiveMinor!$R369,Gen_Vessels!$C$3:$C$500,0),1)),"")</f>
        <v/>
      </c>
      <c r="T369" s="25"/>
      <c r="U369" s="25"/>
      <c r="V369" s="25"/>
      <c r="W369" s="25"/>
      <c r="X369" s="25"/>
      <c r="Y369" s="25"/>
      <c r="AA369" s="25"/>
      <c r="AB369" s="25"/>
      <c r="AC369" s="25"/>
      <c r="AD369" s="25"/>
      <c r="AE369" s="25"/>
      <c r="AF369" s="25"/>
      <c r="AG369" s="25"/>
    </row>
    <row r="370" spans="1:33" x14ac:dyDescent="0.25">
      <c r="A370" s="18" t="str">
        <f t="shared" si="5"/>
        <v/>
      </c>
      <c r="B370" s="25"/>
      <c r="C370" s="25"/>
      <c r="D370" s="43"/>
      <c r="E370" s="44"/>
      <c r="F370" s="45"/>
      <c r="G370" s="40"/>
      <c r="H370" s="55" t="s">
        <v>255</v>
      </c>
      <c r="N370" s="66"/>
      <c r="O370" s="25"/>
      <c r="P370" s="72" t="str">
        <f>IFERROR(IF(ISBLANK(O370),"",INDEX(Gen_Vessels!$A$3:$C$500,MATCH(O370,Gen_Vessels!$C$3:$C$500,0),1)),"")</f>
        <v/>
      </c>
      <c r="Q370" s="25"/>
      <c r="R370" s="25"/>
      <c r="S370" s="25" t="str">
        <f>IFERROR(IF(ISBLANK(R370),"",INDEX(Gen_Vessels!$A$3:$C$500,MATCH(CorrectiveMinor!$R370,Gen_Vessels!$C$3:$C$500,0),1)),"")</f>
        <v/>
      </c>
      <c r="T370" s="25"/>
      <c r="U370" s="25"/>
      <c r="V370" s="25"/>
      <c r="W370" s="25"/>
      <c r="X370" s="25"/>
      <c r="Y370" s="25"/>
      <c r="AA370" s="25"/>
      <c r="AB370" s="25"/>
      <c r="AC370" s="25"/>
      <c r="AD370" s="25"/>
      <c r="AE370" s="25"/>
      <c r="AF370" s="25"/>
      <c r="AG370" s="25"/>
    </row>
    <row r="371" spans="1:33" x14ac:dyDescent="0.25">
      <c r="A371" s="18" t="str">
        <f t="shared" si="5"/>
        <v/>
      </c>
      <c r="B371" s="25"/>
      <c r="C371" s="25"/>
      <c r="D371" s="43"/>
      <c r="E371" s="44"/>
      <c r="F371" s="45"/>
      <c r="G371" s="40"/>
      <c r="H371" s="55" t="s">
        <v>255</v>
      </c>
      <c r="N371" s="66"/>
      <c r="O371" s="25"/>
      <c r="P371" s="72" t="str">
        <f>IFERROR(IF(ISBLANK(O371),"",INDEX(Gen_Vessels!$A$3:$C$500,MATCH(O371,Gen_Vessels!$C$3:$C$500,0),1)),"")</f>
        <v/>
      </c>
      <c r="Q371" s="25"/>
      <c r="R371" s="25"/>
      <c r="S371" s="25" t="str">
        <f>IFERROR(IF(ISBLANK(R371),"",INDEX(Gen_Vessels!$A$3:$C$500,MATCH(CorrectiveMinor!$R371,Gen_Vessels!$C$3:$C$500,0),1)),"")</f>
        <v/>
      </c>
      <c r="T371" s="25"/>
      <c r="U371" s="25"/>
      <c r="V371" s="25"/>
      <c r="W371" s="25"/>
      <c r="X371" s="25"/>
      <c r="Y371" s="25"/>
      <c r="AA371" s="25"/>
      <c r="AB371" s="25"/>
      <c r="AC371" s="25"/>
      <c r="AD371" s="25"/>
      <c r="AE371" s="25"/>
      <c r="AF371" s="25"/>
      <c r="AG371" s="25"/>
    </row>
    <row r="372" spans="1:33" x14ac:dyDescent="0.25">
      <c r="A372" s="18" t="str">
        <f t="shared" si="5"/>
        <v/>
      </c>
      <c r="B372" s="25"/>
      <c r="C372" s="25"/>
      <c r="D372" s="43"/>
      <c r="E372" s="44"/>
      <c r="F372" s="45"/>
      <c r="G372" s="40"/>
      <c r="H372" s="55" t="s">
        <v>255</v>
      </c>
      <c r="N372" s="66"/>
      <c r="O372" s="25"/>
      <c r="P372" s="72" t="str">
        <f>IFERROR(IF(ISBLANK(O372),"",INDEX(Gen_Vessels!$A$3:$C$500,MATCH(O372,Gen_Vessels!$C$3:$C$500,0),1)),"")</f>
        <v/>
      </c>
      <c r="Q372" s="25"/>
      <c r="R372" s="25"/>
      <c r="S372" s="25" t="str">
        <f>IFERROR(IF(ISBLANK(R372),"",INDEX(Gen_Vessels!$A$3:$C$500,MATCH(CorrectiveMinor!$R372,Gen_Vessels!$C$3:$C$500,0),1)),"")</f>
        <v/>
      </c>
      <c r="T372" s="25"/>
      <c r="U372" s="25"/>
      <c r="V372" s="25"/>
      <c r="W372" s="25"/>
      <c r="X372" s="25"/>
      <c r="Y372" s="25"/>
      <c r="AA372" s="25"/>
      <c r="AB372" s="25"/>
      <c r="AC372" s="25"/>
      <c r="AD372" s="25"/>
      <c r="AE372" s="25"/>
      <c r="AF372" s="25"/>
      <c r="AG372" s="25"/>
    </row>
    <row r="373" spans="1:33" x14ac:dyDescent="0.25">
      <c r="A373" s="18" t="str">
        <f t="shared" si="5"/>
        <v/>
      </c>
      <c r="B373" s="25"/>
      <c r="C373" s="25"/>
      <c r="D373" s="43"/>
      <c r="E373" s="44"/>
      <c r="F373" s="45"/>
      <c r="G373" s="40"/>
      <c r="H373" s="55" t="s">
        <v>255</v>
      </c>
      <c r="N373" s="66"/>
      <c r="O373" s="25"/>
      <c r="P373" s="72" t="str">
        <f>IFERROR(IF(ISBLANK(O373),"",INDEX(Gen_Vessels!$A$3:$C$500,MATCH(O373,Gen_Vessels!$C$3:$C$500,0),1)),"")</f>
        <v/>
      </c>
      <c r="Q373" s="25"/>
      <c r="R373" s="25"/>
      <c r="S373" s="25" t="str">
        <f>IFERROR(IF(ISBLANK(R373),"",INDEX(Gen_Vessels!$A$3:$C$500,MATCH(CorrectiveMinor!$R373,Gen_Vessels!$C$3:$C$500,0),1)),"")</f>
        <v/>
      </c>
      <c r="T373" s="25"/>
      <c r="U373" s="25"/>
      <c r="V373" s="25"/>
      <c r="W373" s="25"/>
      <c r="X373" s="25"/>
      <c r="Y373" s="25"/>
      <c r="AA373" s="25"/>
      <c r="AB373" s="25"/>
      <c r="AC373" s="25"/>
      <c r="AD373" s="25"/>
      <c r="AE373" s="25"/>
      <c r="AF373" s="25"/>
      <c r="AG373" s="25"/>
    </row>
    <row r="374" spans="1:33" x14ac:dyDescent="0.25">
      <c r="A374" s="18" t="str">
        <f t="shared" si="5"/>
        <v/>
      </c>
      <c r="B374" s="25"/>
      <c r="C374" s="25"/>
      <c r="D374" s="43"/>
      <c r="E374" s="44"/>
      <c r="F374" s="45"/>
      <c r="G374" s="40"/>
      <c r="H374" s="55" t="s">
        <v>255</v>
      </c>
      <c r="N374" s="66"/>
      <c r="O374" s="25"/>
      <c r="P374" s="72" t="str">
        <f>IFERROR(IF(ISBLANK(O374),"",INDEX(Gen_Vessels!$A$3:$C$500,MATCH(O374,Gen_Vessels!$C$3:$C$500,0),1)),"")</f>
        <v/>
      </c>
      <c r="Q374" s="25"/>
      <c r="R374" s="25"/>
      <c r="S374" s="25" t="str">
        <f>IFERROR(IF(ISBLANK(R374),"",INDEX(Gen_Vessels!$A$3:$C$500,MATCH(CorrectiveMinor!$R374,Gen_Vessels!$C$3:$C$500,0),1)),"")</f>
        <v/>
      </c>
      <c r="T374" s="25"/>
      <c r="U374" s="25"/>
      <c r="V374" s="25"/>
      <c r="W374" s="25"/>
      <c r="X374" s="25"/>
      <c r="Y374" s="25"/>
      <c r="AA374" s="25"/>
      <c r="AB374" s="25"/>
      <c r="AC374" s="25"/>
      <c r="AD374" s="25"/>
      <c r="AE374" s="25"/>
      <c r="AF374" s="25"/>
      <c r="AG374" s="25"/>
    </row>
    <row r="375" spans="1:33" x14ac:dyDescent="0.25">
      <c r="A375" s="18" t="str">
        <f t="shared" si="5"/>
        <v/>
      </c>
      <c r="B375" s="25"/>
      <c r="C375" s="25"/>
      <c r="D375" s="43"/>
      <c r="E375" s="44"/>
      <c r="F375" s="45"/>
      <c r="G375" s="40"/>
      <c r="H375" s="55" t="s">
        <v>255</v>
      </c>
      <c r="N375" s="66"/>
      <c r="O375" s="25"/>
      <c r="P375" s="72" t="str">
        <f>IFERROR(IF(ISBLANK(O375),"",INDEX(Gen_Vessels!$A$3:$C$500,MATCH(O375,Gen_Vessels!$C$3:$C$500,0),1)),"")</f>
        <v/>
      </c>
      <c r="Q375" s="25"/>
      <c r="R375" s="25"/>
      <c r="S375" s="25" t="str">
        <f>IFERROR(IF(ISBLANK(R375),"",INDEX(Gen_Vessels!$A$3:$C$500,MATCH(CorrectiveMinor!$R375,Gen_Vessels!$C$3:$C$500,0),1)),"")</f>
        <v/>
      </c>
      <c r="T375" s="25"/>
      <c r="U375" s="25"/>
      <c r="V375" s="25"/>
      <c r="W375" s="25"/>
      <c r="X375" s="25"/>
      <c r="Y375" s="25"/>
      <c r="AA375" s="25"/>
      <c r="AB375" s="25"/>
      <c r="AC375" s="25"/>
      <c r="AD375" s="25"/>
      <c r="AE375" s="25"/>
      <c r="AF375" s="25"/>
      <c r="AG375" s="25"/>
    </row>
    <row r="376" spans="1:33" x14ac:dyDescent="0.25">
      <c r="A376" s="18" t="str">
        <f t="shared" si="5"/>
        <v/>
      </c>
      <c r="B376" s="25"/>
      <c r="C376" s="25"/>
      <c r="D376" s="43"/>
      <c r="E376" s="44"/>
      <c r="F376" s="45"/>
      <c r="G376" s="40"/>
      <c r="H376" s="55" t="s">
        <v>255</v>
      </c>
      <c r="N376" s="66"/>
      <c r="O376" s="25"/>
      <c r="P376" s="72" t="str">
        <f>IFERROR(IF(ISBLANK(O376),"",INDEX(Gen_Vessels!$A$3:$C$500,MATCH(O376,Gen_Vessels!$C$3:$C$500,0),1)),"")</f>
        <v/>
      </c>
      <c r="Q376" s="25"/>
      <c r="R376" s="25"/>
      <c r="S376" s="25" t="str">
        <f>IFERROR(IF(ISBLANK(R376),"",INDEX(Gen_Vessels!$A$3:$C$500,MATCH(CorrectiveMinor!$R376,Gen_Vessels!$C$3:$C$500,0),1)),"")</f>
        <v/>
      </c>
      <c r="T376" s="25"/>
      <c r="U376" s="25"/>
      <c r="V376" s="25"/>
      <c r="W376" s="25"/>
      <c r="X376" s="25"/>
      <c r="Y376" s="25"/>
      <c r="AA376" s="25"/>
      <c r="AB376" s="25"/>
      <c r="AC376" s="25"/>
      <c r="AD376" s="25"/>
      <c r="AE376" s="25"/>
      <c r="AF376" s="25"/>
      <c r="AG376" s="25"/>
    </row>
    <row r="377" spans="1:33" x14ac:dyDescent="0.25">
      <c r="A377" s="18" t="str">
        <f t="shared" si="5"/>
        <v/>
      </c>
      <c r="B377" s="25"/>
      <c r="C377" s="25"/>
      <c r="D377" s="43"/>
      <c r="E377" s="44"/>
      <c r="F377" s="45"/>
      <c r="G377" s="40"/>
      <c r="H377" s="55" t="s">
        <v>255</v>
      </c>
      <c r="N377" s="66"/>
      <c r="O377" s="25"/>
      <c r="P377" s="72" t="str">
        <f>IFERROR(IF(ISBLANK(O377),"",INDEX(Gen_Vessels!$A$3:$C$500,MATCH(O377,Gen_Vessels!$C$3:$C$500,0),1)),"")</f>
        <v/>
      </c>
      <c r="Q377" s="25"/>
      <c r="R377" s="25"/>
      <c r="S377" s="25" t="str">
        <f>IFERROR(IF(ISBLANK(R377),"",INDEX(Gen_Vessels!$A$3:$C$500,MATCH(CorrectiveMinor!$R377,Gen_Vessels!$C$3:$C$500,0),1)),"")</f>
        <v/>
      </c>
      <c r="T377" s="25"/>
      <c r="U377" s="25"/>
      <c r="V377" s="25"/>
      <c r="W377" s="25"/>
      <c r="X377" s="25"/>
      <c r="Y377" s="25"/>
      <c r="AA377" s="25"/>
      <c r="AB377" s="25"/>
      <c r="AC377" s="25"/>
      <c r="AD377" s="25"/>
      <c r="AE377" s="25"/>
      <c r="AF377" s="25"/>
      <c r="AG377" s="25"/>
    </row>
    <row r="378" spans="1:33" x14ac:dyDescent="0.25">
      <c r="A378" s="18" t="str">
        <f t="shared" si="5"/>
        <v/>
      </c>
      <c r="B378" s="25"/>
      <c r="C378" s="25"/>
      <c r="D378" s="43"/>
      <c r="E378" s="44"/>
      <c r="F378" s="45"/>
      <c r="G378" s="40"/>
      <c r="H378" s="55" t="s">
        <v>255</v>
      </c>
      <c r="N378" s="66"/>
      <c r="O378" s="25"/>
      <c r="P378" s="72" t="str">
        <f>IFERROR(IF(ISBLANK(O378),"",INDEX(Gen_Vessels!$A$3:$C$500,MATCH(O378,Gen_Vessels!$C$3:$C$500,0),1)),"")</f>
        <v/>
      </c>
      <c r="Q378" s="25"/>
      <c r="R378" s="25"/>
      <c r="S378" s="25" t="str">
        <f>IFERROR(IF(ISBLANK(R378),"",INDEX(Gen_Vessels!$A$3:$C$500,MATCH(CorrectiveMinor!$R378,Gen_Vessels!$C$3:$C$500,0),1)),"")</f>
        <v/>
      </c>
      <c r="T378" s="25"/>
      <c r="U378" s="25"/>
      <c r="V378" s="25"/>
      <c r="W378" s="25"/>
      <c r="X378" s="25"/>
      <c r="Y378" s="25"/>
      <c r="AA378" s="25"/>
      <c r="AB378" s="25"/>
      <c r="AC378" s="25"/>
      <c r="AD378" s="25"/>
      <c r="AE378" s="25"/>
      <c r="AF378" s="25"/>
      <c r="AG378" s="25"/>
    </row>
    <row r="379" spans="1:33" x14ac:dyDescent="0.25">
      <c r="A379" s="18" t="str">
        <f t="shared" ref="A379:A442" si="6">IF(ISBLANK($B379)=FALSE,IF(AND($D379&gt;0,$E379&lt;=0,$F379&lt;=0),_xlfn.CONCAT("ofw_",$B379),IF(AND($D379&lt;=0,$E379&gt;0,$F379&lt;=0),_xlfn.CONCAT("owc_",$B379),IF(AND($D379&lt;=0,$E379&lt;=0,$F379&gt;0),_xlfn.CONCAT("opv_",$B379),_xlfn.CONCAT("oce_",$B379)))),"")</f>
        <v/>
      </c>
      <c r="B379" s="25"/>
      <c r="C379" s="25"/>
      <c r="D379" s="43"/>
      <c r="E379" s="44"/>
      <c r="F379" s="45"/>
      <c r="G379" s="40"/>
      <c r="H379" s="55" t="s">
        <v>255</v>
      </c>
      <c r="N379" s="66"/>
      <c r="O379" s="25"/>
      <c r="P379" s="72" t="str">
        <f>IFERROR(IF(ISBLANK(O379),"",INDEX(Gen_Vessels!$A$3:$C$500,MATCH(O379,Gen_Vessels!$C$3:$C$500,0),1)),"")</f>
        <v/>
      </c>
      <c r="Q379" s="25"/>
      <c r="R379" s="25"/>
      <c r="S379" s="25" t="str">
        <f>IFERROR(IF(ISBLANK(R379),"",INDEX(Gen_Vessels!$A$3:$C$500,MATCH(CorrectiveMinor!$R379,Gen_Vessels!$C$3:$C$500,0),1)),"")</f>
        <v/>
      </c>
      <c r="T379" s="25"/>
      <c r="U379" s="25"/>
      <c r="V379" s="25"/>
      <c r="W379" s="25"/>
      <c r="X379" s="25"/>
      <c r="Y379" s="25"/>
      <c r="AA379" s="25"/>
      <c r="AB379" s="25"/>
      <c r="AC379" s="25"/>
      <c r="AD379" s="25"/>
      <c r="AE379" s="25"/>
      <c r="AF379" s="25"/>
      <c r="AG379" s="25"/>
    </row>
    <row r="380" spans="1:33" x14ac:dyDescent="0.25">
      <c r="A380" s="18" t="str">
        <f t="shared" si="6"/>
        <v/>
      </c>
      <c r="B380" s="25"/>
      <c r="C380" s="25"/>
      <c r="D380" s="43"/>
      <c r="E380" s="44"/>
      <c r="F380" s="45"/>
      <c r="G380" s="40"/>
      <c r="H380" s="55" t="s">
        <v>255</v>
      </c>
      <c r="N380" s="66"/>
      <c r="O380" s="25"/>
      <c r="P380" s="72" t="str">
        <f>IFERROR(IF(ISBLANK(O380),"",INDEX(Gen_Vessels!$A$3:$C$500,MATCH(O380,Gen_Vessels!$C$3:$C$500,0),1)),"")</f>
        <v/>
      </c>
      <c r="Q380" s="25"/>
      <c r="R380" s="25"/>
      <c r="S380" s="25" t="str">
        <f>IFERROR(IF(ISBLANK(R380),"",INDEX(Gen_Vessels!$A$3:$C$500,MATCH(CorrectiveMinor!$R380,Gen_Vessels!$C$3:$C$500,0),1)),"")</f>
        <v/>
      </c>
      <c r="T380" s="25"/>
      <c r="U380" s="25"/>
      <c r="V380" s="25"/>
      <c r="W380" s="25"/>
      <c r="X380" s="25"/>
      <c r="Y380" s="25"/>
      <c r="AA380" s="25"/>
      <c r="AB380" s="25"/>
      <c r="AC380" s="25"/>
      <c r="AD380" s="25"/>
      <c r="AE380" s="25"/>
      <c r="AF380" s="25"/>
      <c r="AG380" s="25"/>
    </row>
    <row r="381" spans="1:33" x14ac:dyDescent="0.25">
      <c r="A381" s="18" t="str">
        <f t="shared" si="6"/>
        <v/>
      </c>
      <c r="B381" s="25"/>
      <c r="C381" s="25"/>
      <c r="D381" s="43"/>
      <c r="E381" s="44"/>
      <c r="F381" s="45"/>
      <c r="G381" s="40"/>
      <c r="H381" s="55" t="s">
        <v>255</v>
      </c>
      <c r="N381" s="66"/>
      <c r="O381" s="25"/>
      <c r="P381" s="72" t="str">
        <f>IFERROR(IF(ISBLANK(O381),"",INDEX(Gen_Vessels!$A$3:$C$500,MATCH(O381,Gen_Vessels!$C$3:$C$500,0),1)),"")</f>
        <v/>
      </c>
      <c r="Q381" s="25"/>
      <c r="R381" s="25"/>
      <c r="S381" s="25" t="str">
        <f>IFERROR(IF(ISBLANK(R381),"",INDEX(Gen_Vessels!$A$3:$C$500,MATCH(CorrectiveMinor!$R381,Gen_Vessels!$C$3:$C$500,0),1)),"")</f>
        <v/>
      </c>
      <c r="T381" s="25"/>
      <c r="U381" s="25"/>
      <c r="V381" s="25"/>
      <c r="W381" s="25"/>
      <c r="X381" s="25"/>
      <c r="Y381" s="25"/>
      <c r="AA381" s="25"/>
      <c r="AB381" s="25"/>
      <c r="AC381" s="25"/>
      <c r="AD381" s="25"/>
      <c r="AE381" s="25"/>
      <c r="AF381" s="25"/>
      <c r="AG381" s="25"/>
    </row>
    <row r="382" spans="1:33" x14ac:dyDescent="0.25">
      <c r="A382" s="18" t="str">
        <f t="shared" si="6"/>
        <v/>
      </c>
      <c r="B382" s="25"/>
      <c r="C382" s="25"/>
      <c r="D382" s="43"/>
      <c r="E382" s="44"/>
      <c r="F382" s="45"/>
      <c r="G382" s="40"/>
      <c r="H382" s="55" t="s">
        <v>255</v>
      </c>
      <c r="N382" s="66"/>
      <c r="O382" s="25"/>
      <c r="P382" s="72" t="str">
        <f>IFERROR(IF(ISBLANK(O382),"",INDEX(Gen_Vessels!$A$3:$C$500,MATCH(O382,Gen_Vessels!$C$3:$C$500,0),1)),"")</f>
        <v/>
      </c>
      <c r="Q382" s="25"/>
      <c r="R382" s="25"/>
      <c r="S382" s="25" t="str">
        <f>IFERROR(IF(ISBLANK(R382),"",INDEX(Gen_Vessels!$A$3:$C$500,MATCH(CorrectiveMinor!$R382,Gen_Vessels!$C$3:$C$500,0),1)),"")</f>
        <v/>
      </c>
      <c r="T382" s="25"/>
      <c r="U382" s="25"/>
      <c r="V382" s="25"/>
      <c r="W382" s="25"/>
      <c r="X382" s="25"/>
      <c r="Y382" s="25"/>
      <c r="AA382" s="25"/>
      <c r="AB382" s="25"/>
      <c r="AC382" s="25"/>
      <c r="AD382" s="25"/>
      <c r="AE382" s="25"/>
      <c r="AF382" s="25"/>
      <c r="AG382" s="25"/>
    </row>
    <row r="383" spans="1:33" x14ac:dyDescent="0.25">
      <c r="A383" s="18" t="str">
        <f t="shared" si="6"/>
        <v/>
      </c>
      <c r="B383" s="25"/>
      <c r="C383" s="25"/>
      <c r="D383" s="43"/>
      <c r="E383" s="44"/>
      <c r="F383" s="45"/>
      <c r="G383" s="40"/>
      <c r="H383" s="55" t="s">
        <v>255</v>
      </c>
      <c r="N383" s="66"/>
      <c r="O383" s="25"/>
      <c r="P383" s="72" t="str">
        <f>IFERROR(IF(ISBLANK(O383),"",INDEX(Gen_Vessels!$A$3:$C$500,MATCH(O383,Gen_Vessels!$C$3:$C$500,0),1)),"")</f>
        <v/>
      </c>
      <c r="Q383" s="25"/>
      <c r="R383" s="25"/>
      <c r="S383" s="25" t="str">
        <f>IFERROR(IF(ISBLANK(R383),"",INDEX(Gen_Vessels!$A$3:$C$500,MATCH(CorrectiveMinor!$R383,Gen_Vessels!$C$3:$C$500,0),1)),"")</f>
        <v/>
      </c>
      <c r="T383" s="25"/>
      <c r="U383" s="25"/>
      <c r="V383" s="25"/>
      <c r="W383" s="25"/>
      <c r="X383" s="25"/>
      <c r="Y383" s="25"/>
      <c r="AA383" s="25"/>
      <c r="AB383" s="25"/>
      <c r="AC383" s="25"/>
      <c r="AD383" s="25"/>
      <c r="AE383" s="25"/>
      <c r="AF383" s="25"/>
      <c r="AG383" s="25"/>
    </row>
    <row r="384" spans="1:33" x14ac:dyDescent="0.25">
      <c r="A384" s="18" t="str">
        <f t="shared" si="6"/>
        <v/>
      </c>
      <c r="B384" s="25"/>
      <c r="C384" s="25"/>
      <c r="D384" s="43"/>
      <c r="E384" s="44"/>
      <c r="F384" s="45"/>
      <c r="G384" s="40"/>
      <c r="H384" s="55" t="s">
        <v>255</v>
      </c>
      <c r="N384" s="66"/>
      <c r="O384" s="25"/>
      <c r="P384" s="72" t="str">
        <f>IFERROR(IF(ISBLANK(O384),"",INDEX(Gen_Vessels!$A$3:$C$500,MATCH(O384,Gen_Vessels!$C$3:$C$500,0),1)),"")</f>
        <v/>
      </c>
      <c r="Q384" s="25"/>
      <c r="R384" s="25"/>
      <c r="S384" s="25" t="str">
        <f>IFERROR(IF(ISBLANK(R384),"",INDEX(Gen_Vessels!$A$3:$C$500,MATCH(CorrectiveMinor!$R384,Gen_Vessels!$C$3:$C$500,0),1)),"")</f>
        <v/>
      </c>
      <c r="T384" s="25"/>
      <c r="U384" s="25"/>
      <c r="V384" s="25"/>
      <c r="W384" s="25"/>
      <c r="X384" s="25"/>
      <c r="Y384" s="25"/>
      <c r="AA384" s="25"/>
      <c r="AB384" s="25"/>
      <c r="AC384" s="25"/>
      <c r="AD384" s="25"/>
      <c r="AE384" s="25"/>
      <c r="AF384" s="25"/>
      <c r="AG384" s="25"/>
    </row>
    <row r="385" spans="1:33" x14ac:dyDescent="0.25">
      <c r="A385" s="18" t="str">
        <f t="shared" si="6"/>
        <v/>
      </c>
      <c r="B385" s="25"/>
      <c r="C385" s="25"/>
      <c r="D385" s="43"/>
      <c r="E385" s="44"/>
      <c r="F385" s="45"/>
      <c r="G385" s="40"/>
      <c r="H385" s="55" t="s">
        <v>255</v>
      </c>
      <c r="N385" s="66"/>
      <c r="O385" s="25"/>
      <c r="P385" s="72" t="str">
        <f>IFERROR(IF(ISBLANK(O385),"",INDEX(Gen_Vessels!$A$3:$C$500,MATCH(O385,Gen_Vessels!$C$3:$C$500,0),1)),"")</f>
        <v/>
      </c>
      <c r="Q385" s="25"/>
      <c r="R385" s="25"/>
      <c r="S385" s="25" t="str">
        <f>IFERROR(IF(ISBLANK(R385),"",INDEX(Gen_Vessels!$A$3:$C$500,MATCH(CorrectiveMinor!$R385,Gen_Vessels!$C$3:$C$500,0),1)),"")</f>
        <v/>
      </c>
      <c r="T385" s="25"/>
      <c r="U385" s="25"/>
      <c r="V385" s="25"/>
      <c r="W385" s="25"/>
      <c r="X385" s="25"/>
      <c r="Y385" s="25"/>
      <c r="AA385" s="25"/>
      <c r="AB385" s="25"/>
      <c r="AC385" s="25"/>
      <c r="AD385" s="25"/>
      <c r="AE385" s="25"/>
      <c r="AF385" s="25"/>
      <c r="AG385" s="25"/>
    </row>
    <row r="386" spans="1:33" x14ac:dyDescent="0.25">
      <c r="A386" s="18" t="str">
        <f t="shared" si="6"/>
        <v/>
      </c>
      <c r="B386" s="25"/>
      <c r="C386" s="25"/>
      <c r="D386" s="43"/>
      <c r="E386" s="44"/>
      <c r="F386" s="45"/>
      <c r="G386" s="40"/>
      <c r="H386" s="55" t="s">
        <v>255</v>
      </c>
      <c r="N386" s="66"/>
      <c r="O386" s="25"/>
      <c r="P386" s="72" t="str">
        <f>IFERROR(IF(ISBLANK(O386),"",INDEX(Gen_Vessels!$A$3:$C$500,MATCH(O386,Gen_Vessels!$C$3:$C$500,0),1)),"")</f>
        <v/>
      </c>
      <c r="Q386" s="25"/>
      <c r="R386" s="25"/>
      <c r="S386" s="25" t="str">
        <f>IFERROR(IF(ISBLANK(R386),"",INDEX(Gen_Vessels!$A$3:$C$500,MATCH(CorrectiveMinor!$R386,Gen_Vessels!$C$3:$C$500,0),1)),"")</f>
        <v/>
      </c>
      <c r="T386" s="25"/>
      <c r="U386" s="25"/>
      <c r="V386" s="25"/>
      <c r="W386" s="25"/>
      <c r="X386" s="25"/>
      <c r="Y386" s="25"/>
      <c r="AA386" s="25"/>
      <c r="AB386" s="25"/>
      <c r="AC386" s="25"/>
      <c r="AD386" s="25"/>
      <c r="AE386" s="25"/>
      <c r="AF386" s="25"/>
      <c r="AG386" s="25"/>
    </row>
    <row r="387" spans="1:33" x14ac:dyDescent="0.25">
      <c r="A387" s="18" t="str">
        <f t="shared" si="6"/>
        <v/>
      </c>
      <c r="B387" s="25"/>
      <c r="C387" s="25"/>
      <c r="D387" s="43"/>
      <c r="E387" s="44"/>
      <c r="F387" s="45"/>
      <c r="G387" s="40"/>
      <c r="H387" s="55" t="s">
        <v>255</v>
      </c>
      <c r="N387" s="66"/>
      <c r="O387" s="25"/>
      <c r="P387" s="72" t="str">
        <f>IFERROR(IF(ISBLANK(O387),"",INDEX(Gen_Vessels!$A$3:$C$500,MATCH(O387,Gen_Vessels!$C$3:$C$500,0),1)),"")</f>
        <v/>
      </c>
      <c r="Q387" s="25"/>
      <c r="R387" s="25"/>
      <c r="S387" s="25" t="str">
        <f>IFERROR(IF(ISBLANK(R387),"",INDEX(Gen_Vessels!$A$3:$C$500,MATCH(CorrectiveMinor!$R387,Gen_Vessels!$C$3:$C$500,0),1)),"")</f>
        <v/>
      </c>
      <c r="T387" s="25"/>
      <c r="U387" s="25"/>
      <c r="V387" s="25"/>
      <c r="W387" s="25"/>
      <c r="X387" s="25"/>
      <c r="Y387" s="25"/>
      <c r="AA387" s="25"/>
      <c r="AB387" s="25"/>
      <c r="AC387" s="25"/>
      <c r="AD387" s="25"/>
      <c r="AE387" s="25"/>
      <c r="AF387" s="25"/>
      <c r="AG387" s="25"/>
    </row>
    <row r="388" spans="1:33" x14ac:dyDescent="0.25">
      <c r="A388" s="18" t="str">
        <f t="shared" si="6"/>
        <v/>
      </c>
      <c r="B388" s="25"/>
      <c r="C388" s="25"/>
      <c r="D388" s="43"/>
      <c r="E388" s="44"/>
      <c r="F388" s="45"/>
      <c r="G388" s="40"/>
      <c r="H388" s="55" t="s">
        <v>255</v>
      </c>
      <c r="N388" s="66"/>
      <c r="O388" s="25"/>
      <c r="P388" s="72" t="str">
        <f>IFERROR(IF(ISBLANK(O388),"",INDEX(Gen_Vessels!$A$3:$C$500,MATCH(O388,Gen_Vessels!$C$3:$C$500,0),1)),"")</f>
        <v/>
      </c>
      <c r="Q388" s="25"/>
      <c r="R388" s="25"/>
      <c r="S388" s="25" t="str">
        <f>IFERROR(IF(ISBLANK(R388),"",INDEX(Gen_Vessels!$A$3:$C$500,MATCH(CorrectiveMinor!$R388,Gen_Vessels!$C$3:$C$500,0),1)),"")</f>
        <v/>
      </c>
      <c r="T388" s="25"/>
      <c r="U388" s="25"/>
      <c r="V388" s="25"/>
      <c r="W388" s="25"/>
      <c r="X388" s="25"/>
      <c r="Y388" s="25"/>
      <c r="AA388" s="25"/>
      <c r="AB388" s="25"/>
      <c r="AC388" s="25"/>
      <c r="AD388" s="25"/>
      <c r="AE388" s="25"/>
      <c r="AF388" s="25"/>
      <c r="AG388" s="25"/>
    </row>
    <row r="389" spans="1:33" x14ac:dyDescent="0.25">
      <c r="A389" s="18" t="str">
        <f t="shared" si="6"/>
        <v/>
      </c>
      <c r="B389" s="25"/>
      <c r="C389" s="25"/>
      <c r="D389" s="43"/>
      <c r="E389" s="44"/>
      <c r="F389" s="45"/>
      <c r="G389" s="40"/>
      <c r="H389" s="55" t="s">
        <v>255</v>
      </c>
      <c r="N389" s="66"/>
      <c r="O389" s="25"/>
      <c r="P389" s="72" t="str">
        <f>IFERROR(IF(ISBLANK(O389),"",INDEX(Gen_Vessels!$A$3:$C$500,MATCH(O389,Gen_Vessels!$C$3:$C$500,0),1)),"")</f>
        <v/>
      </c>
      <c r="Q389" s="25"/>
      <c r="R389" s="25"/>
      <c r="S389" s="25" t="str">
        <f>IFERROR(IF(ISBLANK(R389),"",INDEX(Gen_Vessels!$A$3:$C$500,MATCH(CorrectiveMinor!$R389,Gen_Vessels!$C$3:$C$500,0),1)),"")</f>
        <v/>
      </c>
      <c r="T389" s="25"/>
      <c r="U389" s="25"/>
      <c r="V389" s="25"/>
      <c r="W389" s="25"/>
      <c r="X389" s="25"/>
      <c r="Y389" s="25"/>
      <c r="AA389" s="25"/>
      <c r="AB389" s="25"/>
      <c r="AC389" s="25"/>
      <c r="AD389" s="25"/>
      <c r="AE389" s="25"/>
      <c r="AF389" s="25"/>
      <c r="AG389" s="25"/>
    </row>
    <row r="390" spans="1:33" x14ac:dyDescent="0.25">
      <c r="A390" s="18" t="str">
        <f t="shared" si="6"/>
        <v/>
      </c>
      <c r="B390" s="25"/>
      <c r="C390" s="25"/>
      <c r="D390" s="43"/>
      <c r="E390" s="44"/>
      <c r="F390" s="45"/>
      <c r="G390" s="40"/>
      <c r="H390" s="55" t="s">
        <v>255</v>
      </c>
      <c r="N390" s="66"/>
      <c r="O390" s="25"/>
      <c r="P390" s="72" t="str">
        <f>IFERROR(IF(ISBLANK(O390),"",INDEX(Gen_Vessels!$A$3:$C$500,MATCH(O390,Gen_Vessels!$C$3:$C$500,0),1)),"")</f>
        <v/>
      </c>
      <c r="Q390" s="25"/>
      <c r="R390" s="25"/>
      <c r="S390" s="25" t="str">
        <f>IFERROR(IF(ISBLANK(R390),"",INDEX(Gen_Vessels!$A$3:$C$500,MATCH(CorrectiveMinor!$R390,Gen_Vessels!$C$3:$C$500,0),1)),"")</f>
        <v/>
      </c>
      <c r="T390" s="25"/>
      <c r="U390" s="25"/>
      <c r="V390" s="25"/>
      <c r="W390" s="25"/>
      <c r="X390" s="25"/>
      <c r="Y390" s="25"/>
      <c r="AA390" s="25"/>
      <c r="AB390" s="25"/>
      <c r="AC390" s="25"/>
      <c r="AD390" s="25"/>
      <c r="AE390" s="25"/>
      <c r="AF390" s="25"/>
      <c r="AG390" s="25"/>
    </row>
    <row r="391" spans="1:33" x14ac:dyDescent="0.25">
      <c r="A391" s="18" t="str">
        <f t="shared" si="6"/>
        <v/>
      </c>
      <c r="B391" s="25"/>
      <c r="C391" s="25"/>
      <c r="D391" s="43"/>
      <c r="E391" s="44"/>
      <c r="F391" s="45"/>
      <c r="G391" s="40"/>
      <c r="H391" s="55" t="s">
        <v>255</v>
      </c>
      <c r="N391" s="66"/>
      <c r="O391" s="25"/>
      <c r="P391" s="72" t="str">
        <f>IFERROR(IF(ISBLANK(O391),"",INDEX(Gen_Vessels!$A$3:$C$500,MATCH(O391,Gen_Vessels!$C$3:$C$500,0),1)),"")</f>
        <v/>
      </c>
      <c r="Q391" s="25"/>
      <c r="R391" s="25"/>
      <c r="S391" s="25" t="str">
        <f>IFERROR(IF(ISBLANK(R391),"",INDEX(Gen_Vessels!$A$3:$C$500,MATCH(CorrectiveMinor!$R391,Gen_Vessels!$C$3:$C$500,0),1)),"")</f>
        <v/>
      </c>
      <c r="T391" s="25"/>
      <c r="U391" s="25"/>
      <c r="V391" s="25"/>
      <c r="W391" s="25"/>
      <c r="X391" s="25"/>
      <c r="Y391" s="25"/>
      <c r="AA391" s="25"/>
      <c r="AB391" s="25"/>
      <c r="AC391" s="25"/>
      <c r="AD391" s="25"/>
      <c r="AE391" s="25"/>
      <c r="AF391" s="25"/>
      <c r="AG391" s="25"/>
    </row>
    <row r="392" spans="1:33" x14ac:dyDescent="0.25">
      <c r="A392" s="18" t="str">
        <f t="shared" si="6"/>
        <v/>
      </c>
      <c r="B392" s="25"/>
      <c r="C392" s="25"/>
      <c r="D392" s="43"/>
      <c r="E392" s="44"/>
      <c r="F392" s="45"/>
      <c r="G392" s="40"/>
      <c r="H392" s="55" t="s">
        <v>255</v>
      </c>
      <c r="N392" s="66"/>
      <c r="O392" s="25"/>
      <c r="P392" s="72" t="str">
        <f>IFERROR(IF(ISBLANK(O392),"",INDEX(Gen_Vessels!$A$3:$C$500,MATCH(O392,Gen_Vessels!$C$3:$C$500,0),1)),"")</f>
        <v/>
      </c>
      <c r="Q392" s="25"/>
      <c r="R392" s="25"/>
      <c r="S392" s="25" t="str">
        <f>IFERROR(IF(ISBLANK(R392),"",INDEX(Gen_Vessels!$A$3:$C$500,MATCH(CorrectiveMinor!$R392,Gen_Vessels!$C$3:$C$500,0),1)),"")</f>
        <v/>
      </c>
      <c r="T392" s="25"/>
      <c r="U392" s="25"/>
      <c r="V392" s="25"/>
      <c r="W392" s="25"/>
      <c r="X392" s="25"/>
      <c r="Y392" s="25"/>
      <c r="AA392" s="25"/>
      <c r="AB392" s="25"/>
      <c r="AC392" s="25"/>
      <c r="AD392" s="25"/>
      <c r="AE392" s="25"/>
      <c r="AF392" s="25"/>
      <c r="AG392" s="25"/>
    </row>
    <row r="393" spans="1:33" x14ac:dyDescent="0.25">
      <c r="A393" s="18" t="str">
        <f t="shared" si="6"/>
        <v/>
      </c>
      <c r="B393" s="25"/>
      <c r="C393" s="25"/>
      <c r="D393" s="43"/>
      <c r="E393" s="44"/>
      <c r="F393" s="45"/>
      <c r="G393" s="40"/>
      <c r="H393" s="55" t="s">
        <v>255</v>
      </c>
      <c r="N393" s="66"/>
      <c r="O393" s="25"/>
      <c r="P393" s="72" t="str">
        <f>IFERROR(IF(ISBLANK(O393),"",INDEX(Gen_Vessels!$A$3:$C$500,MATCH(O393,Gen_Vessels!$C$3:$C$500,0),1)),"")</f>
        <v/>
      </c>
      <c r="Q393" s="25"/>
      <c r="R393" s="25"/>
      <c r="S393" s="25" t="str">
        <f>IFERROR(IF(ISBLANK(R393),"",INDEX(Gen_Vessels!$A$3:$C$500,MATCH(CorrectiveMinor!$R393,Gen_Vessels!$C$3:$C$500,0),1)),"")</f>
        <v/>
      </c>
      <c r="T393" s="25"/>
      <c r="U393" s="25"/>
      <c r="V393" s="25"/>
      <c r="W393" s="25"/>
      <c r="X393" s="25"/>
      <c r="Y393" s="25"/>
      <c r="AA393" s="25"/>
      <c r="AB393" s="25"/>
      <c r="AC393" s="25"/>
      <c r="AD393" s="25"/>
      <c r="AE393" s="25"/>
      <c r="AF393" s="25"/>
      <c r="AG393" s="25"/>
    </row>
    <row r="394" spans="1:33" x14ac:dyDescent="0.25">
      <c r="A394" s="18" t="str">
        <f t="shared" si="6"/>
        <v/>
      </c>
      <c r="B394" s="25"/>
      <c r="C394" s="25"/>
      <c r="D394" s="43"/>
      <c r="E394" s="44"/>
      <c r="F394" s="45"/>
      <c r="G394" s="40"/>
      <c r="H394" s="55" t="s">
        <v>255</v>
      </c>
      <c r="N394" s="66"/>
      <c r="O394" s="25"/>
      <c r="P394" s="72" t="str">
        <f>IFERROR(IF(ISBLANK(O394),"",INDEX(Gen_Vessels!$A$3:$C$500,MATCH(O394,Gen_Vessels!$C$3:$C$500,0),1)),"")</f>
        <v/>
      </c>
      <c r="Q394" s="25"/>
      <c r="R394" s="25"/>
      <c r="S394" s="25" t="str">
        <f>IFERROR(IF(ISBLANK(R394),"",INDEX(Gen_Vessels!$A$3:$C$500,MATCH(CorrectiveMinor!$R394,Gen_Vessels!$C$3:$C$500,0),1)),"")</f>
        <v/>
      </c>
      <c r="T394" s="25"/>
      <c r="U394" s="25"/>
      <c r="V394" s="25"/>
      <c r="W394" s="25"/>
      <c r="X394" s="25"/>
      <c r="Y394" s="25"/>
      <c r="AA394" s="25"/>
      <c r="AB394" s="25"/>
      <c r="AC394" s="25"/>
      <c r="AD394" s="25"/>
      <c r="AE394" s="25"/>
      <c r="AF394" s="25"/>
      <c r="AG394" s="25"/>
    </row>
    <row r="395" spans="1:33" x14ac:dyDescent="0.25">
      <c r="A395" s="18" t="str">
        <f t="shared" si="6"/>
        <v/>
      </c>
      <c r="B395" s="25"/>
      <c r="C395" s="25"/>
      <c r="D395" s="43"/>
      <c r="E395" s="44"/>
      <c r="F395" s="45"/>
      <c r="G395" s="40"/>
      <c r="H395" s="55" t="s">
        <v>255</v>
      </c>
      <c r="N395" s="66"/>
      <c r="O395" s="25"/>
      <c r="P395" s="72" t="str">
        <f>IFERROR(IF(ISBLANK(O395),"",INDEX(Gen_Vessels!$A$3:$C$500,MATCH(O395,Gen_Vessels!$C$3:$C$500,0),1)),"")</f>
        <v/>
      </c>
      <c r="Q395" s="25"/>
      <c r="R395" s="25"/>
      <c r="S395" s="25" t="str">
        <f>IFERROR(IF(ISBLANK(R395),"",INDEX(Gen_Vessels!$A$3:$C$500,MATCH(CorrectiveMinor!$R395,Gen_Vessels!$C$3:$C$500,0),1)),"")</f>
        <v/>
      </c>
      <c r="T395" s="25"/>
      <c r="U395" s="25"/>
      <c r="V395" s="25"/>
      <c r="W395" s="25"/>
      <c r="X395" s="25"/>
      <c r="Y395" s="25"/>
      <c r="AA395" s="25"/>
      <c r="AB395" s="25"/>
      <c r="AC395" s="25"/>
      <c r="AD395" s="25"/>
      <c r="AE395" s="25"/>
      <c r="AF395" s="25"/>
      <c r="AG395" s="25"/>
    </row>
    <row r="396" spans="1:33" x14ac:dyDescent="0.25">
      <c r="A396" s="18" t="str">
        <f t="shared" si="6"/>
        <v/>
      </c>
      <c r="B396" s="25"/>
      <c r="C396" s="25"/>
      <c r="D396" s="43"/>
      <c r="E396" s="44"/>
      <c r="F396" s="45"/>
      <c r="G396" s="40"/>
      <c r="H396" s="55" t="s">
        <v>255</v>
      </c>
      <c r="N396" s="66"/>
      <c r="O396" s="25"/>
      <c r="P396" s="72" t="str">
        <f>IFERROR(IF(ISBLANK(O396),"",INDEX(Gen_Vessels!$A$3:$C$500,MATCH(O396,Gen_Vessels!$C$3:$C$500,0),1)),"")</f>
        <v/>
      </c>
      <c r="Q396" s="25"/>
      <c r="R396" s="25"/>
      <c r="S396" s="25" t="str">
        <f>IFERROR(IF(ISBLANK(R396),"",INDEX(Gen_Vessels!$A$3:$C$500,MATCH(CorrectiveMinor!$R396,Gen_Vessels!$C$3:$C$500,0),1)),"")</f>
        <v/>
      </c>
      <c r="T396" s="25"/>
      <c r="U396" s="25"/>
      <c r="V396" s="25"/>
      <c r="W396" s="25"/>
      <c r="X396" s="25"/>
      <c r="Y396" s="25"/>
      <c r="AA396" s="25"/>
      <c r="AB396" s="25"/>
      <c r="AC396" s="25"/>
      <c r="AD396" s="25"/>
      <c r="AE396" s="25"/>
      <c r="AF396" s="25"/>
      <c r="AG396" s="25"/>
    </row>
    <row r="397" spans="1:33" x14ac:dyDescent="0.25">
      <c r="A397" s="18" t="str">
        <f t="shared" si="6"/>
        <v/>
      </c>
      <c r="B397" s="25"/>
      <c r="C397" s="25"/>
      <c r="D397" s="43"/>
      <c r="E397" s="44"/>
      <c r="F397" s="45"/>
      <c r="G397" s="40"/>
      <c r="H397" s="55" t="s">
        <v>255</v>
      </c>
      <c r="N397" s="66"/>
      <c r="O397" s="25"/>
      <c r="P397" s="72" t="str">
        <f>IFERROR(IF(ISBLANK(O397),"",INDEX(Gen_Vessels!$A$3:$C$500,MATCH(O397,Gen_Vessels!$C$3:$C$500,0),1)),"")</f>
        <v/>
      </c>
      <c r="Q397" s="25"/>
      <c r="R397" s="25"/>
      <c r="S397" s="25" t="str">
        <f>IFERROR(IF(ISBLANK(R397),"",INDEX(Gen_Vessels!$A$3:$C$500,MATCH(CorrectiveMinor!$R397,Gen_Vessels!$C$3:$C$500,0),1)),"")</f>
        <v/>
      </c>
      <c r="T397" s="25"/>
      <c r="U397" s="25"/>
      <c r="V397" s="25"/>
      <c r="W397" s="25"/>
      <c r="X397" s="25"/>
      <c r="Y397" s="25"/>
      <c r="AA397" s="25"/>
      <c r="AB397" s="25"/>
      <c r="AC397" s="25"/>
      <c r="AD397" s="25"/>
      <c r="AE397" s="25"/>
      <c r="AF397" s="25"/>
      <c r="AG397" s="25"/>
    </row>
    <row r="398" spans="1:33" x14ac:dyDescent="0.25">
      <c r="A398" s="18" t="str">
        <f t="shared" si="6"/>
        <v/>
      </c>
      <c r="B398" s="25"/>
      <c r="C398" s="25"/>
      <c r="D398" s="43"/>
      <c r="E398" s="44"/>
      <c r="F398" s="45"/>
      <c r="G398" s="40"/>
      <c r="H398" s="55" t="s">
        <v>255</v>
      </c>
      <c r="N398" s="66"/>
      <c r="O398" s="25"/>
      <c r="P398" s="72" t="str">
        <f>IFERROR(IF(ISBLANK(O398),"",INDEX(Gen_Vessels!$A$3:$C$500,MATCH(O398,Gen_Vessels!$C$3:$C$500,0),1)),"")</f>
        <v/>
      </c>
      <c r="Q398" s="25"/>
      <c r="R398" s="25"/>
      <c r="S398" s="25" t="str">
        <f>IFERROR(IF(ISBLANK(R398),"",INDEX(Gen_Vessels!$A$3:$C$500,MATCH(CorrectiveMinor!$R398,Gen_Vessels!$C$3:$C$500,0),1)),"")</f>
        <v/>
      </c>
      <c r="T398" s="25"/>
      <c r="U398" s="25"/>
      <c r="V398" s="25"/>
      <c r="W398" s="25"/>
      <c r="X398" s="25"/>
      <c r="Y398" s="25"/>
      <c r="AA398" s="25"/>
      <c r="AB398" s="25"/>
      <c r="AC398" s="25"/>
      <c r="AD398" s="25"/>
      <c r="AE398" s="25"/>
      <c r="AF398" s="25"/>
      <c r="AG398" s="25"/>
    </row>
    <row r="399" spans="1:33" x14ac:dyDescent="0.25">
      <c r="A399" s="18" t="str">
        <f t="shared" si="6"/>
        <v/>
      </c>
      <c r="B399" s="25"/>
      <c r="C399" s="25"/>
      <c r="D399" s="43"/>
      <c r="E399" s="44"/>
      <c r="F399" s="45"/>
      <c r="G399" s="40"/>
      <c r="H399" s="55" t="s">
        <v>255</v>
      </c>
      <c r="N399" s="66"/>
      <c r="O399" s="25"/>
      <c r="P399" s="72" t="str">
        <f>IFERROR(IF(ISBLANK(O399),"",INDEX(Gen_Vessels!$A$3:$C$500,MATCH(O399,Gen_Vessels!$C$3:$C$500,0),1)),"")</f>
        <v/>
      </c>
      <c r="Q399" s="25"/>
      <c r="R399" s="25"/>
      <c r="S399" s="25" t="str">
        <f>IFERROR(IF(ISBLANK(R399),"",INDEX(Gen_Vessels!$A$3:$C$500,MATCH(CorrectiveMinor!$R399,Gen_Vessels!$C$3:$C$500,0),1)),"")</f>
        <v/>
      </c>
      <c r="T399" s="25"/>
      <c r="U399" s="25"/>
      <c r="V399" s="25"/>
      <c r="W399" s="25"/>
      <c r="X399" s="25"/>
      <c r="Y399" s="25"/>
      <c r="AA399" s="25"/>
      <c r="AB399" s="25"/>
      <c r="AC399" s="25"/>
      <c r="AD399" s="25"/>
      <c r="AE399" s="25"/>
      <c r="AF399" s="25"/>
      <c r="AG399" s="25"/>
    </row>
    <row r="400" spans="1:33" x14ac:dyDescent="0.25">
      <c r="A400" s="18" t="str">
        <f t="shared" si="6"/>
        <v/>
      </c>
      <c r="B400" s="25"/>
      <c r="C400" s="25"/>
      <c r="D400" s="43"/>
      <c r="E400" s="44"/>
      <c r="F400" s="45"/>
      <c r="G400" s="40"/>
      <c r="H400" s="55" t="s">
        <v>255</v>
      </c>
      <c r="N400" s="66"/>
      <c r="O400" s="25"/>
      <c r="P400" s="72" t="str">
        <f>IFERROR(IF(ISBLANK(O400),"",INDEX(Gen_Vessels!$A$3:$C$500,MATCH(O400,Gen_Vessels!$C$3:$C$500,0),1)),"")</f>
        <v/>
      </c>
      <c r="Q400" s="25"/>
      <c r="R400" s="25"/>
      <c r="S400" s="25" t="str">
        <f>IFERROR(IF(ISBLANK(R400),"",INDEX(Gen_Vessels!$A$3:$C$500,MATCH(CorrectiveMinor!$R400,Gen_Vessels!$C$3:$C$500,0),1)),"")</f>
        <v/>
      </c>
      <c r="T400" s="25"/>
      <c r="U400" s="25"/>
      <c r="V400" s="25"/>
      <c r="W400" s="25"/>
      <c r="X400" s="25"/>
      <c r="Y400" s="25"/>
      <c r="AA400" s="25"/>
      <c r="AB400" s="25"/>
      <c r="AC400" s="25"/>
      <c r="AD400" s="25"/>
      <c r="AE400" s="25"/>
      <c r="AF400" s="25"/>
      <c r="AG400" s="25"/>
    </row>
    <row r="401" spans="1:33" x14ac:dyDescent="0.25">
      <c r="A401" s="18" t="str">
        <f t="shared" si="6"/>
        <v/>
      </c>
      <c r="B401" s="25"/>
      <c r="C401" s="25"/>
      <c r="D401" s="43"/>
      <c r="E401" s="44"/>
      <c r="F401" s="45"/>
      <c r="G401" s="40"/>
      <c r="H401" s="55" t="s">
        <v>255</v>
      </c>
      <c r="N401" s="66"/>
      <c r="O401" s="25"/>
      <c r="P401" s="72" t="str">
        <f>IFERROR(IF(ISBLANK(O401),"",INDEX(Gen_Vessels!$A$3:$C$500,MATCH(O401,Gen_Vessels!$C$3:$C$500,0),1)),"")</f>
        <v/>
      </c>
      <c r="Q401" s="25"/>
      <c r="R401" s="25"/>
      <c r="S401" s="25" t="str">
        <f>IFERROR(IF(ISBLANK(R401),"",INDEX(Gen_Vessels!$A$3:$C$500,MATCH(CorrectiveMinor!$R401,Gen_Vessels!$C$3:$C$500,0),1)),"")</f>
        <v/>
      </c>
      <c r="T401" s="25"/>
      <c r="U401" s="25"/>
      <c r="V401" s="25"/>
      <c r="W401" s="25"/>
      <c r="X401" s="25"/>
      <c r="Y401" s="25"/>
      <c r="AA401" s="25"/>
      <c r="AB401" s="25"/>
      <c r="AC401" s="25"/>
      <c r="AD401" s="25"/>
      <c r="AE401" s="25"/>
      <c r="AF401" s="25"/>
      <c r="AG401" s="25"/>
    </row>
    <row r="402" spans="1:33" x14ac:dyDescent="0.25">
      <c r="A402" s="18" t="str">
        <f t="shared" si="6"/>
        <v/>
      </c>
      <c r="B402" s="25"/>
      <c r="C402" s="25"/>
      <c r="D402" s="43"/>
      <c r="E402" s="44"/>
      <c r="F402" s="45"/>
      <c r="G402" s="40"/>
      <c r="H402" s="55" t="s">
        <v>255</v>
      </c>
      <c r="N402" s="66"/>
      <c r="O402" s="25"/>
      <c r="P402" s="72" t="str">
        <f>IFERROR(IF(ISBLANK(O402),"",INDEX(Gen_Vessels!$A$3:$C$500,MATCH(O402,Gen_Vessels!$C$3:$C$500,0),1)),"")</f>
        <v/>
      </c>
      <c r="Q402" s="25"/>
      <c r="R402" s="25"/>
      <c r="S402" s="25" t="str">
        <f>IFERROR(IF(ISBLANK(R402),"",INDEX(Gen_Vessels!$A$3:$C$500,MATCH(CorrectiveMinor!$R402,Gen_Vessels!$C$3:$C$500,0),1)),"")</f>
        <v/>
      </c>
      <c r="T402" s="25"/>
      <c r="U402" s="25"/>
      <c r="V402" s="25"/>
      <c r="W402" s="25"/>
      <c r="X402" s="25"/>
      <c r="Y402" s="25"/>
      <c r="AA402" s="25"/>
      <c r="AB402" s="25"/>
      <c r="AC402" s="25"/>
      <c r="AD402" s="25"/>
      <c r="AE402" s="25"/>
      <c r="AF402" s="25"/>
      <c r="AG402" s="25"/>
    </row>
    <row r="403" spans="1:33" x14ac:dyDescent="0.25">
      <c r="A403" s="18" t="str">
        <f t="shared" si="6"/>
        <v/>
      </c>
      <c r="B403" s="25"/>
      <c r="C403" s="25"/>
      <c r="D403" s="43"/>
      <c r="E403" s="44"/>
      <c r="F403" s="45"/>
      <c r="G403" s="40"/>
      <c r="H403" s="55" t="s">
        <v>255</v>
      </c>
      <c r="N403" s="66"/>
      <c r="O403" s="25"/>
      <c r="P403" s="72" t="str">
        <f>IFERROR(IF(ISBLANK(O403),"",INDEX(Gen_Vessels!$A$3:$C$500,MATCH(O403,Gen_Vessels!$C$3:$C$500,0),1)),"")</f>
        <v/>
      </c>
      <c r="Q403" s="25"/>
      <c r="R403" s="25"/>
      <c r="S403" s="25" t="str">
        <f>IFERROR(IF(ISBLANK(R403),"",INDEX(Gen_Vessels!$A$3:$C$500,MATCH(CorrectiveMinor!$R403,Gen_Vessels!$C$3:$C$500,0),1)),"")</f>
        <v/>
      </c>
      <c r="T403" s="25"/>
      <c r="U403" s="25"/>
      <c r="V403" s="25"/>
      <c r="W403" s="25"/>
      <c r="X403" s="25"/>
      <c r="Y403" s="25"/>
      <c r="AA403" s="25"/>
      <c r="AB403" s="25"/>
      <c r="AC403" s="25"/>
      <c r="AD403" s="25"/>
      <c r="AE403" s="25"/>
      <c r="AF403" s="25"/>
      <c r="AG403" s="25"/>
    </row>
    <row r="404" spans="1:33" x14ac:dyDescent="0.25">
      <c r="A404" s="18" t="str">
        <f t="shared" si="6"/>
        <v/>
      </c>
      <c r="B404" s="25"/>
      <c r="C404" s="25"/>
      <c r="D404" s="43"/>
      <c r="E404" s="44"/>
      <c r="F404" s="45"/>
      <c r="G404" s="40"/>
      <c r="H404" s="55" t="s">
        <v>255</v>
      </c>
      <c r="N404" s="66"/>
      <c r="O404" s="25"/>
      <c r="P404" s="72" t="str">
        <f>IFERROR(IF(ISBLANK(O404),"",INDEX(Gen_Vessels!$A$3:$C$500,MATCH(O404,Gen_Vessels!$C$3:$C$500,0),1)),"")</f>
        <v/>
      </c>
      <c r="Q404" s="25"/>
      <c r="R404" s="25"/>
      <c r="S404" s="25" t="str">
        <f>IFERROR(IF(ISBLANK(R404),"",INDEX(Gen_Vessels!$A$3:$C$500,MATCH(CorrectiveMinor!$R404,Gen_Vessels!$C$3:$C$500,0),1)),"")</f>
        <v/>
      </c>
      <c r="T404" s="25"/>
      <c r="U404" s="25"/>
      <c r="V404" s="25"/>
      <c r="W404" s="25"/>
      <c r="X404" s="25"/>
      <c r="Y404" s="25"/>
      <c r="AA404" s="25"/>
      <c r="AB404" s="25"/>
      <c r="AC404" s="25"/>
      <c r="AD404" s="25"/>
      <c r="AE404" s="25"/>
      <c r="AF404" s="25"/>
      <c r="AG404" s="25"/>
    </row>
    <row r="405" spans="1:33" x14ac:dyDescent="0.25">
      <c r="A405" s="18" t="str">
        <f t="shared" si="6"/>
        <v/>
      </c>
      <c r="B405" s="25"/>
      <c r="C405" s="25"/>
      <c r="D405" s="43"/>
      <c r="E405" s="44"/>
      <c r="F405" s="45"/>
      <c r="G405" s="40"/>
      <c r="H405" s="55" t="s">
        <v>255</v>
      </c>
      <c r="N405" s="66"/>
      <c r="O405" s="25"/>
      <c r="P405" s="72" t="str">
        <f>IFERROR(IF(ISBLANK(O405),"",INDEX(Gen_Vessels!$A$3:$C$500,MATCH(O405,Gen_Vessels!$C$3:$C$500,0),1)),"")</f>
        <v/>
      </c>
      <c r="Q405" s="25"/>
      <c r="R405" s="25"/>
      <c r="S405" s="25" t="str">
        <f>IFERROR(IF(ISBLANK(R405),"",INDEX(Gen_Vessels!$A$3:$C$500,MATCH(CorrectiveMinor!$R405,Gen_Vessels!$C$3:$C$500,0),1)),"")</f>
        <v/>
      </c>
      <c r="T405" s="25"/>
      <c r="U405" s="25"/>
      <c r="V405" s="25"/>
      <c r="W405" s="25"/>
      <c r="X405" s="25"/>
      <c r="Y405" s="25"/>
      <c r="AA405" s="25"/>
      <c r="AB405" s="25"/>
      <c r="AC405" s="25"/>
      <c r="AD405" s="25"/>
      <c r="AE405" s="25"/>
      <c r="AF405" s="25"/>
      <c r="AG405" s="25"/>
    </row>
    <row r="406" spans="1:33" x14ac:dyDescent="0.25">
      <c r="A406" s="18" t="str">
        <f t="shared" si="6"/>
        <v/>
      </c>
      <c r="B406" s="25"/>
      <c r="C406" s="25"/>
      <c r="D406" s="43"/>
      <c r="E406" s="44"/>
      <c r="F406" s="45"/>
      <c r="G406" s="40"/>
      <c r="H406" s="55" t="s">
        <v>255</v>
      </c>
      <c r="N406" s="66"/>
      <c r="O406" s="25"/>
      <c r="P406" s="72" t="str">
        <f>IFERROR(IF(ISBLANK(O406),"",INDEX(Gen_Vessels!$A$3:$C$500,MATCH(O406,Gen_Vessels!$C$3:$C$500,0),1)),"")</f>
        <v/>
      </c>
      <c r="Q406" s="25"/>
      <c r="R406" s="25"/>
      <c r="S406" s="25" t="str">
        <f>IFERROR(IF(ISBLANK(R406),"",INDEX(Gen_Vessels!$A$3:$C$500,MATCH(CorrectiveMinor!$R406,Gen_Vessels!$C$3:$C$500,0),1)),"")</f>
        <v/>
      </c>
      <c r="T406" s="25"/>
      <c r="U406" s="25"/>
      <c r="V406" s="25"/>
      <c r="W406" s="25"/>
      <c r="X406" s="25"/>
      <c r="Y406" s="25"/>
      <c r="AA406" s="25"/>
      <c r="AB406" s="25"/>
      <c r="AC406" s="25"/>
      <c r="AD406" s="25"/>
      <c r="AE406" s="25"/>
      <c r="AF406" s="25"/>
      <c r="AG406" s="25"/>
    </row>
    <row r="407" spans="1:33" x14ac:dyDescent="0.25">
      <c r="A407" s="18" t="str">
        <f t="shared" si="6"/>
        <v/>
      </c>
      <c r="B407" s="25"/>
      <c r="C407" s="25"/>
      <c r="D407" s="43"/>
      <c r="E407" s="44"/>
      <c r="F407" s="45"/>
      <c r="G407" s="40"/>
      <c r="H407" s="55" t="s">
        <v>255</v>
      </c>
      <c r="N407" s="66"/>
      <c r="O407" s="25"/>
      <c r="P407" s="72" t="str">
        <f>IFERROR(IF(ISBLANK(O407),"",INDEX(Gen_Vessels!$A$3:$C$500,MATCH(O407,Gen_Vessels!$C$3:$C$500,0),1)),"")</f>
        <v/>
      </c>
      <c r="Q407" s="25"/>
      <c r="R407" s="25"/>
      <c r="S407" s="25" t="str">
        <f>IFERROR(IF(ISBLANK(R407),"",INDEX(Gen_Vessels!$A$3:$C$500,MATCH(CorrectiveMinor!$R407,Gen_Vessels!$C$3:$C$500,0),1)),"")</f>
        <v/>
      </c>
      <c r="T407" s="25"/>
      <c r="U407" s="25"/>
      <c r="V407" s="25"/>
      <c r="W407" s="25"/>
      <c r="X407" s="25"/>
      <c r="Y407" s="25"/>
      <c r="AA407" s="25"/>
      <c r="AB407" s="25"/>
      <c r="AC407" s="25"/>
      <c r="AD407" s="25"/>
      <c r="AE407" s="25"/>
      <c r="AF407" s="25"/>
      <c r="AG407" s="25"/>
    </row>
    <row r="408" spans="1:33" x14ac:dyDescent="0.25">
      <c r="A408" s="18" t="str">
        <f t="shared" si="6"/>
        <v/>
      </c>
      <c r="B408" s="25"/>
      <c r="C408" s="25"/>
      <c r="D408" s="43"/>
      <c r="E408" s="44"/>
      <c r="F408" s="45"/>
      <c r="G408" s="40"/>
      <c r="H408" s="55" t="s">
        <v>255</v>
      </c>
      <c r="N408" s="66"/>
      <c r="O408" s="25"/>
      <c r="P408" s="72" t="str">
        <f>IFERROR(IF(ISBLANK(O408),"",INDEX(Gen_Vessels!$A$3:$C$500,MATCH(O408,Gen_Vessels!$C$3:$C$500,0),1)),"")</f>
        <v/>
      </c>
      <c r="Q408" s="25"/>
      <c r="R408" s="25"/>
      <c r="S408" s="25" t="str">
        <f>IFERROR(IF(ISBLANK(R408),"",INDEX(Gen_Vessels!$A$3:$C$500,MATCH(CorrectiveMinor!$R408,Gen_Vessels!$C$3:$C$500,0),1)),"")</f>
        <v/>
      </c>
      <c r="T408" s="25"/>
      <c r="U408" s="25"/>
      <c r="V408" s="25"/>
      <c r="W408" s="25"/>
      <c r="X408" s="25"/>
      <c r="Y408" s="25"/>
      <c r="AA408" s="25"/>
      <c r="AB408" s="25"/>
      <c r="AC408" s="25"/>
      <c r="AD408" s="25"/>
      <c r="AE408" s="25"/>
      <c r="AF408" s="25"/>
      <c r="AG408" s="25"/>
    </row>
    <row r="409" spans="1:33" x14ac:dyDescent="0.25">
      <c r="A409" s="18" t="str">
        <f t="shared" si="6"/>
        <v/>
      </c>
      <c r="B409" s="25"/>
      <c r="C409" s="25"/>
      <c r="D409" s="43"/>
      <c r="E409" s="44"/>
      <c r="F409" s="45"/>
      <c r="G409" s="40"/>
      <c r="H409" s="55" t="s">
        <v>255</v>
      </c>
      <c r="N409" s="66"/>
      <c r="O409" s="25"/>
      <c r="P409" s="72" t="str">
        <f>IFERROR(IF(ISBLANK(O409),"",INDEX(Gen_Vessels!$A$3:$C$500,MATCH(O409,Gen_Vessels!$C$3:$C$500,0),1)),"")</f>
        <v/>
      </c>
      <c r="Q409" s="25"/>
      <c r="R409" s="25"/>
      <c r="S409" s="25" t="str">
        <f>IFERROR(IF(ISBLANK(R409),"",INDEX(Gen_Vessels!$A$3:$C$500,MATCH(CorrectiveMinor!$R409,Gen_Vessels!$C$3:$C$500,0),1)),"")</f>
        <v/>
      </c>
      <c r="T409" s="25"/>
      <c r="U409" s="25"/>
      <c r="V409" s="25"/>
      <c r="W409" s="25"/>
      <c r="X409" s="25"/>
      <c r="Y409" s="25"/>
      <c r="AA409" s="25"/>
      <c r="AB409" s="25"/>
      <c r="AC409" s="25"/>
      <c r="AD409" s="25"/>
      <c r="AE409" s="25"/>
      <c r="AF409" s="25"/>
      <c r="AG409" s="25"/>
    </row>
    <row r="410" spans="1:33" x14ac:dyDescent="0.25">
      <c r="A410" s="18" t="str">
        <f t="shared" si="6"/>
        <v/>
      </c>
      <c r="B410" s="25"/>
      <c r="C410" s="25"/>
      <c r="D410" s="43"/>
      <c r="E410" s="44"/>
      <c r="F410" s="45"/>
      <c r="G410" s="40"/>
      <c r="H410" s="55" t="s">
        <v>255</v>
      </c>
      <c r="N410" s="66"/>
      <c r="O410" s="25"/>
      <c r="P410" s="72" t="str">
        <f>IFERROR(IF(ISBLANK(O410),"",INDEX(Gen_Vessels!$A$3:$C$500,MATCH(O410,Gen_Vessels!$C$3:$C$500,0),1)),"")</f>
        <v/>
      </c>
      <c r="Q410" s="25"/>
      <c r="R410" s="25"/>
      <c r="S410" s="25" t="str">
        <f>IFERROR(IF(ISBLANK(R410),"",INDEX(Gen_Vessels!$A$3:$C$500,MATCH(CorrectiveMinor!$R410,Gen_Vessels!$C$3:$C$500,0),1)),"")</f>
        <v/>
      </c>
      <c r="T410" s="25"/>
      <c r="U410" s="25"/>
      <c r="V410" s="25"/>
      <c r="W410" s="25"/>
      <c r="X410" s="25"/>
      <c r="Y410" s="25"/>
      <c r="AA410" s="25"/>
      <c r="AB410" s="25"/>
      <c r="AC410" s="25"/>
      <c r="AD410" s="25"/>
      <c r="AE410" s="25"/>
      <c r="AF410" s="25"/>
      <c r="AG410" s="25"/>
    </row>
    <row r="411" spans="1:33" x14ac:dyDescent="0.25">
      <c r="A411" s="18" t="str">
        <f t="shared" si="6"/>
        <v/>
      </c>
      <c r="B411" s="25"/>
      <c r="C411" s="25"/>
      <c r="D411" s="43"/>
      <c r="E411" s="44"/>
      <c r="F411" s="45"/>
      <c r="G411" s="40"/>
      <c r="H411" s="55" t="s">
        <v>255</v>
      </c>
      <c r="N411" s="66"/>
      <c r="O411" s="25"/>
      <c r="P411" s="72" t="str">
        <f>IFERROR(IF(ISBLANK(O411),"",INDEX(Gen_Vessels!$A$3:$C$500,MATCH(O411,Gen_Vessels!$C$3:$C$500,0),1)),"")</f>
        <v/>
      </c>
      <c r="Q411" s="25"/>
      <c r="R411" s="25"/>
      <c r="S411" s="25" t="str">
        <f>IFERROR(IF(ISBLANK(R411),"",INDEX(Gen_Vessels!$A$3:$C$500,MATCH(CorrectiveMinor!$R411,Gen_Vessels!$C$3:$C$500,0),1)),"")</f>
        <v/>
      </c>
      <c r="T411" s="25"/>
      <c r="U411" s="25"/>
      <c r="V411" s="25"/>
      <c r="W411" s="25"/>
      <c r="X411" s="25"/>
      <c r="Y411" s="25"/>
      <c r="AA411" s="25"/>
      <c r="AB411" s="25"/>
      <c r="AC411" s="25"/>
      <c r="AD411" s="25"/>
      <c r="AE411" s="25"/>
      <c r="AF411" s="25"/>
      <c r="AG411" s="25"/>
    </row>
    <row r="412" spans="1:33" x14ac:dyDescent="0.25">
      <c r="A412" s="18" t="str">
        <f t="shared" si="6"/>
        <v/>
      </c>
      <c r="B412" s="25"/>
      <c r="C412" s="25"/>
      <c r="D412" s="43"/>
      <c r="E412" s="44"/>
      <c r="F412" s="45"/>
      <c r="G412" s="40"/>
      <c r="H412" s="55" t="s">
        <v>255</v>
      </c>
      <c r="N412" s="66"/>
      <c r="O412" s="25"/>
      <c r="P412" s="72" t="str">
        <f>IFERROR(IF(ISBLANK(O412),"",INDEX(Gen_Vessels!$A$3:$C$500,MATCH(O412,Gen_Vessels!$C$3:$C$500,0),1)),"")</f>
        <v/>
      </c>
      <c r="Q412" s="25"/>
      <c r="R412" s="25"/>
      <c r="S412" s="25" t="str">
        <f>IFERROR(IF(ISBLANK(R412),"",INDEX(Gen_Vessels!$A$3:$C$500,MATCH(CorrectiveMinor!$R412,Gen_Vessels!$C$3:$C$500,0),1)),"")</f>
        <v/>
      </c>
      <c r="T412" s="25"/>
      <c r="U412" s="25"/>
      <c r="V412" s="25"/>
      <c r="W412" s="25"/>
      <c r="X412" s="25"/>
      <c r="Y412" s="25"/>
      <c r="AA412" s="25"/>
      <c r="AB412" s="25"/>
      <c r="AC412" s="25"/>
      <c r="AD412" s="25"/>
      <c r="AE412" s="25"/>
      <c r="AF412" s="25"/>
      <c r="AG412" s="25"/>
    </row>
    <row r="413" spans="1:33" x14ac:dyDescent="0.25">
      <c r="A413" s="18" t="str">
        <f t="shared" si="6"/>
        <v/>
      </c>
      <c r="B413" s="25"/>
      <c r="C413" s="25"/>
      <c r="D413" s="43"/>
      <c r="E413" s="44"/>
      <c r="F413" s="45"/>
      <c r="G413" s="40"/>
      <c r="H413" s="55" t="s">
        <v>255</v>
      </c>
      <c r="N413" s="66"/>
      <c r="O413" s="25"/>
      <c r="P413" s="72" t="str">
        <f>IFERROR(IF(ISBLANK(O413),"",INDEX(Gen_Vessels!$A$3:$C$500,MATCH(O413,Gen_Vessels!$C$3:$C$500,0),1)),"")</f>
        <v/>
      </c>
      <c r="Q413" s="25"/>
      <c r="R413" s="25"/>
      <c r="S413" s="25" t="str">
        <f>IFERROR(IF(ISBLANK(R413),"",INDEX(Gen_Vessels!$A$3:$C$500,MATCH(CorrectiveMinor!$R413,Gen_Vessels!$C$3:$C$500,0),1)),"")</f>
        <v/>
      </c>
      <c r="T413" s="25"/>
      <c r="U413" s="25"/>
      <c r="V413" s="25"/>
      <c r="W413" s="25"/>
      <c r="X413" s="25"/>
      <c r="Y413" s="25"/>
      <c r="AA413" s="25"/>
      <c r="AB413" s="25"/>
      <c r="AC413" s="25"/>
      <c r="AD413" s="25"/>
      <c r="AE413" s="25"/>
      <c r="AF413" s="25"/>
      <c r="AG413" s="25"/>
    </row>
    <row r="414" spans="1:33" x14ac:dyDescent="0.25">
      <c r="A414" s="18" t="str">
        <f t="shared" si="6"/>
        <v/>
      </c>
      <c r="B414" s="25"/>
      <c r="C414" s="25"/>
      <c r="D414" s="43"/>
      <c r="E414" s="44"/>
      <c r="F414" s="45"/>
      <c r="G414" s="40"/>
      <c r="H414" s="55" t="s">
        <v>255</v>
      </c>
      <c r="N414" s="66"/>
      <c r="O414" s="25"/>
      <c r="P414" s="72" t="str">
        <f>IFERROR(IF(ISBLANK(O414),"",INDEX(Gen_Vessels!$A$3:$C$500,MATCH(O414,Gen_Vessels!$C$3:$C$500,0),1)),"")</f>
        <v/>
      </c>
      <c r="Q414" s="25"/>
      <c r="R414" s="25"/>
      <c r="S414" s="25" t="str">
        <f>IFERROR(IF(ISBLANK(R414),"",INDEX(Gen_Vessels!$A$3:$C$500,MATCH(CorrectiveMinor!$R414,Gen_Vessels!$C$3:$C$500,0),1)),"")</f>
        <v/>
      </c>
      <c r="T414" s="25"/>
      <c r="U414" s="25"/>
      <c r="V414" s="25"/>
      <c r="W414" s="25"/>
      <c r="X414" s="25"/>
      <c r="Y414" s="25"/>
      <c r="AA414" s="25"/>
      <c r="AB414" s="25"/>
      <c r="AC414" s="25"/>
      <c r="AD414" s="25"/>
      <c r="AE414" s="25"/>
      <c r="AF414" s="25"/>
      <c r="AG414" s="25"/>
    </row>
    <row r="415" spans="1:33" x14ac:dyDescent="0.25">
      <c r="A415" s="18" t="str">
        <f t="shared" si="6"/>
        <v/>
      </c>
      <c r="B415" s="25"/>
      <c r="C415" s="25"/>
      <c r="D415" s="43"/>
      <c r="E415" s="44"/>
      <c r="F415" s="45"/>
      <c r="G415" s="40"/>
      <c r="H415" s="55" t="s">
        <v>255</v>
      </c>
      <c r="N415" s="66"/>
      <c r="O415" s="25"/>
      <c r="P415" s="72" t="str">
        <f>IFERROR(IF(ISBLANK(O415),"",INDEX(Gen_Vessels!$A$3:$C$500,MATCH(O415,Gen_Vessels!$C$3:$C$500,0),1)),"")</f>
        <v/>
      </c>
      <c r="Q415" s="25"/>
      <c r="R415" s="25"/>
      <c r="S415" s="25" t="str">
        <f>IFERROR(IF(ISBLANK(R415),"",INDEX(Gen_Vessels!$A$3:$C$500,MATCH(CorrectiveMinor!$R415,Gen_Vessels!$C$3:$C$500,0),1)),"")</f>
        <v/>
      </c>
      <c r="T415" s="25"/>
      <c r="U415" s="25"/>
      <c r="V415" s="25"/>
      <c r="W415" s="25"/>
      <c r="X415" s="25"/>
      <c r="Y415" s="25"/>
      <c r="AA415" s="25"/>
      <c r="AB415" s="25"/>
      <c r="AC415" s="25"/>
      <c r="AD415" s="25"/>
      <c r="AE415" s="25"/>
      <c r="AF415" s="25"/>
      <c r="AG415" s="25"/>
    </row>
    <row r="416" spans="1:33" x14ac:dyDescent="0.25">
      <c r="A416" s="18" t="str">
        <f t="shared" si="6"/>
        <v/>
      </c>
      <c r="B416" s="25"/>
      <c r="C416" s="25"/>
      <c r="D416" s="43"/>
      <c r="E416" s="44"/>
      <c r="F416" s="45"/>
      <c r="G416" s="40"/>
      <c r="H416" s="55" t="s">
        <v>255</v>
      </c>
      <c r="N416" s="66"/>
      <c r="O416" s="25"/>
      <c r="P416" s="72" t="str">
        <f>IFERROR(IF(ISBLANK(O416),"",INDEX(Gen_Vessels!$A$3:$C$500,MATCH(O416,Gen_Vessels!$C$3:$C$500,0),1)),"")</f>
        <v/>
      </c>
      <c r="Q416" s="25"/>
      <c r="R416" s="25"/>
      <c r="S416" s="25" t="str">
        <f>IFERROR(IF(ISBLANK(R416),"",INDEX(Gen_Vessels!$A$3:$C$500,MATCH(CorrectiveMinor!$R416,Gen_Vessels!$C$3:$C$500,0),1)),"")</f>
        <v/>
      </c>
      <c r="T416" s="25"/>
      <c r="U416" s="25"/>
      <c r="V416" s="25"/>
      <c r="W416" s="25"/>
      <c r="X416" s="25"/>
      <c r="Y416" s="25"/>
      <c r="AA416" s="25"/>
      <c r="AB416" s="25"/>
      <c r="AC416" s="25"/>
      <c r="AD416" s="25"/>
      <c r="AE416" s="25"/>
      <c r="AF416" s="25"/>
      <c r="AG416" s="25"/>
    </row>
    <row r="417" spans="1:33" x14ac:dyDescent="0.25">
      <c r="A417" s="18" t="str">
        <f t="shared" si="6"/>
        <v/>
      </c>
      <c r="B417" s="25"/>
      <c r="C417" s="25"/>
      <c r="D417" s="43"/>
      <c r="E417" s="44"/>
      <c r="F417" s="45"/>
      <c r="G417" s="40"/>
      <c r="H417" s="55" t="s">
        <v>255</v>
      </c>
      <c r="N417" s="66"/>
      <c r="O417" s="25"/>
      <c r="P417" s="72" t="str">
        <f>IFERROR(IF(ISBLANK(O417),"",INDEX(Gen_Vessels!$A$3:$C$500,MATCH(O417,Gen_Vessels!$C$3:$C$500,0),1)),"")</f>
        <v/>
      </c>
      <c r="Q417" s="25"/>
      <c r="R417" s="25"/>
      <c r="S417" s="25" t="str">
        <f>IFERROR(IF(ISBLANK(R417),"",INDEX(Gen_Vessels!$A$3:$C$500,MATCH(CorrectiveMinor!$R417,Gen_Vessels!$C$3:$C$500,0),1)),"")</f>
        <v/>
      </c>
      <c r="T417" s="25"/>
      <c r="U417" s="25"/>
      <c r="V417" s="25"/>
      <c r="W417" s="25"/>
      <c r="X417" s="25"/>
      <c r="Y417" s="25"/>
      <c r="AA417" s="25"/>
      <c r="AB417" s="25"/>
      <c r="AC417" s="25"/>
      <c r="AD417" s="25"/>
      <c r="AE417" s="25"/>
      <c r="AF417" s="25"/>
      <c r="AG417" s="25"/>
    </row>
    <row r="418" spans="1:33" x14ac:dyDescent="0.25">
      <c r="A418" s="18" t="str">
        <f t="shared" si="6"/>
        <v/>
      </c>
      <c r="B418" s="25"/>
      <c r="C418" s="25"/>
      <c r="D418" s="43"/>
      <c r="E418" s="44"/>
      <c r="F418" s="45"/>
      <c r="G418" s="40"/>
      <c r="H418" s="55" t="s">
        <v>255</v>
      </c>
      <c r="N418" s="66"/>
      <c r="O418" s="25"/>
      <c r="P418" s="72" t="str">
        <f>IFERROR(IF(ISBLANK(O418),"",INDEX(Gen_Vessels!$A$3:$C$500,MATCH(O418,Gen_Vessels!$C$3:$C$500,0),1)),"")</f>
        <v/>
      </c>
      <c r="Q418" s="25"/>
      <c r="R418" s="25"/>
      <c r="S418" s="25" t="str">
        <f>IFERROR(IF(ISBLANK(R418),"",INDEX(Gen_Vessels!$A$3:$C$500,MATCH(CorrectiveMinor!$R418,Gen_Vessels!$C$3:$C$500,0),1)),"")</f>
        <v/>
      </c>
      <c r="T418" s="25"/>
      <c r="U418" s="25"/>
      <c r="V418" s="25"/>
      <c r="W418" s="25"/>
      <c r="X418" s="25"/>
      <c r="Y418" s="25"/>
      <c r="AA418" s="25"/>
      <c r="AB418" s="25"/>
      <c r="AC418" s="25"/>
      <c r="AD418" s="25"/>
      <c r="AE418" s="25"/>
      <c r="AF418" s="25"/>
      <c r="AG418" s="25"/>
    </row>
    <row r="419" spans="1:33" x14ac:dyDescent="0.25">
      <c r="A419" s="18" t="str">
        <f t="shared" si="6"/>
        <v/>
      </c>
      <c r="B419" s="25"/>
      <c r="C419" s="25"/>
      <c r="D419" s="43"/>
      <c r="E419" s="44"/>
      <c r="F419" s="45"/>
      <c r="G419" s="40"/>
      <c r="H419" s="55" t="s">
        <v>255</v>
      </c>
      <c r="N419" s="66"/>
      <c r="O419" s="25"/>
      <c r="P419" s="72" t="str">
        <f>IFERROR(IF(ISBLANK(O419),"",INDEX(Gen_Vessels!$A$3:$C$500,MATCH(O419,Gen_Vessels!$C$3:$C$500,0),1)),"")</f>
        <v/>
      </c>
      <c r="Q419" s="25"/>
      <c r="R419" s="25"/>
      <c r="S419" s="25" t="str">
        <f>IFERROR(IF(ISBLANK(R419),"",INDEX(Gen_Vessels!$A$3:$C$500,MATCH(CorrectiveMinor!$R419,Gen_Vessels!$C$3:$C$500,0),1)),"")</f>
        <v/>
      </c>
      <c r="T419" s="25"/>
      <c r="U419" s="25"/>
      <c r="V419" s="25"/>
      <c r="W419" s="25"/>
      <c r="X419" s="25"/>
      <c r="Y419" s="25"/>
      <c r="AA419" s="25"/>
      <c r="AB419" s="25"/>
      <c r="AC419" s="25"/>
      <c r="AD419" s="25"/>
      <c r="AE419" s="25"/>
      <c r="AF419" s="25"/>
      <c r="AG419" s="25"/>
    </row>
    <row r="420" spans="1:33" x14ac:dyDescent="0.25">
      <c r="A420" s="18" t="str">
        <f t="shared" si="6"/>
        <v/>
      </c>
      <c r="B420" s="25"/>
      <c r="C420" s="25"/>
      <c r="D420" s="43"/>
      <c r="E420" s="44"/>
      <c r="F420" s="45"/>
      <c r="G420" s="40"/>
      <c r="H420" s="55" t="s">
        <v>255</v>
      </c>
      <c r="N420" s="66"/>
      <c r="O420" s="25"/>
      <c r="P420" s="72" t="str">
        <f>IFERROR(IF(ISBLANK(O420),"",INDEX(Gen_Vessels!$A$3:$C$500,MATCH(O420,Gen_Vessels!$C$3:$C$500,0),1)),"")</f>
        <v/>
      </c>
      <c r="Q420" s="25"/>
      <c r="R420" s="25"/>
      <c r="S420" s="25" t="str">
        <f>IFERROR(IF(ISBLANK(R420),"",INDEX(Gen_Vessels!$A$3:$C$500,MATCH(CorrectiveMinor!$R420,Gen_Vessels!$C$3:$C$500,0),1)),"")</f>
        <v/>
      </c>
      <c r="T420" s="25"/>
      <c r="U420" s="25"/>
      <c r="V420" s="25"/>
      <c r="W420" s="25"/>
      <c r="X420" s="25"/>
      <c r="Y420" s="25"/>
      <c r="AA420" s="25"/>
      <c r="AB420" s="25"/>
      <c r="AC420" s="25"/>
      <c r="AD420" s="25"/>
      <c r="AE420" s="25"/>
      <c r="AF420" s="25"/>
      <c r="AG420" s="25"/>
    </row>
    <row r="421" spans="1:33" x14ac:dyDescent="0.25">
      <c r="A421" s="18" t="str">
        <f t="shared" si="6"/>
        <v/>
      </c>
      <c r="B421" s="25"/>
      <c r="C421" s="25"/>
      <c r="D421" s="43"/>
      <c r="E421" s="44"/>
      <c r="F421" s="45"/>
      <c r="G421" s="40"/>
      <c r="H421" s="55" t="s">
        <v>255</v>
      </c>
      <c r="N421" s="66"/>
      <c r="O421" s="25"/>
      <c r="P421" s="72" t="str">
        <f>IFERROR(IF(ISBLANK(O421),"",INDEX(Gen_Vessels!$A$3:$C$500,MATCH(O421,Gen_Vessels!$C$3:$C$500,0),1)),"")</f>
        <v/>
      </c>
      <c r="Q421" s="25"/>
      <c r="R421" s="25"/>
      <c r="S421" s="25" t="str">
        <f>IFERROR(IF(ISBLANK(R421),"",INDEX(Gen_Vessels!$A$3:$C$500,MATCH(CorrectiveMinor!$R421,Gen_Vessels!$C$3:$C$500,0),1)),"")</f>
        <v/>
      </c>
      <c r="T421" s="25"/>
      <c r="U421" s="25"/>
      <c r="V421" s="25"/>
      <c r="W421" s="25"/>
      <c r="X421" s="25"/>
      <c r="Y421" s="25"/>
      <c r="AA421" s="25"/>
      <c r="AB421" s="25"/>
      <c r="AC421" s="25"/>
      <c r="AD421" s="25"/>
      <c r="AE421" s="25"/>
      <c r="AF421" s="25"/>
      <c r="AG421" s="25"/>
    </row>
    <row r="422" spans="1:33" x14ac:dyDescent="0.25">
      <c r="A422" s="18" t="str">
        <f t="shared" si="6"/>
        <v/>
      </c>
      <c r="B422" s="25"/>
      <c r="C422" s="25"/>
      <c r="D422" s="43"/>
      <c r="E422" s="44"/>
      <c r="F422" s="45"/>
      <c r="G422" s="40"/>
      <c r="H422" s="55" t="s">
        <v>255</v>
      </c>
      <c r="N422" s="66"/>
      <c r="O422" s="25"/>
      <c r="P422" s="72" t="str">
        <f>IFERROR(IF(ISBLANK(O422),"",INDEX(Gen_Vessels!$A$3:$C$500,MATCH(O422,Gen_Vessels!$C$3:$C$500,0),1)),"")</f>
        <v/>
      </c>
      <c r="Q422" s="25"/>
      <c r="R422" s="25"/>
      <c r="S422" s="25" t="str">
        <f>IFERROR(IF(ISBLANK(R422),"",INDEX(Gen_Vessels!$A$3:$C$500,MATCH(CorrectiveMinor!$R422,Gen_Vessels!$C$3:$C$500,0),1)),"")</f>
        <v/>
      </c>
      <c r="T422" s="25"/>
      <c r="U422" s="25"/>
      <c r="V422" s="25"/>
      <c r="W422" s="25"/>
      <c r="X422" s="25"/>
      <c r="Y422" s="25"/>
      <c r="AA422" s="25"/>
      <c r="AB422" s="25"/>
      <c r="AC422" s="25"/>
      <c r="AD422" s="25"/>
      <c r="AE422" s="25"/>
      <c r="AF422" s="25"/>
      <c r="AG422" s="25"/>
    </row>
    <row r="423" spans="1:33" x14ac:dyDescent="0.25">
      <c r="A423" s="18" t="str">
        <f t="shared" si="6"/>
        <v/>
      </c>
      <c r="B423" s="25"/>
      <c r="C423" s="25"/>
      <c r="D423" s="43"/>
      <c r="E423" s="44"/>
      <c r="F423" s="45"/>
      <c r="G423" s="40"/>
      <c r="H423" s="55" t="s">
        <v>255</v>
      </c>
      <c r="N423" s="66"/>
      <c r="O423" s="25"/>
      <c r="P423" s="72" t="str">
        <f>IFERROR(IF(ISBLANK(O423),"",INDEX(Gen_Vessels!$A$3:$C$500,MATCH(O423,Gen_Vessels!$C$3:$C$500,0),1)),"")</f>
        <v/>
      </c>
      <c r="Q423" s="25"/>
      <c r="R423" s="25"/>
      <c r="S423" s="25" t="str">
        <f>IFERROR(IF(ISBLANK(R423),"",INDEX(Gen_Vessels!$A$3:$C$500,MATCH(CorrectiveMinor!$R423,Gen_Vessels!$C$3:$C$500,0),1)),"")</f>
        <v/>
      </c>
      <c r="T423" s="25"/>
      <c r="U423" s="25"/>
      <c r="V423" s="25"/>
      <c r="W423" s="25"/>
      <c r="X423" s="25"/>
      <c r="Y423" s="25"/>
      <c r="AA423" s="25"/>
      <c r="AB423" s="25"/>
      <c r="AC423" s="25"/>
      <c r="AD423" s="25"/>
      <c r="AE423" s="25"/>
      <c r="AF423" s="25"/>
      <c r="AG423" s="25"/>
    </row>
    <row r="424" spans="1:33" x14ac:dyDescent="0.25">
      <c r="A424" s="18" t="str">
        <f t="shared" si="6"/>
        <v/>
      </c>
      <c r="B424" s="25"/>
      <c r="C424" s="25"/>
      <c r="D424" s="43"/>
      <c r="E424" s="44"/>
      <c r="F424" s="45"/>
      <c r="G424" s="40"/>
      <c r="H424" s="55" t="s">
        <v>255</v>
      </c>
      <c r="N424" s="66"/>
      <c r="O424" s="25"/>
      <c r="P424" s="72" t="str">
        <f>IFERROR(IF(ISBLANK(O424),"",INDEX(Gen_Vessels!$A$3:$C$500,MATCH(O424,Gen_Vessels!$C$3:$C$500,0),1)),"")</f>
        <v/>
      </c>
      <c r="Q424" s="25"/>
      <c r="R424" s="25"/>
      <c r="S424" s="25" t="str">
        <f>IFERROR(IF(ISBLANK(R424),"",INDEX(Gen_Vessels!$A$3:$C$500,MATCH(CorrectiveMinor!$R424,Gen_Vessels!$C$3:$C$500,0),1)),"")</f>
        <v/>
      </c>
      <c r="T424" s="25"/>
      <c r="U424" s="25"/>
      <c r="V424" s="25"/>
      <c r="W424" s="25"/>
      <c r="X424" s="25"/>
      <c r="Y424" s="25"/>
      <c r="AA424" s="25"/>
      <c r="AB424" s="25"/>
      <c r="AC424" s="25"/>
      <c r="AD424" s="25"/>
      <c r="AE424" s="25"/>
      <c r="AF424" s="25"/>
      <c r="AG424" s="25"/>
    </row>
    <row r="425" spans="1:33" x14ac:dyDescent="0.25">
      <c r="A425" s="18" t="str">
        <f t="shared" si="6"/>
        <v/>
      </c>
      <c r="B425" s="25"/>
      <c r="C425" s="25"/>
      <c r="D425" s="43"/>
      <c r="E425" s="44"/>
      <c r="F425" s="45"/>
      <c r="G425" s="40"/>
      <c r="H425" s="55" t="s">
        <v>255</v>
      </c>
      <c r="N425" s="66"/>
      <c r="O425" s="25"/>
      <c r="P425" s="72" t="str">
        <f>IFERROR(IF(ISBLANK(O425),"",INDEX(Gen_Vessels!$A$3:$C$500,MATCH(O425,Gen_Vessels!$C$3:$C$500,0),1)),"")</f>
        <v/>
      </c>
      <c r="Q425" s="25"/>
      <c r="R425" s="25"/>
      <c r="S425" s="25" t="str">
        <f>IFERROR(IF(ISBLANK(R425),"",INDEX(Gen_Vessels!$A$3:$C$500,MATCH(CorrectiveMinor!$R425,Gen_Vessels!$C$3:$C$500,0),1)),"")</f>
        <v/>
      </c>
      <c r="T425" s="25"/>
      <c r="U425" s="25"/>
      <c r="V425" s="25"/>
      <c r="W425" s="25"/>
      <c r="X425" s="25"/>
      <c r="Y425" s="25"/>
      <c r="AA425" s="25"/>
      <c r="AB425" s="25"/>
      <c r="AC425" s="25"/>
      <c r="AD425" s="25"/>
      <c r="AE425" s="25"/>
      <c r="AF425" s="25"/>
      <c r="AG425" s="25"/>
    </row>
    <row r="426" spans="1:33" x14ac:dyDescent="0.25">
      <c r="A426" s="18" t="str">
        <f t="shared" si="6"/>
        <v/>
      </c>
      <c r="B426" s="25"/>
      <c r="C426" s="25"/>
      <c r="D426" s="43"/>
      <c r="E426" s="44"/>
      <c r="F426" s="45"/>
      <c r="G426" s="40"/>
      <c r="H426" s="55" t="s">
        <v>255</v>
      </c>
      <c r="N426" s="66"/>
      <c r="O426" s="25"/>
      <c r="P426" s="72" t="str">
        <f>IFERROR(IF(ISBLANK(O426),"",INDEX(Gen_Vessels!$A$3:$C$500,MATCH(O426,Gen_Vessels!$C$3:$C$500,0),1)),"")</f>
        <v/>
      </c>
      <c r="Q426" s="25"/>
      <c r="R426" s="25"/>
      <c r="S426" s="25" t="str">
        <f>IFERROR(IF(ISBLANK(R426),"",INDEX(Gen_Vessels!$A$3:$C$500,MATCH(CorrectiveMinor!$R426,Gen_Vessels!$C$3:$C$500,0),1)),"")</f>
        <v/>
      </c>
      <c r="T426" s="25"/>
      <c r="U426" s="25"/>
      <c r="V426" s="25"/>
      <c r="W426" s="25"/>
      <c r="X426" s="25"/>
      <c r="Y426" s="25"/>
      <c r="AA426" s="25"/>
      <c r="AB426" s="25"/>
      <c r="AC426" s="25"/>
      <c r="AD426" s="25"/>
      <c r="AE426" s="25"/>
      <c r="AF426" s="25"/>
      <c r="AG426" s="25"/>
    </row>
    <row r="427" spans="1:33" x14ac:dyDescent="0.25">
      <c r="A427" s="18" t="str">
        <f t="shared" si="6"/>
        <v/>
      </c>
      <c r="B427" s="25"/>
      <c r="C427" s="25"/>
      <c r="D427" s="43"/>
      <c r="E427" s="44"/>
      <c r="F427" s="45"/>
      <c r="G427" s="40"/>
      <c r="H427" s="55" t="s">
        <v>255</v>
      </c>
      <c r="N427" s="66"/>
      <c r="O427" s="25"/>
      <c r="P427" s="72" t="str">
        <f>IFERROR(IF(ISBLANK(O427),"",INDEX(Gen_Vessels!$A$3:$C$500,MATCH(O427,Gen_Vessels!$C$3:$C$500,0),1)),"")</f>
        <v/>
      </c>
      <c r="Q427" s="25"/>
      <c r="R427" s="25"/>
      <c r="S427" s="25" t="str">
        <f>IFERROR(IF(ISBLANK(R427),"",INDEX(Gen_Vessels!$A$3:$C$500,MATCH(CorrectiveMinor!$R427,Gen_Vessels!$C$3:$C$500,0),1)),"")</f>
        <v/>
      </c>
      <c r="T427" s="25"/>
      <c r="U427" s="25"/>
      <c r="V427" s="25"/>
      <c r="W427" s="25"/>
      <c r="X427" s="25"/>
      <c r="Y427" s="25"/>
      <c r="AA427" s="25"/>
      <c r="AB427" s="25"/>
      <c r="AC427" s="25"/>
      <c r="AD427" s="25"/>
      <c r="AE427" s="25"/>
      <c r="AF427" s="25"/>
      <c r="AG427" s="25"/>
    </row>
    <row r="428" spans="1:33" x14ac:dyDescent="0.25">
      <c r="A428" s="18" t="str">
        <f t="shared" si="6"/>
        <v/>
      </c>
      <c r="B428" s="25"/>
      <c r="C428" s="25"/>
      <c r="D428" s="43"/>
      <c r="E428" s="44"/>
      <c r="F428" s="45"/>
      <c r="G428" s="40"/>
      <c r="H428" s="55" t="s">
        <v>255</v>
      </c>
      <c r="N428" s="66"/>
      <c r="O428" s="25"/>
      <c r="P428" s="72" t="str">
        <f>IFERROR(IF(ISBLANK(O428),"",INDEX(Gen_Vessels!$A$3:$C$500,MATCH(O428,Gen_Vessels!$C$3:$C$500,0),1)),"")</f>
        <v/>
      </c>
      <c r="Q428" s="25"/>
      <c r="R428" s="25"/>
      <c r="S428" s="25" t="str">
        <f>IFERROR(IF(ISBLANK(R428),"",INDEX(Gen_Vessels!$A$3:$C$500,MATCH(CorrectiveMinor!$R428,Gen_Vessels!$C$3:$C$500,0),1)),"")</f>
        <v/>
      </c>
      <c r="T428" s="25"/>
      <c r="U428" s="25"/>
      <c r="V428" s="25"/>
      <c r="W428" s="25"/>
      <c r="X428" s="25"/>
      <c r="Y428" s="25"/>
      <c r="AA428" s="25"/>
      <c r="AB428" s="25"/>
      <c r="AC428" s="25"/>
      <c r="AD428" s="25"/>
      <c r="AE428" s="25"/>
      <c r="AF428" s="25"/>
      <c r="AG428" s="25"/>
    </row>
    <row r="429" spans="1:33" x14ac:dyDescent="0.25">
      <c r="A429" s="18" t="str">
        <f t="shared" si="6"/>
        <v/>
      </c>
      <c r="B429" s="25"/>
      <c r="C429" s="25"/>
      <c r="D429" s="43"/>
      <c r="E429" s="44"/>
      <c r="F429" s="45"/>
      <c r="G429" s="40"/>
      <c r="H429" s="55" t="s">
        <v>255</v>
      </c>
      <c r="N429" s="66"/>
      <c r="O429" s="25"/>
      <c r="P429" s="72" t="str">
        <f>IFERROR(IF(ISBLANK(O429),"",INDEX(Gen_Vessels!$A$3:$C$500,MATCH(O429,Gen_Vessels!$C$3:$C$500,0),1)),"")</f>
        <v/>
      </c>
      <c r="Q429" s="25"/>
      <c r="R429" s="25"/>
      <c r="S429" s="25" t="str">
        <f>IFERROR(IF(ISBLANK(R429),"",INDEX(Gen_Vessels!$A$3:$C$500,MATCH(CorrectiveMinor!$R429,Gen_Vessels!$C$3:$C$500,0),1)),"")</f>
        <v/>
      </c>
      <c r="T429" s="25"/>
      <c r="U429" s="25"/>
      <c r="V429" s="25"/>
      <c r="W429" s="25"/>
      <c r="X429" s="25"/>
      <c r="Y429" s="25"/>
      <c r="AA429" s="25"/>
      <c r="AB429" s="25"/>
      <c r="AC429" s="25"/>
      <c r="AD429" s="25"/>
      <c r="AE429" s="25"/>
      <c r="AF429" s="25"/>
      <c r="AG429" s="25"/>
    </row>
    <row r="430" spans="1:33" x14ac:dyDescent="0.25">
      <c r="A430" s="18" t="str">
        <f t="shared" si="6"/>
        <v/>
      </c>
      <c r="B430" s="25"/>
      <c r="C430" s="25"/>
      <c r="D430" s="43"/>
      <c r="E430" s="44"/>
      <c r="F430" s="45"/>
      <c r="G430" s="40"/>
      <c r="H430" s="55" t="s">
        <v>255</v>
      </c>
      <c r="N430" s="66"/>
      <c r="O430" s="25"/>
      <c r="P430" s="72" t="str">
        <f>IFERROR(IF(ISBLANK(O430),"",INDEX(Gen_Vessels!$A$3:$C$500,MATCH(O430,Gen_Vessels!$C$3:$C$500,0),1)),"")</f>
        <v/>
      </c>
      <c r="Q430" s="25"/>
      <c r="R430" s="25"/>
      <c r="S430" s="25" t="str">
        <f>IFERROR(IF(ISBLANK(R430),"",INDEX(Gen_Vessels!$A$3:$C$500,MATCH(CorrectiveMinor!$R430,Gen_Vessels!$C$3:$C$500,0),1)),"")</f>
        <v/>
      </c>
      <c r="T430" s="25"/>
      <c r="U430" s="25"/>
      <c r="V430" s="25"/>
      <c r="W430" s="25"/>
      <c r="X430" s="25"/>
      <c r="Y430" s="25"/>
      <c r="AA430" s="25"/>
      <c r="AB430" s="25"/>
      <c r="AC430" s="25"/>
      <c r="AD430" s="25"/>
      <c r="AE430" s="25"/>
      <c r="AF430" s="25"/>
      <c r="AG430" s="25"/>
    </row>
    <row r="431" spans="1:33" x14ac:dyDescent="0.25">
      <c r="A431" s="18" t="str">
        <f t="shared" si="6"/>
        <v/>
      </c>
      <c r="B431" s="25"/>
      <c r="C431" s="25"/>
      <c r="D431" s="43"/>
      <c r="E431" s="44"/>
      <c r="F431" s="45"/>
      <c r="G431" s="40"/>
      <c r="H431" s="55" t="s">
        <v>255</v>
      </c>
      <c r="N431" s="66"/>
      <c r="O431" s="25"/>
      <c r="P431" s="72" t="str">
        <f>IFERROR(IF(ISBLANK(O431),"",INDEX(Gen_Vessels!$A$3:$C$500,MATCH(O431,Gen_Vessels!$C$3:$C$500,0),1)),"")</f>
        <v/>
      </c>
      <c r="Q431" s="25"/>
      <c r="R431" s="25"/>
      <c r="S431" s="25" t="str">
        <f>IFERROR(IF(ISBLANK(R431),"",INDEX(Gen_Vessels!$A$3:$C$500,MATCH(CorrectiveMinor!$R431,Gen_Vessels!$C$3:$C$500,0),1)),"")</f>
        <v/>
      </c>
      <c r="T431" s="25"/>
      <c r="U431" s="25"/>
      <c r="V431" s="25"/>
      <c r="W431" s="25"/>
      <c r="X431" s="25"/>
      <c r="Y431" s="25"/>
      <c r="AA431" s="25"/>
      <c r="AB431" s="25"/>
      <c r="AC431" s="25"/>
      <c r="AD431" s="25"/>
      <c r="AE431" s="25"/>
      <c r="AF431" s="25"/>
      <c r="AG431" s="25"/>
    </row>
    <row r="432" spans="1:33" x14ac:dyDescent="0.25">
      <c r="A432" s="18" t="str">
        <f t="shared" si="6"/>
        <v/>
      </c>
      <c r="B432" s="25"/>
      <c r="C432" s="25"/>
      <c r="D432" s="43"/>
      <c r="E432" s="44"/>
      <c r="F432" s="45"/>
      <c r="G432" s="40"/>
      <c r="H432" s="55" t="s">
        <v>255</v>
      </c>
      <c r="N432" s="66"/>
      <c r="O432" s="25"/>
      <c r="P432" s="72" t="str">
        <f>IFERROR(IF(ISBLANK(O432),"",INDEX(Gen_Vessels!$A$3:$C$500,MATCH(O432,Gen_Vessels!$C$3:$C$500,0),1)),"")</f>
        <v/>
      </c>
      <c r="Q432" s="25"/>
      <c r="R432" s="25"/>
      <c r="S432" s="25" t="str">
        <f>IFERROR(IF(ISBLANK(R432),"",INDEX(Gen_Vessels!$A$3:$C$500,MATCH(CorrectiveMinor!$R432,Gen_Vessels!$C$3:$C$500,0),1)),"")</f>
        <v/>
      </c>
      <c r="T432" s="25"/>
      <c r="U432" s="25"/>
      <c r="V432" s="25"/>
      <c r="W432" s="25"/>
      <c r="X432" s="25"/>
      <c r="Y432" s="25"/>
      <c r="AA432" s="25"/>
      <c r="AB432" s="25"/>
      <c r="AC432" s="25"/>
      <c r="AD432" s="25"/>
      <c r="AE432" s="25"/>
      <c r="AF432" s="25"/>
      <c r="AG432" s="25"/>
    </row>
    <row r="433" spans="1:33" x14ac:dyDescent="0.25">
      <c r="A433" s="18" t="str">
        <f t="shared" si="6"/>
        <v/>
      </c>
      <c r="B433" s="25"/>
      <c r="C433" s="25"/>
      <c r="D433" s="43"/>
      <c r="E433" s="44"/>
      <c r="F433" s="45"/>
      <c r="G433" s="40"/>
      <c r="H433" s="55" t="s">
        <v>255</v>
      </c>
      <c r="N433" s="66"/>
      <c r="O433" s="25"/>
      <c r="P433" s="72" t="str">
        <f>IFERROR(IF(ISBLANK(O433),"",INDEX(Gen_Vessels!$A$3:$C$500,MATCH(O433,Gen_Vessels!$C$3:$C$500,0),1)),"")</f>
        <v/>
      </c>
      <c r="Q433" s="25"/>
      <c r="R433" s="25"/>
      <c r="S433" s="25" t="str">
        <f>IFERROR(IF(ISBLANK(R433),"",INDEX(Gen_Vessels!$A$3:$C$500,MATCH(CorrectiveMinor!$R433,Gen_Vessels!$C$3:$C$500,0),1)),"")</f>
        <v/>
      </c>
      <c r="T433" s="25"/>
      <c r="U433" s="25"/>
      <c r="V433" s="25"/>
      <c r="W433" s="25"/>
      <c r="X433" s="25"/>
      <c r="Y433" s="25"/>
      <c r="AA433" s="25"/>
      <c r="AB433" s="25"/>
      <c r="AC433" s="25"/>
      <c r="AD433" s="25"/>
      <c r="AE433" s="25"/>
      <c r="AF433" s="25"/>
      <c r="AG433" s="25"/>
    </row>
    <row r="434" spans="1:33" x14ac:dyDescent="0.25">
      <c r="A434" s="18" t="str">
        <f t="shared" si="6"/>
        <v/>
      </c>
      <c r="B434" s="25"/>
      <c r="C434" s="25"/>
      <c r="D434" s="43"/>
      <c r="E434" s="44"/>
      <c r="F434" s="45"/>
      <c r="G434" s="40"/>
      <c r="H434" s="55" t="s">
        <v>255</v>
      </c>
      <c r="N434" s="66"/>
      <c r="O434" s="25"/>
      <c r="P434" s="72" t="str">
        <f>IFERROR(IF(ISBLANK(O434),"",INDEX(Gen_Vessels!$A$3:$C$500,MATCH(O434,Gen_Vessels!$C$3:$C$500,0),1)),"")</f>
        <v/>
      </c>
      <c r="Q434" s="25"/>
      <c r="R434" s="25"/>
      <c r="S434" s="25" t="str">
        <f>IFERROR(IF(ISBLANK(R434),"",INDEX(Gen_Vessels!$A$3:$C$500,MATCH(CorrectiveMinor!$R434,Gen_Vessels!$C$3:$C$500,0),1)),"")</f>
        <v/>
      </c>
      <c r="T434" s="25"/>
      <c r="U434" s="25"/>
      <c r="V434" s="25"/>
      <c r="W434" s="25"/>
      <c r="X434" s="25"/>
      <c r="Y434" s="25"/>
      <c r="AA434" s="25"/>
      <c r="AB434" s="25"/>
      <c r="AC434" s="25"/>
      <c r="AD434" s="25"/>
      <c r="AE434" s="25"/>
      <c r="AF434" s="25"/>
      <c r="AG434" s="25"/>
    </row>
    <row r="435" spans="1:33" x14ac:dyDescent="0.25">
      <c r="A435" s="18" t="str">
        <f t="shared" si="6"/>
        <v/>
      </c>
      <c r="B435" s="25"/>
      <c r="C435" s="25"/>
      <c r="D435" s="43"/>
      <c r="E435" s="44"/>
      <c r="F435" s="45"/>
      <c r="G435" s="40"/>
      <c r="H435" s="55" t="s">
        <v>255</v>
      </c>
      <c r="N435" s="66"/>
      <c r="O435" s="25"/>
      <c r="P435" s="72" t="str">
        <f>IFERROR(IF(ISBLANK(O435),"",INDEX(Gen_Vessels!$A$3:$C$500,MATCH(O435,Gen_Vessels!$C$3:$C$500,0),1)),"")</f>
        <v/>
      </c>
      <c r="Q435" s="25"/>
      <c r="R435" s="25"/>
      <c r="S435" s="25" t="str">
        <f>IFERROR(IF(ISBLANK(R435),"",INDEX(Gen_Vessels!$A$3:$C$500,MATCH(CorrectiveMinor!$R435,Gen_Vessels!$C$3:$C$500,0),1)),"")</f>
        <v/>
      </c>
      <c r="T435" s="25"/>
      <c r="U435" s="25"/>
      <c r="V435" s="25"/>
      <c r="W435" s="25"/>
      <c r="X435" s="25"/>
      <c r="Y435" s="25"/>
      <c r="AA435" s="25"/>
      <c r="AB435" s="25"/>
      <c r="AC435" s="25"/>
      <c r="AD435" s="25"/>
      <c r="AE435" s="25"/>
      <c r="AF435" s="25"/>
      <c r="AG435" s="25"/>
    </row>
    <row r="436" spans="1:33" x14ac:dyDescent="0.25">
      <c r="A436" s="18" t="str">
        <f t="shared" si="6"/>
        <v/>
      </c>
      <c r="B436" s="25"/>
      <c r="C436" s="25"/>
      <c r="D436" s="43"/>
      <c r="E436" s="44"/>
      <c r="F436" s="45"/>
      <c r="G436" s="40"/>
      <c r="H436" s="55" t="s">
        <v>255</v>
      </c>
      <c r="N436" s="66"/>
      <c r="O436" s="25"/>
      <c r="P436" s="72" t="str">
        <f>IFERROR(IF(ISBLANK(O436),"",INDEX(Gen_Vessels!$A$3:$C$500,MATCH(O436,Gen_Vessels!$C$3:$C$500,0),1)),"")</f>
        <v/>
      </c>
      <c r="Q436" s="25"/>
      <c r="R436" s="25"/>
      <c r="S436" s="25" t="str">
        <f>IFERROR(IF(ISBLANK(R436),"",INDEX(Gen_Vessels!$A$3:$C$500,MATCH(CorrectiveMinor!$R436,Gen_Vessels!$C$3:$C$500,0),1)),"")</f>
        <v/>
      </c>
      <c r="T436" s="25"/>
      <c r="U436" s="25"/>
      <c r="V436" s="25"/>
      <c r="W436" s="25"/>
      <c r="X436" s="25"/>
      <c r="Y436" s="25"/>
      <c r="AA436" s="25"/>
      <c r="AB436" s="25"/>
      <c r="AC436" s="25"/>
      <c r="AD436" s="25"/>
      <c r="AE436" s="25"/>
      <c r="AF436" s="25"/>
      <c r="AG436" s="25"/>
    </row>
    <row r="437" spans="1:33" x14ac:dyDescent="0.25">
      <c r="A437" s="18" t="str">
        <f t="shared" si="6"/>
        <v/>
      </c>
      <c r="B437" s="25"/>
      <c r="C437" s="25"/>
      <c r="D437" s="43"/>
      <c r="E437" s="44"/>
      <c r="F437" s="45"/>
      <c r="G437" s="40"/>
      <c r="H437" s="55" t="s">
        <v>255</v>
      </c>
      <c r="N437" s="66"/>
      <c r="O437" s="25"/>
      <c r="P437" s="72" t="str">
        <f>IFERROR(IF(ISBLANK(O437),"",INDEX(Gen_Vessels!$A$3:$C$500,MATCH(O437,Gen_Vessels!$C$3:$C$500,0),1)),"")</f>
        <v/>
      </c>
      <c r="Q437" s="25"/>
      <c r="R437" s="25"/>
      <c r="S437" s="25" t="str">
        <f>IFERROR(IF(ISBLANK(R437),"",INDEX(Gen_Vessels!$A$3:$C$500,MATCH(CorrectiveMinor!$R437,Gen_Vessels!$C$3:$C$500,0),1)),"")</f>
        <v/>
      </c>
      <c r="T437" s="25"/>
      <c r="U437" s="25"/>
      <c r="V437" s="25"/>
      <c r="W437" s="25"/>
      <c r="X437" s="25"/>
      <c r="Y437" s="25"/>
      <c r="AA437" s="25"/>
      <c r="AB437" s="25"/>
      <c r="AC437" s="25"/>
      <c r="AD437" s="25"/>
      <c r="AE437" s="25"/>
      <c r="AF437" s="25"/>
      <c r="AG437" s="25"/>
    </row>
    <row r="438" spans="1:33" x14ac:dyDescent="0.25">
      <c r="A438" s="18" t="str">
        <f t="shared" si="6"/>
        <v/>
      </c>
      <c r="B438" s="25"/>
      <c r="C438" s="25"/>
      <c r="D438" s="43"/>
      <c r="E438" s="44"/>
      <c r="F438" s="45"/>
      <c r="G438" s="40"/>
      <c r="H438" s="55" t="s">
        <v>255</v>
      </c>
      <c r="N438" s="66"/>
      <c r="O438" s="25"/>
      <c r="P438" s="72" t="str">
        <f>IFERROR(IF(ISBLANK(O438),"",INDEX(Gen_Vessels!$A$3:$C$500,MATCH(O438,Gen_Vessels!$C$3:$C$500,0),1)),"")</f>
        <v/>
      </c>
      <c r="Q438" s="25"/>
      <c r="R438" s="25"/>
      <c r="S438" s="25" t="str">
        <f>IFERROR(IF(ISBLANK(R438),"",INDEX(Gen_Vessels!$A$3:$C$500,MATCH(CorrectiveMinor!$R438,Gen_Vessels!$C$3:$C$500,0),1)),"")</f>
        <v/>
      </c>
      <c r="T438" s="25"/>
      <c r="U438" s="25"/>
      <c r="V438" s="25"/>
      <c r="W438" s="25"/>
      <c r="X438" s="25"/>
      <c r="Y438" s="25"/>
      <c r="AA438" s="25"/>
      <c r="AB438" s="25"/>
      <c r="AC438" s="25"/>
      <c r="AD438" s="25"/>
      <c r="AE438" s="25"/>
      <c r="AF438" s="25"/>
      <c r="AG438" s="25"/>
    </row>
    <row r="439" spans="1:33" x14ac:dyDescent="0.25">
      <c r="A439" s="18" t="str">
        <f t="shared" si="6"/>
        <v/>
      </c>
      <c r="B439" s="25"/>
      <c r="C439" s="25"/>
      <c r="D439" s="43"/>
      <c r="E439" s="44"/>
      <c r="F439" s="45"/>
      <c r="G439" s="40"/>
      <c r="H439" s="55" t="s">
        <v>255</v>
      </c>
      <c r="N439" s="66"/>
      <c r="O439" s="25"/>
      <c r="P439" s="72" t="str">
        <f>IFERROR(IF(ISBLANK(O439),"",INDEX(Gen_Vessels!$A$3:$C$500,MATCH(O439,Gen_Vessels!$C$3:$C$500,0),1)),"")</f>
        <v/>
      </c>
      <c r="Q439" s="25"/>
      <c r="R439" s="25"/>
      <c r="S439" s="25" t="str">
        <f>IFERROR(IF(ISBLANK(R439),"",INDEX(Gen_Vessels!$A$3:$C$500,MATCH(CorrectiveMinor!$R439,Gen_Vessels!$C$3:$C$500,0),1)),"")</f>
        <v/>
      </c>
      <c r="T439" s="25"/>
      <c r="U439" s="25"/>
      <c r="V439" s="25"/>
      <c r="W439" s="25"/>
      <c r="X439" s="25"/>
      <c r="Y439" s="25"/>
      <c r="AA439" s="25"/>
      <c r="AB439" s="25"/>
      <c r="AC439" s="25"/>
      <c r="AD439" s="25"/>
      <c r="AE439" s="25"/>
      <c r="AF439" s="25"/>
      <c r="AG439" s="25"/>
    </row>
    <row r="440" spans="1:33" x14ac:dyDescent="0.25">
      <c r="A440" s="18" t="str">
        <f t="shared" si="6"/>
        <v/>
      </c>
      <c r="B440" s="25"/>
      <c r="C440" s="25"/>
      <c r="D440" s="43"/>
      <c r="E440" s="44"/>
      <c r="F440" s="45"/>
      <c r="G440" s="40"/>
      <c r="H440" s="55" t="s">
        <v>255</v>
      </c>
      <c r="N440" s="66"/>
      <c r="O440" s="25"/>
      <c r="P440" s="72" t="str">
        <f>IFERROR(IF(ISBLANK(O440),"",INDEX(Gen_Vessels!$A$3:$C$500,MATCH(O440,Gen_Vessels!$C$3:$C$500,0),1)),"")</f>
        <v/>
      </c>
      <c r="Q440" s="25"/>
      <c r="R440" s="25"/>
      <c r="S440" s="25" t="str">
        <f>IFERROR(IF(ISBLANK(R440),"",INDEX(Gen_Vessels!$A$3:$C$500,MATCH(CorrectiveMinor!$R440,Gen_Vessels!$C$3:$C$500,0),1)),"")</f>
        <v/>
      </c>
      <c r="T440" s="25"/>
      <c r="U440" s="25"/>
      <c r="V440" s="25"/>
      <c r="W440" s="25"/>
      <c r="X440" s="25"/>
      <c r="Y440" s="25"/>
      <c r="AA440" s="25"/>
      <c r="AB440" s="25"/>
      <c r="AC440" s="25"/>
      <c r="AD440" s="25"/>
      <c r="AE440" s="25"/>
      <c r="AF440" s="25"/>
      <c r="AG440" s="25"/>
    </row>
    <row r="441" spans="1:33" x14ac:dyDescent="0.25">
      <c r="A441" s="18" t="str">
        <f t="shared" si="6"/>
        <v/>
      </c>
      <c r="B441" s="25"/>
      <c r="C441" s="25"/>
      <c r="D441" s="43"/>
      <c r="E441" s="44"/>
      <c r="F441" s="45"/>
      <c r="G441" s="40"/>
      <c r="H441" s="55" t="s">
        <v>255</v>
      </c>
      <c r="N441" s="66"/>
      <c r="O441" s="25"/>
      <c r="P441" s="72" t="str">
        <f>IFERROR(IF(ISBLANK(O441),"",INDEX(Gen_Vessels!$A$3:$C$500,MATCH(O441,Gen_Vessels!$C$3:$C$500,0),1)),"")</f>
        <v/>
      </c>
      <c r="Q441" s="25"/>
      <c r="R441" s="25"/>
      <c r="S441" s="25" t="str">
        <f>IFERROR(IF(ISBLANK(R441),"",INDEX(Gen_Vessels!$A$3:$C$500,MATCH(CorrectiveMinor!$R441,Gen_Vessels!$C$3:$C$500,0),1)),"")</f>
        <v/>
      </c>
      <c r="T441" s="25"/>
      <c r="U441" s="25"/>
      <c r="V441" s="25"/>
      <c r="W441" s="25"/>
      <c r="X441" s="25"/>
      <c r="Y441" s="25"/>
      <c r="AA441" s="25"/>
      <c r="AB441" s="25"/>
      <c r="AC441" s="25"/>
      <c r="AD441" s="25"/>
      <c r="AE441" s="25"/>
      <c r="AF441" s="25"/>
      <c r="AG441" s="25"/>
    </row>
    <row r="442" spans="1:33" x14ac:dyDescent="0.25">
      <c r="A442" s="18" t="str">
        <f t="shared" si="6"/>
        <v/>
      </c>
      <c r="B442" s="25"/>
      <c r="C442" s="25"/>
      <c r="D442" s="43"/>
      <c r="E442" s="44"/>
      <c r="F442" s="45"/>
      <c r="G442" s="40"/>
      <c r="H442" s="55" t="s">
        <v>255</v>
      </c>
      <c r="N442" s="66"/>
      <c r="O442" s="25"/>
      <c r="P442" s="72" t="str">
        <f>IFERROR(IF(ISBLANK(O442),"",INDEX(Gen_Vessels!$A$3:$C$500,MATCH(O442,Gen_Vessels!$C$3:$C$500,0),1)),"")</f>
        <v/>
      </c>
      <c r="Q442" s="25"/>
      <c r="R442" s="25"/>
      <c r="S442" s="25" t="str">
        <f>IFERROR(IF(ISBLANK(R442),"",INDEX(Gen_Vessels!$A$3:$C$500,MATCH(CorrectiveMinor!$R442,Gen_Vessels!$C$3:$C$500,0),1)),"")</f>
        <v/>
      </c>
      <c r="T442" s="25"/>
      <c r="U442" s="25"/>
      <c r="V442" s="25"/>
      <c r="W442" s="25"/>
      <c r="X442" s="25"/>
      <c r="Y442" s="25"/>
      <c r="AA442" s="25"/>
      <c r="AB442" s="25"/>
      <c r="AC442" s="25"/>
      <c r="AD442" s="25"/>
      <c r="AE442" s="25"/>
      <c r="AF442" s="25"/>
      <c r="AG442" s="25"/>
    </row>
    <row r="443" spans="1:33" x14ac:dyDescent="0.25">
      <c r="A443" s="18" t="str">
        <f t="shared" ref="A443:A484" si="7">IF(ISBLANK($B443)=FALSE,IF(AND($D443&gt;0,$E443&lt;=0,$F443&lt;=0),_xlfn.CONCAT("ofw_",$B443),IF(AND($D443&lt;=0,$E443&gt;0,$F443&lt;=0),_xlfn.CONCAT("owc_",$B443),IF(AND($D443&lt;=0,$E443&lt;=0,$F443&gt;0),_xlfn.CONCAT("opv_",$B443),_xlfn.CONCAT("oce_",$B443)))),"")</f>
        <v/>
      </c>
      <c r="B443" s="25"/>
      <c r="C443" s="25"/>
      <c r="D443" s="43"/>
      <c r="E443" s="44"/>
      <c r="F443" s="45"/>
      <c r="G443" s="40"/>
      <c r="H443" s="55" t="s">
        <v>255</v>
      </c>
      <c r="N443" s="66"/>
      <c r="O443" s="25"/>
      <c r="P443" s="72" t="str">
        <f>IFERROR(IF(ISBLANK(O443),"",INDEX(Gen_Vessels!$A$3:$C$500,MATCH(O443,Gen_Vessels!$C$3:$C$500,0),1)),"")</f>
        <v/>
      </c>
      <c r="Q443" s="25"/>
      <c r="R443" s="25"/>
      <c r="S443" s="25" t="str">
        <f>IFERROR(IF(ISBLANK(R443),"",INDEX(Gen_Vessels!$A$3:$C$500,MATCH(CorrectiveMinor!$R443,Gen_Vessels!$C$3:$C$500,0),1)),"")</f>
        <v/>
      </c>
      <c r="T443" s="25"/>
      <c r="U443" s="25"/>
      <c r="V443" s="25"/>
      <c r="W443" s="25"/>
      <c r="X443" s="25"/>
      <c r="Y443" s="25"/>
      <c r="AA443" s="25"/>
      <c r="AB443" s="25"/>
      <c r="AC443" s="25"/>
      <c r="AD443" s="25"/>
      <c r="AE443" s="25"/>
      <c r="AF443" s="25"/>
      <c r="AG443" s="25"/>
    </row>
    <row r="444" spans="1:33" x14ac:dyDescent="0.25">
      <c r="A444" s="18" t="str">
        <f t="shared" si="7"/>
        <v/>
      </c>
      <c r="B444" s="25"/>
      <c r="C444" s="25"/>
      <c r="D444" s="43"/>
      <c r="E444" s="44"/>
      <c r="F444" s="45"/>
      <c r="G444" s="40"/>
      <c r="H444" s="55" t="s">
        <v>255</v>
      </c>
      <c r="N444" s="66"/>
      <c r="O444" s="25"/>
      <c r="P444" s="72" t="str">
        <f>IFERROR(IF(ISBLANK(O444),"",INDEX(Gen_Vessels!$A$3:$C$500,MATCH(O444,Gen_Vessels!$C$3:$C$500,0),1)),"")</f>
        <v/>
      </c>
      <c r="Q444" s="25"/>
      <c r="R444" s="25"/>
      <c r="S444" s="25" t="str">
        <f>IFERROR(IF(ISBLANK(R444),"",INDEX(Gen_Vessels!$A$3:$C$500,MATCH(CorrectiveMinor!$R444,Gen_Vessels!$C$3:$C$500,0),1)),"")</f>
        <v/>
      </c>
      <c r="T444" s="25"/>
      <c r="U444" s="25"/>
      <c r="V444" s="25"/>
      <c r="W444" s="25"/>
      <c r="X444" s="25"/>
      <c r="Y444" s="25"/>
      <c r="AA444" s="25"/>
      <c r="AB444" s="25"/>
      <c r="AC444" s="25"/>
      <c r="AD444" s="25"/>
      <c r="AE444" s="25"/>
      <c r="AF444" s="25"/>
      <c r="AG444" s="25"/>
    </row>
    <row r="445" spans="1:33" x14ac:dyDescent="0.25">
      <c r="A445" s="18" t="str">
        <f t="shared" si="7"/>
        <v/>
      </c>
      <c r="B445" s="25"/>
      <c r="C445" s="25"/>
      <c r="D445" s="43"/>
      <c r="E445" s="44"/>
      <c r="F445" s="45"/>
      <c r="G445" s="40"/>
      <c r="H445" s="55" t="s">
        <v>255</v>
      </c>
      <c r="N445" s="66"/>
      <c r="O445" s="25"/>
      <c r="P445" s="72" t="str">
        <f>IFERROR(IF(ISBLANK(O445),"",INDEX(Gen_Vessels!$A$3:$C$500,MATCH(O445,Gen_Vessels!$C$3:$C$500,0),1)),"")</f>
        <v/>
      </c>
      <c r="Q445" s="25"/>
      <c r="R445" s="25"/>
      <c r="S445" s="25" t="str">
        <f>IFERROR(IF(ISBLANK(R445),"",INDEX(Gen_Vessels!$A$3:$C$500,MATCH(CorrectiveMinor!$R445,Gen_Vessels!$C$3:$C$500,0),1)),"")</f>
        <v/>
      </c>
      <c r="T445" s="25"/>
      <c r="U445" s="25"/>
      <c r="V445" s="25"/>
      <c r="W445" s="25"/>
      <c r="X445" s="25"/>
      <c r="Y445" s="25"/>
      <c r="AA445" s="25"/>
      <c r="AB445" s="25"/>
      <c r="AC445" s="25"/>
      <c r="AD445" s="25"/>
      <c r="AE445" s="25"/>
      <c r="AF445" s="25"/>
      <c r="AG445" s="25"/>
    </row>
    <row r="446" spans="1:33" x14ac:dyDescent="0.25">
      <c r="A446" s="18" t="str">
        <f t="shared" si="7"/>
        <v/>
      </c>
      <c r="B446" s="25"/>
      <c r="C446" s="25"/>
      <c r="D446" s="43"/>
      <c r="E446" s="44"/>
      <c r="F446" s="45"/>
      <c r="G446" s="40"/>
      <c r="H446" s="55" t="s">
        <v>255</v>
      </c>
      <c r="N446" s="66"/>
      <c r="O446" s="25"/>
      <c r="P446" s="72" t="str">
        <f>IFERROR(IF(ISBLANK(O446),"",INDEX(Gen_Vessels!$A$3:$C$500,MATCH(O446,Gen_Vessels!$C$3:$C$500,0),1)),"")</f>
        <v/>
      </c>
      <c r="Q446" s="25"/>
      <c r="R446" s="25"/>
      <c r="S446" s="25" t="str">
        <f>IFERROR(IF(ISBLANK(R446),"",INDEX(Gen_Vessels!$A$3:$C$500,MATCH(CorrectiveMinor!$R446,Gen_Vessels!$C$3:$C$500,0),1)),"")</f>
        <v/>
      </c>
      <c r="T446" s="25"/>
      <c r="U446" s="25"/>
      <c r="V446" s="25"/>
      <c r="W446" s="25"/>
      <c r="X446" s="25"/>
      <c r="Y446" s="25"/>
      <c r="AA446" s="25"/>
      <c r="AB446" s="25"/>
      <c r="AC446" s="25"/>
      <c r="AD446" s="25"/>
      <c r="AE446" s="25"/>
      <c r="AF446" s="25"/>
      <c r="AG446" s="25"/>
    </row>
    <row r="447" spans="1:33" x14ac:dyDescent="0.25">
      <c r="A447" s="18" t="str">
        <f t="shared" si="7"/>
        <v/>
      </c>
      <c r="B447" s="25"/>
      <c r="C447" s="25"/>
      <c r="D447" s="43"/>
      <c r="E447" s="44"/>
      <c r="F447" s="45"/>
      <c r="G447" s="40"/>
      <c r="H447" s="55" t="s">
        <v>255</v>
      </c>
      <c r="N447" s="66"/>
      <c r="O447" s="25"/>
      <c r="P447" s="72" t="str">
        <f>IFERROR(IF(ISBLANK(O447),"",INDEX(Gen_Vessels!$A$3:$C$500,MATCH(O447,Gen_Vessels!$C$3:$C$500,0),1)),"")</f>
        <v/>
      </c>
      <c r="Q447" s="25"/>
      <c r="R447" s="25"/>
      <c r="S447" s="25" t="str">
        <f>IFERROR(IF(ISBLANK(R447),"",INDEX(Gen_Vessels!$A$3:$C$500,MATCH(CorrectiveMinor!$R447,Gen_Vessels!$C$3:$C$500,0),1)),"")</f>
        <v/>
      </c>
      <c r="T447" s="25"/>
      <c r="U447" s="25"/>
      <c r="V447" s="25"/>
      <c r="W447" s="25"/>
      <c r="X447" s="25"/>
      <c r="Y447" s="25"/>
      <c r="AA447" s="25"/>
      <c r="AB447" s="25"/>
      <c r="AC447" s="25"/>
      <c r="AD447" s="25"/>
      <c r="AE447" s="25"/>
      <c r="AF447" s="25"/>
      <c r="AG447" s="25"/>
    </row>
    <row r="448" spans="1:33" x14ac:dyDescent="0.25">
      <c r="A448" s="18" t="str">
        <f t="shared" si="7"/>
        <v/>
      </c>
      <c r="B448" s="25"/>
      <c r="C448" s="25"/>
      <c r="D448" s="43"/>
      <c r="E448" s="44"/>
      <c r="F448" s="45"/>
      <c r="G448" s="40"/>
      <c r="H448" s="55" t="s">
        <v>255</v>
      </c>
      <c r="N448" s="66"/>
      <c r="O448" s="25"/>
      <c r="P448" s="72" t="str">
        <f>IFERROR(IF(ISBLANK(O448),"",INDEX(Gen_Vessels!$A$3:$C$500,MATCH(O448,Gen_Vessels!$C$3:$C$500,0),1)),"")</f>
        <v/>
      </c>
      <c r="Q448" s="25"/>
      <c r="R448" s="25"/>
      <c r="S448" s="25" t="str">
        <f>IFERROR(IF(ISBLANK(R448),"",INDEX(Gen_Vessels!$A$3:$C$500,MATCH(CorrectiveMinor!$R448,Gen_Vessels!$C$3:$C$500,0),1)),"")</f>
        <v/>
      </c>
      <c r="T448" s="25"/>
      <c r="U448" s="25"/>
      <c r="V448" s="25"/>
      <c r="W448" s="25"/>
      <c r="X448" s="25"/>
      <c r="Y448" s="25"/>
      <c r="AA448" s="25"/>
      <c r="AB448" s="25"/>
      <c r="AC448" s="25"/>
      <c r="AD448" s="25"/>
      <c r="AE448" s="25"/>
      <c r="AF448" s="25"/>
      <c r="AG448" s="25"/>
    </row>
    <row r="449" spans="1:33" x14ac:dyDescent="0.25">
      <c r="A449" s="18" t="str">
        <f t="shared" si="7"/>
        <v/>
      </c>
      <c r="B449" s="25"/>
      <c r="C449" s="25"/>
      <c r="D449" s="43"/>
      <c r="E449" s="44"/>
      <c r="F449" s="45"/>
      <c r="G449" s="40"/>
      <c r="H449" s="55" t="s">
        <v>255</v>
      </c>
      <c r="N449" s="66"/>
      <c r="O449" s="25"/>
      <c r="P449" s="72" t="str">
        <f>IFERROR(IF(ISBLANK(O449),"",INDEX(Gen_Vessels!$A$3:$C$500,MATCH(O449,Gen_Vessels!$C$3:$C$500,0),1)),"")</f>
        <v/>
      </c>
      <c r="Q449" s="25"/>
      <c r="R449" s="25"/>
      <c r="S449" s="25" t="str">
        <f>IFERROR(IF(ISBLANK(R449),"",INDEX(Gen_Vessels!$A$3:$C$500,MATCH(CorrectiveMinor!$R449,Gen_Vessels!$C$3:$C$500,0),1)),"")</f>
        <v/>
      </c>
      <c r="T449" s="25"/>
      <c r="U449" s="25"/>
      <c r="V449" s="25"/>
      <c r="W449" s="25"/>
      <c r="X449" s="25"/>
      <c r="Y449" s="25"/>
      <c r="AA449" s="25"/>
      <c r="AB449" s="25"/>
      <c r="AC449" s="25"/>
      <c r="AD449" s="25"/>
      <c r="AE449" s="25"/>
      <c r="AF449" s="25"/>
      <c r="AG449" s="25"/>
    </row>
    <row r="450" spans="1:33" x14ac:dyDescent="0.25">
      <c r="A450" s="18" t="str">
        <f t="shared" si="7"/>
        <v/>
      </c>
      <c r="B450" s="25"/>
      <c r="C450" s="25"/>
      <c r="D450" s="43"/>
      <c r="E450" s="44"/>
      <c r="F450" s="45"/>
      <c r="G450" s="40"/>
      <c r="H450" s="55" t="s">
        <v>255</v>
      </c>
      <c r="N450" s="66"/>
      <c r="O450" s="25"/>
      <c r="P450" s="72" t="str">
        <f>IFERROR(IF(ISBLANK(O450),"",INDEX(Gen_Vessels!$A$3:$C$500,MATCH(O450,Gen_Vessels!$C$3:$C$500,0),1)),"")</f>
        <v/>
      </c>
      <c r="Q450" s="25"/>
      <c r="R450" s="25"/>
      <c r="S450" s="25" t="str">
        <f>IFERROR(IF(ISBLANK(R450),"",INDEX(Gen_Vessels!$A$3:$C$500,MATCH(CorrectiveMinor!$R450,Gen_Vessels!$C$3:$C$500,0),1)),"")</f>
        <v/>
      </c>
      <c r="T450" s="25"/>
      <c r="U450" s="25"/>
      <c r="V450" s="25"/>
      <c r="W450" s="25"/>
      <c r="X450" s="25"/>
      <c r="Y450" s="25"/>
      <c r="AA450" s="25"/>
      <c r="AB450" s="25"/>
      <c r="AC450" s="25"/>
      <c r="AD450" s="25"/>
      <c r="AE450" s="25"/>
      <c r="AF450" s="25"/>
      <c r="AG450" s="25"/>
    </row>
    <row r="451" spans="1:33" x14ac:dyDescent="0.25">
      <c r="A451" s="18" t="str">
        <f t="shared" si="7"/>
        <v/>
      </c>
      <c r="B451" s="25"/>
      <c r="C451" s="25"/>
      <c r="D451" s="43"/>
      <c r="E451" s="44"/>
      <c r="F451" s="45"/>
      <c r="G451" s="40"/>
      <c r="H451" s="55" t="s">
        <v>255</v>
      </c>
      <c r="N451" s="66"/>
      <c r="O451" s="25"/>
      <c r="P451" s="72" t="str">
        <f>IFERROR(IF(ISBLANK(O451),"",INDEX(Gen_Vessels!$A$3:$C$500,MATCH(O451,Gen_Vessels!$C$3:$C$500,0),1)),"")</f>
        <v/>
      </c>
      <c r="Q451" s="25"/>
      <c r="R451" s="25"/>
      <c r="S451" s="25" t="str">
        <f>IFERROR(IF(ISBLANK(R451),"",INDEX(Gen_Vessels!$A$3:$C$500,MATCH(CorrectiveMinor!$R451,Gen_Vessels!$C$3:$C$500,0),1)),"")</f>
        <v/>
      </c>
      <c r="T451" s="25"/>
      <c r="U451" s="25"/>
      <c r="V451" s="25"/>
      <c r="W451" s="25"/>
      <c r="X451" s="25"/>
      <c r="Y451" s="25"/>
      <c r="AA451" s="25"/>
      <c r="AB451" s="25"/>
      <c r="AC451" s="25"/>
      <c r="AD451" s="25"/>
      <c r="AE451" s="25"/>
      <c r="AF451" s="25"/>
      <c r="AG451" s="25"/>
    </row>
    <row r="452" spans="1:33" x14ac:dyDescent="0.25">
      <c r="A452" s="18" t="str">
        <f t="shared" si="7"/>
        <v/>
      </c>
      <c r="B452" s="25"/>
      <c r="C452" s="25"/>
      <c r="D452" s="43"/>
      <c r="E452" s="44"/>
      <c r="F452" s="45"/>
      <c r="G452" s="40"/>
      <c r="H452" s="55" t="s">
        <v>255</v>
      </c>
      <c r="N452" s="66"/>
      <c r="O452" s="25"/>
      <c r="P452" s="72" t="str">
        <f>IFERROR(IF(ISBLANK(O452),"",INDEX(Gen_Vessels!$A$3:$C$500,MATCH(O452,Gen_Vessels!$C$3:$C$500,0),1)),"")</f>
        <v/>
      </c>
      <c r="Q452" s="25"/>
      <c r="R452" s="25"/>
      <c r="S452" s="25" t="str">
        <f>IFERROR(IF(ISBLANK(R452),"",INDEX(Gen_Vessels!$A$3:$C$500,MATCH(CorrectiveMinor!$R452,Gen_Vessels!$C$3:$C$500,0),1)),"")</f>
        <v/>
      </c>
      <c r="T452" s="25"/>
      <c r="U452" s="25"/>
      <c r="V452" s="25"/>
      <c r="W452" s="25"/>
      <c r="X452" s="25"/>
      <c r="Y452" s="25"/>
      <c r="AA452" s="25"/>
      <c r="AB452" s="25"/>
      <c r="AC452" s="25"/>
      <c r="AD452" s="25"/>
      <c r="AE452" s="25"/>
      <c r="AF452" s="25"/>
      <c r="AG452" s="25"/>
    </row>
    <row r="453" spans="1:33" x14ac:dyDescent="0.25">
      <c r="A453" s="18" t="str">
        <f t="shared" si="7"/>
        <v/>
      </c>
      <c r="B453" s="25"/>
      <c r="C453" s="25"/>
      <c r="D453" s="43"/>
      <c r="E453" s="44"/>
      <c r="F453" s="45"/>
      <c r="G453" s="40"/>
      <c r="H453" s="55" t="s">
        <v>255</v>
      </c>
      <c r="N453" s="66"/>
      <c r="O453" s="25"/>
      <c r="P453" s="72" t="str">
        <f>IFERROR(IF(ISBLANK(O453),"",INDEX(Gen_Vessels!$A$3:$C$500,MATCH(O453,Gen_Vessels!$C$3:$C$500,0),1)),"")</f>
        <v/>
      </c>
      <c r="Q453" s="25"/>
      <c r="R453" s="25"/>
      <c r="S453" s="25" t="str">
        <f>IFERROR(IF(ISBLANK(R453),"",INDEX(Gen_Vessels!$A$3:$C$500,MATCH(CorrectiveMinor!$R453,Gen_Vessels!$C$3:$C$500,0),1)),"")</f>
        <v/>
      </c>
      <c r="T453" s="25"/>
      <c r="U453" s="25"/>
      <c r="V453" s="25"/>
      <c r="W453" s="25"/>
      <c r="X453" s="25"/>
      <c r="Y453" s="25"/>
      <c r="AA453" s="25"/>
      <c r="AB453" s="25"/>
      <c r="AC453" s="25"/>
      <c r="AD453" s="25"/>
      <c r="AE453" s="25"/>
      <c r="AF453" s="25"/>
      <c r="AG453" s="25"/>
    </row>
    <row r="454" spans="1:33" x14ac:dyDescent="0.25">
      <c r="A454" s="18" t="str">
        <f t="shared" si="7"/>
        <v/>
      </c>
      <c r="B454" s="25"/>
      <c r="C454" s="25"/>
      <c r="D454" s="43"/>
      <c r="E454" s="44"/>
      <c r="F454" s="45"/>
      <c r="G454" s="40"/>
      <c r="H454" s="55" t="s">
        <v>255</v>
      </c>
      <c r="N454" s="66"/>
      <c r="O454" s="25"/>
      <c r="P454" s="72" t="str">
        <f>IFERROR(IF(ISBLANK(O454),"",INDEX(Gen_Vessels!$A$3:$C$500,MATCH(O454,Gen_Vessels!$C$3:$C$500,0),1)),"")</f>
        <v/>
      </c>
      <c r="Q454" s="25"/>
      <c r="R454" s="25"/>
      <c r="S454" s="25" t="str">
        <f>IFERROR(IF(ISBLANK(R454),"",INDEX(Gen_Vessels!$A$3:$C$500,MATCH(CorrectiveMinor!$R454,Gen_Vessels!$C$3:$C$500,0),1)),"")</f>
        <v/>
      </c>
      <c r="T454" s="25"/>
      <c r="U454" s="25"/>
      <c r="V454" s="25"/>
      <c r="W454" s="25"/>
      <c r="X454" s="25"/>
      <c r="Y454" s="25"/>
      <c r="AA454" s="25"/>
      <c r="AB454" s="25"/>
      <c r="AC454" s="25"/>
      <c r="AD454" s="25"/>
      <c r="AE454" s="25"/>
      <c r="AF454" s="25"/>
      <c r="AG454" s="25"/>
    </row>
    <row r="455" spans="1:33" x14ac:dyDescent="0.25">
      <c r="A455" s="18" t="str">
        <f t="shared" si="7"/>
        <v/>
      </c>
      <c r="B455" s="25"/>
      <c r="C455" s="25"/>
      <c r="D455" s="43"/>
      <c r="E455" s="44"/>
      <c r="F455" s="45"/>
      <c r="G455" s="40"/>
      <c r="H455" s="55" t="s">
        <v>255</v>
      </c>
      <c r="N455" s="66"/>
      <c r="O455" s="25"/>
      <c r="P455" s="72" t="str">
        <f>IFERROR(IF(ISBLANK(O455),"",INDEX(Gen_Vessels!$A$3:$C$500,MATCH(O455,Gen_Vessels!$C$3:$C$500,0),1)),"")</f>
        <v/>
      </c>
      <c r="Q455" s="25"/>
      <c r="R455" s="25"/>
      <c r="S455" s="25" t="str">
        <f>IFERROR(IF(ISBLANK(R455),"",INDEX(Gen_Vessels!$A$3:$C$500,MATCH(CorrectiveMinor!$R455,Gen_Vessels!$C$3:$C$500,0),1)),"")</f>
        <v/>
      </c>
      <c r="T455" s="25"/>
      <c r="U455" s="25"/>
      <c r="V455" s="25"/>
      <c r="W455" s="25"/>
      <c r="X455" s="25"/>
      <c r="Y455" s="25"/>
      <c r="AA455" s="25"/>
      <c r="AB455" s="25"/>
      <c r="AC455" s="25"/>
      <c r="AD455" s="25"/>
      <c r="AE455" s="25"/>
      <c r="AF455" s="25"/>
      <c r="AG455" s="25"/>
    </row>
    <row r="456" spans="1:33" x14ac:dyDescent="0.25">
      <c r="A456" s="18" t="str">
        <f t="shared" si="7"/>
        <v/>
      </c>
      <c r="B456" s="25"/>
      <c r="C456" s="25"/>
      <c r="D456" s="43"/>
      <c r="E456" s="44"/>
      <c r="F456" s="45"/>
      <c r="G456" s="40"/>
      <c r="H456" s="55" t="s">
        <v>255</v>
      </c>
      <c r="N456" s="66"/>
      <c r="O456" s="25"/>
      <c r="P456" s="72" t="str">
        <f>IFERROR(IF(ISBLANK(O456),"",INDEX(Gen_Vessels!$A$3:$C$500,MATCH(O456,Gen_Vessels!$C$3:$C$500,0),1)),"")</f>
        <v/>
      </c>
      <c r="Q456" s="25"/>
      <c r="R456" s="25"/>
      <c r="S456" s="25" t="str">
        <f>IFERROR(IF(ISBLANK(R456),"",INDEX(Gen_Vessels!$A$3:$C$500,MATCH(CorrectiveMinor!$R456,Gen_Vessels!$C$3:$C$500,0),1)),"")</f>
        <v/>
      </c>
      <c r="T456" s="25"/>
      <c r="U456" s="25"/>
      <c r="V456" s="25"/>
      <c r="W456" s="25"/>
      <c r="X456" s="25"/>
      <c r="Y456" s="25"/>
      <c r="AA456" s="25"/>
      <c r="AB456" s="25"/>
      <c r="AC456" s="25"/>
      <c r="AD456" s="25"/>
      <c r="AE456" s="25"/>
      <c r="AF456" s="25"/>
      <c r="AG456" s="25"/>
    </row>
    <row r="457" spans="1:33" x14ac:dyDescent="0.25">
      <c r="A457" s="18" t="str">
        <f t="shared" si="7"/>
        <v/>
      </c>
      <c r="B457" s="25"/>
      <c r="C457" s="25"/>
      <c r="D457" s="43"/>
      <c r="E457" s="44"/>
      <c r="F457" s="45"/>
      <c r="G457" s="40"/>
      <c r="H457" s="55" t="s">
        <v>255</v>
      </c>
      <c r="N457" s="66"/>
      <c r="O457" s="25"/>
      <c r="P457" s="72" t="str">
        <f>IFERROR(IF(ISBLANK(O457),"",INDEX(Gen_Vessels!$A$3:$C$500,MATCH(O457,Gen_Vessels!$C$3:$C$500,0),1)),"")</f>
        <v/>
      </c>
      <c r="Q457" s="25"/>
      <c r="R457" s="25"/>
      <c r="S457" s="25" t="str">
        <f>IFERROR(IF(ISBLANK(R457),"",INDEX(Gen_Vessels!$A$3:$C$500,MATCH(CorrectiveMinor!$R457,Gen_Vessels!$C$3:$C$500,0),1)),"")</f>
        <v/>
      </c>
      <c r="T457" s="25"/>
      <c r="U457" s="25"/>
      <c r="V457" s="25"/>
      <c r="W457" s="25"/>
      <c r="X457" s="25"/>
      <c r="Y457" s="25"/>
      <c r="AA457" s="25"/>
      <c r="AB457" s="25"/>
      <c r="AC457" s="25"/>
      <c r="AD457" s="25"/>
      <c r="AE457" s="25"/>
      <c r="AF457" s="25"/>
      <c r="AG457" s="25"/>
    </row>
    <row r="458" spans="1:33" x14ac:dyDescent="0.25">
      <c r="A458" s="18" t="str">
        <f t="shared" si="7"/>
        <v/>
      </c>
      <c r="B458" s="25"/>
      <c r="C458" s="25"/>
      <c r="D458" s="43"/>
      <c r="E458" s="44"/>
      <c r="F458" s="45"/>
      <c r="G458" s="40"/>
      <c r="H458" s="55" t="s">
        <v>255</v>
      </c>
      <c r="N458" s="66"/>
      <c r="O458" s="25"/>
      <c r="P458" s="72" t="str">
        <f>IFERROR(IF(ISBLANK(O458),"",INDEX(Gen_Vessels!$A$3:$C$500,MATCH(O458,Gen_Vessels!$C$3:$C$500,0),1)),"")</f>
        <v/>
      </c>
      <c r="Q458" s="25"/>
      <c r="R458" s="25"/>
      <c r="S458" s="25" t="str">
        <f>IFERROR(IF(ISBLANK(R458),"",INDEX(Gen_Vessels!$A$3:$C$500,MATCH(CorrectiveMinor!$R458,Gen_Vessels!$C$3:$C$500,0),1)),"")</f>
        <v/>
      </c>
      <c r="T458" s="25"/>
      <c r="U458" s="25"/>
      <c r="V458" s="25"/>
      <c r="W458" s="25"/>
      <c r="X458" s="25"/>
      <c r="Y458" s="25"/>
      <c r="AA458" s="25"/>
      <c r="AB458" s="25"/>
      <c r="AC458" s="25"/>
      <c r="AD458" s="25"/>
      <c r="AE458" s="25"/>
      <c r="AF458" s="25"/>
      <c r="AG458" s="25"/>
    </row>
    <row r="459" spans="1:33" x14ac:dyDescent="0.25">
      <c r="A459" s="18" t="str">
        <f t="shared" si="7"/>
        <v/>
      </c>
      <c r="B459" s="25"/>
      <c r="C459" s="25"/>
      <c r="D459" s="43"/>
      <c r="E459" s="44"/>
      <c r="F459" s="45"/>
      <c r="G459" s="40"/>
      <c r="H459" s="55" t="s">
        <v>255</v>
      </c>
      <c r="N459" s="66"/>
      <c r="O459" s="25"/>
      <c r="P459" s="72" t="str">
        <f>IFERROR(IF(ISBLANK(O459),"",INDEX(Gen_Vessels!$A$3:$C$500,MATCH(O459,Gen_Vessels!$C$3:$C$500,0),1)),"")</f>
        <v/>
      </c>
      <c r="Q459" s="25"/>
      <c r="R459" s="25"/>
      <c r="S459" s="25" t="str">
        <f>IFERROR(IF(ISBLANK(R459),"",INDEX(Gen_Vessels!$A$3:$C$500,MATCH(CorrectiveMinor!$R459,Gen_Vessels!$C$3:$C$500,0),1)),"")</f>
        <v/>
      </c>
      <c r="T459" s="25"/>
      <c r="U459" s="25"/>
      <c r="V459" s="25"/>
      <c r="W459" s="25"/>
      <c r="X459" s="25"/>
      <c r="Y459" s="25"/>
      <c r="AA459" s="25"/>
      <c r="AB459" s="25"/>
      <c r="AC459" s="25"/>
      <c r="AD459" s="25"/>
      <c r="AE459" s="25"/>
      <c r="AF459" s="25"/>
      <c r="AG459" s="25"/>
    </row>
    <row r="460" spans="1:33" x14ac:dyDescent="0.25">
      <c r="A460" s="18" t="str">
        <f t="shared" si="7"/>
        <v/>
      </c>
      <c r="B460" s="25"/>
      <c r="C460" s="25"/>
      <c r="D460" s="43"/>
      <c r="E460" s="44"/>
      <c r="F460" s="45"/>
      <c r="G460" s="40"/>
      <c r="H460" s="55" t="s">
        <v>255</v>
      </c>
      <c r="N460" s="66"/>
      <c r="O460" s="25"/>
      <c r="P460" s="72" t="str">
        <f>IFERROR(IF(ISBLANK(O460),"",INDEX(Gen_Vessels!$A$3:$C$500,MATCH(O460,Gen_Vessels!$C$3:$C$500,0),1)),"")</f>
        <v/>
      </c>
      <c r="Q460" s="25"/>
      <c r="R460" s="25"/>
      <c r="S460" s="25" t="str">
        <f>IFERROR(IF(ISBLANK(R460),"",INDEX(Gen_Vessels!$A$3:$C$500,MATCH(CorrectiveMinor!$R460,Gen_Vessels!$C$3:$C$500,0),1)),"")</f>
        <v/>
      </c>
      <c r="T460" s="25"/>
      <c r="U460" s="25"/>
      <c r="V460" s="25"/>
      <c r="W460" s="25"/>
      <c r="X460" s="25"/>
      <c r="Y460" s="25"/>
      <c r="AA460" s="25"/>
      <c r="AB460" s="25"/>
      <c r="AC460" s="25"/>
      <c r="AD460" s="25"/>
      <c r="AE460" s="25"/>
      <c r="AF460" s="25"/>
      <c r="AG460" s="25"/>
    </row>
    <row r="461" spans="1:33" x14ac:dyDescent="0.25">
      <c r="A461" s="18" t="str">
        <f t="shared" si="7"/>
        <v/>
      </c>
      <c r="B461" s="25"/>
      <c r="C461" s="25"/>
      <c r="D461" s="43"/>
      <c r="E461" s="44"/>
      <c r="F461" s="45"/>
      <c r="G461" s="40"/>
      <c r="H461" s="55" t="s">
        <v>255</v>
      </c>
      <c r="N461" s="66"/>
      <c r="O461" s="25"/>
      <c r="P461" s="72" t="str">
        <f>IFERROR(IF(ISBLANK(O461),"",INDEX(Gen_Vessels!$A$3:$C$500,MATCH(O461,Gen_Vessels!$C$3:$C$500,0),1)),"")</f>
        <v/>
      </c>
      <c r="Q461" s="25"/>
      <c r="R461" s="25"/>
      <c r="S461" s="25" t="str">
        <f>IFERROR(IF(ISBLANK(R461),"",INDEX(Gen_Vessels!$A$3:$C$500,MATCH(CorrectiveMinor!$R461,Gen_Vessels!$C$3:$C$500,0),1)),"")</f>
        <v/>
      </c>
      <c r="T461" s="25"/>
      <c r="U461" s="25"/>
      <c r="V461" s="25"/>
      <c r="W461" s="25"/>
      <c r="X461" s="25"/>
      <c r="Y461" s="25"/>
      <c r="AA461" s="25"/>
      <c r="AB461" s="25"/>
      <c r="AC461" s="25"/>
      <c r="AD461" s="25"/>
      <c r="AE461" s="25"/>
      <c r="AF461" s="25"/>
      <c r="AG461" s="25"/>
    </row>
    <row r="462" spans="1:33" x14ac:dyDescent="0.25">
      <c r="A462" s="18" t="str">
        <f t="shared" si="7"/>
        <v/>
      </c>
      <c r="B462" s="25"/>
      <c r="C462" s="25"/>
      <c r="D462" s="43"/>
      <c r="E462" s="44"/>
      <c r="F462" s="45"/>
      <c r="G462" s="40"/>
      <c r="H462" s="55" t="s">
        <v>255</v>
      </c>
      <c r="N462" s="66"/>
      <c r="O462" s="25"/>
      <c r="P462" s="72" t="str">
        <f>IFERROR(IF(ISBLANK(O462),"",INDEX(Gen_Vessels!$A$3:$C$500,MATCH(O462,Gen_Vessels!$C$3:$C$500,0),1)),"")</f>
        <v/>
      </c>
      <c r="Q462" s="25"/>
      <c r="R462" s="25"/>
      <c r="S462" s="25" t="str">
        <f>IFERROR(IF(ISBLANK(R462),"",INDEX(Gen_Vessels!$A$3:$C$500,MATCH(CorrectiveMinor!$R462,Gen_Vessels!$C$3:$C$500,0),1)),"")</f>
        <v/>
      </c>
      <c r="T462" s="25"/>
      <c r="U462" s="25"/>
      <c r="V462" s="25"/>
      <c r="W462" s="25"/>
      <c r="X462" s="25"/>
      <c r="Y462" s="25"/>
      <c r="AA462" s="25"/>
      <c r="AB462" s="25"/>
      <c r="AC462" s="25"/>
      <c r="AD462" s="25"/>
      <c r="AE462" s="25"/>
      <c r="AF462" s="25"/>
      <c r="AG462" s="25"/>
    </row>
    <row r="463" spans="1:33" x14ac:dyDescent="0.25">
      <c r="A463" s="18" t="str">
        <f t="shared" si="7"/>
        <v/>
      </c>
      <c r="B463" s="25"/>
      <c r="C463" s="25"/>
      <c r="D463" s="43"/>
      <c r="E463" s="44"/>
      <c r="F463" s="45"/>
      <c r="G463" s="40"/>
      <c r="H463" s="55" t="s">
        <v>255</v>
      </c>
      <c r="N463" s="66"/>
      <c r="O463" s="25"/>
      <c r="P463" s="72" t="str">
        <f>IFERROR(IF(ISBLANK(O463),"",INDEX(Gen_Vessels!$A$3:$C$500,MATCH(O463,Gen_Vessels!$C$3:$C$500,0),1)),"")</f>
        <v/>
      </c>
      <c r="Q463" s="25"/>
      <c r="R463" s="25"/>
      <c r="S463" s="25" t="str">
        <f>IFERROR(IF(ISBLANK(R463),"",INDEX(Gen_Vessels!$A$3:$C$500,MATCH(CorrectiveMinor!$R463,Gen_Vessels!$C$3:$C$500,0),1)),"")</f>
        <v/>
      </c>
      <c r="T463" s="25"/>
      <c r="U463" s="25"/>
      <c r="V463" s="25"/>
      <c r="W463" s="25"/>
      <c r="X463" s="25"/>
      <c r="Y463" s="25"/>
      <c r="AA463" s="25"/>
      <c r="AB463" s="25"/>
      <c r="AC463" s="25"/>
      <c r="AD463" s="25"/>
      <c r="AE463" s="25"/>
      <c r="AF463" s="25"/>
      <c r="AG463" s="25"/>
    </row>
    <row r="464" spans="1:33" x14ac:dyDescent="0.25">
      <c r="A464" s="18" t="str">
        <f t="shared" si="7"/>
        <v/>
      </c>
      <c r="B464" s="25"/>
      <c r="C464" s="25"/>
      <c r="D464" s="43"/>
      <c r="E464" s="44"/>
      <c r="F464" s="45"/>
      <c r="G464" s="40"/>
      <c r="H464" s="55" t="s">
        <v>255</v>
      </c>
      <c r="N464" s="66"/>
      <c r="O464" s="25"/>
      <c r="P464" s="72" t="str">
        <f>IFERROR(IF(ISBLANK(O464),"",INDEX(Gen_Vessels!$A$3:$C$500,MATCH(O464,Gen_Vessels!$C$3:$C$500,0),1)),"")</f>
        <v/>
      </c>
      <c r="Q464" s="25"/>
      <c r="R464" s="25"/>
      <c r="S464" s="25" t="str">
        <f>IFERROR(IF(ISBLANK(R464),"",INDEX(Gen_Vessels!$A$3:$C$500,MATCH(CorrectiveMinor!$R464,Gen_Vessels!$C$3:$C$500,0),1)),"")</f>
        <v/>
      </c>
      <c r="T464" s="25"/>
      <c r="U464" s="25"/>
      <c r="V464" s="25"/>
      <c r="W464" s="25"/>
      <c r="X464" s="25"/>
      <c r="Y464" s="25"/>
      <c r="AA464" s="25"/>
      <c r="AB464" s="25"/>
      <c r="AC464" s="25"/>
      <c r="AD464" s="25"/>
      <c r="AE464" s="25"/>
      <c r="AF464" s="25"/>
      <c r="AG464" s="25"/>
    </row>
    <row r="465" spans="1:33" x14ac:dyDescent="0.25">
      <c r="A465" s="18" t="str">
        <f t="shared" si="7"/>
        <v/>
      </c>
      <c r="B465" s="25"/>
      <c r="C465" s="25"/>
      <c r="D465" s="43"/>
      <c r="E465" s="44"/>
      <c r="F465" s="45"/>
      <c r="G465" s="40"/>
      <c r="H465" s="55" t="s">
        <v>255</v>
      </c>
      <c r="N465" s="66"/>
      <c r="O465" s="25"/>
      <c r="P465" s="72" t="str">
        <f>IFERROR(IF(ISBLANK(O465),"",INDEX(Gen_Vessels!$A$3:$C$500,MATCH(O465,Gen_Vessels!$C$3:$C$500,0),1)),"")</f>
        <v/>
      </c>
      <c r="Q465" s="25"/>
      <c r="R465" s="25"/>
      <c r="S465" s="25" t="str">
        <f>IFERROR(IF(ISBLANK(R465),"",INDEX(Gen_Vessels!$A$3:$C$500,MATCH(CorrectiveMinor!$R465,Gen_Vessels!$C$3:$C$500,0),1)),"")</f>
        <v/>
      </c>
      <c r="T465" s="25"/>
      <c r="U465" s="25"/>
      <c r="V465" s="25"/>
      <c r="W465" s="25"/>
      <c r="X465" s="25"/>
      <c r="Y465" s="25"/>
      <c r="AA465" s="25"/>
      <c r="AB465" s="25"/>
      <c r="AC465" s="25"/>
      <c r="AD465" s="25"/>
      <c r="AE465" s="25"/>
      <c r="AF465" s="25"/>
      <c r="AG465" s="25"/>
    </row>
    <row r="466" spans="1:33" x14ac:dyDescent="0.25">
      <c r="A466" s="18" t="str">
        <f t="shared" si="7"/>
        <v/>
      </c>
      <c r="B466" s="25"/>
      <c r="C466" s="25"/>
      <c r="D466" s="43"/>
      <c r="E466" s="44"/>
      <c r="F466" s="45"/>
      <c r="G466" s="40"/>
      <c r="H466" s="55" t="s">
        <v>255</v>
      </c>
      <c r="N466" s="66"/>
      <c r="O466" s="25"/>
      <c r="P466" s="72" t="str">
        <f>IFERROR(IF(ISBLANK(O466),"",INDEX(Gen_Vessels!$A$3:$C$500,MATCH(O466,Gen_Vessels!$C$3:$C$500,0),1)),"")</f>
        <v/>
      </c>
      <c r="Q466" s="25"/>
      <c r="R466" s="25"/>
      <c r="S466" s="25" t="str">
        <f>IFERROR(IF(ISBLANK(R466),"",INDEX(Gen_Vessels!$A$3:$C$500,MATCH(CorrectiveMinor!$R466,Gen_Vessels!$C$3:$C$500,0),1)),"")</f>
        <v/>
      </c>
      <c r="T466" s="25"/>
      <c r="U466" s="25"/>
      <c r="V466" s="25"/>
      <c r="W466" s="25"/>
      <c r="X466" s="25"/>
      <c r="Y466" s="25"/>
      <c r="AA466" s="25"/>
      <c r="AB466" s="25"/>
      <c r="AC466" s="25"/>
      <c r="AD466" s="25"/>
      <c r="AE466" s="25"/>
      <c r="AF466" s="25"/>
      <c r="AG466" s="25"/>
    </row>
    <row r="467" spans="1:33" x14ac:dyDescent="0.25">
      <c r="A467" s="18" t="str">
        <f t="shared" si="7"/>
        <v/>
      </c>
      <c r="B467" s="25"/>
      <c r="C467" s="25"/>
      <c r="D467" s="43"/>
      <c r="E467" s="44"/>
      <c r="F467" s="45"/>
      <c r="G467" s="40"/>
      <c r="H467" s="55" t="s">
        <v>255</v>
      </c>
      <c r="N467" s="66"/>
      <c r="O467" s="25"/>
      <c r="P467" s="72" t="str">
        <f>IFERROR(IF(ISBLANK(O467),"",INDEX(Gen_Vessels!$A$3:$C$500,MATCH(O467,Gen_Vessels!$C$3:$C$500,0),1)),"")</f>
        <v/>
      </c>
      <c r="Q467" s="25"/>
      <c r="R467" s="25"/>
      <c r="S467" s="25" t="str">
        <f>IFERROR(IF(ISBLANK(R467),"",INDEX(Gen_Vessels!$A$3:$C$500,MATCH(CorrectiveMinor!$R467,Gen_Vessels!$C$3:$C$500,0),1)),"")</f>
        <v/>
      </c>
      <c r="T467" s="25"/>
      <c r="U467" s="25"/>
      <c r="V467" s="25"/>
      <c r="W467" s="25"/>
      <c r="X467" s="25"/>
      <c r="Y467" s="25"/>
      <c r="AA467" s="25"/>
      <c r="AB467" s="25"/>
      <c r="AC467" s="25"/>
      <c r="AD467" s="25"/>
      <c r="AE467" s="25"/>
      <c r="AF467" s="25"/>
      <c r="AG467" s="25"/>
    </row>
    <row r="468" spans="1:33" x14ac:dyDescent="0.25">
      <c r="A468" s="18" t="str">
        <f t="shared" si="7"/>
        <v/>
      </c>
      <c r="B468" s="25"/>
      <c r="C468" s="25"/>
      <c r="D468" s="43"/>
      <c r="E468" s="44"/>
      <c r="F468" s="45"/>
      <c r="G468" s="40"/>
      <c r="H468" s="55" t="s">
        <v>255</v>
      </c>
      <c r="N468" s="66"/>
      <c r="O468" s="25"/>
      <c r="P468" s="72" t="str">
        <f>IFERROR(IF(ISBLANK(O468),"",INDEX(Gen_Vessels!$A$3:$C$500,MATCH(O468,Gen_Vessels!$C$3:$C$500,0),1)),"")</f>
        <v/>
      </c>
      <c r="Q468" s="25"/>
      <c r="R468" s="25"/>
      <c r="S468" s="25" t="str">
        <f>IFERROR(IF(ISBLANK(R468),"",INDEX(Gen_Vessels!$A$3:$C$500,MATCH(CorrectiveMinor!$R468,Gen_Vessels!$C$3:$C$500,0),1)),"")</f>
        <v/>
      </c>
      <c r="T468" s="25"/>
      <c r="U468" s="25"/>
      <c r="V468" s="25"/>
      <c r="W468" s="25"/>
      <c r="X468" s="25"/>
      <c r="Y468" s="25"/>
      <c r="AA468" s="25"/>
      <c r="AB468" s="25"/>
      <c r="AC468" s="25"/>
      <c r="AD468" s="25"/>
      <c r="AE468" s="25"/>
      <c r="AF468" s="25"/>
      <c r="AG468" s="25"/>
    </row>
    <row r="469" spans="1:33" x14ac:dyDescent="0.25">
      <c r="A469" s="18" t="str">
        <f t="shared" si="7"/>
        <v/>
      </c>
      <c r="B469" s="25"/>
      <c r="C469" s="25"/>
      <c r="D469" s="43"/>
      <c r="E469" s="44"/>
      <c r="F469" s="45"/>
      <c r="G469" s="40"/>
      <c r="H469" s="55" t="s">
        <v>255</v>
      </c>
      <c r="N469" s="66"/>
      <c r="O469" s="25"/>
      <c r="P469" s="72" t="str">
        <f>IFERROR(IF(ISBLANK(O469),"",INDEX(Gen_Vessels!$A$3:$C$500,MATCH(O469,Gen_Vessels!$C$3:$C$500,0),1)),"")</f>
        <v/>
      </c>
      <c r="Q469" s="25"/>
      <c r="R469" s="25"/>
      <c r="S469" s="25" t="str">
        <f>IFERROR(IF(ISBLANK(R469),"",INDEX(Gen_Vessels!$A$3:$C$500,MATCH(CorrectiveMinor!$R469,Gen_Vessels!$C$3:$C$500,0),1)),"")</f>
        <v/>
      </c>
      <c r="T469" s="25"/>
      <c r="U469" s="25"/>
      <c r="V469" s="25"/>
      <c r="W469" s="25"/>
      <c r="X469" s="25"/>
      <c r="Y469" s="25"/>
      <c r="AA469" s="25"/>
      <c r="AB469" s="25"/>
      <c r="AC469" s="25"/>
      <c r="AD469" s="25"/>
      <c r="AE469" s="25"/>
      <c r="AF469" s="25"/>
      <c r="AG469" s="25"/>
    </row>
    <row r="470" spans="1:33" x14ac:dyDescent="0.25">
      <c r="A470" s="18" t="str">
        <f t="shared" si="7"/>
        <v/>
      </c>
      <c r="B470" s="25"/>
      <c r="C470" s="25"/>
      <c r="D470" s="43"/>
      <c r="E470" s="44"/>
      <c r="F470" s="45"/>
      <c r="G470" s="40"/>
      <c r="H470" s="55" t="s">
        <v>255</v>
      </c>
      <c r="N470" s="66"/>
      <c r="O470" s="25"/>
      <c r="P470" s="72" t="str">
        <f>IFERROR(IF(ISBLANK(O470),"",INDEX(Gen_Vessels!$A$3:$C$500,MATCH(O470,Gen_Vessels!$C$3:$C$500,0),1)),"")</f>
        <v/>
      </c>
      <c r="Q470" s="25"/>
      <c r="R470" s="25"/>
      <c r="S470" s="25" t="str">
        <f>IFERROR(IF(ISBLANK(R470),"",INDEX(Gen_Vessels!$A$3:$C$500,MATCH(CorrectiveMinor!$R470,Gen_Vessels!$C$3:$C$500,0),1)),"")</f>
        <v/>
      </c>
      <c r="T470" s="25"/>
      <c r="U470" s="25"/>
      <c r="V470" s="25"/>
      <c r="W470" s="25"/>
      <c r="X470" s="25"/>
      <c r="Y470" s="25"/>
      <c r="AA470" s="25"/>
      <c r="AB470" s="25"/>
      <c r="AC470" s="25"/>
      <c r="AD470" s="25"/>
      <c r="AE470" s="25"/>
      <c r="AF470" s="25"/>
      <c r="AG470" s="25"/>
    </row>
    <row r="471" spans="1:33" x14ac:dyDescent="0.25">
      <c r="A471" s="18" t="str">
        <f t="shared" si="7"/>
        <v/>
      </c>
      <c r="B471" s="25"/>
      <c r="C471" s="25"/>
      <c r="D471" s="43"/>
      <c r="E471" s="44"/>
      <c r="F471" s="45"/>
      <c r="G471" s="40"/>
      <c r="H471" s="55" t="s">
        <v>255</v>
      </c>
      <c r="N471" s="66"/>
      <c r="O471" s="25"/>
      <c r="P471" s="72" t="str">
        <f>IFERROR(IF(ISBLANK(O471),"",INDEX(Gen_Vessels!$A$3:$C$500,MATCH(O471,Gen_Vessels!$C$3:$C$500,0),1)),"")</f>
        <v/>
      </c>
      <c r="Q471" s="25"/>
      <c r="R471" s="25"/>
      <c r="S471" s="25" t="str">
        <f>IFERROR(IF(ISBLANK(R471),"",INDEX(Gen_Vessels!$A$3:$C$500,MATCH(CorrectiveMinor!$R471,Gen_Vessels!$C$3:$C$500,0),1)),"")</f>
        <v/>
      </c>
      <c r="T471" s="25"/>
      <c r="U471" s="25"/>
      <c r="V471" s="25"/>
      <c r="W471" s="25"/>
      <c r="X471" s="25"/>
      <c r="Y471" s="25"/>
      <c r="AA471" s="25"/>
      <c r="AB471" s="25"/>
      <c r="AC471" s="25"/>
      <c r="AD471" s="25"/>
      <c r="AE471" s="25"/>
      <c r="AF471" s="25"/>
      <c r="AG471" s="25"/>
    </row>
    <row r="472" spans="1:33" x14ac:dyDescent="0.25">
      <c r="A472" s="18" t="str">
        <f t="shared" si="7"/>
        <v/>
      </c>
      <c r="B472" s="25"/>
      <c r="C472" s="25"/>
      <c r="D472" s="43"/>
      <c r="E472" s="44"/>
      <c r="F472" s="45"/>
      <c r="G472" s="40"/>
      <c r="H472" s="55" t="s">
        <v>255</v>
      </c>
      <c r="N472" s="66"/>
      <c r="O472" s="25"/>
      <c r="P472" s="72" t="str">
        <f>IFERROR(IF(ISBLANK(O472),"",INDEX(Gen_Vessels!$A$3:$C$500,MATCH(O472,Gen_Vessels!$C$3:$C$500,0),1)),"")</f>
        <v/>
      </c>
      <c r="Q472" s="25"/>
      <c r="R472" s="25"/>
      <c r="S472" s="25" t="str">
        <f>IFERROR(IF(ISBLANK(R472),"",INDEX(Gen_Vessels!$A$3:$C$500,MATCH(CorrectiveMinor!$R472,Gen_Vessels!$C$3:$C$500,0),1)),"")</f>
        <v/>
      </c>
      <c r="T472" s="25"/>
      <c r="U472" s="25"/>
      <c r="V472" s="25"/>
      <c r="W472" s="25"/>
      <c r="X472" s="25"/>
      <c r="Y472" s="25"/>
      <c r="AA472" s="25"/>
      <c r="AB472" s="25"/>
      <c r="AC472" s="25"/>
      <c r="AD472" s="25"/>
      <c r="AE472" s="25"/>
      <c r="AF472" s="25"/>
      <c r="AG472" s="25"/>
    </row>
    <row r="473" spans="1:33" x14ac:dyDescent="0.25">
      <c r="A473" s="18" t="str">
        <f t="shared" si="7"/>
        <v/>
      </c>
      <c r="B473" s="25"/>
      <c r="C473" s="25"/>
      <c r="D473" s="43"/>
      <c r="E473" s="44"/>
      <c r="F473" s="45"/>
      <c r="G473" s="40"/>
      <c r="H473" s="55" t="s">
        <v>255</v>
      </c>
      <c r="N473" s="66"/>
      <c r="O473" s="25"/>
      <c r="P473" s="72" t="str">
        <f>IFERROR(IF(ISBLANK(O473),"",INDEX(Gen_Vessels!$A$3:$C$500,MATCH(O473,Gen_Vessels!$C$3:$C$500,0),1)),"")</f>
        <v/>
      </c>
      <c r="Q473" s="25"/>
      <c r="R473" s="25"/>
      <c r="S473" s="25" t="str">
        <f>IFERROR(IF(ISBLANK(R473),"",INDEX(Gen_Vessels!$A$3:$C$500,MATCH(CorrectiveMinor!$R473,Gen_Vessels!$C$3:$C$500,0),1)),"")</f>
        <v/>
      </c>
      <c r="T473" s="25"/>
      <c r="U473" s="25"/>
      <c r="V473" s="25"/>
      <c r="W473" s="25"/>
      <c r="X473" s="25"/>
      <c r="Y473" s="25"/>
      <c r="AA473" s="25"/>
      <c r="AB473" s="25"/>
      <c r="AC473" s="25"/>
      <c r="AD473" s="25"/>
      <c r="AE473" s="25"/>
      <c r="AF473" s="25"/>
      <c r="AG473" s="25"/>
    </row>
    <row r="474" spans="1:33" x14ac:dyDescent="0.25">
      <c r="A474" s="18" t="str">
        <f t="shared" si="7"/>
        <v/>
      </c>
      <c r="B474" s="25"/>
      <c r="C474" s="25"/>
      <c r="D474" s="43"/>
      <c r="E474" s="44"/>
      <c r="F474" s="45"/>
      <c r="G474" s="40"/>
      <c r="H474" s="55" t="s">
        <v>255</v>
      </c>
      <c r="N474" s="66"/>
      <c r="O474" s="25"/>
      <c r="P474" s="72" t="str">
        <f>IFERROR(IF(ISBLANK(O474),"",INDEX(Gen_Vessels!$A$3:$C$500,MATCH(O474,Gen_Vessels!$C$3:$C$500,0),1)),"")</f>
        <v/>
      </c>
      <c r="Q474" s="25"/>
      <c r="R474" s="25"/>
      <c r="S474" s="25" t="str">
        <f>IFERROR(IF(ISBLANK(R474),"",INDEX(Gen_Vessels!$A$3:$C$500,MATCH(CorrectiveMinor!$R474,Gen_Vessels!$C$3:$C$500,0),1)),"")</f>
        <v/>
      </c>
      <c r="T474" s="25"/>
      <c r="U474" s="25"/>
      <c r="V474" s="25"/>
      <c r="W474" s="25"/>
      <c r="X474" s="25"/>
      <c r="Y474" s="25"/>
      <c r="AA474" s="25"/>
      <c r="AB474" s="25"/>
      <c r="AC474" s="25"/>
      <c r="AD474" s="25"/>
      <c r="AE474" s="25"/>
      <c r="AF474" s="25"/>
      <c r="AG474" s="25"/>
    </row>
    <row r="475" spans="1:33" x14ac:dyDescent="0.25">
      <c r="A475" s="18" t="str">
        <f t="shared" si="7"/>
        <v/>
      </c>
      <c r="B475" s="25"/>
      <c r="C475" s="25"/>
      <c r="D475" s="43"/>
      <c r="E475" s="44"/>
      <c r="F475" s="45"/>
      <c r="G475" s="40"/>
      <c r="H475" s="55" t="s">
        <v>255</v>
      </c>
      <c r="N475" s="66"/>
      <c r="O475" s="25"/>
      <c r="P475" s="72" t="str">
        <f>IFERROR(IF(ISBLANK(O475),"",INDEX(Gen_Vessels!$A$3:$C$500,MATCH(O475,Gen_Vessels!$C$3:$C$500,0),1)),"")</f>
        <v/>
      </c>
      <c r="Q475" s="25"/>
      <c r="R475" s="25"/>
      <c r="S475" s="25" t="str">
        <f>IFERROR(IF(ISBLANK(R475),"",INDEX(Gen_Vessels!$A$3:$C$500,MATCH(CorrectiveMinor!$R475,Gen_Vessels!$C$3:$C$500,0),1)),"")</f>
        <v/>
      </c>
      <c r="T475" s="25"/>
      <c r="U475" s="25"/>
      <c r="V475" s="25"/>
      <c r="W475" s="25"/>
      <c r="X475" s="25"/>
      <c r="Y475" s="25"/>
      <c r="AA475" s="25"/>
      <c r="AB475" s="25"/>
      <c r="AC475" s="25"/>
      <c r="AD475" s="25"/>
      <c r="AE475" s="25"/>
      <c r="AF475" s="25"/>
      <c r="AG475" s="25"/>
    </row>
    <row r="476" spans="1:33" x14ac:dyDescent="0.25">
      <c r="A476" s="18" t="str">
        <f t="shared" si="7"/>
        <v/>
      </c>
      <c r="B476" s="25"/>
      <c r="C476" s="25"/>
      <c r="D476" s="43"/>
      <c r="E476" s="44"/>
      <c r="F476" s="45"/>
      <c r="G476" s="40"/>
      <c r="H476" s="55" t="s">
        <v>255</v>
      </c>
      <c r="N476" s="66"/>
      <c r="O476" s="25"/>
      <c r="P476" s="72" t="str">
        <f>IFERROR(IF(ISBLANK(O476),"",INDEX(Gen_Vessels!$A$3:$C$500,MATCH(O476,Gen_Vessels!$C$3:$C$500,0),1)),"")</f>
        <v/>
      </c>
      <c r="Q476" s="25"/>
      <c r="R476" s="25"/>
      <c r="S476" s="25" t="str">
        <f>IFERROR(IF(ISBLANK(R476),"",INDEX(Gen_Vessels!$A$3:$C$500,MATCH(CorrectiveMinor!$R476,Gen_Vessels!$C$3:$C$500,0),1)),"")</f>
        <v/>
      </c>
      <c r="T476" s="25"/>
      <c r="U476" s="25"/>
      <c r="V476" s="25"/>
      <c r="W476" s="25"/>
      <c r="X476" s="25"/>
      <c r="Y476" s="25"/>
      <c r="AA476" s="25"/>
      <c r="AB476" s="25"/>
      <c r="AC476" s="25"/>
      <c r="AD476" s="25"/>
      <c r="AE476" s="25"/>
      <c r="AF476" s="25"/>
      <c r="AG476" s="25"/>
    </row>
    <row r="477" spans="1:33" x14ac:dyDescent="0.25">
      <c r="A477" s="18" t="str">
        <f t="shared" si="7"/>
        <v/>
      </c>
      <c r="B477" s="25"/>
      <c r="C477" s="25"/>
      <c r="D477" s="43"/>
      <c r="E477" s="44"/>
      <c r="F477" s="45"/>
      <c r="G477" s="40"/>
      <c r="H477" s="55" t="s">
        <v>255</v>
      </c>
      <c r="N477" s="66"/>
      <c r="O477" s="25"/>
      <c r="P477" s="72" t="str">
        <f>IFERROR(IF(ISBLANK(O477),"",INDEX(Gen_Vessels!$A$3:$C$500,MATCH(O477,Gen_Vessels!$C$3:$C$500,0),1)),"")</f>
        <v/>
      </c>
      <c r="Q477" s="25"/>
      <c r="R477" s="25"/>
      <c r="S477" s="25" t="str">
        <f>IFERROR(IF(ISBLANK(R477),"",INDEX(Gen_Vessels!$A$3:$C$500,MATCH(CorrectiveMinor!$R477,Gen_Vessels!$C$3:$C$500,0),1)),"")</f>
        <v/>
      </c>
      <c r="T477" s="25"/>
      <c r="U477" s="25"/>
      <c r="V477" s="25"/>
      <c r="W477" s="25"/>
      <c r="X477" s="25"/>
      <c r="Y477" s="25"/>
      <c r="AA477" s="25"/>
      <c r="AB477" s="25"/>
      <c r="AC477" s="25"/>
      <c r="AD477" s="25"/>
      <c r="AE477" s="25"/>
      <c r="AF477" s="25"/>
      <c r="AG477" s="25"/>
    </row>
    <row r="478" spans="1:33" x14ac:dyDescent="0.25">
      <c r="A478" s="18" t="str">
        <f t="shared" si="7"/>
        <v/>
      </c>
      <c r="B478" s="25"/>
      <c r="C478" s="25"/>
      <c r="D478" s="43"/>
      <c r="E478" s="44"/>
      <c r="F478" s="45"/>
      <c r="G478" s="40"/>
      <c r="H478" s="55" t="s">
        <v>255</v>
      </c>
      <c r="N478" s="66"/>
      <c r="O478" s="25"/>
      <c r="P478" s="72" t="str">
        <f>IFERROR(IF(ISBLANK(O478),"",INDEX(Gen_Vessels!$A$3:$C$500,MATCH(O478,Gen_Vessels!$C$3:$C$500,0),1)),"")</f>
        <v/>
      </c>
      <c r="Q478" s="25"/>
      <c r="R478" s="25"/>
      <c r="S478" s="25" t="str">
        <f>IFERROR(IF(ISBLANK(R478),"",INDEX(Gen_Vessels!$A$3:$C$500,MATCH(CorrectiveMinor!$R478,Gen_Vessels!$C$3:$C$500,0),1)),"")</f>
        <v/>
      </c>
      <c r="T478" s="25"/>
      <c r="U478" s="25"/>
      <c r="V478" s="25"/>
      <c r="W478" s="25"/>
      <c r="X478" s="25"/>
      <c r="Y478" s="25"/>
      <c r="AA478" s="25"/>
      <c r="AB478" s="25"/>
      <c r="AC478" s="25"/>
      <c r="AD478" s="25"/>
      <c r="AE478" s="25"/>
      <c r="AF478" s="25"/>
      <c r="AG478" s="25"/>
    </row>
    <row r="479" spans="1:33" x14ac:dyDescent="0.25">
      <c r="A479" s="18" t="str">
        <f t="shared" si="7"/>
        <v/>
      </c>
      <c r="B479" s="25"/>
      <c r="C479" s="25"/>
      <c r="D479" s="43"/>
      <c r="E479" s="44"/>
      <c r="F479" s="45"/>
      <c r="G479" s="40"/>
      <c r="H479" s="55" t="s">
        <v>255</v>
      </c>
      <c r="N479" s="66"/>
      <c r="O479" s="25"/>
      <c r="P479" s="72" t="str">
        <f>IFERROR(IF(ISBLANK(O479),"",INDEX(Gen_Vessels!$A$3:$C$500,MATCH(O479,Gen_Vessels!$C$3:$C$500,0),1)),"")</f>
        <v/>
      </c>
      <c r="Q479" s="25"/>
      <c r="R479" s="25"/>
      <c r="S479" s="25" t="str">
        <f>IFERROR(IF(ISBLANK(R479),"",INDEX(Gen_Vessels!$A$3:$C$500,MATCH(CorrectiveMinor!$R479,Gen_Vessels!$C$3:$C$500,0),1)),"")</f>
        <v/>
      </c>
      <c r="T479" s="25"/>
      <c r="U479" s="25"/>
      <c r="V479" s="25"/>
      <c r="W479" s="25"/>
      <c r="X479" s="25"/>
      <c r="Y479" s="25"/>
      <c r="AA479" s="25"/>
      <c r="AB479" s="25"/>
      <c r="AC479" s="25"/>
      <c r="AD479" s="25"/>
      <c r="AE479" s="25"/>
      <c r="AF479" s="25"/>
      <c r="AG479" s="25"/>
    </row>
    <row r="480" spans="1:33" x14ac:dyDescent="0.25">
      <c r="A480" s="18" t="str">
        <f t="shared" si="7"/>
        <v/>
      </c>
      <c r="B480" s="25"/>
      <c r="C480" s="25"/>
      <c r="D480" s="43"/>
      <c r="E480" s="44"/>
      <c r="F480" s="45"/>
      <c r="G480" s="40"/>
      <c r="H480" s="55" t="s">
        <v>255</v>
      </c>
      <c r="N480" s="66"/>
      <c r="O480" s="25"/>
      <c r="P480" s="72" t="str">
        <f>IFERROR(IF(ISBLANK(O480),"",INDEX(Gen_Vessels!$A$3:$C$500,MATCH(O480,Gen_Vessels!$C$3:$C$500,0),1)),"")</f>
        <v/>
      </c>
      <c r="Q480" s="25"/>
      <c r="R480" s="25"/>
      <c r="S480" s="25" t="str">
        <f>IFERROR(IF(ISBLANK(R480),"",INDEX(Gen_Vessels!$A$3:$C$500,MATCH(CorrectiveMinor!$R480,Gen_Vessels!$C$3:$C$500,0),1)),"")</f>
        <v/>
      </c>
      <c r="T480" s="25"/>
      <c r="U480" s="25"/>
      <c r="V480" s="25"/>
      <c r="W480" s="25"/>
      <c r="X480" s="25"/>
      <c r="Y480" s="25"/>
      <c r="AA480" s="25"/>
      <c r="AB480" s="25"/>
      <c r="AC480" s="25"/>
      <c r="AD480" s="25"/>
      <c r="AE480" s="25"/>
      <c r="AF480" s="25"/>
      <c r="AG480" s="25"/>
    </row>
    <row r="481" spans="1:33" x14ac:dyDescent="0.25">
      <c r="A481" s="18" t="str">
        <f t="shared" si="7"/>
        <v/>
      </c>
      <c r="B481" s="25"/>
      <c r="C481" s="25"/>
      <c r="D481" s="43"/>
      <c r="E481" s="44"/>
      <c r="F481" s="45"/>
      <c r="G481" s="40"/>
      <c r="H481" s="55" t="s">
        <v>255</v>
      </c>
      <c r="N481" s="66"/>
      <c r="O481" s="25"/>
      <c r="P481" s="72" t="str">
        <f>IFERROR(IF(ISBLANK(O481),"",INDEX(Gen_Vessels!$A$3:$C$500,MATCH(O481,Gen_Vessels!$C$3:$C$500,0),1)),"")</f>
        <v/>
      </c>
      <c r="Q481" s="25"/>
      <c r="R481" s="25"/>
      <c r="S481" s="25" t="str">
        <f>IFERROR(IF(ISBLANK(R481),"",INDEX(Gen_Vessels!$A$3:$C$500,MATCH(CorrectiveMinor!$R481,Gen_Vessels!$C$3:$C$500,0),1)),"")</f>
        <v/>
      </c>
      <c r="T481" s="25"/>
      <c r="U481" s="25"/>
      <c r="V481" s="25"/>
      <c r="W481" s="25"/>
      <c r="X481" s="25"/>
      <c r="Y481" s="25"/>
      <c r="AA481" s="25"/>
      <c r="AB481" s="25"/>
      <c r="AC481" s="25"/>
      <c r="AD481" s="25"/>
      <c r="AE481" s="25"/>
      <c r="AF481" s="25"/>
      <c r="AG481" s="25"/>
    </row>
    <row r="482" spans="1:33" x14ac:dyDescent="0.25">
      <c r="A482" s="18" t="str">
        <f t="shared" si="7"/>
        <v/>
      </c>
      <c r="B482" s="25"/>
      <c r="C482" s="25"/>
      <c r="D482" s="43"/>
      <c r="E482" s="44"/>
      <c r="F482" s="45"/>
      <c r="G482" s="40"/>
      <c r="H482" s="55" t="s">
        <v>255</v>
      </c>
      <c r="N482" s="66"/>
      <c r="O482" s="25"/>
      <c r="P482" s="72" t="str">
        <f>IFERROR(IF(ISBLANK(O482),"",INDEX(Gen_Vessels!$A$3:$C$500,MATCH(O482,Gen_Vessels!$C$3:$C$500,0),1)),"")</f>
        <v/>
      </c>
      <c r="Q482" s="25"/>
      <c r="R482" s="25"/>
      <c r="S482" s="25" t="str">
        <f>IFERROR(IF(ISBLANK(R482),"",INDEX(Gen_Vessels!$A$3:$C$500,MATCH(CorrectiveMinor!$R482,Gen_Vessels!$C$3:$C$500,0),1)),"")</f>
        <v/>
      </c>
      <c r="T482" s="25"/>
      <c r="U482" s="25"/>
      <c r="V482" s="25"/>
      <c r="W482" s="25"/>
      <c r="X482" s="25"/>
      <c r="Y482" s="25"/>
      <c r="AA482" s="25"/>
      <c r="AB482" s="25"/>
      <c r="AC482" s="25"/>
      <c r="AD482" s="25"/>
      <c r="AE482" s="25"/>
      <c r="AF482" s="25"/>
      <c r="AG482" s="25"/>
    </row>
    <row r="483" spans="1:33" x14ac:dyDescent="0.25">
      <c r="A483" s="18" t="str">
        <f t="shared" si="7"/>
        <v/>
      </c>
      <c r="B483" s="25"/>
      <c r="C483" s="25"/>
      <c r="D483" s="43"/>
      <c r="E483" s="44"/>
      <c r="F483" s="45"/>
      <c r="G483" s="40"/>
      <c r="H483" s="55" t="s">
        <v>255</v>
      </c>
      <c r="N483" s="67"/>
      <c r="O483" s="25"/>
      <c r="P483" s="72" t="str">
        <f>IFERROR(IF(ISBLANK(O483),"",INDEX(Gen_Vessels!$A$3:$C$500,MATCH(O483,Gen_Vessels!$C$3:$C$500,0),1)),"")</f>
        <v/>
      </c>
      <c r="Q483" s="25"/>
      <c r="R483" s="25"/>
      <c r="S483" s="25" t="str">
        <f>IFERROR(IF(ISBLANK(R483),"",INDEX(Gen_Vessels!$A$3:$C$500,MATCH(CorrectiveMinor!$R483,Gen_Vessels!$C$3:$C$500,0),1)),"")</f>
        <v/>
      </c>
      <c r="T483" s="25"/>
      <c r="U483" s="25"/>
      <c r="V483" s="25"/>
      <c r="W483" s="25"/>
      <c r="X483" s="25"/>
      <c r="Y483" s="25"/>
      <c r="AB483" s="25"/>
      <c r="AC483" s="25"/>
      <c r="AD483" s="25"/>
      <c r="AE483" s="25"/>
      <c r="AF483" s="25"/>
      <c r="AG483" s="25"/>
    </row>
    <row r="484" spans="1:33" x14ac:dyDescent="0.25">
      <c r="A484" s="18" t="str">
        <f t="shared" si="7"/>
        <v/>
      </c>
      <c r="B484" s="25"/>
      <c r="C484" s="25"/>
      <c r="D484" s="43"/>
      <c r="E484" s="44"/>
      <c r="F484" s="45"/>
      <c r="G484" s="40"/>
      <c r="H484" s="58"/>
      <c r="N484" s="67"/>
      <c r="O484" s="25"/>
      <c r="P484" s="72" t="str">
        <f>IFERROR(IF(ISBLANK(O484),"",INDEX(Gen_Vessels!$A$3:$C$500,MATCH(O484,Gen_Vessels!$C$3:$C$500,0),1)),"")</f>
        <v/>
      </c>
      <c r="Q484" s="25"/>
      <c r="R484" s="25"/>
      <c r="S484" s="25" t="str">
        <f>IFERROR(IF(ISBLANK(R484),"",INDEX(Gen_Vessels!$A$3:$C$500,MATCH(CorrectiveMinor!$R484,Gen_Vessels!$C$3:$C$500,0),1)),"")</f>
        <v/>
      </c>
      <c r="T484" s="25"/>
      <c r="U484" s="25"/>
      <c r="V484" s="25"/>
      <c r="W484" s="25"/>
      <c r="X484" s="25"/>
      <c r="Y484" s="25"/>
      <c r="AB484" s="25"/>
      <c r="AC484" s="25"/>
      <c r="AD484" s="25"/>
      <c r="AE484" s="25"/>
      <c r="AF484" s="25"/>
      <c r="AG484" s="25"/>
    </row>
    <row r="485" spans="1:33" x14ac:dyDescent="0.25">
      <c r="H485" s="58"/>
      <c r="N485" s="67"/>
      <c r="P485" s="72" t="str">
        <f>IFERROR(IF(ISBLANK(O485),"",INDEX(Gen_Vessels!$A$3:$C$500,MATCH(O485,Gen_Vessels!$C$3:$C$500,0),1)),"")</f>
        <v/>
      </c>
      <c r="Q485" s="25"/>
      <c r="S485" s="25" t="str">
        <f>IFERROR(IF(ISBLANK(R485),"",INDEX(Gen_Vessels!$A$3:$C$500,MATCH(CorrectiveMinor!$R485,Gen_Vessels!$C$3:$C$500,0),1)),"")</f>
        <v/>
      </c>
      <c r="T485" s="25"/>
    </row>
    <row r="486" spans="1:33" x14ac:dyDescent="0.25">
      <c r="H486" s="58"/>
      <c r="N486" s="67"/>
      <c r="P486" s="72" t="str">
        <f>IFERROR(IF(ISBLANK(O486),"",INDEX(Gen_Vessels!$A$3:$C$500,MATCH(O486,Gen_Vessels!$C$3:$C$500,0),1)),"")</f>
        <v/>
      </c>
      <c r="Q486" s="25"/>
      <c r="S486" s="25" t="str">
        <f>IFERROR(IF(ISBLANK(R486),"",INDEX(Gen_Vessels!$A$3:$C$500,MATCH(CorrectiveMinor!$R486,Gen_Vessels!$C$3:$C$500,0),1)),"")</f>
        <v/>
      </c>
      <c r="T486" s="25"/>
    </row>
    <row r="487" spans="1:33" x14ac:dyDescent="0.25">
      <c r="H487" s="58"/>
      <c r="N487" s="67"/>
      <c r="P487" s="72" t="str">
        <f>IFERROR(IF(ISBLANK(O487),"",INDEX(Gen_Vessels!$A$3:$C$500,MATCH(O487,Gen_Vessels!$C$3:$C$500,0),1)),"")</f>
        <v/>
      </c>
      <c r="Q487" s="25"/>
      <c r="S487" s="25" t="str">
        <f>IFERROR(IF(ISBLANK(R487),"",INDEX(Gen_Vessels!$A$3:$C$500,MATCH(CorrectiveMinor!$R487,Gen_Vessels!$C$3:$C$500,0),1)),"")</f>
        <v/>
      </c>
      <c r="T487" s="25"/>
    </row>
    <row r="488" spans="1:33" x14ac:dyDescent="0.25">
      <c r="H488" s="58"/>
      <c r="N488" s="67"/>
      <c r="P488" s="72" t="str">
        <f>IFERROR(IF(ISBLANK(O488),"",INDEX(Gen_Vessels!$A$3:$C$500,MATCH(O488,Gen_Vessels!$C$3:$C$500,0),1)),"")</f>
        <v/>
      </c>
      <c r="Q488" s="25"/>
      <c r="S488" s="25" t="str">
        <f>IFERROR(IF(ISBLANK(R488),"",INDEX(Gen_Vessels!$A$3:$C$500,MATCH(CorrectiveMinor!$R488,Gen_Vessels!$C$3:$C$500,0),1)),"")</f>
        <v/>
      </c>
      <c r="T488" s="25"/>
    </row>
    <row r="489" spans="1:33" x14ac:dyDescent="0.25">
      <c r="H489" s="58"/>
      <c r="N489" s="67"/>
      <c r="P489" s="72" t="str">
        <f>IFERROR(IF(ISBLANK(O489),"",INDEX(Gen_Vessels!$A$3:$C$500,MATCH(O489,Gen_Vessels!$C$3:$C$500,0),1)),"")</f>
        <v/>
      </c>
      <c r="Q489" s="25"/>
      <c r="S489" s="25" t="str">
        <f>IFERROR(IF(ISBLANK(R489),"",INDEX(Gen_Vessels!$A$3:$C$500,MATCH(CorrectiveMinor!$R489,Gen_Vessels!$C$3:$C$500,0),1)),"")</f>
        <v/>
      </c>
      <c r="T489" s="25"/>
    </row>
    <row r="490" spans="1:33" x14ac:dyDescent="0.25">
      <c r="H490" s="58"/>
      <c r="N490" s="67"/>
      <c r="P490" s="72" t="str">
        <f>IFERROR(IF(ISBLANK(O490),"",INDEX(Gen_Vessels!$A$3:$C$500,MATCH(O490,Gen_Vessels!$C$3:$C$500,0),1)),"")</f>
        <v/>
      </c>
      <c r="Q490" s="25"/>
      <c r="S490" s="25" t="str">
        <f>IFERROR(IF(ISBLANK(R490),"",INDEX(Gen_Vessels!$A$3:$C$500,MATCH(CorrectiveMinor!$R490,Gen_Vessels!$C$3:$C$500,0),1)),"")</f>
        <v/>
      </c>
      <c r="T490" s="25"/>
    </row>
    <row r="491" spans="1:33" x14ac:dyDescent="0.25">
      <c r="H491" s="58"/>
      <c r="N491" s="67"/>
      <c r="P491" s="72" t="str">
        <f>IFERROR(IF(ISBLANK(O491),"",INDEX(Gen_Vessels!$A$3:$C$500,MATCH(O491,Gen_Vessels!$C$3:$C$500,0),1)),"")</f>
        <v/>
      </c>
      <c r="Q491" s="25"/>
      <c r="S491" s="25" t="str">
        <f>IFERROR(IF(ISBLANK(R491),"",INDEX(Gen_Vessels!$A$3:$C$500,MATCH(CorrectiveMinor!$R491,Gen_Vessels!$C$3:$C$500,0),1)),"")</f>
        <v/>
      </c>
      <c r="T491" s="25"/>
    </row>
    <row r="492" spans="1:33" x14ac:dyDescent="0.25">
      <c r="P492" s="72" t="str">
        <f>IFERROR(IF(ISBLANK(O492),"",INDEX(Gen_Vessels!$A$3:$C$500,MATCH(O492,Gen_Vessels!$C$3:$C$500,0),1)),"")</f>
        <v/>
      </c>
      <c r="Q492" s="25"/>
      <c r="S492" s="25" t="str">
        <f>IFERROR(IF(ISBLANK(R492),"",INDEX(Gen_Vessels!$A$3:$C$500,MATCH(CorrectiveMinor!$R492,Gen_Vessels!$C$3:$C$500,0),1)),"")</f>
        <v/>
      </c>
      <c r="T492" s="25"/>
    </row>
    <row r="493" spans="1:33" x14ac:dyDescent="0.25">
      <c r="Q493" s="25"/>
      <c r="T493" s="25"/>
    </row>
    <row r="494" spans="1:33" x14ac:dyDescent="0.25">
      <c r="Q494" s="25"/>
      <c r="T494" s="25"/>
    </row>
    <row r="495" spans="1:33" x14ac:dyDescent="0.25">
      <c r="Q495" s="25"/>
      <c r="T495" s="25"/>
    </row>
    <row r="496" spans="1:33" x14ac:dyDescent="0.25">
      <c r="Q496" s="25"/>
      <c r="T496" s="25"/>
    </row>
    <row r="497" spans="17:20" x14ac:dyDescent="0.25">
      <c r="Q497" s="25"/>
      <c r="T497" s="25"/>
    </row>
    <row r="498" spans="17:20" x14ac:dyDescent="0.25">
      <c r="Q498" s="25"/>
      <c r="T498" s="25"/>
    </row>
    <row r="499" spans="17:20" x14ac:dyDescent="0.25">
      <c r="Q499" s="25"/>
    </row>
    <row r="500" spans="17:20" x14ac:dyDescent="0.25">
      <c r="Q500" s="25"/>
    </row>
    <row r="1048575" spans="20:20" x14ac:dyDescent="0.25">
      <c r="T1048575" s="25"/>
    </row>
    <row r="1048576" spans="20:20" x14ac:dyDescent="0.25">
      <c r="T1048576" s="25"/>
    </row>
  </sheetData>
  <conditionalFormatting sqref="A1:B2 A3:A5 A6:B1048576">
    <cfRule type="expression" dxfId="62" priority="13">
      <formula>AND(COUNTIF(A:A,$A1)&gt;1,$A1&lt;&gt;"")</formula>
    </cfRule>
  </conditionalFormatting>
  <conditionalFormatting sqref="D6:F492">
    <cfRule type="expression" dxfId="61" priority="9">
      <formula>AND(NOT(ISBLANK($B6)),COUNTBLANK($D6:$F6)&lt;2)</formula>
    </cfRule>
    <cfRule type="expression" dxfId="60" priority="10">
      <formula>AND(NOT(ISBLANK($B6)),COUNTBLANK($D6:$F6)&gt;2)</formula>
    </cfRule>
  </conditionalFormatting>
  <conditionalFormatting sqref="J3:K492">
    <cfRule type="expression" dxfId="59" priority="6">
      <formula>AND(NOT(ISBLANK($K3)),NOT(ISBLANK($L3)))</formula>
    </cfRule>
  </conditionalFormatting>
  <conditionalFormatting sqref="Q3:Q1048576">
    <cfRule type="expression" dxfId="58" priority="1">
      <formula>NOT(Q3=INT(Q3))</formula>
    </cfRule>
    <cfRule type="expression" dxfId="57" priority="2">
      <formula>Q3&lt;0</formula>
    </cfRule>
  </conditionalFormatting>
  <conditionalFormatting sqref="T1:T1048576">
    <cfRule type="expression" dxfId="56" priority="3">
      <formula>NOT(T1=INT(T1))</formula>
    </cfRule>
    <cfRule type="expression" dxfId="55" priority="4">
      <formula>T1&lt;0</formula>
    </cfRule>
  </conditionalFormatting>
  <conditionalFormatting sqref="Z3:Z492">
    <cfRule type="expression" dxfId="54" priority="12">
      <formula>IF(AND(NOT(ISBLANK($B3)),ISBLANK(Z3)),TRUE,FALSE)</formula>
    </cfRule>
  </conditionalFormatting>
  <dataValidations count="10">
    <dataValidation type="decimal" operator="greaterThanOrEqual" allowBlank="1" showInputMessage="1" showErrorMessage="1" sqref="W6:Y480" xr:uid="{6FCAC781-B889-440A-B93F-E9D2A051875D}">
      <formula1>0</formula1>
    </dataValidation>
    <dataValidation type="decimal" operator="greaterThan" allowBlank="1" showInputMessage="1" showErrorMessage="1" sqref="G6:G484" xr:uid="{976B618A-E100-47D5-B772-C435EB9152CC}">
      <formula1>0</formula1>
    </dataValidation>
    <dataValidation type="whole" operator="greaterThanOrEqual" allowBlank="1" showInputMessage="1" showErrorMessage="1" sqref="V6:V480 T3:T1048576 Q3:Q1048576" xr:uid="{DD593E75-6753-4987-A631-331F3505E1ED}">
      <formula1>1</formula1>
    </dataValidation>
    <dataValidation operator="greaterThan" allowBlank="1" showInputMessage="1" showErrorMessage="1" sqref="D2:G2" xr:uid="{02DFB521-0CFF-4648-90AE-E6B54D852FFC}"/>
    <dataValidation type="custom" operator="greaterThanOrEqual" allowBlank="1" showInputMessage="1" showErrorMessage="1" errorTitle="Wrong character" error="Mark only one option with a cross &quot;X&quot;." sqref="D6:F492" xr:uid="{DCA06E88-39E0-4D92-ABF8-77AD836509E6}">
      <formula1>OR(D6="x",D6="X")</formula1>
    </dataValidation>
    <dataValidation type="decimal" operator="greaterThan" allowBlank="1" showInputMessage="1" showErrorMessage="1" errorTitle="Wrong input" error="Leave it empy or it must be a decimal greater than 0.0." sqref="I13:M507 I3:M5" xr:uid="{6E8E10DA-45C1-4D5A-ACF2-4ABC443110E0}">
      <formula1>0</formula1>
    </dataValidation>
    <dataValidation type="custom" operator="greaterThan" allowBlank="1" showInputMessage="1" showErrorMessage="1" errorTitle="Wrong input" error="If location is &quot;transit&quot;, leave this cell empty. If not, it must be decimal greater than 0.0." sqref="I6:M12" xr:uid="{54D10394-83B5-4CB8-BBC2-1F9C94871627}">
      <formula1>AND(ISNUMBER(I6),I6&gt;0)</formula1>
    </dataValidation>
    <dataValidation type="list" allowBlank="1" showInputMessage="1" showErrorMessage="1" sqref="Z3:Z1048576" xr:uid="{93A78BB4-D8D1-4A79-B764-A68700494029}">
      <formula1>"exp_cable, exp_cable_island, dyn_cable-sub, array_cable, cable_cb, cable_transf, cable_switch,     cable_inv, string_cable, substation, mv_transformer, circuit_braker, switcher, inverter, device, hub, shore"</formula1>
    </dataValidation>
    <dataValidation type="list" allowBlank="1" showInputMessage="1" showErrorMessage="1" sqref="N3:N5 AA3:AA8 H3:H14" xr:uid="{E1674BF4-130B-47D3-9386-2B938A9A713C}">
      <formula1>"False,True"</formula1>
    </dataValidation>
    <dataValidation type="list" allowBlank="1" showInputMessage="1" showErrorMessage="1" sqref="N6:N1048576" xr:uid="{869B7D32-7F9B-4994-A911-CB18AB6E663D}">
      <formula1>"False, True"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F828E88-A36F-44C1-8D70-43CA459C6F51}">
          <x14:formula1>
            <xm:f>Gen_ROVs!$D$3:$D$194</xm:f>
          </x14:formula1>
          <xm:sqref>U3:U480</xm:sqref>
        </x14:dataValidation>
        <x14:dataValidation type="list" allowBlank="1" showInputMessage="1" showErrorMessage="1" xr:uid="{8F46D357-C6BF-49A6-8801-A53741BE28FC}">
          <x14:formula1>
            <xm:f>Gen_Vessels!$C$3:$C$500</xm:f>
          </x14:formula1>
          <xm:sqref>O3:O492 R3:R492</xm:sqref>
        </x14:dataValidation>
        <x14:dataValidation type="custom" operator="greaterThanOrEqual" allowBlank="1" showInputMessage="1" showErrorMessage="1" xr:uid="{8C48D05A-FE6A-47B0-B2E6-C9B99FDEB2F6}">
          <x14:formula1>
            <xm:f>AND(ISNUMBER(D1048560),MOD(D1048560,1)=0,D1048560&gt;=0,D1048560&lt;=Gen_WTG!G1048563)</xm:f>
          </x14:formula1>
          <xm:sqref>D1048560:D1048576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B4F30-BE2A-4363-9BBE-B736B71FCE87}">
  <sheetPr>
    <tabColor theme="4" tint="0.39997558519241921"/>
  </sheetPr>
  <dimension ref="A1:P1048576"/>
  <sheetViews>
    <sheetView zoomScaleNormal="100" workbookViewId="0">
      <pane xSplit="3" ySplit="2" topLeftCell="D3" activePane="bottomRight" state="frozen"/>
      <selection pane="topRight" activeCell="C1" sqref="C1"/>
      <selection pane="bottomLeft" activeCell="A3" sqref="A3"/>
      <selection pane="bottomRight" activeCell="J1" sqref="J1:J1048576"/>
    </sheetView>
  </sheetViews>
  <sheetFormatPr defaultColWidth="9.28515625" defaultRowHeight="15" x14ac:dyDescent="0.25"/>
  <cols>
    <col min="1" max="1" width="18.7109375" style="18" customWidth="1"/>
    <col min="2" max="2" width="16.7109375" style="18" customWidth="1"/>
    <col min="3" max="3" width="40.7109375" style="18" customWidth="1"/>
    <col min="4" max="4" width="13.85546875" style="18" bestFit="1" customWidth="1"/>
    <col min="5" max="5" width="15.5703125" style="18" customWidth="1"/>
    <col min="6" max="6" width="9.85546875" style="18" bestFit="1" customWidth="1"/>
    <col min="7" max="11" width="15.5703125" style="18" customWidth="1"/>
    <col min="12" max="13" width="21.42578125" style="18" customWidth="1"/>
    <col min="14" max="14" width="13.5703125" style="18" customWidth="1"/>
    <col min="15" max="15" width="12.7109375" style="18" customWidth="1"/>
    <col min="16" max="16" width="17.28515625" style="18" bestFit="1" customWidth="1"/>
    <col min="17" max="16384" width="9.28515625" style="18"/>
  </cols>
  <sheetData>
    <row r="1" spans="1:16" x14ac:dyDescent="0.25">
      <c r="A1" s="18" t="s">
        <v>66</v>
      </c>
      <c r="B1" s="18" t="s">
        <v>149</v>
      </c>
      <c r="C1" s="18" t="s">
        <v>150</v>
      </c>
      <c r="D1" s="18" t="s">
        <v>256</v>
      </c>
      <c r="E1" s="18" t="s">
        <v>166</v>
      </c>
      <c r="F1" s="18" t="s">
        <v>167</v>
      </c>
      <c r="G1" s="18" t="s">
        <v>265</v>
      </c>
      <c r="H1" s="18" t="s">
        <v>168</v>
      </c>
      <c r="I1" s="18" t="s">
        <v>169</v>
      </c>
      <c r="J1" s="25" t="s">
        <v>430</v>
      </c>
      <c r="K1" s="18" t="s">
        <v>170</v>
      </c>
      <c r="L1" s="18" t="s">
        <v>257</v>
      </c>
      <c r="M1" s="18" t="s">
        <v>172</v>
      </c>
      <c r="N1" s="18" t="s">
        <v>173</v>
      </c>
      <c r="O1" s="18" t="s">
        <v>174</v>
      </c>
      <c r="P1" s="18" t="s">
        <v>239</v>
      </c>
    </row>
    <row r="2" spans="1:16" x14ac:dyDescent="0.25">
      <c r="A2" s="18" t="s">
        <v>13</v>
      </c>
      <c r="B2" s="18" t="s">
        <v>13</v>
      </c>
      <c r="C2" s="18" t="s">
        <v>13</v>
      </c>
      <c r="D2" s="18" t="s">
        <v>13</v>
      </c>
      <c r="E2" s="18" t="s">
        <v>13</v>
      </c>
      <c r="F2" s="18" t="s">
        <v>13</v>
      </c>
      <c r="G2" s="18" t="s">
        <v>13</v>
      </c>
      <c r="H2" s="18" t="s">
        <v>13</v>
      </c>
      <c r="I2" s="18" t="s">
        <v>13</v>
      </c>
      <c r="J2" s="25" t="s">
        <v>13</v>
      </c>
      <c r="K2" s="18" t="s">
        <v>13</v>
      </c>
      <c r="L2" s="18" t="s">
        <v>13</v>
      </c>
      <c r="M2" s="18" t="s">
        <v>181</v>
      </c>
      <c r="N2" s="18" t="s">
        <v>90</v>
      </c>
      <c r="O2" s="18" t="s">
        <v>90</v>
      </c>
      <c r="P2" s="18" t="s">
        <v>240</v>
      </c>
    </row>
    <row r="3" spans="1:16" x14ac:dyDescent="0.25">
      <c r="A3" s="18" t="str">
        <f t="shared" ref="A3:A34" si="0">IF(ISBLANK($B3)=FALSE,_xlfn.CONCAT("owc_",$B3),"")</f>
        <v>owc_MJ1</v>
      </c>
      <c r="B3" s="60" t="s">
        <v>258</v>
      </c>
      <c r="C3" s="18" t="s">
        <v>259</v>
      </c>
      <c r="D3" s="25" t="b">
        <v>0</v>
      </c>
      <c r="E3" s="18" t="s">
        <v>260</v>
      </c>
      <c r="F3" s="25" t="str">
        <f>IFERROR(IF(ISBLANK(E3),"",INDEX(Gen_Vessels!$A$3:$C$500,MATCH(E3,Gen_Vessels!$C$3:$C$500,0),1)),"")</f>
        <v>V002</v>
      </c>
      <c r="G3" s="25">
        <v>1</v>
      </c>
      <c r="I3" s="25" t="str">
        <f>IFERROR(IF(ISBLANK(H3),"",INDEX([1]Gen_Vessels!$A$6:$C$503,MATCH(H3,[1]Gen_Vessels!$C$6:$C$503,0),1)),"")</f>
        <v/>
      </c>
      <c r="J3" s="25">
        <v>1</v>
      </c>
      <c r="L3" s="18">
        <v>3</v>
      </c>
      <c r="M3" s="18">
        <v>0</v>
      </c>
      <c r="N3" s="18">
        <v>0</v>
      </c>
    </row>
    <row r="4" spans="1:16" x14ac:dyDescent="0.25">
      <c r="A4" s="18" t="str">
        <f t="shared" si="0"/>
        <v>owc_MJ2</v>
      </c>
      <c r="B4" s="60" t="s">
        <v>261</v>
      </c>
      <c r="C4" s="18" t="s">
        <v>262</v>
      </c>
      <c r="D4" s="25" t="b">
        <v>1</v>
      </c>
      <c r="F4" s="25" t="str">
        <f>IFERROR(IF(ISBLANK(E4),"",INDEX(Gen_Vessels!$A$3:$C$500,MATCH(E4,Gen_Vessels!$C$3:$C$500,0),1)),"")</f>
        <v/>
      </c>
      <c r="G4" s="25">
        <v>1</v>
      </c>
      <c r="I4" s="25" t="str">
        <f>IFERROR(IF(ISBLANK(H4),"",INDEX([1]Gen_Vessels!$A$6:$C$503,MATCH(H4,[1]Gen_Vessels!$C$6:$C$503,0),1)),"")</f>
        <v/>
      </c>
      <c r="J4" s="25">
        <v>1</v>
      </c>
      <c r="L4" s="18">
        <v>3</v>
      </c>
      <c r="M4" s="18">
        <v>0</v>
      </c>
      <c r="N4" s="18">
        <v>0</v>
      </c>
    </row>
    <row r="5" spans="1:16" x14ac:dyDescent="0.25">
      <c r="A5" s="18" t="str">
        <f t="shared" si="0"/>
        <v>owc_MJ3</v>
      </c>
      <c r="B5" s="60" t="s">
        <v>263</v>
      </c>
      <c r="C5" s="18" t="s">
        <v>264</v>
      </c>
      <c r="D5" s="25" t="b">
        <v>1</v>
      </c>
      <c r="F5" s="25" t="str">
        <f>IFERROR(IF(ISBLANK(E5),"",INDEX(Gen_Vessels!$A$3:$C$500,MATCH(E5,Gen_Vessels!$C$3:$C$500,0),1)),"")</f>
        <v/>
      </c>
      <c r="G5" s="25">
        <v>1</v>
      </c>
      <c r="I5" s="25" t="str">
        <f>IFERROR(IF(ISBLANK(H5),"",INDEX([1]Gen_Vessels!$A$6:$C$503,MATCH(H5,[1]Gen_Vessels!$C$6:$C$503,0),1)),"")</f>
        <v/>
      </c>
      <c r="J5" s="25">
        <v>1</v>
      </c>
      <c r="L5" s="18">
        <v>3</v>
      </c>
      <c r="M5" s="18">
        <v>0</v>
      </c>
      <c r="N5" s="18">
        <v>0</v>
      </c>
    </row>
    <row r="6" spans="1:16" x14ac:dyDescent="0.25">
      <c r="A6" s="18" t="str">
        <f t="shared" si="0"/>
        <v/>
      </c>
      <c r="D6" s="25"/>
      <c r="F6" s="25" t="str">
        <f>IFERROR(IF(ISBLANK(E6),"",INDEX(Gen_Vessels!$A$3:$C$500,MATCH(E6,Gen_Vessels!$C$3:$C$500,0),1)),"")</f>
        <v/>
      </c>
      <c r="G6" s="25"/>
      <c r="I6" s="25" t="str">
        <f>IFERROR(IF(ISBLANK(H6),"",INDEX(Gen_Vessels!$A$3:$C$500,MATCH(H6,Gen_Vessels!$C$3:$C$500,0),1)),"")</f>
        <v/>
      </c>
      <c r="J6" s="25"/>
    </row>
    <row r="7" spans="1:16" x14ac:dyDescent="0.25">
      <c r="A7" s="18" t="str">
        <f t="shared" si="0"/>
        <v/>
      </c>
      <c r="D7" s="25"/>
      <c r="F7" s="25" t="str">
        <f>IFERROR(IF(ISBLANK(E7),"",INDEX(Gen_Vessels!$A$3:$C$500,MATCH(E7,Gen_Vessels!$C$3:$C$500,0),1)),"")</f>
        <v/>
      </c>
      <c r="G7" s="25"/>
      <c r="I7" s="25" t="str">
        <f>IFERROR(IF(ISBLANK(H7),"",INDEX(Gen_Vessels!$A$3:$C$500,MATCH(H7,Gen_Vessels!$C$3:$C$500,0),1)),"")</f>
        <v/>
      </c>
      <c r="J7" s="25"/>
    </row>
    <row r="8" spans="1:16" x14ac:dyDescent="0.25">
      <c r="A8" s="18" t="str">
        <f t="shared" si="0"/>
        <v/>
      </c>
      <c r="D8" s="25"/>
      <c r="F8" s="25" t="str">
        <f>IFERROR(IF(ISBLANK(E8),"",INDEX(Gen_Vessels!$A$3:$C$500,MATCH(E8,Gen_Vessels!$C$3:$C$500,0),1)),"")</f>
        <v/>
      </c>
      <c r="G8" s="25"/>
      <c r="I8" s="25" t="str">
        <f>IFERROR(IF(ISBLANK(H8),"",INDEX(Gen_Vessels!$A$3:$C$500,MATCH(H8,Gen_Vessels!$C$3:$C$500,0),1)),"")</f>
        <v/>
      </c>
      <c r="J8" s="25"/>
    </row>
    <row r="9" spans="1:16" x14ac:dyDescent="0.25">
      <c r="A9" s="18" t="str">
        <f t="shared" si="0"/>
        <v/>
      </c>
      <c r="D9" s="25"/>
      <c r="F9" s="25" t="str">
        <f>IFERROR(IF(ISBLANK(E9),"",INDEX(Gen_Vessels!$A$3:$C$500,MATCH(E9,Gen_Vessels!$C$3:$C$500,0),1)),"")</f>
        <v/>
      </c>
      <c r="G9" s="25"/>
      <c r="I9" s="25" t="str">
        <f>IFERROR(IF(ISBLANK(H9),"",INDEX(Gen_Vessels!$A$3:$C$500,MATCH(H9,Gen_Vessels!$C$3:$C$500,0),1)),"")</f>
        <v/>
      </c>
      <c r="J9" s="25"/>
    </row>
    <row r="10" spans="1:16" x14ac:dyDescent="0.25">
      <c r="A10" s="18" t="str">
        <f t="shared" si="0"/>
        <v/>
      </c>
      <c r="D10" s="25"/>
      <c r="F10" s="25" t="str">
        <f>IFERROR(IF(ISBLANK(E10),"",INDEX(Gen_Vessels!$A$3:$C$500,MATCH(E10,Gen_Vessels!$C$3:$C$500,0),1)),"")</f>
        <v/>
      </c>
      <c r="G10" s="25"/>
      <c r="I10" s="25" t="str">
        <f>IFERROR(IF(ISBLANK(H10),"",INDEX(Gen_Vessels!$A$3:$C$500,MATCH(H10,Gen_Vessels!$C$3:$C$500,0),1)),"")</f>
        <v/>
      </c>
      <c r="J10" s="25"/>
    </row>
    <row r="11" spans="1:16" x14ac:dyDescent="0.25">
      <c r="A11" s="18" t="str">
        <f t="shared" si="0"/>
        <v/>
      </c>
      <c r="D11" s="25"/>
      <c r="F11" s="25" t="str">
        <f>IFERROR(IF(ISBLANK(E11),"",INDEX(Gen_Vessels!$A$3:$C$500,MATCH(E11,Gen_Vessels!$C$3:$C$500,0),1)),"")</f>
        <v/>
      </c>
      <c r="G11" s="25"/>
      <c r="I11" s="25" t="str">
        <f>IFERROR(IF(ISBLANK(H11),"",INDEX(Gen_Vessels!$A$3:$C$500,MATCH(H11,Gen_Vessels!$C$3:$C$500,0),1)),"")</f>
        <v/>
      </c>
      <c r="J11" s="25"/>
    </row>
    <row r="12" spans="1:16" x14ac:dyDescent="0.25">
      <c r="A12" s="18" t="str">
        <f t="shared" si="0"/>
        <v/>
      </c>
      <c r="D12" s="25"/>
      <c r="F12" s="25" t="str">
        <f>IFERROR(IF(ISBLANK(E12),"",INDEX(Gen_Vessels!$A$3:$C$500,MATCH(E12,Gen_Vessels!$C$3:$C$500,0),1)),"")</f>
        <v/>
      </c>
      <c r="G12" s="25"/>
      <c r="I12" s="25" t="str">
        <f>IFERROR(IF(ISBLANK(H12),"",INDEX(Gen_Vessels!$A$3:$C$500,MATCH(H12,Gen_Vessels!$C$3:$C$500,0),1)),"")</f>
        <v/>
      </c>
      <c r="J12" s="25"/>
    </row>
    <row r="13" spans="1:16" x14ac:dyDescent="0.25">
      <c r="A13" s="18" t="str">
        <f t="shared" si="0"/>
        <v/>
      </c>
      <c r="D13" s="25"/>
      <c r="F13" s="25" t="str">
        <f>IFERROR(IF(ISBLANK(E13),"",INDEX(Gen_Vessels!$A$3:$C$500,MATCH(E13,Gen_Vessels!$C$3:$C$500,0),1)),"")</f>
        <v/>
      </c>
      <c r="G13" s="25"/>
      <c r="I13" s="25" t="str">
        <f>IFERROR(IF(ISBLANK(H13),"",INDEX(Gen_Vessels!$A$3:$C$500,MATCH(H13,Gen_Vessels!$C$3:$C$500,0),1)),"")</f>
        <v/>
      </c>
      <c r="J13" s="25"/>
    </row>
    <row r="14" spans="1:16" x14ac:dyDescent="0.25">
      <c r="A14" s="18" t="str">
        <f t="shared" si="0"/>
        <v/>
      </c>
      <c r="D14" s="25"/>
      <c r="F14" s="25" t="str">
        <f>IFERROR(IF(ISBLANK(E14),"",INDEX(Gen_Vessels!$A$3:$C$500,MATCH(E14,Gen_Vessels!$C$3:$C$500,0),1)),"")</f>
        <v/>
      </c>
      <c r="G14" s="25"/>
      <c r="I14" s="25" t="str">
        <f>IFERROR(IF(ISBLANK(H14),"",INDEX(Gen_Vessels!$A$3:$C$500,MATCH(H14,Gen_Vessels!$C$3:$C$500,0),1)),"")</f>
        <v/>
      </c>
      <c r="J14" s="25"/>
    </row>
    <row r="15" spans="1:16" x14ac:dyDescent="0.25">
      <c r="A15" s="18" t="str">
        <f t="shared" si="0"/>
        <v/>
      </c>
      <c r="D15" s="25"/>
      <c r="F15" s="25" t="str">
        <f>IFERROR(IF(ISBLANK(E15),"",INDEX(Gen_Vessels!$A$3:$C$500,MATCH(E15,Gen_Vessels!$C$3:$C$500,0),1)),"")</f>
        <v/>
      </c>
      <c r="G15" s="25"/>
      <c r="I15" s="25" t="str">
        <f>IFERROR(IF(ISBLANK(H15),"",INDEX(Gen_Vessels!$A$3:$C$500,MATCH(H15,Gen_Vessels!$C$3:$C$500,0),1)),"")</f>
        <v/>
      </c>
      <c r="J15" s="25"/>
    </row>
    <row r="16" spans="1:16" x14ac:dyDescent="0.25">
      <c r="A16" s="18" t="str">
        <f t="shared" si="0"/>
        <v/>
      </c>
      <c r="D16" s="25"/>
      <c r="F16" s="25" t="str">
        <f>IFERROR(IF(ISBLANK(E16),"",INDEX(Gen_Vessels!$A$3:$C$500,MATCH(E16,Gen_Vessels!$C$3:$C$500,0),1)),"")</f>
        <v/>
      </c>
      <c r="G16" s="25"/>
      <c r="I16" s="25" t="str">
        <f>IFERROR(IF(ISBLANK(H16),"",INDEX(Gen_Vessels!$A$3:$C$500,MATCH(H16,Gen_Vessels!$C$3:$C$500,0),1)),"")</f>
        <v/>
      </c>
      <c r="J16" s="25"/>
    </row>
    <row r="17" spans="1:10" x14ac:dyDescent="0.25">
      <c r="A17" s="18" t="str">
        <f t="shared" si="0"/>
        <v/>
      </c>
      <c r="D17" s="25"/>
      <c r="F17" s="25" t="str">
        <f>IFERROR(IF(ISBLANK(E17),"",INDEX(Gen_Vessels!$A$3:$C$500,MATCH(E17,Gen_Vessels!$C$3:$C$500,0),1)),"")</f>
        <v/>
      </c>
      <c r="G17" s="25"/>
      <c r="I17" s="25" t="str">
        <f>IFERROR(IF(ISBLANK(H17),"",INDEX(Gen_Vessels!$A$3:$C$500,MATCH(H17,Gen_Vessels!$C$3:$C$500,0),1)),"")</f>
        <v/>
      </c>
      <c r="J17" s="25"/>
    </row>
    <row r="18" spans="1:10" x14ac:dyDescent="0.25">
      <c r="A18" s="18" t="str">
        <f t="shared" si="0"/>
        <v/>
      </c>
      <c r="D18" s="25"/>
      <c r="F18" s="25" t="str">
        <f>IFERROR(IF(ISBLANK(E18),"",INDEX(Gen_Vessels!$A$3:$C$500,MATCH(E18,Gen_Vessels!$C$3:$C$500,0),1)),"")</f>
        <v/>
      </c>
      <c r="G18" s="25"/>
      <c r="I18" s="25" t="str">
        <f>IFERROR(IF(ISBLANK(H18),"",INDEX(Gen_Vessels!$A$3:$C$500,MATCH(H18,Gen_Vessels!$C$3:$C$500,0),1)),"")</f>
        <v/>
      </c>
      <c r="J18" s="25"/>
    </row>
    <row r="19" spans="1:10" x14ac:dyDescent="0.25">
      <c r="A19" s="18" t="str">
        <f t="shared" si="0"/>
        <v/>
      </c>
      <c r="D19" s="25"/>
      <c r="F19" s="25" t="str">
        <f>IFERROR(IF(ISBLANK(E19),"",INDEX(Gen_Vessels!$A$3:$C$500,MATCH(E19,Gen_Vessels!$C$3:$C$500,0),1)),"")</f>
        <v/>
      </c>
      <c r="G19" s="25"/>
      <c r="I19" s="25" t="str">
        <f>IFERROR(IF(ISBLANK(H19),"",INDEX(Gen_Vessels!$A$3:$C$500,MATCH(H19,Gen_Vessels!$C$3:$C$500,0),1)),"")</f>
        <v/>
      </c>
      <c r="J19" s="25"/>
    </row>
    <row r="20" spans="1:10" x14ac:dyDescent="0.25">
      <c r="A20" s="18" t="str">
        <f t="shared" si="0"/>
        <v/>
      </c>
      <c r="D20" s="25"/>
      <c r="F20" s="25" t="str">
        <f>IFERROR(IF(ISBLANK(E20),"",INDEX(Gen_Vessels!$A$3:$C$500,MATCH(E20,Gen_Vessels!$C$3:$C$500,0),1)),"")</f>
        <v/>
      </c>
      <c r="G20" s="25"/>
      <c r="I20" s="25" t="str">
        <f>IFERROR(IF(ISBLANK(H20),"",INDEX(Gen_Vessels!$A$3:$C$500,MATCH(H20,Gen_Vessels!$C$3:$C$500,0),1)),"")</f>
        <v/>
      </c>
      <c r="J20" s="25"/>
    </row>
    <row r="21" spans="1:10" x14ac:dyDescent="0.25">
      <c r="A21" s="18" t="str">
        <f t="shared" si="0"/>
        <v/>
      </c>
      <c r="D21" s="25"/>
      <c r="F21" s="25" t="str">
        <f>IFERROR(IF(ISBLANK(E21),"",INDEX(Gen_Vessels!$A$3:$C$500,MATCH(E21,Gen_Vessels!$C$3:$C$500,0),1)),"")</f>
        <v/>
      </c>
      <c r="G21" s="25"/>
      <c r="I21" s="25" t="str">
        <f>IFERROR(IF(ISBLANK(H21),"",INDEX(Gen_Vessels!$A$3:$C$500,MATCH(H21,Gen_Vessels!$C$3:$C$500,0),1)),"")</f>
        <v/>
      </c>
      <c r="J21" s="25"/>
    </row>
    <row r="22" spans="1:10" x14ac:dyDescent="0.25">
      <c r="A22" s="18" t="str">
        <f t="shared" si="0"/>
        <v/>
      </c>
      <c r="D22" s="25"/>
      <c r="F22" s="25" t="str">
        <f>IFERROR(IF(ISBLANK(E22),"",INDEX(Gen_Vessels!$A$3:$C$500,MATCH(E22,Gen_Vessels!$C$3:$C$500,0),1)),"")</f>
        <v/>
      </c>
      <c r="G22" s="25"/>
      <c r="I22" s="25" t="str">
        <f>IFERROR(IF(ISBLANK(H22),"",INDEX(Gen_Vessels!$A$3:$C$500,MATCH(H22,Gen_Vessels!$C$3:$C$500,0),1)),"")</f>
        <v/>
      </c>
      <c r="J22" s="25"/>
    </row>
    <row r="23" spans="1:10" x14ac:dyDescent="0.25">
      <c r="A23" s="18" t="str">
        <f t="shared" si="0"/>
        <v/>
      </c>
      <c r="D23" s="25"/>
      <c r="F23" s="25" t="str">
        <f>IFERROR(IF(ISBLANK(E23),"",INDEX(Gen_Vessels!$A$3:$C$500,MATCH(E23,Gen_Vessels!$C$3:$C$500,0),1)),"")</f>
        <v/>
      </c>
      <c r="G23" s="25"/>
      <c r="I23" s="25" t="str">
        <f>IFERROR(IF(ISBLANK(H23),"",INDEX(Gen_Vessels!$A$3:$C$500,MATCH(H23,Gen_Vessels!$C$3:$C$500,0),1)),"")</f>
        <v/>
      </c>
      <c r="J23" s="25"/>
    </row>
    <row r="24" spans="1:10" x14ac:dyDescent="0.25">
      <c r="A24" s="18" t="str">
        <f t="shared" si="0"/>
        <v/>
      </c>
      <c r="D24" s="25"/>
      <c r="F24" s="25" t="str">
        <f>IFERROR(IF(ISBLANK(E24),"",INDEX(Gen_Vessels!$A$3:$C$500,MATCH(E24,Gen_Vessels!$C$3:$C$500,0),1)),"")</f>
        <v/>
      </c>
      <c r="G24" s="25"/>
      <c r="I24" s="25" t="str">
        <f>IFERROR(IF(ISBLANK(H24),"",INDEX(Gen_Vessels!$A$3:$C$500,MATCH(H24,Gen_Vessels!$C$3:$C$500,0),1)),"")</f>
        <v/>
      </c>
      <c r="J24" s="25"/>
    </row>
    <row r="25" spans="1:10" x14ac:dyDescent="0.25">
      <c r="A25" s="18" t="str">
        <f t="shared" si="0"/>
        <v/>
      </c>
      <c r="D25" s="25"/>
      <c r="F25" s="25" t="str">
        <f>IFERROR(IF(ISBLANK(E25),"",INDEX(Gen_Vessels!$A$3:$C$500,MATCH(E25,Gen_Vessels!$C$3:$C$500,0),1)),"")</f>
        <v/>
      </c>
      <c r="G25" s="25"/>
      <c r="I25" s="25" t="str">
        <f>IFERROR(IF(ISBLANK(H25),"",INDEX(Gen_Vessels!$A$3:$C$500,MATCH(H25,Gen_Vessels!$C$3:$C$500,0),1)),"")</f>
        <v/>
      </c>
      <c r="J25" s="25"/>
    </row>
    <row r="26" spans="1:10" x14ac:dyDescent="0.25">
      <c r="A26" s="18" t="str">
        <f t="shared" si="0"/>
        <v/>
      </c>
      <c r="D26" s="25"/>
      <c r="F26" s="25" t="str">
        <f>IFERROR(IF(ISBLANK(E26),"",INDEX(Gen_Vessels!$A$3:$C$500,MATCH(E26,Gen_Vessels!$C$3:$C$500,0),1)),"")</f>
        <v/>
      </c>
      <c r="G26" s="25"/>
      <c r="I26" s="25" t="str">
        <f>IFERROR(IF(ISBLANK(H26),"",INDEX(Gen_Vessels!$A$3:$C$500,MATCH(H26,Gen_Vessels!$C$3:$C$500,0),1)),"")</f>
        <v/>
      </c>
      <c r="J26" s="25"/>
    </row>
    <row r="27" spans="1:10" x14ac:dyDescent="0.25">
      <c r="A27" s="18" t="str">
        <f t="shared" si="0"/>
        <v/>
      </c>
      <c r="D27" s="25"/>
      <c r="F27" s="25" t="str">
        <f>IFERROR(IF(ISBLANK(E27),"",INDEX(Gen_Vessels!$A$3:$C$500,MATCH(E27,Gen_Vessels!$C$3:$C$500,0),1)),"")</f>
        <v/>
      </c>
      <c r="G27" s="25"/>
      <c r="I27" s="25" t="str">
        <f>IFERROR(IF(ISBLANK(H27),"",INDEX(Gen_Vessels!$A$3:$C$500,MATCH(H27,Gen_Vessels!$C$3:$C$500,0),1)),"")</f>
        <v/>
      </c>
      <c r="J27" s="25"/>
    </row>
    <row r="28" spans="1:10" x14ac:dyDescent="0.25">
      <c r="A28" s="18" t="str">
        <f t="shared" si="0"/>
        <v/>
      </c>
      <c r="D28" s="25"/>
      <c r="F28" s="25" t="str">
        <f>IFERROR(IF(ISBLANK(E28),"",INDEX(Gen_Vessels!$A$3:$C$500,MATCH(E28,Gen_Vessels!$C$3:$C$500,0),1)),"")</f>
        <v/>
      </c>
      <c r="G28" s="25"/>
      <c r="I28" s="25" t="str">
        <f>IFERROR(IF(ISBLANK(H28),"",INDEX(Gen_Vessels!$A$3:$C$500,MATCH(H28,Gen_Vessels!$C$3:$C$500,0),1)),"")</f>
        <v/>
      </c>
      <c r="J28" s="25"/>
    </row>
    <row r="29" spans="1:10" x14ac:dyDescent="0.25">
      <c r="A29" s="18" t="str">
        <f t="shared" si="0"/>
        <v/>
      </c>
      <c r="D29" s="25"/>
      <c r="F29" s="25" t="str">
        <f>IFERROR(IF(ISBLANK(E29),"",INDEX(Gen_Vessels!$A$3:$C$500,MATCH(E29,Gen_Vessels!$C$3:$C$500,0),1)),"")</f>
        <v/>
      </c>
      <c r="G29" s="25"/>
      <c r="I29" s="25" t="str">
        <f>IFERROR(IF(ISBLANK(H29),"",INDEX(Gen_Vessels!$A$3:$C$500,MATCH(H29,Gen_Vessels!$C$3:$C$500,0),1)),"")</f>
        <v/>
      </c>
      <c r="J29" s="25"/>
    </row>
    <row r="30" spans="1:10" x14ac:dyDescent="0.25">
      <c r="A30" s="18" t="str">
        <f t="shared" si="0"/>
        <v/>
      </c>
      <c r="D30" s="25"/>
      <c r="F30" s="25" t="str">
        <f>IFERROR(IF(ISBLANK(E30),"",INDEX(Gen_Vessels!$A$3:$C$500,MATCH(E30,Gen_Vessels!$C$3:$C$500,0),1)),"")</f>
        <v/>
      </c>
      <c r="G30" s="25"/>
      <c r="I30" s="25" t="str">
        <f>IFERROR(IF(ISBLANK(H30),"",INDEX(Gen_Vessels!$A$3:$C$500,MATCH(H30,Gen_Vessels!$C$3:$C$500,0),1)),"")</f>
        <v/>
      </c>
      <c r="J30" s="25"/>
    </row>
    <row r="31" spans="1:10" x14ac:dyDescent="0.25">
      <c r="A31" s="18" t="str">
        <f t="shared" si="0"/>
        <v/>
      </c>
      <c r="D31" s="25"/>
      <c r="F31" s="25" t="str">
        <f>IFERROR(IF(ISBLANK(E31),"",INDEX(Gen_Vessels!$A$3:$C$500,MATCH(E31,Gen_Vessels!$C$3:$C$500,0),1)),"")</f>
        <v/>
      </c>
      <c r="G31" s="25"/>
      <c r="I31" s="25" t="str">
        <f>IFERROR(IF(ISBLANK(H31),"",INDEX(Gen_Vessels!$A$3:$C$500,MATCH(H31,Gen_Vessels!$C$3:$C$500,0),1)),"")</f>
        <v/>
      </c>
      <c r="J31" s="25"/>
    </row>
    <row r="32" spans="1:10" x14ac:dyDescent="0.25">
      <c r="A32" s="18" t="str">
        <f t="shared" si="0"/>
        <v/>
      </c>
      <c r="D32" s="25"/>
      <c r="F32" s="25" t="str">
        <f>IFERROR(IF(ISBLANK(E32),"",INDEX(Gen_Vessels!$A$3:$C$500,MATCH(E32,Gen_Vessels!$C$3:$C$500,0),1)),"")</f>
        <v/>
      </c>
      <c r="G32" s="25"/>
      <c r="I32" s="25" t="str">
        <f>IFERROR(IF(ISBLANK(H32),"",INDEX(Gen_Vessels!$A$3:$C$500,MATCH(H32,Gen_Vessels!$C$3:$C$500,0),1)),"")</f>
        <v/>
      </c>
      <c r="J32" s="25"/>
    </row>
    <row r="33" spans="1:10" x14ac:dyDescent="0.25">
      <c r="A33" s="18" t="str">
        <f t="shared" si="0"/>
        <v/>
      </c>
      <c r="D33" s="25"/>
      <c r="F33" s="25" t="str">
        <f>IFERROR(IF(ISBLANK(E33),"",INDEX(Gen_Vessels!$A$3:$C$500,MATCH(E33,Gen_Vessels!$C$3:$C$500,0),1)),"")</f>
        <v/>
      </c>
      <c r="G33" s="25"/>
      <c r="I33" s="25" t="str">
        <f>IFERROR(IF(ISBLANK(H33),"",INDEX(Gen_Vessels!$A$3:$C$500,MATCH(H33,Gen_Vessels!$C$3:$C$500,0),1)),"")</f>
        <v/>
      </c>
      <c r="J33" s="25"/>
    </row>
    <row r="34" spans="1:10" x14ac:dyDescent="0.25">
      <c r="A34" s="18" t="str">
        <f t="shared" si="0"/>
        <v/>
      </c>
      <c r="D34" s="25"/>
      <c r="F34" s="25" t="str">
        <f>IFERROR(IF(ISBLANK(E34),"",INDEX(Gen_Vessels!$A$3:$C$500,MATCH(E34,Gen_Vessels!$C$3:$C$500,0),1)),"")</f>
        <v/>
      </c>
      <c r="G34" s="25"/>
      <c r="I34" s="25" t="str">
        <f>IFERROR(IF(ISBLANK(H34),"",INDEX(Gen_Vessels!$A$3:$C$500,MATCH(H34,Gen_Vessels!$C$3:$C$500,0),1)),"")</f>
        <v/>
      </c>
      <c r="J34" s="25"/>
    </row>
    <row r="35" spans="1:10" x14ac:dyDescent="0.25">
      <c r="A35" s="18" t="str">
        <f t="shared" ref="A35:A66" si="1">IF(ISBLANK($B35)=FALSE,_xlfn.CONCAT("owc_",$B35),"")</f>
        <v/>
      </c>
      <c r="D35" s="25"/>
      <c r="F35" s="25" t="str">
        <f>IFERROR(IF(ISBLANK(E35),"",INDEX(Gen_Vessels!$A$3:$C$500,MATCH(E35,Gen_Vessels!$C$3:$C$500,0),1)),"")</f>
        <v/>
      </c>
      <c r="G35" s="25"/>
      <c r="I35" s="25" t="str">
        <f>IFERROR(IF(ISBLANK(H35),"",INDEX(Gen_Vessels!$A$3:$C$500,MATCH(H35,Gen_Vessels!$C$3:$C$500,0),1)),"")</f>
        <v/>
      </c>
      <c r="J35" s="25"/>
    </row>
    <row r="36" spans="1:10" x14ac:dyDescent="0.25">
      <c r="A36" s="18" t="str">
        <f t="shared" si="1"/>
        <v/>
      </c>
      <c r="D36" s="25"/>
      <c r="F36" s="25" t="str">
        <f>IFERROR(IF(ISBLANK(E36),"",INDEX(Gen_Vessels!$A$3:$C$500,MATCH(E36,Gen_Vessels!$C$3:$C$500,0),1)),"")</f>
        <v/>
      </c>
      <c r="G36" s="25"/>
      <c r="I36" s="25" t="str">
        <f>IFERROR(IF(ISBLANK(H36),"",INDEX(Gen_Vessels!$A$3:$C$500,MATCH(H36,Gen_Vessels!$C$3:$C$500,0),1)),"")</f>
        <v/>
      </c>
      <c r="J36" s="25"/>
    </row>
    <row r="37" spans="1:10" x14ac:dyDescent="0.25">
      <c r="A37" s="18" t="str">
        <f t="shared" si="1"/>
        <v/>
      </c>
      <c r="D37" s="25"/>
      <c r="F37" s="25" t="str">
        <f>IFERROR(IF(ISBLANK(E37),"",INDEX(Gen_Vessels!$A$3:$C$500,MATCH(E37,Gen_Vessels!$C$3:$C$500,0),1)),"")</f>
        <v/>
      </c>
      <c r="G37" s="25"/>
      <c r="I37" s="25" t="str">
        <f>IFERROR(IF(ISBLANK(H37),"",INDEX(Gen_Vessels!$A$3:$C$500,MATCH(H37,Gen_Vessels!$C$3:$C$500,0),1)),"")</f>
        <v/>
      </c>
      <c r="J37" s="25"/>
    </row>
    <row r="38" spans="1:10" x14ac:dyDescent="0.25">
      <c r="A38" s="18" t="str">
        <f t="shared" si="1"/>
        <v/>
      </c>
      <c r="D38" s="25"/>
      <c r="F38" s="25" t="str">
        <f>IFERROR(IF(ISBLANK(E38),"",INDEX(Gen_Vessels!$A$3:$C$500,MATCH(E38,Gen_Vessels!$C$3:$C$500,0),1)),"")</f>
        <v/>
      </c>
      <c r="G38" s="25"/>
      <c r="I38" s="25" t="str">
        <f>IFERROR(IF(ISBLANK(H38),"",INDEX(Gen_Vessels!$A$3:$C$500,MATCH(H38,Gen_Vessels!$C$3:$C$500,0),1)),"")</f>
        <v/>
      </c>
      <c r="J38" s="25"/>
    </row>
    <row r="39" spans="1:10" x14ac:dyDescent="0.25">
      <c r="A39" s="18" t="str">
        <f t="shared" si="1"/>
        <v/>
      </c>
      <c r="D39" s="25"/>
      <c r="F39" s="25" t="str">
        <f>IFERROR(IF(ISBLANK(E39),"",INDEX(Gen_Vessels!$A$3:$C$500,MATCH(E39,Gen_Vessels!$C$3:$C$500,0),1)),"")</f>
        <v/>
      </c>
      <c r="G39" s="25"/>
      <c r="I39" s="25" t="str">
        <f>IFERROR(IF(ISBLANK(H39),"",INDEX(Gen_Vessels!$A$3:$C$500,MATCH(H39,Gen_Vessels!$C$3:$C$500,0),1)),"")</f>
        <v/>
      </c>
      <c r="J39" s="25"/>
    </row>
    <row r="40" spans="1:10" x14ac:dyDescent="0.25">
      <c r="A40" s="18" t="str">
        <f t="shared" si="1"/>
        <v/>
      </c>
      <c r="D40" s="25"/>
      <c r="F40" s="25" t="str">
        <f>IFERROR(IF(ISBLANK(E40),"",INDEX(Gen_Vessels!$A$3:$C$500,MATCH(E40,Gen_Vessels!$C$3:$C$500,0),1)),"")</f>
        <v/>
      </c>
      <c r="G40" s="25"/>
      <c r="I40" s="25" t="str">
        <f>IFERROR(IF(ISBLANK(H40),"",INDEX(Gen_Vessels!$A$3:$C$500,MATCH(H40,Gen_Vessels!$C$3:$C$500,0),1)),"")</f>
        <v/>
      </c>
      <c r="J40" s="25"/>
    </row>
    <row r="41" spans="1:10" x14ac:dyDescent="0.25">
      <c r="A41" s="18" t="str">
        <f t="shared" si="1"/>
        <v/>
      </c>
      <c r="D41" s="25"/>
      <c r="F41" s="25" t="str">
        <f>IFERROR(IF(ISBLANK(E41),"",INDEX(Gen_Vessels!$A$3:$C$500,MATCH(E41,Gen_Vessels!$C$3:$C$500,0),1)),"")</f>
        <v/>
      </c>
      <c r="G41" s="25"/>
      <c r="I41" s="25" t="str">
        <f>IFERROR(IF(ISBLANK(H41),"",INDEX(Gen_Vessels!$A$3:$C$500,MATCH(H41,Gen_Vessels!$C$3:$C$500,0),1)),"")</f>
        <v/>
      </c>
      <c r="J41" s="25"/>
    </row>
    <row r="42" spans="1:10" x14ac:dyDescent="0.25">
      <c r="A42" s="18" t="str">
        <f t="shared" si="1"/>
        <v/>
      </c>
      <c r="D42" s="25"/>
      <c r="F42" s="25" t="str">
        <f>IFERROR(IF(ISBLANK(E42),"",INDEX(Gen_Vessels!$A$3:$C$500,MATCH(E42,Gen_Vessels!$C$3:$C$500,0),1)),"")</f>
        <v/>
      </c>
      <c r="G42" s="25"/>
      <c r="I42" s="25" t="str">
        <f>IFERROR(IF(ISBLANK(H42),"",INDEX(Gen_Vessels!$A$3:$C$500,MATCH(H42,Gen_Vessels!$C$3:$C$500,0),1)),"")</f>
        <v/>
      </c>
      <c r="J42" s="25"/>
    </row>
    <row r="43" spans="1:10" x14ac:dyDescent="0.25">
      <c r="A43" s="18" t="str">
        <f t="shared" si="1"/>
        <v/>
      </c>
      <c r="D43" s="25"/>
      <c r="F43" s="25" t="str">
        <f>IFERROR(IF(ISBLANK(E43),"",INDEX(Gen_Vessels!$A$3:$C$500,MATCH(E43,Gen_Vessels!$C$3:$C$500,0),1)),"")</f>
        <v/>
      </c>
      <c r="G43" s="25"/>
      <c r="I43" s="25" t="str">
        <f>IFERROR(IF(ISBLANK(H43),"",INDEX(Gen_Vessels!$A$3:$C$500,MATCH(H43,Gen_Vessels!$C$3:$C$500,0),1)),"")</f>
        <v/>
      </c>
      <c r="J43" s="25"/>
    </row>
    <row r="44" spans="1:10" x14ac:dyDescent="0.25">
      <c r="A44" s="18" t="str">
        <f t="shared" si="1"/>
        <v/>
      </c>
      <c r="D44" s="25"/>
      <c r="F44" s="25" t="str">
        <f>IFERROR(IF(ISBLANK(E44),"",INDEX(Gen_Vessels!$A$3:$C$500,MATCH(E44,Gen_Vessels!$C$3:$C$500,0),1)),"")</f>
        <v/>
      </c>
      <c r="G44" s="25"/>
      <c r="I44" s="25" t="str">
        <f>IFERROR(IF(ISBLANK(H44),"",INDEX(Gen_Vessels!$A$3:$C$500,MATCH(H44,Gen_Vessels!$C$3:$C$500,0),1)),"")</f>
        <v/>
      </c>
      <c r="J44" s="25"/>
    </row>
    <row r="45" spans="1:10" x14ac:dyDescent="0.25">
      <c r="A45" s="18" t="str">
        <f t="shared" si="1"/>
        <v/>
      </c>
      <c r="D45" s="25"/>
      <c r="F45" s="25" t="str">
        <f>IFERROR(IF(ISBLANK(E45),"",INDEX(Gen_Vessels!$A$3:$C$500,MATCH(E45,Gen_Vessels!$C$3:$C$500,0),1)),"")</f>
        <v/>
      </c>
      <c r="G45" s="25"/>
      <c r="I45" s="25" t="str">
        <f>IFERROR(IF(ISBLANK(H45),"",INDEX(Gen_Vessels!$A$3:$C$500,MATCH(H45,Gen_Vessels!$C$3:$C$500,0),1)),"")</f>
        <v/>
      </c>
      <c r="J45" s="25"/>
    </row>
    <row r="46" spans="1:10" x14ac:dyDescent="0.25">
      <c r="A46" s="18" t="str">
        <f t="shared" si="1"/>
        <v/>
      </c>
      <c r="D46" s="25"/>
      <c r="F46" s="25" t="str">
        <f>IFERROR(IF(ISBLANK(E46),"",INDEX(Gen_Vessels!$A$3:$C$500,MATCH(E46,Gen_Vessels!$C$3:$C$500,0),1)),"")</f>
        <v/>
      </c>
      <c r="G46" s="25"/>
      <c r="I46" s="25" t="str">
        <f>IFERROR(IF(ISBLANK(H46),"",INDEX(Gen_Vessels!$A$3:$C$500,MATCH(H46,Gen_Vessels!$C$3:$C$500,0),1)),"")</f>
        <v/>
      </c>
      <c r="J46" s="25"/>
    </row>
    <row r="47" spans="1:10" x14ac:dyDescent="0.25">
      <c r="A47" s="18" t="str">
        <f t="shared" si="1"/>
        <v/>
      </c>
      <c r="D47" s="25"/>
      <c r="F47" s="25" t="str">
        <f>IFERROR(IF(ISBLANK(E47),"",INDEX(Gen_Vessels!$A$3:$C$500,MATCH(E47,Gen_Vessels!$C$3:$C$500,0),1)),"")</f>
        <v/>
      </c>
      <c r="G47" s="25"/>
      <c r="I47" s="25" t="str">
        <f>IFERROR(IF(ISBLANK(H47),"",INDEX(Gen_Vessels!$A$3:$C$500,MATCH(H47,Gen_Vessels!$C$3:$C$500,0),1)),"")</f>
        <v/>
      </c>
      <c r="J47" s="25"/>
    </row>
    <row r="48" spans="1:10" x14ac:dyDescent="0.25">
      <c r="A48" s="18" t="str">
        <f t="shared" si="1"/>
        <v/>
      </c>
      <c r="D48" s="25"/>
      <c r="F48" s="25" t="str">
        <f>IFERROR(IF(ISBLANK(E48),"",INDEX(Gen_Vessels!$A$3:$C$500,MATCH(E48,Gen_Vessels!$C$3:$C$500,0),1)),"")</f>
        <v/>
      </c>
      <c r="G48" s="25"/>
      <c r="I48" s="25" t="str">
        <f>IFERROR(IF(ISBLANK(H48),"",INDEX(Gen_Vessels!$A$3:$C$500,MATCH(H48,Gen_Vessels!$C$3:$C$500,0),1)),"")</f>
        <v/>
      </c>
      <c r="J48" s="25"/>
    </row>
    <row r="49" spans="1:10" x14ac:dyDescent="0.25">
      <c r="A49" s="18" t="str">
        <f t="shared" si="1"/>
        <v/>
      </c>
      <c r="D49" s="25"/>
      <c r="F49" s="25" t="str">
        <f>IFERROR(IF(ISBLANK(E49),"",INDEX(Gen_Vessels!$A$3:$C$500,MATCH(E49,Gen_Vessels!$C$3:$C$500,0),1)),"")</f>
        <v/>
      </c>
      <c r="G49" s="25"/>
      <c r="I49" s="25" t="str">
        <f>IFERROR(IF(ISBLANK(H49),"",INDEX(Gen_Vessels!$A$3:$C$500,MATCH(H49,Gen_Vessels!$C$3:$C$500,0),1)),"")</f>
        <v/>
      </c>
      <c r="J49" s="25"/>
    </row>
    <row r="50" spans="1:10" x14ac:dyDescent="0.25">
      <c r="A50" s="18" t="str">
        <f t="shared" si="1"/>
        <v/>
      </c>
      <c r="D50" s="25"/>
      <c r="F50" s="25" t="str">
        <f>IFERROR(IF(ISBLANK(E50),"",INDEX(Gen_Vessels!$A$3:$C$500,MATCH(E50,Gen_Vessels!$C$3:$C$500,0),1)),"")</f>
        <v/>
      </c>
      <c r="G50" s="25"/>
      <c r="I50" s="25" t="str">
        <f>IFERROR(IF(ISBLANK(H50),"",INDEX(Gen_Vessels!$A$3:$C$500,MATCH(H50,Gen_Vessels!$C$3:$C$500,0),1)),"")</f>
        <v/>
      </c>
      <c r="J50" s="25"/>
    </row>
    <row r="51" spans="1:10" x14ac:dyDescent="0.25">
      <c r="A51" s="18" t="str">
        <f t="shared" si="1"/>
        <v/>
      </c>
      <c r="D51" s="25"/>
      <c r="F51" s="25" t="str">
        <f>IFERROR(IF(ISBLANK(E51),"",INDEX(Gen_Vessels!$A$3:$C$500,MATCH(E51,Gen_Vessels!$C$3:$C$500,0),1)),"")</f>
        <v/>
      </c>
      <c r="G51" s="25"/>
      <c r="I51" s="25" t="str">
        <f>IFERROR(IF(ISBLANK(H51),"",INDEX(Gen_Vessels!$A$3:$C$500,MATCH(H51,Gen_Vessels!$C$3:$C$500,0),1)),"")</f>
        <v/>
      </c>
      <c r="J51" s="25"/>
    </row>
    <row r="52" spans="1:10" x14ac:dyDescent="0.25">
      <c r="A52" s="18" t="str">
        <f t="shared" si="1"/>
        <v/>
      </c>
      <c r="D52" s="25"/>
      <c r="F52" s="25" t="str">
        <f>IFERROR(IF(ISBLANK(E52),"",INDEX(Gen_Vessels!$A$3:$C$500,MATCH(E52,Gen_Vessels!$C$3:$C$500,0),1)),"")</f>
        <v/>
      </c>
      <c r="G52" s="25"/>
      <c r="I52" s="25" t="str">
        <f>IFERROR(IF(ISBLANK(H52),"",INDEX(Gen_Vessels!$A$3:$C$500,MATCH(H52,Gen_Vessels!$C$3:$C$500,0),1)),"")</f>
        <v/>
      </c>
      <c r="J52" s="25"/>
    </row>
    <row r="53" spans="1:10" x14ac:dyDescent="0.25">
      <c r="A53" s="18" t="str">
        <f t="shared" si="1"/>
        <v/>
      </c>
      <c r="D53" s="25"/>
      <c r="F53" s="25" t="str">
        <f>IFERROR(IF(ISBLANK(E53),"",INDEX(Gen_Vessels!$A$3:$C$500,MATCH(E53,Gen_Vessels!$C$3:$C$500,0),1)),"")</f>
        <v/>
      </c>
      <c r="G53" s="25"/>
      <c r="I53" s="25" t="str">
        <f>IFERROR(IF(ISBLANK(H53),"",INDEX(Gen_Vessels!$A$3:$C$500,MATCH(H53,Gen_Vessels!$C$3:$C$500,0),1)),"")</f>
        <v/>
      </c>
      <c r="J53" s="25"/>
    </row>
    <row r="54" spans="1:10" x14ac:dyDescent="0.25">
      <c r="A54" s="18" t="str">
        <f t="shared" si="1"/>
        <v/>
      </c>
      <c r="D54" s="25"/>
      <c r="F54" s="25" t="str">
        <f>IFERROR(IF(ISBLANK(E54),"",INDEX(Gen_Vessels!$A$3:$C$500,MATCH(E54,Gen_Vessels!$C$3:$C$500,0),1)),"")</f>
        <v/>
      </c>
      <c r="G54" s="25"/>
      <c r="I54" s="25" t="str">
        <f>IFERROR(IF(ISBLANK(H54),"",INDEX(Gen_Vessels!$A$3:$C$500,MATCH(H54,Gen_Vessels!$C$3:$C$500,0),1)),"")</f>
        <v/>
      </c>
      <c r="J54" s="25"/>
    </row>
    <row r="55" spans="1:10" x14ac:dyDescent="0.25">
      <c r="A55" s="18" t="str">
        <f t="shared" si="1"/>
        <v/>
      </c>
      <c r="D55" s="25"/>
      <c r="F55" s="25" t="str">
        <f>IFERROR(IF(ISBLANK(E55),"",INDEX(Gen_Vessels!$A$3:$C$500,MATCH(E55,Gen_Vessels!$C$3:$C$500,0),1)),"")</f>
        <v/>
      </c>
      <c r="G55" s="25"/>
      <c r="I55" s="25" t="str">
        <f>IFERROR(IF(ISBLANK(H55),"",INDEX(Gen_Vessels!$A$3:$C$500,MATCH(H55,Gen_Vessels!$C$3:$C$500,0),1)),"")</f>
        <v/>
      </c>
      <c r="J55" s="25"/>
    </row>
    <row r="56" spans="1:10" x14ac:dyDescent="0.25">
      <c r="A56" s="18" t="str">
        <f t="shared" si="1"/>
        <v/>
      </c>
      <c r="D56" s="25"/>
      <c r="F56" s="25" t="str">
        <f>IFERROR(IF(ISBLANK(E56),"",INDEX(Gen_Vessels!$A$3:$C$500,MATCH(E56,Gen_Vessels!$C$3:$C$500,0),1)),"")</f>
        <v/>
      </c>
      <c r="G56" s="25"/>
      <c r="I56" s="25" t="str">
        <f>IFERROR(IF(ISBLANK(H56),"",INDEX(Gen_Vessels!$A$3:$C$500,MATCH(H56,Gen_Vessels!$C$3:$C$500,0),1)),"")</f>
        <v/>
      </c>
      <c r="J56" s="25"/>
    </row>
    <row r="57" spans="1:10" x14ac:dyDescent="0.25">
      <c r="A57" s="18" t="str">
        <f t="shared" si="1"/>
        <v/>
      </c>
      <c r="D57" s="25"/>
      <c r="F57" s="25" t="str">
        <f>IFERROR(IF(ISBLANK(E57),"",INDEX(Gen_Vessels!$A$3:$C$500,MATCH(E57,Gen_Vessels!$C$3:$C$500,0),1)),"")</f>
        <v/>
      </c>
      <c r="G57" s="25"/>
      <c r="I57" s="25" t="str">
        <f>IFERROR(IF(ISBLANK(H57),"",INDEX(Gen_Vessels!$A$3:$C$500,MATCH(H57,Gen_Vessels!$C$3:$C$500,0),1)),"")</f>
        <v/>
      </c>
      <c r="J57" s="25"/>
    </row>
    <row r="58" spans="1:10" x14ac:dyDescent="0.25">
      <c r="A58" s="18" t="str">
        <f t="shared" si="1"/>
        <v/>
      </c>
      <c r="D58" s="25"/>
      <c r="F58" s="25" t="str">
        <f>IFERROR(IF(ISBLANK(E58),"",INDEX(Gen_Vessels!$A$3:$C$500,MATCH(E58,Gen_Vessels!$C$3:$C$500,0),1)),"")</f>
        <v/>
      </c>
      <c r="G58" s="25"/>
      <c r="I58" s="25" t="str">
        <f>IFERROR(IF(ISBLANK(H58),"",INDEX(Gen_Vessels!$A$3:$C$500,MATCH(H58,Gen_Vessels!$C$3:$C$500,0),1)),"")</f>
        <v/>
      </c>
      <c r="J58" s="25"/>
    </row>
    <row r="59" spans="1:10" x14ac:dyDescent="0.25">
      <c r="A59" s="18" t="str">
        <f t="shared" si="1"/>
        <v/>
      </c>
      <c r="D59" s="25"/>
      <c r="F59" s="25" t="str">
        <f>IFERROR(IF(ISBLANK(E59),"",INDEX(Gen_Vessels!$A$3:$C$500,MATCH(E59,Gen_Vessels!$C$3:$C$500,0),1)),"")</f>
        <v/>
      </c>
      <c r="G59" s="25"/>
      <c r="I59" s="25" t="str">
        <f>IFERROR(IF(ISBLANK(H59),"",INDEX(Gen_Vessels!$A$3:$C$500,MATCH(H59,Gen_Vessels!$C$3:$C$500,0),1)),"")</f>
        <v/>
      </c>
      <c r="J59" s="25"/>
    </row>
    <row r="60" spans="1:10" x14ac:dyDescent="0.25">
      <c r="A60" s="18" t="str">
        <f t="shared" si="1"/>
        <v/>
      </c>
      <c r="D60" s="25"/>
      <c r="F60" s="25" t="str">
        <f>IFERROR(IF(ISBLANK(E60),"",INDEX(Gen_Vessels!$A$3:$C$500,MATCH(E60,Gen_Vessels!$C$3:$C$500,0),1)),"")</f>
        <v/>
      </c>
      <c r="G60" s="25"/>
      <c r="I60" s="25" t="str">
        <f>IFERROR(IF(ISBLANK(H60),"",INDEX(Gen_Vessels!$A$3:$C$500,MATCH(H60,Gen_Vessels!$C$3:$C$500,0),1)),"")</f>
        <v/>
      </c>
      <c r="J60" s="25"/>
    </row>
    <row r="61" spans="1:10" x14ac:dyDescent="0.25">
      <c r="A61" s="18" t="str">
        <f t="shared" si="1"/>
        <v/>
      </c>
      <c r="D61" s="25"/>
      <c r="F61" s="25" t="str">
        <f>IFERROR(IF(ISBLANK(E61),"",INDEX(Gen_Vessels!$A$3:$C$500,MATCH(E61,Gen_Vessels!$C$3:$C$500,0),1)),"")</f>
        <v/>
      </c>
      <c r="G61" s="25"/>
      <c r="I61" s="25" t="str">
        <f>IFERROR(IF(ISBLANK(H61),"",INDEX(Gen_Vessels!$A$3:$C$500,MATCH(H61,Gen_Vessels!$C$3:$C$500,0),1)),"")</f>
        <v/>
      </c>
      <c r="J61" s="25"/>
    </row>
    <row r="62" spans="1:10" x14ac:dyDescent="0.25">
      <c r="A62" s="18" t="str">
        <f t="shared" si="1"/>
        <v/>
      </c>
      <c r="D62" s="25"/>
      <c r="F62" s="25" t="str">
        <f>IFERROR(IF(ISBLANK(E62),"",INDEX(Gen_Vessels!$A$3:$C$500,MATCH(E62,Gen_Vessels!$C$3:$C$500,0),1)),"")</f>
        <v/>
      </c>
      <c r="G62" s="25"/>
      <c r="I62" s="25" t="str">
        <f>IFERROR(IF(ISBLANK(H62),"",INDEX(Gen_Vessels!$A$3:$C$500,MATCH(H62,Gen_Vessels!$C$3:$C$500,0),1)),"")</f>
        <v/>
      </c>
      <c r="J62" s="25"/>
    </row>
    <row r="63" spans="1:10" x14ac:dyDescent="0.25">
      <c r="A63" s="18" t="str">
        <f t="shared" si="1"/>
        <v/>
      </c>
      <c r="D63" s="25"/>
      <c r="F63" s="25" t="str">
        <f>IFERROR(IF(ISBLANK(E63),"",INDEX(Gen_Vessels!$A$3:$C$500,MATCH(E63,Gen_Vessels!$C$3:$C$500,0),1)),"")</f>
        <v/>
      </c>
      <c r="G63" s="25"/>
      <c r="I63" s="25" t="str">
        <f>IFERROR(IF(ISBLANK(H63),"",INDEX(Gen_Vessels!$A$3:$C$500,MATCH(H63,Gen_Vessels!$C$3:$C$500,0),1)),"")</f>
        <v/>
      </c>
      <c r="J63" s="25"/>
    </row>
    <row r="64" spans="1:10" x14ac:dyDescent="0.25">
      <c r="A64" s="18" t="str">
        <f t="shared" si="1"/>
        <v/>
      </c>
      <c r="D64" s="25"/>
      <c r="F64" s="25" t="str">
        <f>IFERROR(IF(ISBLANK(E64),"",INDEX(Gen_Vessels!$A$3:$C$500,MATCH(E64,Gen_Vessels!$C$3:$C$500,0),1)),"")</f>
        <v/>
      </c>
      <c r="G64" s="25"/>
      <c r="I64" s="25" t="str">
        <f>IFERROR(IF(ISBLANK(H64),"",INDEX(Gen_Vessels!$A$3:$C$500,MATCH(H64,Gen_Vessels!$C$3:$C$500,0),1)),"")</f>
        <v/>
      </c>
      <c r="J64" s="25"/>
    </row>
    <row r="65" spans="1:10" x14ac:dyDescent="0.25">
      <c r="A65" s="18" t="str">
        <f t="shared" si="1"/>
        <v/>
      </c>
      <c r="D65" s="25"/>
      <c r="F65" s="25" t="str">
        <f>IFERROR(IF(ISBLANK(E65),"",INDEX(Gen_Vessels!$A$3:$C$500,MATCH(E65,Gen_Vessels!$C$3:$C$500,0),1)),"")</f>
        <v/>
      </c>
      <c r="G65" s="25"/>
      <c r="I65" s="25" t="str">
        <f>IFERROR(IF(ISBLANK(H65),"",INDEX(Gen_Vessels!$A$3:$C$500,MATCH(H65,Gen_Vessels!$C$3:$C$500,0),1)),"")</f>
        <v/>
      </c>
      <c r="J65" s="25"/>
    </row>
    <row r="66" spans="1:10" x14ac:dyDescent="0.25">
      <c r="A66" s="18" t="str">
        <f t="shared" si="1"/>
        <v/>
      </c>
      <c r="D66" s="25"/>
      <c r="F66" s="25" t="str">
        <f>IFERROR(IF(ISBLANK(E66),"",INDEX(Gen_Vessels!$A$3:$C$500,MATCH(E66,Gen_Vessels!$C$3:$C$500,0),1)),"")</f>
        <v/>
      </c>
      <c r="G66" s="25"/>
      <c r="I66" s="25" t="str">
        <f>IFERROR(IF(ISBLANK(H66),"",INDEX(Gen_Vessels!$A$3:$C$500,MATCH(H66,Gen_Vessels!$C$3:$C$500,0),1)),"")</f>
        <v/>
      </c>
      <c r="J66" s="25"/>
    </row>
    <row r="67" spans="1:10" x14ac:dyDescent="0.25">
      <c r="A67" s="18" t="str">
        <f t="shared" ref="A67:A95" si="2">IF(ISBLANK($B67)=FALSE,_xlfn.CONCAT("owc_",$B67),"")</f>
        <v/>
      </c>
      <c r="D67" s="25"/>
      <c r="F67" s="25" t="str">
        <f>IFERROR(IF(ISBLANK(E67),"",INDEX(Gen_Vessels!$A$3:$C$500,MATCH(E67,Gen_Vessels!$C$3:$C$500,0),1)),"")</f>
        <v/>
      </c>
      <c r="G67" s="25"/>
      <c r="I67" s="25" t="str">
        <f>IFERROR(IF(ISBLANK(H67),"",INDEX(Gen_Vessels!$A$3:$C$500,MATCH(H67,Gen_Vessels!$C$3:$C$500,0),1)),"")</f>
        <v/>
      </c>
      <c r="J67" s="25"/>
    </row>
    <row r="68" spans="1:10" x14ac:dyDescent="0.25">
      <c r="A68" s="18" t="str">
        <f t="shared" si="2"/>
        <v/>
      </c>
      <c r="D68" s="25"/>
      <c r="F68" s="25" t="str">
        <f>IFERROR(IF(ISBLANK(E68),"",INDEX(Gen_Vessels!$A$3:$C$500,MATCH(E68,Gen_Vessels!$C$3:$C$500,0),1)),"")</f>
        <v/>
      </c>
      <c r="G68" s="25"/>
      <c r="I68" s="25" t="str">
        <f>IFERROR(IF(ISBLANK(H68),"",INDEX(Gen_Vessels!$A$3:$C$500,MATCH(H68,Gen_Vessels!$C$3:$C$500,0),1)),"")</f>
        <v/>
      </c>
      <c r="J68" s="25"/>
    </row>
    <row r="69" spans="1:10" x14ac:dyDescent="0.25">
      <c r="A69" s="18" t="str">
        <f t="shared" si="2"/>
        <v/>
      </c>
      <c r="D69" s="25"/>
      <c r="F69" s="25" t="str">
        <f>IFERROR(IF(ISBLANK(E69),"",INDEX(Gen_Vessels!$A$3:$C$500,MATCH(E69,Gen_Vessels!$C$3:$C$500,0),1)),"")</f>
        <v/>
      </c>
      <c r="G69" s="25"/>
      <c r="I69" s="25" t="str">
        <f>IFERROR(IF(ISBLANK(H69),"",INDEX(Gen_Vessels!$A$3:$C$500,MATCH(H69,Gen_Vessels!$C$3:$C$500,0),1)),"")</f>
        <v/>
      </c>
      <c r="J69" s="25"/>
    </row>
    <row r="70" spans="1:10" x14ac:dyDescent="0.25">
      <c r="A70" s="18" t="str">
        <f t="shared" si="2"/>
        <v/>
      </c>
      <c r="D70" s="25"/>
      <c r="F70" s="25" t="str">
        <f>IFERROR(IF(ISBLANK(E70),"",INDEX(Gen_Vessels!$A$3:$C$500,MATCH(E70,Gen_Vessels!$C$3:$C$500,0),1)),"")</f>
        <v/>
      </c>
      <c r="G70" s="25"/>
      <c r="I70" s="25" t="str">
        <f>IFERROR(IF(ISBLANK(H70),"",INDEX(Gen_Vessels!$A$3:$C$500,MATCH(H70,Gen_Vessels!$C$3:$C$500,0),1)),"")</f>
        <v/>
      </c>
      <c r="J70" s="25"/>
    </row>
    <row r="71" spans="1:10" x14ac:dyDescent="0.25">
      <c r="A71" s="18" t="str">
        <f t="shared" si="2"/>
        <v/>
      </c>
      <c r="D71" s="25"/>
      <c r="F71" s="25" t="str">
        <f>IFERROR(IF(ISBLANK(E71),"",INDEX(Gen_Vessels!$A$3:$C$500,MATCH(E71,Gen_Vessels!$C$3:$C$500,0),1)),"")</f>
        <v/>
      </c>
      <c r="G71" s="25"/>
      <c r="I71" s="25" t="str">
        <f>IFERROR(IF(ISBLANK(H71),"",INDEX(Gen_Vessels!$A$3:$C$500,MATCH(H71,Gen_Vessels!$C$3:$C$500,0),1)),"")</f>
        <v/>
      </c>
      <c r="J71" s="25"/>
    </row>
    <row r="72" spans="1:10" x14ac:dyDescent="0.25">
      <c r="A72" s="18" t="str">
        <f t="shared" si="2"/>
        <v/>
      </c>
      <c r="D72" s="25"/>
      <c r="F72" s="25" t="str">
        <f>IFERROR(IF(ISBLANK(E72),"",INDEX(Gen_Vessels!$A$3:$C$500,MATCH(E72,Gen_Vessels!$C$3:$C$500,0),1)),"")</f>
        <v/>
      </c>
      <c r="G72" s="25"/>
      <c r="I72" s="25" t="str">
        <f>IFERROR(IF(ISBLANK(H72),"",INDEX(Gen_Vessels!$A$3:$C$500,MATCH(H72,Gen_Vessels!$C$3:$C$500,0),1)),"")</f>
        <v/>
      </c>
      <c r="J72" s="25"/>
    </row>
    <row r="73" spans="1:10" x14ac:dyDescent="0.25">
      <c r="A73" s="18" t="str">
        <f t="shared" si="2"/>
        <v/>
      </c>
      <c r="D73" s="25"/>
      <c r="F73" s="25" t="str">
        <f>IFERROR(IF(ISBLANK(E73),"",INDEX(Gen_Vessels!$A$3:$C$500,MATCH(E73,Gen_Vessels!$C$3:$C$500,0),1)),"")</f>
        <v/>
      </c>
      <c r="G73" s="25"/>
      <c r="I73" s="25" t="str">
        <f>IFERROR(IF(ISBLANK(H73),"",INDEX(Gen_Vessels!$A$3:$C$500,MATCH(H73,Gen_Vessels!$C$3:$C$500,0),1)),"")</f>
        <v/>
      </c>
      <c r="J73" s="25"/>
    </row>
    <row r="74" spans="1:10" x14ac:dyDescent="0.25">
      <c r="A74" s="18" t="str">
        <f t="shared" si="2"/>
        <v/>
      </c>
      <c r="D74" s="25"/>
      <c r="F74" s="25" t="str">
        <f>IFERROR(IF(ISBLANK(E74),"",INDEX(Gen_Vessels!$A$3:$C$500,MATCH(E74,Gen_Vessels!$C$3:$C$500,0),1)),"")</f>
        <v/>
      </c>
      <c r="G74" s="25"/>
      <c r="I74" s="25" t="str">
        <f>IFERROR(IF(ISBLANK(H74),"",INDEX(Gen_Vessels!$A$3:$C$500,MATCH(H74,Gen_Vessels!$C$3:$C$500,0),1)),"")</f>
        <v/>
      </c>
      <c r="J74" s="25"/>
    </row>
    <row r="75" spans="1:10" x14ac:dyDescent="0.25">
      <c r="A75" s="18" t="str">
        <f t="shared" si="2"/>
        <v/>
      </c>
      <c r="D75" s="25"/>
      <c r="F75" s="25" t="str">
        <f>IFERROR(IF(ISBLANK(E75),"",INDEX(Gen_Vessels!$A$3:$C$500,MATCH(E75,Gen_Vessels!$C$3:$C$500,0),1)),"")</f>
        <v/>
      </c>
      <c r="G75" s="25"/>
      <c r="I75" s="25" t="str">
        <f>IFERROR(IF(ISBLANK(H75),"",INDEX(Gen_Vessels!$A$3:$C$500,MATCH(H75,Gen_Vessels!$C$3:$C$500,0),1)),"")</f>
        <v/>
      </c>
      <c r="J75" s="25"/>
    </row>
    <row r="76" spans="1:10" x14ac:dyDescent="0.25">
      <c r="A76" s="18" t="str">
        <f t="shared" si="2"/>
        <v/>
      </c>
      <c r="D76" s="25"/>
      <c r="F76" s="25" t="str">
        <f>IFERROR(IF(ISBLANK(E76),"",INDEX(Gen_Vessels!$A$3:$C$500,MATCH(E76,Gen_Vessels!$C$3:$C$500,0),1)),"")</f>
        <v/>
      </c>
      <c r="G76" s="25"/>
      <c r="I76" s="25" t="str">
        <f>IFERROR(IF(ISBLANK(H76),"",INDEX(Gen_Vessels!$A$3:$C$500,MATCH(H76,Gen_Vessels!$C$3:$C$500,0),1)),"")</f>
        <v/>
      </c>
      <c r="J76" s="25"/>
    </row>
    <row r="77" spans="1:10" x14ac:dyDescent="0.25">
      <c r="A77" s="18" t="str">
        <f t="shared" si="2"/>
        <v/>
      </c>
      <c r="D77" s="25"/>
      <c r="F77" s="25" t="str">
        <f>IFERROR(IF(ISBLANK(E77),"",INDEX(Gen_Vessels!$A$3:$C$500,MATCH(E77,Gen_Vessels!$C$3:$C$500,0),1)),"")</f>
        <v/>
      </c>
      <c r="G77" s="25"/>
      <c r="I77" s="25" t="str">
        <f>IFERROR(IF(ISBLANK(H77),"",INDEX(Gen_Vessels!$A$3:$C$500,MATCH(H77,Gen_Vessels!$C$3:$C$500,0),1)),"")</f>
        <v/>
      </c>
      <c r="J77" s="25"/>
    </row>
    <row r="78" spans="1:10" x14ac:dyDescent="0.25">
      <c r="A78" s="18" t="str">
        <f t="shared" si="2"/>
        <v/>
      </c>
      <c r="D78" s="25"/>
      <c r="F78" s="25" t="str">
        <f>IFERROR(IF(ISBLANK(E78),"",INDEX(Gen_Vessels!$A$3:$C$500,MATCH(E78,Gen_Vessels!$C$3:$C$500,0),1)),"")</f>
        <v/>
      </c>
      <c r="G78" s="25"/>
      <c r="I78" s="25" t="str">
        <f>IFERROR(IF(ISBLANK(H78),"",INDEX(Gen_Vessels!$A$3:$C$500,MATCH(H78,Gen_Vessels!$C$3:$C$500,0),1)),"")</f>
        <v/>
      </c>
      <c r="J78" s="25"/>
    </row>
    <row r="79" spans="1:10" x14ac:dyDescent="0.25">
      <c r="A79" s="18" t="str">
        <f t="shared" si="2"/>
        <v/>
      </c>
      <c r="D79" s="25"/>
      <c r="F79" s="25" t="str">
        <f>IFERROR(IF(ISBLANK(E79),"",INDEX(Gen_Vessels!$A$3:$C$500,MATCH(E79,Gen_Vessels!$C$3:$C$500,0),1)),"")</f>
        <v/>
      </c>
      <c r="G79" s="25"/>
      <c r="I79" s="25" t="str">
        <f>IFERROR(IF(ISBLANK(H79),"",INDEX(Gen_Vessels!$A$3:$C$500,MATCH(H79,Gen_Vessels!$C$3:$C$500,0),1)),"")</f>
        <v/>
      </c>
      <c r="J79" s="25"/>
    </row>
    <row r="80" spans="1:10" x14ac:dyDescent="0.25">
      <c r="A80" s="18" t="str">
        <f t="shared" si="2"/>
        <v/>
      </c>
      <c r="D80" s="25"/>
      <c r="F80" s="25" t="str">
        <f>IFERROR(IF(ISBLANK(E80),"",INDEX(Gen_Vessels!$A$3:$C$500,MATCH(E80,Gen_Vessels!$C$3:$C$500,0),1)),"")</f>
        <v/>
      </c>
      <c r="G80" s="25"/>
      <c r="I80" s="25" t="str">
        <f>IFERROR(IF(ISBLANK(H80),"",INDEX(Gen_Vessels!$A$3:$C$500,MATCH(H80,Gen_Vessels!$C$3:$C$500,0),1)),"")</f>
        <v/>
      </c>
      <c r="J80" s="25"/>
    </row>
    <row r="81" spans="1:10" x14ac:dyDescent="0.25">
      <c r="A81" s="18" t="str">
        <f t="shared" si="2"/>
        <v/>
      </c>
      <c r="D81" s="25"/>
      <c r="F81" s="25" t="str">
        <f>IFERROR(IF(ISBLANK(E81),"",INDEX(Gen_Vessels!$A$3:$C$500,MATCH(E81,Gen_Vessels!$C$3:$C$500,0),1)),"")</f>
        <v/>
      </c>
      <c r="G81" s="25"/>
      <c r="I81" s="25" t="str">
        <f>IFERROR(IF(ISBLANK(H81),"",INDEX(Gen_Vessels!$A$3:$C$500,MATCH(H81,Gen_Vessels!$C$3:$C$500,0),1)),"")</f>
        <v/>
      </c>
      <c r="J81" s="25"/>
    </row>
    <row r="82" spans="1:10" x14ac:dyDescent="0.25">
      <c r="A82" s="18" t="str">
        <f t="shared" si="2"/>
        <v/>
      </c>
      <c r="D82" s="25"/>
      <c r="F82" s="25" t="str">
        <f>IFERROR(IF(ISBLANK(E82),"",INDEX(Gen_Vessels!$A$3:$C$500,MATCH(E82,Gen_Vessels!$C$3:$C$500,0),1)),"")</f>
        <v/>
      </c>
      <c r="G82" s="25"/>
      <c r="I82" s="25" t="str">
        <f>IFERROR(IF(ISBLANK(H82),"",INDEX(Gen_Vessels!$A$3:$C$500,MATCH(H82,Gen_Vessels!$C$3:$C$500,0),1)),"")</f>
        <v/>
      </c>
      <c r="J82" s="25"/>
    </row>
    <row r="83" spans="1:10" x14ac:dyDescent="0.25">
      <c r="A83" s="18" t="str">
        <f t="shared" si="2"/>
        <v/>
      </c>
      <c r="D83" s="25"/>
      <c r="F83" s="25" t="str">
        <f>IFERROR(IF(ISBLANK(E83),"",INDEX(Gen_Vessels!$A$3:$C$500,MATCH(E83,Gen_Vessels!$C$3:$C$500,0),1)),"")</f>
        <v/>
      </c>
      <c r="G83" s="25"/>
      <c r="I83" s="25" t="str">
        <f>IFERROR(IF(ISBLANK(H83),"",INDEX(Gen_Vessels!$A$3:$C$500,MATCH(H83,Gen_Vessels!$C$3:$C$500,0),1)),"")</f>
        <v/>
      </c>
      <c r="J83" s="25"/>
    </row>
    <row r="84" spans="1:10" x14ac:dyDescent="0.25">
      <c r="A84" s="18" t="str">
        <f t="shared" si="2"/>
        <v/>
      </c>
      <c r="D84" s="25"/>
      <c r="F84" s="25" t="str">
        <f>IFERROR(IF(ISBLANK(E84),"",INDEX(Gen_Vessels!$A$3:$C$500,MATCH(E84,Gen_Vessels!$C$3:$C$500,0),1)),"")</f>
        <v/>
      </c>
      <c r="G84" s="25"/>
      <c r="I84" s="25" t="str">
        <f>IFERROR(IF(ISBLANK(H84),"",INDEX(Gen_Vessels!$A$3:$C$500,MATCH(H84,Gen_Vessels!$C$3:$C$500,0),1)),"")</f>
        <v/>
      </c>
      <c r="J84" s="25"/>
    </row>
    <row r="85" spans="1:10" x14ac:dyDescent="0.25">
      <c r="A85" s="18" t="str">
        <f t="shared" si="2"/>
        <v/>
      </c>
      <c r="D85" s="25"/>
      <c r="F85" s="25" t="str">
        <f>IFERROR(IF(ISBLANK(E85),"",INDEX(Gen_Vessels!$A$3:$C$500,MATCH(E85,Gen_Vessels!$C$3:$C$500,0),1)),"")</f>
        <v/>
      </c>
      <c r="G85" s="25"/>
      <c r="I85" s="25" t="str">
        <f>IFERROR(IF(ISBLANK(H85),"",INDEX(Gen_Vessels!$A$3:$C$500,MATCH(H85,Gen_Vessels!$C$3:$C$500,0),1)),"")</f>
        <v/>
      </c>
      <c r="J85" s="25"/>
    </row>
    <row r="86" spans="1:10" x14ac:dyDescent="0.25">
      <c r="A86" s="18" t="str">
        <f t="shared" si="2"/>
        <v/>
      </c>
      <c r="D86" s="25"/>
      <c r="F86" s="25" t="str">
        <f>IFERROR(IF(ISBLANK(E86),"",INDEX(Gen_Vessels!$A$3:$C$500,MATCH(E86,Gen_Vessels!$C$3:$C$500,0),1)),"")</f>
        <v/>
      </c>
      <c r="G86" s="25"/>
      <c r="I86" s="25" t="str">
        <f>IFERROR(IF(ISBLANK(H86),"",INDEX(Gen_Vessels!$A$3:$C$500,MATCH(H86,Gen_Vessels!$C$3:$C$500,0),1)),"")</f>
        <v/>
      </c>
      <c r="J86" s="25"/>
    </row>
    <row r="87" spans="1:10" x14ac:dyDescent="0.25">
      <c r="A87" s="18" t="str">
        <f t="shared" si="2"/>
        <v/>
      </c>
      <c r="D87" s="25"/>
      <c r="F87" s="25" t="str">
        <f>IFERROR(IF(ISBLANK(E87),"",INDEX(Gen_Vessels!$A$3:$C$500,MATCH(E87,Gen_Vessels!$C$3:$C$500,0),1)),"")</f>
        <v/>
      </c>
      <c r="G87" s="25"/>
      <c r="I87" s="25" t="str">
        <f>IFERROR(IF(ISBLANK(H87),"",INDEX(Gen_Vessels!$A$3:$C$500,MATCH(H87,Gen_Vessels!$C$3:$C$500,0),1)),"")</f>
        <v/>
      </c>
      <c r="J87" s="25"/>
    </row>
    <row r="88" spans="1:10" x14ac:dyDescent="0.25">
      <c r="A88" s="18" t="str">
        <f t="shared" si="2"/>
        <v/>
      </c>
      <c r="D88" s="25"/>
      <c r="F88" s="25" t="str">
        <f>IFERROR(IF(ISBLANK(E88),"",INDEX(Gen_Vessels!$A$3:$C$500,MATCH(E88,Gen_Vessels!$C$3:$C$500,0),1)),"")</f>
        <v/>
      </c>
      <c r="G88" s="25"/>
      <c r="I88" s="25" t="str">
        <f>IFERROR(IF(ISBLANK(H88),"",INDEX(Gen_Vessels!$A$3:$C$500,MATCH(H88,Gen_Vessels!$C$3:$C$500,0),1)),"")</f>
        <v/>
      </c>
      <c r="J88" s="25"/>
    </row>
    <row r="89" spans="1:10" x14ac:dyDescent="0.25">
      <c r="A89" s="18" t="str">
        <f t="shared" si="2"/>
        <v/>
      </c>
      <c r="D89" s="25"/>
      <c r="F89" s="25" t="str">
        <f>IFERROR(IF(ISBLANK(E89),"",INDEX(Gen_Vessels!$A$3:$C$500,MATCH(E89,Gen_Vessels!$C$3:$C$500,0),1)),"")</f>
        <v/>
      </c>
      <c r="G89" s="25"/>
      <c r="I89" s="25" t="str">
        <f>IFERROR(IF(ISBLANK(H89),"",INDEX(Gen_Vessels!$A$3:$C$500,MATCH(H89,Gen_Vessels!$C$3:$C$500,0),1)),"")</f>
        <v/>
      </c>
      <c r="J89" s="25"/>
    </row>
    <row r="90" spans="1:10" x14ac:dyDescent="0.25">
      <c r="A90" s="18" t="str">
        <f t="shared" si="2"/>
        <v/>
      </c>
      <c r="D90" s="25"/>
      <c r="F90" s="25" t="str">
        <f>IFERROR(IF(ISBLANK(E90),"",INDEX(Gen_Vessels!$A$3:$C$500,MATCH(E90,Gen_Vessels!$C$3:$C$500,0),1)),"")</f>
        <v/>
      </c>
      <c r="G90" s="25"/>
      <c r="I90" s="25" t="str">
        <f>IFERROR(IF(ISBLANK(H90),"",INDEX(Gen_Vessels!$A$3:$C$500,MATCH(H90,Gen_Vessels!$C$3:$C$500,0),1)),"")</f>
        <v/>
      </c>
      <c r="J90" s="25"/>
    </row>
    <row r="91" spans="1:10" x14ac:dyDescent="0.25">
      <c r="A91" s="18" t="str">
        <f t="shared" si="2"/>
        <v/>
      </c>
      <c r="D91" s="25"/>
      <c r="F91" s="25" t="str">
        <f>IFERROR(IF(ISBLANK(E91),"",INDEX(Gen_Vessels!$A$3:$C$500,MATCH(E91,Gen_Vessels!$C$3:$C$500,0),1)),"")</f>
        <v/>
      </c>
      <c r="G91" s="25"/>
      <c r="I91" s="25" t="str">
        <f>IFERROR(IF(ISBLANK(H91),"",INDEX(Gen_Vessels!$A$3:$C$500,MATCH(H91,Gen_Vessels!$C$3:$C$500,0),1)),"")</f>
        <v/>
      </c>
      <c r="J91" s="25"/>
    </row>
    <row r="92" spans="1:10" x14ac:dyDescent="0.25">
      <c r="A92" s="18" t="str">
        <f t="shared" si="2"/>
        <v/>
      </c>
      <c r="D92" s="25"/>
      <c r="F92" s="25" t="str">
        <f>IFERROR(IF(ISBLANK(E92),"",INDEX(Gen_Vessels!$A$3:$C$500,MATCH(E92,Gen_Vessels!$C$3:$C$500,0),1)),"")</f>
        <v/>
      </c>
      <c r="G92" s="25"/>
      <c r="I92" s="25" t="str">
        <f>IFERROR(IF(ISBLANK(H92),"",INDEX(Gen_Vessels!$A$3:$C$500,MATCH(H92,Gen_Vessels!$C$3:$C$500,0),1)),"")</f>
        <v/>
      </c>
      <c r="J92" s="25"/>
    </row>
    <row r="93" spans="1:10" x14ac:dyDescent="0.25">
      <c r="A93" s="18" t="str">
        <f t="shared" si="2"/>
        <v/>
      </c>
      <c r="D93" s="25"/>
      <c r="F93" s="25" t="str">
        <f>IFERROR(IF(ISBLANK(E93),"",INDEX(Gen_Vessels!$A$3:$C$500,MATCH(E93,Gen_Vessels!$C$3:$C$500,0),1)),"")</f>
        <v/>
      </c>
      <c r="G93" s="25"/>
      <c r="I93" s="25" t="str">
        <f>IFERROR(IF(ISBLANK(H93),"",INDEX(Gen_Vessels!$A$3:$C$500,MATCH(H93,Gen_Vessels!$C$3:$C$500,0),1)),"")</f>
        <v/>
      </c>
      <c r="J93" s="25"/>
    </row>
    <row r="94" spans="1:10" x14ac:dyDescent="0.25">
      <c r="A94" s="18" t="str">
        <f t="shared" si="2"/>
        <v/>
      </c>
      <c r="D94" s="25"/>
      <c r="F94" s="25" t="str">
        <f>IFERROR(IF(ISBLANK(E94),"",INDEX(Gen_Vessels!$A$3:$C$500,MATCH(E94,Gen_Vessels!$C$3:$C$500,0),1)),"")</f>
        <v/>
      </c>
      <c r="G94" s="25"/>
      <c r="I94" s="25" t="str">
        <f>IFERROR(IF(ISBLANK(H94),"",INDEX(Gen_Vessels!$A$3:$C$500,MATCH(H94,Gen_Vessels!$C$3:$C$500,0),1)),"")</f>
        <v/>
      </c>
      <c r="J94" s="25"/>
    </row>
    <row r="95" spans="1:10" x14ac:dyDescent="0.25">
      <c r="A95" s="18" t="str">
        <f t="shared" si="2"/>
        <v/>
      </c>
      <c r="D95" s="25"/>
      <c r="F95" s="25" t="str">
        <f>IFERROR(IF(ISBLANK(E95),"",INDEX(Gen_Vessels!$A$3:$C$500,MATCH(E95,Gen_Vessels!$C$3:$C$500,0),1)),"")</f>
        <v/>
      </c>
      <c r="G95" s="25"/>
      <c r="I95" s="25" t="str">
        <f>IFERROR(IF(ISBLANK(H95),"",INDEX(Gen_Vessels!$A$3:$C$500,MATCH(H95,Gen_Vessels!$C$3:$C$500,0),1)),"")</f>
        <v/>
      </c>
      <c r="J95" s="25"/>
    </row>
    <row r="96" spans="1:10" x14ac:dyDescent="0.25">
      <c r="D96" s="25"/>
      <c r="F96" s="25" t="str">
        <f>IFERROR(IF(ISBLANK(E96),"",INDEX(Gen_Vessels!$A$3:$C$500,MATCH(E96,Gen_Vessels!$C$3:$C$500,0),1)),"")</f>
        <v/>
      </c>
      <c r="G96" s="25"/>
      <c r="I96" s="25" t="str">
        <f>IFERROR(IF(ISBLANK(H96),"",INDEX(Gen_Vessels!$A$3:$C$500,MATCH(H96,Gen_Vessels!$C$3:$C$500,0),1)),"")</f>
        <v/>
      </c>
      <c r="J96" s="25"/>
    </row>
    <row r="97" spans="4:10" x14ac:dyDescent="0.25">
      <c r="D97" s="25"/>
      <c r="F97" s="25" t="str">
        <f>IFERROR(IF(ISBLANK(E97),"",INDEX(Gen_Vessels!$A$3:$C$500,MATCH(E97,Gen_Vessels!$C$3:$C$500,0),1)),"")</f>
        <v/>
      </c>
      <c r="G97" s="25"/>
      <c r="I97" s="25" t="str">
        <f>IFERROR(IF(ISBLANK(H97),"",INDEX(Gen_Vessels!$A$3:$C$500,MATCH(H97,Gen_Vessels!$C$3:$C$500,0),1)),"")</f>
        <v/>
      </c>
      <c r="J97" s="25"/>
    </row>
    <row r="98" spans="4:10" x14ac:dyDescent="0.25">
      <c r="D98" s="25"/>
      <c r="F98" s="25" t="str">
        <f>IFERROR(IF(ISBLANK(E98),"",INDEX(Gen_Vessels!$A$3:$C$500,MATCH(E98,Gen_Vessels!$C$3:$C$500,0),1)),"")</f>
        <v/>
      </c>
      <c r="G98" s="25"/>
      <c r="I98" s="25" t="str">
        <f>IFERROR(IF(ISBLANK(H98),"",INDEX(Gen_Vessels!$A$3:$C$500,MATCH(H98,Gen_Vessels!$C$3:$C$500,0),1)),"")</f>
        <v/>
      </c>
      <c r="J98" s="25"/>
    </row>
    <row r="99" spans="4:10" x14ac:dyDescent="0.25">
      <c r="D99" s="25"/>
      <c r="F99" s="25" t="str">
        <f>IFERROR(IF(ISBLANK(E99),"",INDEX(Gen_Vessels!$A$3:$C$500,MATCH(E99,Gen_Vessels!$C$3:$C$500,0),1)),"")</f>
        <v/>
      </c>
      <c r="G99" s="25"/>
      <c r="I99" s="25" t="str">
        <f>IFERROR(IF(ISBLANK(H99),"",INDEX(Gen_Vessels!$A$3:$C$500,MATCH(H99,Gen_Vessels!$C$3:$C$500,0),1)),"")</f>
        <v/>
      </c>
      <c r="J99" s="25"/>
    </row>
    <row r="100" spans="4:10" x14ac:dyDescent="0.25">
      <c r="D100" s="25"/>
      <c r="F100" s="25" t="str">
        <f>IFERROR(IF(ISBLANK(E100),"",INDEX(Gen_Vessels!$A$3:$C$500,MATCH(E100,Gen_Vessels!$C$3:$C$500,0),1)),"")</f>
        <v/>
      </c>
      <c r="G100" s="25"/>
      <c r="I100" s="25" t="str">
        <f>IFERROR(IF(ISBLANK(H100),"",INDEX(Gen_Vessels!$A$3:$C$500,MATCH(H100,Gen_Vessels!$C$3:$C$500,0),1)),"")</f>
        <v/>
      </c>
      <c r="J100" s="25"/>
    </row>
    <row r="101" spans="4:10" x14ac:dyDescent="0.25">
      <c r="D101" s="25"/>
      <c r="F101" s="25" t="str">
        <f>IFERROR(IF(ISBLANK(E101),"",INDEX(Gen_Vessels!$A$3:$C$500,MATCH(E101,Gen_Vessels!$C$3:$C$500,0),1)),"")</f>
        <v/>
      </c>
      <c r="G101" s="25"/>
      <c r="I101" s="25" t="str">
        <f>IFERROR(IF(ISBLANK(H101),"",INDEX(Gen_Vessels!$A$3:$C$500,MATCH(H101,Gen_Vessels!$C$3:$C$500,0),1)),"")</f>
        <v/>
      </c>
      <c r="J101" s="25"/>
    </row>
    <row r="102" spans="4:10" x14ac:dyDescent="0.25">
      <c r="D102" s="25"/>
      <c r="F102" s="25" t="str">
        <f>IFERROR(IF(ISBLANK(E102),"",INDEX(Gen_Vessels!$A$3:$C$500,MATCH(E102,Gen_Vessels!$C$3:$C$500,0),1)),"")</f>
        <v/>
      </c>
      <c r="G102" s="25"/>
      <c r="I102" s="25" t="str">
        <f>IFERROR(IF(ISBLANK(H102),"",INDEX(Gen_Vessels!$A$3:$C$500,MATCH(H102,Gen_Vessels!$C$3:$C$500,0),1)),"")</f>
        <v/>
      </c>
      <c r="J102" s="25"/>
    </row>
    <row r="103" spans="4:10" x14ac:dyDescent="0.25">
      <c r="D103" s="25"/>
      <c r="F103" s="25" t="str">
        <f>IFERROR(IF(ISBLANK(E103),"",INDEX(Gen_Vessels!$A$3:$C$500,MATCH(E103,Gen_Vessels!$C$3:$C$500,0),1)),"")</f>
        <v/>
      </c>
      <c r="G103" s="25"/>
      <c r="I103" s="25" t="str">
        <f>IFERROR(IF(ISBLANK(H103),"",INDEX(Gen_Vessels!$A$3:$C$500,MATCH(H103,Gen_Vessels!$C$3:$C$500,0),1)),"")</f>
        <v/>
      </c>
      <c r="J103" s="25"/>
    </row>
    <row r="104" spans="4:10" x14ac:dyDescent="0.25">
      <c r="D104" s="25"/>
      <c r="F104" s="25" t="str">
        <f>IFERROR(IF(ISBLANK(E104),"",INDEX(Gen_Vessels!$A$3:$C$500,MATCH(E104,Gen_Vessels!$C$3:$C$500,0),1)),"")</f>
        <v/>
      </c>
      <c r="G104" s="25"/>
      <c r="I104" s="25" t="str">
        <f>IFERROR(IF(ISBLANK(H104),"",INDEX(Gen_Vessels!$A$3:$C$500,MATCH(H104,Gen_Vessels!$C$3:$C$500,0),1)),"")</f>
        <v/>
      </c>
      <c r="J104" s="25"/>
    </row>
    <row r="105" spans="4:10" x14ac:dyDescent="0.25">
      <c r="D105" s="25"/>
      <c r="F105" s="25" t="str">
        <f>IFERROR(IF(ISBLANK(E105),"",INDEX(Gen_Vessels!$A$3:$C$500,MATCH(E105,Gen_Vessels!$C$3:$C$500,0),1)),"")</f>
        <v/>
      </c>
      <c r="G105" s="25"/>
      <c r="I105" s="25" t="str">
        <f>IFERROR(IF(ISBLANK(H105),"",INDEX(Gen_Vessels!$A$3:$C$500,MATCH(H105,Gen_Vessels!$C$3:$C$500,0),1)),"")</f>
        <v/>
      </c>
      <c r="J105" s="25"/>
    </row>
    <row r="106" spans="4:10" x14ac:dyDescent="0.25">
      <c r="D106" s="25"/>
      <c r="F106" s="25" t="str">
        <f>IFERROR(IF(ISBLANK(E106),"",INDEX(Gen_Vessels!$A$3:$C$500,MATCH(E106,Gen_Vessels!$C$3:$C$500,0),1)),"")</f>
        <v/>
      </c>
      <c r="G106" s="25"/>
      <c r="I106" s="25" t="str">
        <f>IFERROR(IF(ISBLANK(H106),"",INDEX(Gen_Vessels!$A$3:$C$500,MATCH(H106,Gen_Vessels!$C$3:$C$500,0),1)),"")</f>
        <v/>
      </c>
      <c r="J106" s="25"/>
    </row>
    <row r="107" spans="4:10" x14ac:dyDescent="0.25">
      <c r="D107" s="25"/>
      <c r="F107" s="25" t="str">
        <f>IFERROR(IF(ISBLANK(E107),"",INDEX(Gen_Vessels!$A$3:$C$500,MATCH(E107,Gen_Vessels!$C$3:$C$500,0),1)),"")</f>
        <v/>
      </c>
      <c r="G107" s="25"/>
      <c r="I107" s="25" t="str">
        <f>IFERROR(IF(ISBLANK(H107),"",INDEX(Gen_Vessels!$A$3:$C$500,MATCH(H107,Gen_Vessels!$C$3:$C$500,0),1)),"")</f>
        <v/>
      </c>
      <c r="J107" s="25"/>
    </row>
    <row r="108" spans="4:10" x14ac:dyDescent="0.25">
      <c r="D108" s="25"/>
      <c r="F108" s="25" t="str">
        <f>IFERROR(IF(ISBLANK(E108),"",INDEX(Gen_Vessels!$A$3:$C$500,MATCH(E108,Gen_Vessels!$C$3:$C$500,0),1)),"")</f>
        <v/>
      </c>
      <c r="G108" s="25"/>
      <c r="I108" s="25" t="str">
        <f>IFERROR(IF(ISBLANK(H108),"",INDEX(Gen_Vessels!$A$3:$C$500,MATCH(H108,Gen_Vessels!$C$3:$C$500,0),1)),"")</f>
        <v/>
      </c>
      <c r="J108" s="25"/>
    </row>
    <row r="109" spans="4:10" x14ac:dyDescent="0.25">
      <c r="D109" s="25"/>
      <c r="F109" s="25" t="str">
        <f>IFERROR(IF(ISBLANK(E109),"",INDEX(Gen_Vessels!$A$3:$C$500,MATCH(E109,Gen_Vessels!$C$3:$C$500,0),1)),"")</f>
        <v/>
      </c>
      <c r="G109" s="25"/>
      <c r="I109" s="25" t="str">
        <f>IFERROR(IF(ISBLANK(H109),"",INDEX(Gen_Vessels!$A$3:$C$500,MATCH(H109,Gen_Vessels!$C$3:$C$500,0),1)),"")</f>
        <v/>
      </c>
      <c r="J109" s="25"/>
    </row>
    <row r="110" spans="4:10" x14ac:dyDescent="0.25">
      <c r="D110" s="25"/>
      <c r="F110" s="25" t="str">
        <f>IFERROR(IF(ISBLANK(E110),"",INDEX(Gen_Vessels!$A$3:$C$500,MATCH(E110,Gen_Vessels!$C$3:$C$500,0),1)),"")</f>
        <v/>
      </c>
      <c r="G110" s="25"/>
      <c r="I110" s="25" t="str">
        <f>IFERROR(IF(ISBLANK(H110),"",INDEX(Gen_Vessels!$A$3:$C$500,MATCH(H110,Gen_Vessels!$C$3:$C$500,0),1)),"")</f>
        <v/>
      </c>
      <c r="J110" s="25"/>
    </row>
    <row r="111" spans="4:10" x14ac:dyDescent="0.25">
      <c r="D111" s="25"/>
      <c r="F111" s="25" t="str">
        <f>IFERROR(IF(ISBLANK(E111),"",INDEX(Gen_Vessels!$A$3:$C$500,MATCH(E111,Gen_Vessels!$C$3:$C$500,0),1)),"")</f>
        <v/>
      </c>
      <c r="G111" s="25"/>
      <c r="I111" s="25" t="str">
        <f>IFERROR(IF(ISBLANK(H111),"",INDEX(Gen_Vessels!$A$3:$C$500,MATCH(H111,Gen_Vessels!$C$3:$C$500,0),1)),"")</f>
        <v/>
      </c>
      <c r="J111" s="25"/>
    </row>
    <row r="112" spans="4:10" x14ac:dyDescent="0.25">
      <c r="D112" s="25"/>
      <c r="F112" s="25" t="str">
        <f>IFERROR(IF(ISBLANK(E112),"",INDEX(Gen_Vessels!$A$3:$C$500,MATCH(E112,Gen_Vessels!$C$3:$C$500,0),1)),"")</f>
        <v/>
      </c>
      <c r="G112" s="25"/>
      <c r="I112" s="25" t="str">
        <f>IFERROR(IF(ISBLANK(H112),"",INDEX(Gen_Vessels!$A$3:$C$500,MATCH(H112,Gen_Vessels!$C$3:$C$500,0),1)),"")</f>
        <v/>
      </c>
      <c r="J112" s="25"/>
    </row>
    <row r="113" spans="4:10" x14ac:dyDescent="0.25">
      <c r="D113" s="25"/>
      <c r="F113" s="25" t="str">
        <f>IFERROR(IF(ISBLANK(E113),"",INDEX(Gen_Vessels!$A$3:$C$500,MATCH(E113,Gen_Vessels!$C$3:$C$500,0),1)),"")</f>
        <v/>
      </c>
      <c r="G113" s="25"/>
      <c r="I113" s="25" t="str">
        <f>IFERROR(IF(ISBLANK(H113),"",INDEX(Gen_Vessels!$A$3:$C$500,MATCH(H113,Gen_Vessels!$C$3:$C$500,0),1)),"")</f>
        <v/>
      </c>
      <c r="J113" s="25"/>
    </row>
    <row r="114" spans="4:10" x14ac:dyDescent="0.25">
      <c r="D114" s="25"/>
      <c r="F114" s="25" t="str">
        <f>IFERROR(IF(ISBLANK(E114),"",INDEX(Gen_Vessels!$A$3:$C$500,MATCH(E114,Gen_Vessels!$C$3:$C$500,0),1)),"")</f>
        <v/>
      </c>
      <c r="G114" s="25"/>
      <c r="I114" s="25" t="str">
        <f>IFERROR(IF(ISBLANK(H114),"",INDEX(Gen_Vessels!$A$3:$C$500,MATCH(H114,Gen_Vessels!$C$3:$C$500,0),1)),"")</f>
        <v/>
      </c>
      <c r="J114" s="25"/>
    </row>
    <row r="115" spans="4:10" x14ac:dyDescent="0.25">
      <c r="D115" s="25"/>
      <c r="F115" s="25" t="str">
        <f>IFERROR(IF(ISBLANK(E115),"",INDEX(Gen_Vessels!$A$3:$C$500,MATCH(E115,Gen_Vessels!$C$3:$C$500,0),1)),"")</f>
        <v/>
      </c>
      <c r="G115" s="25"/>
      <c r="I115" s="25" t="str">
        <f>IFERROR(IF(ISBLANK(H115),"",INDEX(Gen_Vessels!$A$3:$C$500,MATCH(H115,Gen_Vessels!$C$3:$C$500,0),1)),"")</f>
        <v/>
      </c>
      <c r="J115" s="25"/>
    </row>
    <row r="116" spans="4:10" x14ac:dyDescent="0.25">
      <c r="D116" s="25"/>
      <c r="F116" s="25" t="str">
        <f>IFERROR(IF(ISBLANK(E116),"",INDEX(Gen_Vessels!$A$3:$C$500,MATCH(E116,Gen_Vessels!$C$3:$C$500,0),1)),"")</f>
        <v/>
      </c>
      <c r="G116" s="25"/>
      <c r="I116" s="25" t="str">
        <f>IFERROR(IF(ISBLANK(H116),"",INDEX(Gen_Vessels!$A$3:$C$500,MATCH(H116,Gen_Vessels!$C$3:$C$500,0),1)),"")</f>
        <v/>
      </c>
      <c r="J116" s="25"/>
    </row>
    <row r="117" spans="4:10" x14ac:dyDescent="0.25">
      <c r="D117" s="25"/>
      <c r="F117" s="25" t="str">
        <f>IFERROR(IF(ISBLANK(E117),"",INDEX(Gen_Vessels!$A$3:$C$500,MATCH(E117,Gen_Vessels!$C$3:$C$500,0),1)),"")</f>
        <v/>
      </c>
      <c r="G117" s="25"/>
      <c r="I117" s="25" t="str">
        <f>IFERROR(IF(ISBLANK(H117),"",INDEX(Gen_Vessels!$A$3:$C$500,MATCH(H117,Gen_Vessels!$C$3:$C$500,0),1)),"")</f>
        <v/>
      </c>
      <c r="J117" s="25"/>
    </row>
    <row r="118" spans="4:10" x14ac:dyDescent="0.25">
      <c r="D118" s="25"/>
      <c r="F118" s="25" t="str">
        <f>IFERROR(IF(ISBLANK(E118),"",INDEX(Gen_Vessels!$A$3:$C$500,MATCH(E118,Gen_Vessels!$C$3:$C$500,0),1)),"")</f>
        <v/>
      </c>
      <c r="G118" s="25"/>
      <c r="I118" s="25" t="str">
        <f>IFERROR(IF(ISBLANK(H118),"",INDEX(Gen_Vessels!$A$3:$C$500,MATCH(H118,Gen_Vessels!$C$3:$C$500,0),1)),"")</f>
        <v/>
      </c>
      <c r="J118" s="25"/>
    </row>
    <row r="119" spans="4:10" x14ac:dyDescent="0.25">
      <c r="D119" s="25"/>
      <c r="F119" s="25" t="str">
        <f>IFERROR(IF(ISBLANK(E119),"",INDEX(Gen_Vessels!$A$3:$C$500,MATCH(E119,Gen_Vessels!$C$3:$C$500,0),1)),"")</f>
        <v/>
      </c>
      <c r="G119" s="25"/>
      <c r="I119" s="25" t="str">
        <f>IFERROR(IF(ISBLANK(H119),"",INDEX(Gen_Vessels!$A$3:$C$500,MATCH(H119,Gen_Vessels!$C$3:$C$500,0),1)),"")</f>
        <v/>
      </c>
      <c r="J119" s="25"/>
    </row>
    <row r="120" spans="4:10" x14ac:dyDescent="0.25">
      <c r="D120" s="25"/>
      <c r="F120" s="25" t="str">
        <f>IFERROR(IF(ISBLANK(E120),"",INDEX(Gen_Vessels!$A$3:$C$500,MATCH(E120,Gen_Vessels!$C$3:$C$500,0),1)),"")</f>
        <v/>
      </c>
      <c r="G120" s="25"/>
      <c r="I120" s="25" t="str">
        <f>IFERROR(IF(ISBLANK(H120),"",INDEX(Gen_Vessels!$A$3:$C$500,MATCH(H120,Gen_Vessels!$C$3:$C$500,0),1)),"")</f>
        <v/>
      </c>
      <c r="J120" s="25"/>
    </row>
    <row r="121" spans="4:10" x14ac:dyDescent="0.25">
      <c r="D121" s="25"/>
      <c r="F121" s="25" t="str">
        <f>IFERROR(IF(ISBLANK(E121),"",INDEX(Gen_Vessels!$A$3:$C$500,MATCH(E121,Gen_Vessels!$C$3:$C$500,0),1)),"")</f>
        <v/>
      </c>
      <c r="G121" s="25"/>
      <c r="I121" s="25" t="str">
        <f>IFERROR(IF(ISBLANK(H121),"",INDEX(Gen_Vessels!$A$3:$C$500,MATCH(H121,Gen_Vessels!$C$3:$C$500,0),1)),"")</f>
        <v/>
      </c>
      <c r="J121" s="25"/>
    </row>
    <row r="122" spans="4:10" x14ac:dyDescent="0.25">
      <c r="D122" s="25"/>
      <c r="F122" s="25" t="str">
        <f>IFERROR(IF(ISBLANK(E122),"",INDEX(Gen_Vessels!$A$3:$C$500,MATCH(E122,Gen_Vessels!$C$3:$C$500,0),1)),"")</f>
        <v/>
      </c>
      <c r="G122" s="25"/>
      <c r="I122" s="25" t="str">
        <f>IFERROR(IF(ISBLANK(H122),"",INDEX(Gen_Vessels!$A$3:$C$500,MATCH(H122,Gen_Vessels!$C$3:$C$500,0),1)),"")</f>
        <v/>
      </c>
      <c r="J122" s="25"/>
    </row>
    <row r="123" spans="4:10" x14ac:dyDescent="0.25">
      <c r="D123" s="25"/>
      <c r="F123" s="25" t="str">
        <f>IFERROR(IF(ISBLANK(E123),"",INDEX(Gen_Vessels!$A$3:$C$500,MATCH(E123,Gen_Vessels!$C$3:$C$500,0),1)),"")</f>
        <v/>
      </c>
      <c r="G123" s="25"/>
      <c r="I123" s="25" t="str">
        <f>IFERROR(IF(ISBLANK(H123),"",INDEX(Gen_Vessels!$A$3:$C$500,MATCH(H123,Gen_Vessels!$C$3:$C$500,0),1)),"")</f>
        <v/>
      </c>
      <c r="J123" s="25"/>
    </row>
    <row r="124" spans="4:10" x14ac:dyDescent="0.25">
      <c r="D124" s="25"/>
      <c r="F124" s="25" t="str">
        <f>IFERROR(IF(ISBLANK(E124),"",INDEX(Gen_Vessels!$A$3:$C$500,MATCH(E124,Gen_Vessels!$C$3:$C$500,0),1)),"")</f>
        <v/>
      </c>
      <c r="G124" s="25"/>
      <c r="I124" s="25" t="str">
        <f>IFERROR(IF(ISBLANK(H124),"",INDEX(Gen_Vessels!$A$3:$C$500,MATCH(H124,Gen_Vessels!$C$3:$C$500,0),1)),"")</f>
        <v/>
      </c>
      <c r="J124" s="25"/>
    </row>
    <row r="125" spans="4:10" x14ac:dyDescent="0.25">
      <c r="D125" s="25"/>
      <c r="F125" s="25" t="str">
        <f>IFERROR(IF(ISBLANK(E125),"",INDEX(Gen_Vessels!$A$3:$C$500,MATCH(E125,Gen_Vessels!$C$3:$C$500,0),1)),"")</f>
        <v/>
      </c>
      <c r="G125" s="25"/>
      <c r="I125" s="25" t="str">
        <f>IFERROR(IF(ISBLANK(H125),"",INDEX(Gen_Vessels!$A$3:$C$500,MATCH(H125,Gen_Vessels!$C$3:$C$500,0),1)),"")</f>
        <v/>
      </c>
      <c r="J125" s="25"/>
    </row>
    <row r="126" spans="4:10" x14ac:dyDescent="0.25">
      <c r="D126" s="25"/>
      <c r="F126" s="25" t="str">
        <f>IFERROR(IF(ISBLANK(E126),"",INDEX(Gen_Vessels!$A$3:$C$500,MATCH(E126,Gen_Vessels!$C$3:$C$500,0),1)),"")</f>
        <v/>
      </c>
      <c r="G126" s="25"/>
      <c r="I126" s="25" t="str">
        <f>IFERROR(IF(ISBLANK(H126),"",INDEX(Gen_Vessels!$A$3:$C$500,MATCH(H126,Gen_Vessels!$C$3:$C$500,0),1)),"")</f>
        <v/>
      </c>
      <c r="J126" s="25"/>
    </row>
    <row r="127" spans="4:10" x14ac:dyDescent="0.25">
      <c r="D127" s="25"/>
      <c r="F127" s="25" t="str">
        <f>IFERROR(IF(ISBLANK(E127),"",INDEX(Gen_Vessels!$A$3:$C$500,MATCH(E127,Gen_Vessels!$C$3:$C$500,0),1)),"")</f>
        <v/>
      </c>
      <c r="G127" s="25"/>
      <c r="I127" s="25" t="str">
        <f>IFERROR(IF(ISBLANK(H127),"",INDEX(Gen_Vessels!$A$3:$C$500,MATCH(H127,Gen_Vessels!$C$3:$C$500,0),1)),"")</f>
        <v/>
      </c>
      <c r="J127" s="25"/>
    </row>
    <row r="128" spans="4:10" x14ac:dyDescent="0.25">
      <c r="D128" s="25"/>
      <c r="F128" s="25" t="str">
        <f>IFERROR(IF(ISBLANK(E128),"",INDEX(Gen_Vessels!$A$3:$C$500,MATCH(E128,Gen_Vessels!$C$3:$C$500,0),1)),"")</f>
        <v/>
      </c>
      <c r="G128" s="25"/>
      <c r="I128" s="25" t="str">
        <f>IFERROR(IF(ISBLANK(H128),"",INDEX(Gen_Vessels!$A$3:$C$500,MATCH(H128,Gen_Vessels!$C$3:$C$500,0),1)),"")</f>
        <v/>
      </c>
      <c r="J128" s="25"/>
    </row>
    <row r="129" spans="4:10" x14ac:dyDescent="0.25">
      <c r="D129" s="25"/>
      <c r="F129" s="25" t="str">
        <f>IFERROR(IF(ISBLANK(E129),"",INDEX(Gen_Vessels!$A$3:$C$500,MATCH(E129,Gen_Vessels!$C$3:$C$500,0),1)),"")</f>
        <v/>
      </c>
      <c r="G129" s="25"/>
      <c r="I129" s="25" t="str">
        <f>IFERROR(IF(ISBLANK(H129),"",INDEX(Gen_Vessels!$A$3:$C$500,MATCH(H129,Gen_Vessels!$C$3:$C$500,0),1)),"")</f>
        <v/>
      </c>
      <c r="J129" s="25"/>
    </row>
    <row r="130" spans="4:10" x14ac:dyDescent="0.25">
      <c r="D130" s="25"/>
      <c r="F130" s="25" t="str">
        <f>IFERROR(IF(ISBLANK(E130),"",INDEX(Gen_Vessels!$A$3:$C$500,MATCH(E130,Gen_Vessels!$C$3:$C$500,0),1)),"")</f>
        <v/>
      </c>
      <c r="G130" s="25"/>
      <c r="I130" s="25" t="str">
        <f>IFERROR(IF(ISBLANK(H130),"",INDEX(Gen_Vessels!$A$3:$C$500,MATCH(H130,Gen_Vessels!$C$3:$C$500,0),1)),"")</f>
        <v/>
      </c>
      <c r="J130" s="25"/>
    </row>
    <row r="131" spans="4:10" x14ac:dyDescent="0.25">
      <c r="D131" s="25"/>
      <c r="F131" s="25" t="str">
        <f>IFERROR(IF(ISBLANK(E131),"",INDEX(Gen_Vessels!$A$3:$C$500,MATCH(E131,Gen_Vessels!$C$3:$C$500,0),1)),"")</f>
        <v/>
      </c>
      <c r="G131" s="25"/>
      <c r="I131" s="25" t="str">
        <f>IFERROR(IF(ISBLANK(H131),"",INDEX(Gen_Vessels!$A$3:$C$500,MATCH(H131,Gen_Vessels!$C$3:$C$500,0),1)),"")</f>
        <v/>
      </c>
      <c r="J131" s="25"/>
    </row>
    <row r="132" spans="4:10" x14ac:dyDescent="0.25">
      <c r="D132" s="25"/>
      <c r="F132" s="25" t="str">
        <f>IFERROR(IF(ISBLANK(E132),"",INDEX(Gen_Vessels!$A$3:$C$500,MATCH(E132,Gen_Vessels!$C$3:$C$500,0),1)),"")</f>
        <v/>
      </c>
      <c r="G132" s="25"/>
      <c r="I132" s="25" t="str">
        <f>IFERROR(IF(ISBLANK(H132),"",INDEX(Gen_Vessels!$A$3:$C$500,MATCH(H132,Gen_Vessels!$C$3:$C$500,0),1)),"")</f>
        <v/>
      </c>
      <c r="J132" s="25"/>
    </row>
    <row r="133" spans="4:10" x14ac:dyDescent="0.25">
      <c r="D133" s="25"/>
      <c r="F133" s="25" t="str">
        <f>IFERROR(IF(ISBLANK(E133),"",INDEX(Gen_Vessels!$A$3:$C$500,MATCH(E133,Gen_Vessels!$C$3:$C$500,0),1)),"")</f>
        <v/>
      </c>
      <c r="G133" s="25"/>
      <c r="I133" s="25" t="str">
        <f>IFERROR(IF(ISBLANK(H133),"",INDEX(Gen_Vessels!$A$3:$C$500,MATCH(H133,Gen_Vessels!$C$3:$C$500,0),1)),"")</f>
        <v/>
      </c>
      <c r="J133" s="25"/>
    </row>
    <row r="134" spans="4:10" x14ac:dyDescent="0.25">
      <c r="D134" s="25"/>
      <c r="F134" s="25" t="str">
        <f>IFERROR(IF(ISBLANK(E134),"",INDEX(Gen_Vessels!$A$3:$C$500,MATCH(E134,Gen_Vessels!$C$3:$C$500,0),1)),"")</f>
        <v/>
      </c>
      <c r="G134" s="25"/>
      <c r="I134" s="25" t="str">
        <f>IFERROR(IF(ISBLANK(H134),"",INDEX(Gen_Vessels!$A$3:$C$500,MATCH(H134,Gen_Vessels!$C$3:$C$500,0),1)),"")</f>
        <v/>
      </c>
      <c r="J134" s="25"/>
    </row>
    <row r="135" spans="4:10" x14ac:dyDescent="0.25">
      <c r="D135" s="25"/>
      <c r="F135" s="25" t="str">
        <f>IFERROR(IF(ISBLANK(E135),"",INDEX(Gen_Vessels!$A$3:$C$500,MATCH(E135,Gen_Vessels!$C$3:$C$500,0),1)),"")</f>
        <v/>
      </c>
      <c r="G135" s="25"/>
      <c r="I135" s="25" t="str">
        <f>IFERROR(IF(ISBLANK(H135),"",INDEX(Gen_Vessels!$A$3:$C$500,MATCH(H135,Gen_Vessels!$C$3:$C$500,0),1)),"")</f>
        <v/>
      </c>
      <c r="J135" s="25"/>
    </row>
    <row r="136" spans="4:10" x14ac:dyDescent="0.25">
      <c r="D136" s="25"/>
      <c r="F136" s="25" t="str">
        <f>IFERROR(IF(ISBLANK(E136),"",INDEX(Gen_Vessels!$A$3:$C$500,MATCH(E136,Gen_Vessels!$C$3:$C$500,0),1)),"")</f>
        <v/>
      </c>
      <c r="G136" s="25"/>
      <c r="I136" s="25" t="str">
        <f>IFERROR(IF(ISBLANK(H136),"",INDEX(Gen_Vessels!$A$3:$C$500,MATCH(H136,Gen_Vessels!$C$3:$C$500,0),1)),"")</f>
        <v/>
      </c>
      <c r="J136" s="25"/>
    </row>
    <row r="137" spans="4:10" x14ac:dyDescent="0.25">
      <c r="D137" s="25"/>
      <c r="F137" s="25" t="str">
        <f>IFERROR(IF(ISBLANK(E137),"",INDEX(Gen_Vessels!$A$3:$C$500,MATCH(E137,Gen_Vessels!$C$3:$C$500,0),1)),"")</f>
        <v/>
      </c>
      <c r="G137" s="25"/>
      <c r="I137" s="25" t="str">
        <f>IFERROR(IF(ISBLANK(H137),"",INDEX(Gen_Vessels!$A$3:$C$500,MATCH(H137,Gen_Vessels!$C$3:$C$500,0),1)),"")</f>
        <v/>
      </c>
      <c r="J137" s="25"/>
    </row>
    <row r="138" spans="4:10" x14ac:dyDescent="0.25">
      <c r="D138" s="25"/>
      <c r="F138" s="25" t="str">
        <f>IFERROR(IF(ISBLANK(E138),"",INDEX(Gen_Vessels!$A$3:$C$500,MATCH(E138,Gen_Vessels!$C$3:$C$500,0),1)),"")</f>
        <v/>
      </c>
      <c r="G138" s="25"/>
      <c r="I138" s="25" t="str">
        <f>IFERROR(IF(ISBLANK(H138),"",INDEX(Gen_Vessels!$A$3:$C$500,MATCH(H138,Gen_Vessels!$C$3:$C$500,0),1)),"")</f>
        <v/>
      </c>
      <c r="J138" s="25"/>
    </row>
    <row r="139" spans="4:10" x14ac:dyDescent="0.25">
      <c r="D139" s="25"/>
      <c r="F139" s="25" t="str">
        <f>IFERROR(IF(ISBLANK(E139),"",INDEX(Gen_Vessels!$A$3:$C$500,MATCH(E139,Gen_Vessels!$C$3:$C$500,0),1)),"")</f>
        <v/>
      </c>
      <c r="G139" s="25"/>
      <c r="I139" s="25" t="str">
        <f>IFERROR(IF(ISBLANK(H139),"",INDEX(Gen_Vessels!$A$3:$C$500,MATCH(H139,Gen_Vessels!$C$3:$C$500,0),1)),"")</f>
        <v/>
      </c>
      <c r="J139" s="25"/>
    </row>
    <row r="140" spans="4:10" x14ac:dyDescent="0.25">
      <c r="D140" s="25"/>
      <c r="F140" s="25" t="str">
        <f>IFERROR(IF(ISBLANK(E140),"",INDEX(Gen_Vessels!$A$3:$C$500,MATCH(E140,Gen_Vessels!$C$3:$C$500,0),1)),"")</f>
        <v/>
      </c>
      <c r="G140" s="25"/>
      <c r="I140" s="25" t="str">
        <f>IFERROR(IF(ISBLANK(H140),"",INDEX(Gen_Vessels!$A$3:$C$500,MATCH(H140,Gen_Vessels!$C$3:$C$500,0),1)),"")</f>
        <v/>
      </c>
      <c r="J140" s="25"/>
    </row>
    <row r="141" spans="4:10" x14ac:dyDescent="0.25">
      <c r="D141" s="25"/>
      <c r="F141" s="25" t="str">
        <f>IFERROR(IF(ISBLANK(E141),"",INDEX(Gen_Vessels!$A$3:$C$500,MATCH(E141,Gen_Vessels!$C$3:$C$500,0),1)),"")</f>
        <v/>
      </c>
      <c r="G141" s="25"/>
      <c r="I141" s="25" t="str">
        <f>IFERROR(IF(ISBLANK(H141),"",INDEX(Gen_Vessels!$A$3:$C$500,MATCH(H141,Gen_Vessels!$C$3:$C$500,0),1)),"")</f>
        <v/>
      </c>
      <c r="J141" s="25"/>
    </row>
    <row r="142" spans="4:10" x14ac:dyDescent="0.25">
      <c r="D142" s="25"/>
      <c r="F142" s="25" t="str">
        <f>IFERROR(IF(ISBLANK(E142),"",INDEX(Gen_Vessels!$A$3:$C$500,MATCH(E142,Gen_Vessels!$C$3:$C$500,0),1)),"")</f>
        <v/>
      </c>
      <c r="G142" s="25"/>
      <c r="I142" s="25" t="str">
        <f>IFERROR(IF(ISBLANK(H142),"",INDEX(Gen_Vessels!$A$3:$C$500,MATCH(H142,Gen_Vessels!$C$3:$C$500,0),1)),"")</f>
        <v/>
      </c>
      <c r="J142" s="25"/>
    </row>
    <row r="143" spans="4:10" x14ac:dyDescent="0.25">
      <c r="D143" s="25"/>
      <c r="F143" s="25" t="str">
        <f>IFERROR(IF(ISBLANK(E143),"",INDEX(Gen_Vessels!$A$3:$C$500,MATCH(E143,Gen_Vessels!$C$3:$C$500,0),1)),"")</f>
        <v/>
      </c>
      <c r="G143" s="25"/>
      <c r="I143" s="25" t="str">
        <f>IFERROR(IF(ISBLANK(H143),"",INDEX(Gen_Vessels!$A$3:$C$500,MATCH(H143,Gen_Vessels!$C$3:$C$500,0),1)),"")</f>
        <v/>
      </c>
      <c r="J143" s="25"/>
    </row>
    <row r="144" spans="4:10" x14ac:dyDescent="0.25">
      <c r="D144" s="25"/>
      <c r="F144" s="25" t="str">
        <f>IFERROR(IF(ISBLANK(E144),"",INDEX(Gen_Vessels!$A$3:$C$500,MATCH(E144,Gen_Vessels!$C$3:$C$500,0),1)),"")</f>
        <v/>
      </c>
      <c r="G144" s="25"/>
      <c r="I144" s="25" t="str">
        <f>IFERROR(IF(ISBLANK(H144),"",INDEX(Gen_Vessels!$A$3:$C$500,MATCH(H144,Gen_Vessels!$C$3:$C$500,0),1)),"")</f>
        <v/>
      </c>
      <c r="J144" s="25"/>
    </row>
    <row r="145" spans="4:10" x14ac:dyDescent="0.25">
      <c r="D145" s="25"/>
      <c r="F145" s="25" t="str">
        <f>IFERROR(IF(ISBLANK(E145),"",INDEX(Gen_Vessels!$A$3:$C$500,MATCH(E145,Gen_Vessels!$C$3:$C$500,0),1)),"")</f>
        <v/>
      </c>
      <c r="G145" s="25"/>
      <c r="I145" s="25" t="str">
        <f>IFERROR(IF(ISBLANK(H145),"",INDEX(Gen_Vessels!$A$3:$C$500,MATCH(H145,Gen_Vessels!$C$3:$C$500,0),1)),"")</f>
        <v/>
      </c>
      <c r="J145" s="25"/>
    </row>
    <row r="146" spans="4:10" x14ac:dyDescent="0.25">
      <c r="D146" s="25"/>
      <c r="F146" s="25" t="str">
        <f>IFERROR(IF(ISBLANK(E146),"",INDEX(Gen_Vessels!$A$3:$C$500,MATCH(E146,Gen_Vessels!$C$3:$C$500,0),1)),"")</f>
        <v/>
      </c>
      <c r="G146" s="25"/>
      <c r="I146" s="25" t="str">
        <f>IFERROR(IF(ISBLANK(H146),"",INDEX(Gen_Vessels!$A$3:$C$500,MATCH(H146,Gen_Vessels!$C$3:$C$500,0),1)),"")</f>
        <v/>
      </c>
      <c r="J146" s="25"/>
    </row>
    <row r="147" spans="4:10" x14ac:dyDescent="0.25">
      <c r="D147" s="25"/>
      <c r="F147" s="25" t="str">
        <f>IFERROR(IF(ISBLANK(E147),"",INDEX(Gen_Vessels!$A$3:$C$500,MATCH(E147,Gen_Vessels!$C$3:$C$500,0),1)),"")</f>
        <v/>
      </c>
      <c r="G147" s="25"/>
      <c r="I147" s="25" t="str">
        <f>IFERROR(IF(ISBLANK(H147),"",INDEX(Gen_Vessels!$A$3:$C$500,MATCH(H147,Gen_Vessels!$C$3:$C$500,0),1)),"")</f>
        <v/>
      </c>
      <c r="J147" s="25"/>
    </row>
    <row r="148" spans="4:10" x14ac:dyDescent="0.25">
      <c r="D148" s="25"/>
      <c r="F148" s="25" t="str">
        <f>IFERROR(IF(ISBLANK(E148),"",INDEX(Gen_Vessels!$A$3:$C$500,MATCH(E148,Gen_Vessels!$C$3:$C$500,0),1)),"")</f>
        <v/>
      </c>
      <c r="G148" s="25"/>
      <c r="I148" s="25" t="str">
        <f>IFERROR(IF(ISBLANK(H148),"",INDEX(Gen_Vessels!$A$3:$C$500,MATCH(H148,Gen_Vessels!$C$3:$C$500,0),1)),"")</f>
        <v/>
      </c>
      <c r="J148" s="25"/>
    </row>
    <row r="149" spans="4:10" x14ac:dyDescent="0.25">
      <c r="D149" s="25"/>
      <c r="F149" s="25" t="str">
        <f>IFERROR(IF(ISBLANK(E149),"",INDEX(Gen_Vessels!$A$3:$C$500,MATCH(E149,Gen_Vessels!$C$3:$C$500,0),1)),"")</f>
        <v/>
      </c>
      <c r="G149" s="25"/>
      <c r="I149" s="25" t="str">
        <f>IFERROR(IF(ISBLANK(H149),"",INDEX(Gen_Vessels!$A$3:$C$500,MATCH(H149,Gen_Vessels!$C$3:$C$500,0),1)),"")</f>
        <v/>
      </c>
      <c r="J149" s="25"/>
    </row>
    <row r="150" spans="4:10" x14ac:dyDescent="0.25">
      <c r="D150" s="25"/>
      <c r="F150" s="25" t="str">
        <f>IFERROR(IF(ISBLANK(E150),"",INDEX(Gen_Vessels!$A$3:$C$500,MATCH(E150,Gen_Vessels!$C$3:$C$500,0),1)),"")</f>
        <v/>
      </c>
      <c r="G150" s="25"/>
      <c r="I150" s="25" t="str">
        <f>IFERROR(IF(ISBLANK(H150),"",INDEX(Gen_Vessels!$A$3:$C$500,MATCH(H150,Gen_Vessels!$C$3:$C$500,0),1)),"")</f>
        <v/>
      </c>
      <c r="J150" s="25"/>
    </row>
    <row r="151" spans="4:10" x14ac:dyDescent="0.25">
      <c r="D151" s="25"/>
      <c r="F151" s="25" t="str">
        <f>IFERROR(IF(ISBLANK(E151),"",INDEX(Gen_Vessels!$A$3:$C$500,MATCH(E151,Gen_Vessels!$C$3:$C$500,0),1)),"")</f>
        <v/>
      </c>
      <c r="G151" s="25"/>
      <c r="I151" s="25" t="str">
        <f>IFERROR(IF(ISBLANK(H151),"",INDEX(Gen_Vessels!$A$3:$C$500,MATCH(H151,Gen_Vessels!$C$3:$C$500,0),1)),"")</f>
        <v/>
      </c>
      <c r="J151" s="25"/>
    </row>
    <row r="152" spans="4:10" x14ac:dyDescent="0.25">
      <c r="D152" s="25"/>
      <c r="F152" s="25" t="str">
        <f>IFERROR(IF(ISBLANK(E152),"",INDEX(Gen_Vessels!$A$3:$C$500,MATCH(E152,Gen_Vessels!$C$3:$C$500,0),1)),"")</f>
        <v/>
      </c>
      <c r="G152" s="25"/>
      <c r="I152" s="25" t="str">
        <f>IFERROR(IF(ISBLANK(H152),"",INDEX(Gen_Vessels!$A$3:$C$500,MATCH(H152,Gen_Vessels!$C$3:$C$500,0),1)),"")</f>
        <v/>
      </c>
      <c r="J152" s="25"/>
    </row>
    <row r="153" spans="4:10" x14ac:dyDescent="0.25">
      <c r="D153" s="25"/>
      <c r="F153" s="25" t="str">
        <f>IFERROR(IF(ISBLANK(E153),"",INDEX(Gen_Vessels!$A$3:$C$500,MATCH(E153,Gen_Vessels!$C$3:$C$500,0),1)),"")</f>
        <v/>
      </c>
      <c r="G153" s="25"/>
      <c r="I153" s="25" t="str">
        <f>IFERROR(IF(ISBLANK(H153),"",INDEX(Gen_Vessels!$A$3:$C$500,MATCH(H153,Gen_Vessels!$C$3:$C$500,0),1)),"")</f>
        <v/>
      </c>
      <c r="J153" s="25"/>
    </row>
    <row r="154" spans="4:10" x14ac:dyDescent="0.25">
      <c r="D154" s="25"/>
      <c r="F154" s="25" t="str">
        <f>IFERROR(IF(ISBLANK(E154),"",INDEX(Gen_Vessels!$A$3:$C$500,MATCH(E154,Gen_Vessels!$C$3:$C$500,0),1)),"")</f>
        <v/>
      </c>
      <c r="G154" s="25"/>
      <c r="I154" s="25" t="str">
        <f>IFERROR(IF(ISBLANK(H154),"",INDEX(Gen_Vessels!$A$3:$C$500,MATCH(H154,Gen_Vessels!$C$3:$C$500,0),1)),"")</f>
        <v/>
      </c>
      <c r="J154" s="25"/>
    </row>
    <row r="155" spans="4:10" x14ac:dyDescent="0.25">
      <c r="D155" s="25"/>
      <c r="F155" s="25" t="str">
        <f>IFERROR(IF(ISBLANK(E155),"",INDEX(Gen_Vessels!$A$3:$C$500,MATCH(E155,Gen_Vessels!$C$3:$C$500,0),1)),"")</f>
        <v/>
      </c>
      <c r="G155" s="25"/>
      <c r="I155" s="25" t="str">
        <f>IFERROR(IF(ISBLANK(H155),"",INDEX(Gen_Vessels!$A$3:$C$500,MATCH(H155,Gen_Vessels!$C$3:$C$500,0),1)),"")</f>
        <v/>
      </c>
      <c r="J155" s="25"/>
    </row>
    <row r="156" spans="4:10" x14ac:dyDescent="0.25">
      <c r="D156" s="25"/>
      <c r="F156" s="25" t="str">
        <f>IFERROR(IF(ISBLANK(E156),"",INDEX(Gen_Vessels!$A$3:$C$500,MATCH(E156,Gen_Vessels!$C$3:$C$500,0),1)),"")</f>
        <v/>
      </c>
      <c r="G156" s="25"/>
      <c r="I156" s="25" t="str">
        <f>IFERROR(IF(ISBLANK(H156),"",INDEX(Gen_Vessels!$A$3:$C$500,MATCH(H156,Gen_Vessels!$C$3:$C$500,0),1)),"")</f>
        <v/>
      </c>
      <c r="J156" s="25"/>
    </row>
    <row r="157" spans="4:10" x14ac:dyDescent="0.25">
      <c r="D157" s="25"/>
      <c r="F157" s="25" t="str">
        <f>IFERROR(IF(ISBLANK(E157),"",INDEX(Gen_Vessels!$A$3:$C$500,MATCH(E157,Gen_Vessels!$C$3:$C$500,0),1)),"")</f>
        <v/>
      </c>
      <c r="G157" s="25"/>
      <c r="I157" s="25" t="str">
        <f>IFERROR(IF(ISBLANK(H157),"",INDEX(Gen_Vessels!$A$3:$C$500,MATCH(H157,Gen_Vessels!$C$3:$C$500,0),1)),"")</f>
        <v/>
      </c>
      <c r="J157" s="25"/>
    </row>
    <row r="158" spans="4:10" x14ac:dyDescent="0.25">
      <c r="D158" s="25"/>
      <c r="F158" s="25" t="str">
        <f>IFERROR(IF(ISBLANK(E158),"",INDEX(Gen_Vessels!$A$3:$C$500,MATCH(E158,Gen_Vessels!$C$3:$C$500,0),1)),"")</f>
        <v/>
      </c>
      <c r="G158" s="25"/>
      <c r="I158" s="25" t="str">
        <f>IFERROR(IF(ISBLANK(H158),"",INDEX(Gen_Vessels!$A$3:$C$500,MATCH(H158,Gen_Vessels!$C$3:$C$500,0),1)),"")</f>
        <v/>
      </c>
      <c r="J158" s="25"/>
    </row>
    <row r="159" spans="4:10" x14ac:dyDescent="0.25">
      <c r="D159" s="25"/>
      <c r="F159" s="25" t="str">
        <f>IFERROR(IF(ISBLANK(E159),"",INDEX(Gen_Vessels!$A$3:$C$500,MATCH(E159,Gen_Vessels!$C$3:$C$500,0),1)),"")</f>
        <v/>
      </c>
      <c r="G159" s="25"/>
      <c r="I159" s="25" t="str">
        <f>IFERROR(IF(ISBLANK(H159),"",INDEX(Gen_Vessels!$A$3:$C$500,MATCH(H159,Gen_Vessels!$C$3:$C$500,0),1)),"")</f>
        <v/>
      </c>
      <c r="J159" s="25"/>
    </row>
    <row r="160" spans="4:10" x14ac:dyDescent="0.25">
      <c r="D160" s="25"/>
      <c r="F160" s="25" t="str">
        <f>IFERROR(IF(ISBLANK(E160),"",INDEX(Gen_Vessels!$A$3:$C$500,MATCH(E160,Gen_Vessels!$C$3:$C$500,0),1)),"")</f>
        <v/>
      </c>
      <c r="G160" s="25"/>
      <c r="I160" s="25" t="str">
        <f>IFERROR(IF(ISBLANK(H160),"",INDEX(Gen_Vessels!$A$3:$C$500,MATCH(H160,Gen_Vessels!$C$3:$C$500,0),1)),"")</f>
        <v/>
      </c>
      <c r="J160" s="25"/>
    </row>
    <row r="161" spans="4:10" x14ac:dyDescent="0.25">
      <c r="D161" s="25"/>
      <c r="F161" s="25" t="str">
        <f>IFERROR(IF(ISBLANK(E161),"",INDEX(Gen_Vessels!$A$3:$C$500,MATCH(E161,Gen_Vessels!$C$3:$C$500,0),1)),"")</f>
        <v/>
      </c>
      <c r="G161" s="25"/>
      <c r="I161" s="25" t="str">
        <f>IFERROR(IF(ISBLANK(H161),"",INDEX(Gen_Vessels!$A$3:$C$500,MATCH(H161,Gen_Vessels!$C$3:$C$500,0),1)),"")</f>
        <v/>
      </c>
      <c r="J161" s="25"/>
    </row>
    <row r="162" spans="4:10" x14ac:dyDescent="0.25">
      <c r="D162" s="25"/>
      <c r="F162" s="25" t="str">
        <f>IFERROR(IF(ISBLANK(E162),"",INDEX(Gen_Vessels!$A$3:$C$500,MATCH(E162,Gen_Vessels!$C$3:$C$500,0),1)),"")</f>
        <v/>
      </c>
      <c r="G162" s="25"/>
      <c r="I162" s="25" t="str">
        <f>IFERROR(IF(ISBLANK(H162),"",INDEX(Gen_Vessels!$A$3:$C$500,MATCH(H162,Gen_Vessels!$C$3:$C$500,0),1)),"")</f>
        <v/>
      </c>
      <c r="J162" s="25"/>
    </row>
    <row r="163" spans="4:10" x14ac:dyDescent="0.25">
      <c r="D163" s="25"/>
      <c r="F163" s="25" t="str">
        <f>IFERROR(IF(ISBLANK(E163),"",INDEX(Gen_Vessels!$A$3:$C$500,MATCH(E163,Gen_Vessels!$C$3:$C$500,0),1)),"")</f>
        <v/>
      </c>
      <c r="G163" s="25"/>
      <c r="I163" s="25" t="str">
        <f>IFERROR(IF(ISBLANK(H163),"",INDEX(Gen_Vessels!$A$3:$C$500,MATCH(H163,Gen_Vessels!$C$3:$C$500,0),1)),"")</f>
        <v/>
      </c>
      <c r="J163" s="25"/>
    </row>
    <row r="164" spans="4:10" x14ac:dyDescent="0.25">
      <c r="D164" s="25"/>
      <c r="F164" s="25" t="str">
        <f>IFERROR(IF(ISBLANK(E164),"",INDEX(Gen_Vessels!$A$3:$C$500,MATCH(E164,Gen_Vessels!$C$3:$C$500,0),1)),"")</f>
        <v/>
      </c>
      <c r="G164" s="25"/>
      <c r="I164" s="25" t="str">
        <f>IFERROR(IF(ISBLANK(H164),"",INDEX(Gen_Vessels!$A$3:$C$500,MATCH(H164,Gen_Vessels!$C$3:$C$500,0),1)),"")</f>
        <v/>
      </c>
      <c r="J164" s="25"/>
    </row>
    <row r="165" spans="4:10" x14ac:dyDescent="0.25">
      <c r="D165" s="25"/>
      <c r="F165" s="25" t="str">
        <f>IFERROR(IF(ISBLANK(E165),"",INDEX(Gen_Vessels!$A$3:$C$500,MATCH(E165,Gen_Vessels!$C$3:$C$500,0),1)),"")</f>
        <v/>
      </c>
      <c r="G165" s="25"/>
      <c r="I165" s="25" t="str">
        <f>IFERROR(IF(ISBLANK(H165),"",INDEX(Gen_Vessels!$A$3:$C$500,MATCH(H165,Gen_Vessels!$C$3:$C$500,0),1)),"")</f>
        <v/>
      </c>
      <c r="J165" s="25"/>
    </row>
    <row r="166" spans="4:10" x14ac:dyDescent="0.25">
      <c r="D166" s="25"/>
      <c r="F166" s="25" t="str">
        <f>IFERROR(IF(ISBLANK(E166),"",INDEX(Gen_Vessels!$A$3:$C$500,MATCH(E166,Gen_Vessels!$C$3:$C$500,0),1)),"")</f>
        <v/>
      </c>
      <c r="G166" s="25"/>
      <c r="I166" s="25" t="str">
        <f>IFERROR(IF(ISBLANK(H166),"",INDEX(Gen_Vessels!$A$3:$C$500,MATCH(H166,Gen_Vessels!$C$3:$C$500,0),1)),"")</f>
        <v/>
      </c>
      <c r="J166" s="25"/>
    </row>
    <row r="167" spans="4:10" x14ac:dyDescent="0.25">
      <c r="D167" s="25"/>
      <c r="F167" s="25" t="str">
        <f>IFERROR(IF(ISBLANK(E167),"",INDEX(Gen_Vessels!$A$3:$C$500,MATCH(E167,Gen_Vessels!$C$3:$C$500,0),1)),"")</f>
        <v/>
      </c>
      <c r="G167" s="25"/>
      <c r="I167" s="25" t="str">
        <f>IFERROR(IF(ISBLANK(H167),"",INDEX(Gen_Vessels!$A$3:$C$500,MATCH(H167,Gen_Vessels!$C$3:$C$500,0),1)),"")</f>
        <v/>
      </c>
      <c r="J167" s="25"/>
    </row>
    <row r="168" spans="4:10" x14ac:dyDescent="0.25">
      <c r="D168" s="25"/>
      <c r="F168" s="25" t="str">
        <f>IFERROR(IF(ISBLANK(E168),"",INDEX(Gen_Vessels!$A$3:$C$500,MATCH(E168,Gen_Vessels!$C$3:$C$500,0),1)),"")</f>
        <v/>
      </c>
      <c r="G168" s="25"/>
      <c r="I168" s="25" t="str">
        <f>IFERROR(IF(ISBLANK(H168),"",INDEX(Gen_Vessels!$A$3:$C$500,MATCH(H168,Gen_Vessels!$C$3:$C$500,0),1)),"")</f>
        <v/>
      </c>
      <c r="J168" s="25"/>
    </row>
    <row r="169" spans="4:10" x14ac:dyDescent="0.25">
      <c r="D169" s="25"/>
      <c r="F169" s="25" t="str">
        <f>IFERROR(IF(ISBLANK(E169),"",INDEX(Gen_Vessels!$A$3:$C$500,MATCH(E169,Gen_Vessels!$C$3:$C$500,0),1)),"")</f>
        <v/>
      </c>
      <c r="G169" s="25"/>
      <c r="I169" s="25" t="str">
        <f>IFERROR(IF(ISBLANK(H169),"",INDEX(Gen_Vessels!$A$3:$C$500,MATCH(H169,Gen_Vessels!$C$3:$C$500,0),1)),"")</f>
        <v/>
      </c>
      <c r="J169" s="25"/>
    </row>
    <row r="170" spans="4:10" x14ac:dyDescent="0.25">
      <c r="D170" s="25"/>
      <c r="F170" s="25" t="str">
        <f>IFERROR(IF(ISBLANK(E170),"",INDEX(Gen_Vessels!$A$3:$C$500,MATCH(E170,Gen_Vessels!$C$3:$C$500,0),1)),"")</f>
        <v/>
      </c>
      <c r="G170" s="25"/>
      <c r="I170" s="25" t="str">
        <f>IFERROR(IF(ISBLANK(H170),"",INDEX(Gen_Vessels!$A$3:$C$500,MATCH(H170,Gen_Vessels!$C$3:$C$500,0),1)),"")</f>
        <v/>
      </c>
      <c r="J170" s="25"/>
    </row>
    <row r="171" spans="4:10" x14ac:dyDescent="0.25">
      <c r="D171" s="25"/>
      <c r="F171" s="25" t="str">
        <f>IFERROR(IF(ISBLANK(E171),"",INDEX(Gen_Vessels!$A$3:$C$500,MATCH(E171,Gen_Vessels!$C$3:$C$500,0),1)),"")</f>
        <v/>
      </c>
      <c r="G171" s="25"/>
      <c r="I171" s="25" t="str">
        <f>IFERROR(IF(ISBLANK(H171),"",INDEX(Gen_Vessels!$A$3:$C$500,MATCH(H171,Gen_Vessels!$C$3:$C$500,0),1)),"")</f>
        <v/>
      </c>
      <c r="J171" s="25"/>
    </row>
    <row r="172" spans="4:10" x14ac:dyDescent="0.25">
      <c r="D172" s="25"/>
      <c r="F172" s="25" t="str">
        <f>IFERROR(IF(ISBLANK(E172),"",INDEX(Gen_Vessels!$A$3:$C$500,MATCH(E172,Gen_Vessels!$C$3:$C$500,0),1)),"")</f>
        <v/>
      </c>
      <c r="G172" s="25"/>
      <c r="I172" s="25" t="str">
        <f>IFERROR(IF(ISBLANK(H172),"",INDEX(Gen_Vessels!$A$3:$C$500,MATCH(H172,Gen_Vessels!$C$3:$C$500,0),1)),"")</f>
        <v/>
      </c>
      <c r="J172" s="25"/>
    </row>
    <row r="173" spans="4:10" x14ac:dyDescent="0.25">
      <c r="D173" s="25"/>
      <c r="F173" s="25" t="str">
        <f>IFERROR(IF(ISBLANK(E173),"",INDEX(Gen_Vessels!$A$3:$C$500,MATCH(E173,Gen_Vessels!$C$3:$C$500,0),1)),"")</f>
        <v/>
      </c>
      <c r="G173" s="25"/>
      <c r="I173" s="25" t="str">
        <f>IFERROR(IF(ISBLANK(H173),"",INDEX(Gen_Vessels!$A$3:$C$500,MATCH(H173,Gen_Vessels!$C$3:$C$500,0),1)),"")</f>
        <v/>
      </c>
      <c r="J173" s="25"/>
    </row>
    <row r="174" spans="4:10" x14ac:dyDescent="0.25">
      <c r="D174" s="25"/>
      <c r="F174" s="25" t="str">
        <f>IFERROR(IF(ISBLANK(E174),"",INDEX(Gen_Vessels!$A$3:$C$500,MATCH(E174,Gen_Vessels!$C$3:$C$500,0),1)),"")</f>
        <v/>
      </c>
      <c r="G174" s="25"/>
      <c r="I174" s="25" t="str">
        <f>IFERROR(IF(ISBLANK(H174),"",INDEX(Gen_Vessels!$A$3:$C$500,MATCH(H174,Gen_Vessels!$C$3:$C$500,0),1)),"")</f>
        <v/>
      </c>
      <c r="J174" s="25"/>
    </row>
    <row r="175" spans="4:10" x14ac:dyDescent="0.25">
      <c r="D175" s="25"/>
      <c r="F175" s="25" t="str">
        <f>IFERROR(IF(ISBLANK(E175),"",INDEX(Gen_Vessels!$A$3:$C$500,MATCH(E175,Gen_Vessels!$C$3:$C$500,0),1)),"")</f>
        <v/>
      </c>
      <c r="G175" s="25"/>
      <c r="I175" s="25" t="str">
        <f>IFERROR(IF(ISBLANK(H175),"",INDEX(Gen_Vessels!$A$3:$C$500,MATCH(H175,Gen_Vessels!$C$3:$C$500,0),1)),"")</f>
        <v/>
      </c>
      <c r="J175" s="25"/>
    </row>
    <row r="176" spans="4:10" x14ac:dyDescent="0.25">
      <c r="D176" s="25"/>
      <c r="F176" s="25" t="str">
        <f>IFERROR(IF(ISBLANK(E176),"",INDEX(Gen_Vessels!$A$3:$C$500,MATCH(E176,Gen_Vessels!$C$3:$C$500,0),1)),"")</f>
        <v/>
      </c>
      <c r="G176" s="25"/>
      <c r="I176" s="25" t="str">
        <f>IFERROR(IF(ISBLANK(H176),"",INDEX(Gen_Vessels!$A$3:$C$500,MATCH(H176,Gen_Vessels!$C$3:$C$500,0),1)),"")</f>
        <v/>
      </c>
      <c r="J176" s="25"/>
    </row>
    <row r="177" spans="4:10" x14ac:dyDescent="0.25">
      <c r="D177" s="25"/>
      <c r="F177" s="25" t="str">
        <f>IFERROR(IF(ISBLANK(E177),"",INDEX(Gen_Vessels!$A$3:$C$500,MATCH(E177,Gen_Vessels!$C$3:$C$500,0),1)),"")</f>
        <v/>
      </c>
      <c r="G177" s="25"/>
      <c r="I177" s="25" t="str">
        <f>IFERROR(IF(ISBLANK(H177),"",INDEX(Gen_Vessels!$A$3:$C$500,MATCH(H177,Gen_Vessels!$C$3:$C$500,0),1)),"")</f>
        <v/>
      </c>
      <c r="J177" s="25"/>
    </row>
    <row r="178" spans="4:10" x14ac:dyDescent="0.25">
      <c r="D178" s="25"/>
      <c r="F178" s="25" t="str">
        <f>IFERROR(IF(ISBLANK(E178),"",INDEX(Gen_Vessels!$A$3:$C$500,MATCH(E178,Gen_Vessels!$C$3:$C$500,0),1)),"")</f>
        <v/>
      </c>
      <c r="G178" s="25"/>
      <c r="I178" s="25" t="str">
        <f>IFERROR(IF(ISBLANK(H178),"",INDEX(Gen_Vessels!$A$3:$C$500,MATCH(H178,Gen_Vessels!$C$3:$C$500,0),1)),"")</f>
        <v/>
      </c>
      <c r="J178" s="25"/>
    </row>
    <row r="179" spans="4:10" x14ac:dyDescent="0.25">
      <c r="D179" s="25"/>
      <c r="F179" s="25" t="str">
        <f>IFERROR(IF(ISBLANK(E179),"",INDEX(Gen_Vessels!$A$3:$C$500,MATCH(E179,Gen_Vessels!$C$3:$C$500,0),1)),"")</f>
        <v/>
      </c>
      <c r="G179" s="25"/>
      <c r="I179" s="25" t="str">
        <f>IFERROR(IF(ISBLANK(H179),"",INDEX(Gen_Vessels!$A$3:$C$500,MATCH(H179,Gen_Vessels!$C$3:$C$500,0),1)),"")</f>
        <v/>
      </c>
      <c r="J179" s="25"/>
    </row>
    <row r="180" spans="4:10" x14ac:dyDescent="0.25">
      <c r="D180" s="25"/>
      <c r="F180" s="25" t="str">
        <f>IFERROR(IF(ISBLANK(E180),"",INDEX(Gen_Vessels!$A$3:$C$500,MATCH(E180,Gen_Vessels!$C$3:$C$500,0),1)),"")</f>
        <v/>
      </c>
      <c r="G180" s="25"/>
      <c r="I180" s="25" t="str">
        <f>IFERROR(IF(ISBLANK(H180),"",INDEX(Gen_Vessels!$A$3:$C$500,MATCH(H180,Gen_Vessels!$C$3:$C$500,0),1)),"")</f>
        <v/>
      </c>
      <c r="J180" s="25"/>
    </row>
    <row r="181" spans="4:10" x14ac:dyDescent="0.25">
      <c r="D181" s="25"/>
      <c r="F181" s="25" t="str">
        <f>IFERROR(IF(ISBLANK(E181),"",INDEX(Gen_Vessels!$A$3:$C$500,MATCH(E181,Gen_Vessels!$C$3:$C$500,0),1)),"")</f>
        <v/>
      </c>
      <c r="G181" s="25"/>
      <c r="I181" s="25" t="str">
        <f>IFERROR(IF(ISBLANK(H181),"",INDEX(Gen_Vessels!$A$3:$C$500,MATCH(H181,Gen_Vessels!$C$3:$C$500,0),1)),"")</f>
        <v/>
      </c>
      <c r="J181" s="25"/>
    </row>
    <row r="182" spans="4:10" x14ac:dyDescent="0.25">
      <c r="D182" s="25"/>
      <c r="F182" s="25" t="str">
        <f>IFERROR(IF(ISBLANK(E182),"",INDEX(Gen_Vessels!$A$3:$C$500,MATCH(E182,Gen_Vessels!$C$3:$C$500,0),1)),"")</f>
        <v/>
      </c>
      <c r="G182" s="25"/>
      <c r="I182" s="25" t="str">
        <f>IFERROR(IF(ISBLANK(H182),"",INDEX(Gen_Vessels!$A$3:$C$500,MATCH(H182,Gen_Vessels!$C$3:$C$500,0),1)),"")</f>
        <v/>
      </c>
      <c r="J182" s="25"/>
    </row>
    <row r="183" spans="4:10" x14ac:dyDescent="0.25">
      <c r="D183" s="25"/>
      <c r="F183" s="25" t="str">
        <f>IFERROR(IF(ISBLANK(E183),"",INDEX(Gen_Vessels!$A$3:$C$500,MATCH(E183,Gen_Vessels!$C$3:$C$500,0),1)),"")</f>
        <v/>
      </c>
      <c r="G183" s="25"/>
      <c r="I183" s="25" t="str">
        <f>IFERROR(IF(ISBLANK(H183),"",INDEX(Gen_Vessels!$A$3:$C$500,MATCH(H183,Gen_Vessels!$C$3:$C$500,0),1)),"")</f>
        <v/>
      </c>
      <c r="J183" s="25"/>
    </row>
    <row r="184" spans="4:10" x14ac:dyDescent="0.25">
      <c r="D184" s="25"/>
      <c r="F184" s="25" t="str">
        <f>IFERROR(IF(ISBLANK(E184),"",INDEX(Gen_Vessels!$A$3:$C$500,MATCH(E184,Gen_Vessels!$C$3:$C$500,0),1)),"")</f>
        <v/>
      </c>
      <c r="G184" s="25"/>
      <c r="I184" s="25" t="str">
        <f>IFERROR(IF(ISBLANK(H184),"",INDEX(Gen_Vessels!$A$3:$C$500,MATCH(H184,Gen_Vessels!$C$3:$C$500,0),1)),"")</f>
        <v/>
      </c>
      <c r="J184" s="25"/>
    </row>
    <row r="185" spans="4:10" x14ac:dyDescent="0.25">
      <c r="D185" s="25"/>
      <c r="F185" s="25" t="str">
        <f>IFERROR(IF(ISBLANK(E185),"",INDEX(Gen_Vessels!$A$3:$C$500,MATCH(E185,Gen_Vessels!$C$3:$C$500,0),1)),"")</f>
        <v/>
      </c>
      <c r="G185" s="25"/>
      <c r="I185" s="25" t="str">
        <f>IFERROR(IF(ISBLANK(H185),"",INDEX(Gen_Vessels!$A$3:$C$500,MATCH(H185,Gen_Vessels!$C$3:$C$500,0),1)),"")</f>
        <v/>
      </c>
      <c r="J185" s="25"/>
    </row>
    <row r="186" spans="4:10" x14ac:dyDescent="0.25">
      <c r="D186" s="25"/>
      <c r="F186" s="25" t="str">
        <f>IFERROR(IF(ISBLANK(E186),"",INDEX(Gen_Vessels!$A$3:$C$500,MATCH(E186,Gen_Vessels!$C$3:$C$500,0),1)),"")</f>
        <v/>
      </c>
      <c r="G186" s="25"/>
      <c r="I186" s="25" t="str">
        <f>IFERROR(IF(ISBLANK(H186),"",INDEX(Gen_Vessels!$A$3:$C$500,MATCH(H186,Gen_Vessels!$C$3:$C$500,0),1)),"")</f>
        <v/>
      </c>
      <c r="J186" s="25"/>
    </row>
    <row r="187" spans="4:10" x14ac:dyDescent="0.25">
      <c r="D187" s="25"/>
      <c r="F187" s="25" t="str">
        <f>IFERROR(IF(ISBLANK(E187),"",INDEX(Gen_Vessels!$A$3:$C$500,MATCH(E187,Gen_Vessels!$C$3:$C$500,0),1)),"")</f>
        <v/>
      </c>
      <c r="G187" s="25"/>
      <c r="I187" s="25" t="str">
        <f>IFERROR(IF(ISBLANK(H187),"",INDEX(Gen_Vessels!$A$3:$C$500,MATCH(H187,Gen_Vessels!$C$3:$C$500,0),1)),"")</f>
        <v/>
      </c>
      <c r="J187" s="25"/>
    </row>
    <row r="188" spans="4:10" x14ac:dyDescent="0.25">
      <c r="D188" s="25"/>
      <c r="F188" s="25" t="str">
        <f>IFERROR(IF(ISBLANK(E188),"",INDEX(Gen_Vessels!$A$3:$C$500,MATCH(E188,Gen_Vessels!$C$3:$C$500,0),1)),"")</f>
        <v/>
      </c>
      <c r="G188" s="25"/>
      <c r="I188" s="25" t="str">
        <f>IFERROR(IF(ISBLANK(H188),"",INDEX(Gen_Vessels!$A$3:$C$500,MATCH(H188,Gen_Vessels!$C$3:$C$500,0),1)),"")</f>
        <v/>
      </c>
      <c r="J188" s="25"/>
    </row>
    <row r="189" spans="4:10" x14ac:dyDescent="0.25">
      <c r="D189" s="25"/>
      <c r="F189" s="25" t="str">
        <f>IFERROR(IF(ISBLANK(E189),"",INDEX(Gen_Vessels!$A$3:$C$500,MATCH(E189,Gen_Vessels!$C$3:$C$500,0),1)),"")</f>
        <v/>
      </c>
      <c r="G189" s="25"/>
      <c r="I189" s="25" t="str">
        <f>IFERROR(IF(ISBLANK(H189),"",INDEX(Gen_Vessels!$A$3:$C$500,MATCH(H189,Gen_Vessels!$C$3:$C$500,0),1)),"")</f>
        <v/>
      </c>
      <c r="J189" s="25"/>
    </row>
    <row r="190" spans="4:10" x14ac:dyDescent="0.25">
      <c r="D190" s="25"/>
      <c r="F190" s="25" t="str">
        <f>IFERROR(IF(ISBLANK(E190),"",INDEX(Gen_Vessels!$A$3:$C$500,MATCH(E190,Gen_Vessels!$C$3:$C$500,0),1)),"")</f>
        <v/>
      </c>
      <c r="G190" s="25"/>
      <c r="I190" s="25" t="str">
        <f>IFERROR(IF(ISBLANK(H190),"",INDEX(Gen_Vessels!$A$3:$C$500,MATCH(H190,Gen_Vessels!$C$3:$C$500,0),1)),"")</f>
        <v/>
      </c>
      <c r="J190" s="25"/>
    </row>
    <row r="191" spans="4:10" x14ac:dyDescent="0.25">
      <c r="D191" s="25"/>
      <c r="F191" s="25" t="str">
        <f>IFERROR(IF(ISBLANK(E191),"",INDEX(Gen_Vessels!$A$3:$C$500,MATCH(E191,Gen_Vessels!$C$3:$C$500,0),1)),"")</f>
        <v/>
      </c>
      <c r="G191" s="25"/>
      <c r="I191" s="25" t="str">
        <f>IFERROR(IF(ISBLANK(H191),"",INDEX(Gen_Vessels!$A$3:$C$500,MATCH(H191,Gen_Vessels!$C$3:$C$500,0),1)),"")</f>
        <v/>
      </c>
      <c r="J191" s="25"/>
    </row>
    <row r="192" spans="4:10" x14ac:dyDescent="0.25">
      <c r="D192" s="25"/>
      <c r="F192" s="25" t="str">
        <f>IFERROR(IF(ISBLANK(E192),"",INDEX(Gen_Vessels!$A$3:$C$500,MATCH(E192,Gen_Vessels!$C$3:$C$500,0),1)),"")</f>
        <v/>
      </c>
      <c r="G192" s="25"/>
      <c r="I192" s="25" t="str">
        <f>IFERROR(IF(ISBLANK(H192),"",INDEX(Gen_Vessels!$A$3:$C$500,MATCH(H192,Gen_Vessels!$C$3:$C$500,0),1)),"")</f>
        <v/>
      </c>
      <c r="J192" s="25"/>
    </row>
    <row r="193" spans="4:10" x14ac:dyDescent="0.25">
      <c r="D193" s="25"/>
      <c r="F193" s="25" t="str">
        <f>IFERROR(IF(ISBLANK(E193),"",INDEX(Gen_Vessels!$A$3:$C$500,MATCH(E193,Gen_Vessels!$C$3:$C$500,0),1)),"")</f>
        <v/>
      </c>
      <c r="G193" s="25"/>
      <c r="I193" s="25" t="str">
        <f>IFERROR(IF(ISBLANK(H193),"",INDEX(Gen_Vessels!$A$3:$C$500,MATCH(H193,Gen_Vessels!$C$3:$C$500,0),1)),"")</f>
        <v/>
      </c>
      <c r="J193" s="25"/>
    </row>
    <row r="194" spans="4:10" x14ac:dyDescent="0.25">
      <c r="D194" s="25"/>
      <c r="F194" s="25" t="str">
        <f>IFERROR(IF(ISBLANK(E194),"",INDEX(Gen_Vessels!$A$3:$C$500,MATCH(E194,Gen_Vessels!$C$3:$C$500,0),1)),"")</f>
        <v/>
      </c>
      <c r="G194" s="25"/>
      <c r="I194" s="25" t="str">
        <f>IFERROR(IF(ISBLANK(H194),"",INDEX(Gen_Vessels!$A$3:$C$500,MATCH(H194,Gen_Vessels!$C$3:$C$500,0),1)),"")</f>
        <v/>
      </c>
      <c r="J194" s="25"/>
    </row>
    <row r="195" spans="4:10" x14ac:dyDescent="0.25">
      <c r="D195" s="25"/>
      <c r="F195" s="25" t="str">
        <f>IFERROR(IF(ISBLANK(E195),"",INDEX(Gen_Vessels!$A$3:$C$500,MATCH(E195,Gen_Vessels!$C$3:$C$500,0),1)),"")</f>
        <v/>
      </c>
      <c r="G195" s="25"/>
      <c r="I195" s="25" t="str">
        <f>IFERROR(IF(ISBLANK(H195),"",INDEX(Gen_Vessels!$A$3:$C$500,MATCH(H195,Gen_Vessels!$C$3:$C$500,0),1)),"")</f>
        <v/>
      </c>
      <c r="J195" s="25"/>
    </row>
    <row r="196" spans="4:10" x14ac:dyDescent="0.25">
      <c r="D196" s="25"/>
      <c r="F196" s="25" t="str">
        <f>IFERROR(IF(ISBLANK(E196),"",INDEX(Gen_Vessels!$A$3:$C$500,MATCH(E196,Gen_Vessels!$C$3:$C$500,0),1)),"")</f>
        <v/>
      </c>
      <c r="G196" s="25"/>
      <c r="I196" s="25" t="str">
        <f>IFERROR(IF(ISBLANK(H196),"",INDEX(Gen_Vessels!$A$3:$C$500,MATCH(H196,Gen_Vessels!$C$3:$C$500,0),1)),"")</f>
        <v/>
      </c>
      <c r="J196" s="25"/>
    </row>
    <row r="197" spans="4:10" x14ac:dyDescent="0.25">
      <c r="D197" s="25"/>
      <c r="F197" s="25" t="str">
        <f>IFERROR(IF(ISBLANK(E197),"",INDEX(Gen_Vessels!$A$3:$C$500,MATCH(E197,Gen_Vessels!$C$3:$C$500,0),1)),"")</f>
        <v/>
      </c>
      <c r="G197" s="25"/>
      <c r="I197" s="25" t="str">
        <f>IFERROR(IF(ISBLANK(H197),"",INDEX(Gen_Vessels!$A$3:$C$500,MATCH(H197,Gen_Vessels!$C$3:$C$500,0),1)),"")</f>
        <v/>
      </c>
      <c r="J197" s="25"/>
    </row>
    <row r="198" spans="4:10" x14ac:dyDescent="0.25">
      <c r="D198" s="25"/>
      <c r="F198" s="25" t="str">
        <f>IFERROR(IF(ISBLANK(E198),"",INDEX(Gen_Vessels!$A$3:$C$500,MATCH(E198,Gen_Vessels!$C$3:$C$500,0),1)),"")</f>
        <v/>
      </c>
      <c r="G198" s="25"/>
      <c r="I198" s="25" t="str">
        <f>IFERROR(IF(ISBLANK(H198),"",INDEX(Gen_Vessels!$A$3:$C$500,MATCH(H198,Gen_Vessels!$C$3:$C$500,0),1)),"")</f>
        <v/>
      </c>
      <c r="J198" s="25"/>
    </row>
    <row r="199" spans="4:10" x14ac:dyDescent="0.25">
      <c r="D199" s="25"/>
      <c r="F199" s="25" t="str">
        <f>IFERROR(IF(ISBLANK(E199),"",INDEX(Gen_Vessels!$A$3:$C$500,MATCH(E199,Gen_Vessels!$C$3:$C$500,0),1)),"")</f>
        <v/>
      </c>
      <c r="G199" s="25"/>
      <c r="I199" s="25" t="str">
        <f>IFERROR(IF(ISBLANK(H199),"",INDEX(Gen_Vessels!$A$3:$C$500,MATCH(H199,Gen_Vessels!$C$3:$C$500,0),1)),"")</f>
        <v/>
      </c>
      <c r="J199" s="25"/>
    </row>
    <row r="200" spans="4:10" x14ac:dyDescent="0.25">
      <c r="D200" s="25"/>
      <c r="F200" s="25" t="str">
        <f>IFERROR(IF(ISBLANK(E200),"",INDEX(Gen_Vessels!$A$3:$C$500,MATCH(E200,Gen_Vessels!$C$3:$C$500,0),1)),"")</f>
        <v/>
      </c>
      <c r="G200" s="25"/>
      <c r="I200" s="25" t="str">
        <f>IFERROR(IF(ISBLANK(H200),"",INDEX(Gen_Vessels!$A$3:$C$500,MATCH(H200,Gen_Vessels!$C$3:$C$500,0),1)),"")</f>
        <v/>
      </c>
      <c r="J200" s="25"/>
    </row>
    <row r="201" spans="4:10" x14ac:dyDescent="0.25">
      <c r="D201" s="25"/>
      <c r="F201" s="25" t="str">
        <f>IFERROR(IF(ISBLANK(E201),"",INDEX(Gen_Vessels!$A$3:$C$500,MATCH(E201,Gen_Vessels!$C$3:$C$500,0),1)),"")</f>
        <v/>
      </c>
      <c r="G201" s="25"/>
      <c r="I201" s="25" t="str">
        <f>IFERROR(IF(ISBLANK(H201),"",INDEX(Gen_Vessels!$A$3:$C$500,MATCH(H201,Gen_Vessels!$C$3:$C$500,0),1)),"")</f>
        <v/>
      </c>
      <c r="J201" s="25"/>
    </row>
    <row r="202" spans="4:10" x14ac:dyDescent="0.25">
      <c r="D202" s="25"/>
      <c r="F202" s="25" t="str">
        <f>IFERROR(IF(ISBLANK(E202),"",INDEX(Gen_Vessels!$A$3:$C$500,MATCH(E202,Gen_Vessels!$C$3:$C$500,0),1)),"")</f>
        <v/>
      </c>
      <c r="G202" s="25"/>
      <c r="I202" s="25" t="str">
        <f>IFERROR(IF(ISBLANK(H202),"",INDEX(Gen_Vessels!$A$3:$C$500,MATCH(H202,Gen_Vessels!$C$3:$C$500,0),1)),"")</f>
        <v/>
      </c>
      <c r="J202" s="25"/>
    </row>
    <row r="203" spans="4:10" x14ac:dyDescent="0.25">
      <c r="D203" s="25"/>
      <c r="F203" s="25" t="str">
        <f>IFERROR(IF(ISBLANK(E203),"",INDEX(Gen_Vessels!$A$3:$C$500,MATCH(E203,Gen_Vessels!$C$3:$C$500,0),1)),"")</f>
        <v/>
      </c>
      <c r="G203" s="25"/>
      <c r="I203" s="25" t="str">
        <f>IFERROR(IF(ISBLANK(H203),"",INDEX(Gen_Vessels!$A$3:$C$500,MATCH(H203,Gen_Vessels!$C$3:$C$500,0),1)),"")</f>
        <v/>
      </c>
      <c r="J203" s="25"/>
    </row>
    <row r="204" spans="4:10" x14ac:dyDescent="0.25">
      <c r="D204" s="25"/>
      <c r="F204" s="25" t="str">
        <f>IFERROR(IF(ISBLANK(E204),"",INDEX(Gen_Vessels!$A$3:$C$500,MATCH(E204,Gen_Vessels!$C$3:$C$500,0),1)),"")</f>
        <v/>
      </c>
      <c r="G204" s="25"/>
      <c r="I204" s="25" t="str">
        <f>IFERROR(IF(ISBLANK(H204),"",INDEX(Gen_Vessels!$A$3:$C$500,MATCH(H204,Gen_Vessels!$C$3:$C$500,0),1)),"")</f>
        <v/>
      </c>
      <c r="J204" s="25"/>
    </row>
    <row r="205" spans="4:10" x14ac:dyDescent="0.25">
      <c r="D205" s="25"/>
      <c r="F205" s="25" t="str">
        <f>IFERROR(IF(ISBLANK(E205),"",INDEX(Gen_Vessels!$A$3:$C$500,MATCH(E205,Gen_Vessels!$C$3:$C$500,0),1)),"")</f>
        <v/>
      </c>
      <c r="G205" s="25"/>
      <c r="I205" s="25" t="str">
        <f>IFERROR(IF(ISBLANK(H205),"",INDEX(Gen_Vessels!$A$3:$C$500,MATCH(H205,Gen_Vessels!$C$3:$C$500,0),1)),"")</f>
        <v/>
      </c>
      <c r="J205" s="25"/>
    </row>
    <row r="206" spans="4:10" x14ac:dyDescent="0.25">
      <c r="D206" s="25"/>
      <c r="F206" s="25" t="str">
        <f>IFERROR(IF(ISBLANK(E206),"",INDEX(Gen_Vessels!$A$3:$C$500,MATCH(E206,Gen_Vessels!$C$3:$C$500,0),1)),"")</f>
        <v/>
      </c>
      <c r="G206" s="25"/>
      <c r="I206" s="25" t="str">
        <f>IFERROR(IF(ISBLANK(H206),"",INDEX(Gen_Vessels!$A$3:$C$500,MATCH(H206,Gen_Vessels!$C$3:$C$500,0),1)),"")</f>
        <v/>
      </c>
      <c r="J206" s="25"/>
    </row>
    <row r="207" spans="4:10" x14ac:dyDescent="0.25">
      <c r="D207" s="25"/>
      <c r="F207" s="25" t="str">
        <f>IFERROR(IF(ISBLANK(E207),"",INDEX(Gen_Vessels!$A$3:$C$500,MATCH(E207,Gen_Vessels!$C$3:$C$500,0),1)),"")</f>
        <v/>
      </c>
      <c r="G207" s="25"/>
      <c r="I207" s="25" t="str">
        <f>IFERROR(IF(ISBLANK(H207),"",INDEX(Gen_Vessels!$A$3:$C$500,MATCH(H207,Gen_Vessels!$C$3:$C$500,0),1)),"")</f>
        <v/>
      </c>
      <c r="J207" s="25"/>
    </row>
    <row r="208" spans="4:10" x14ac:dyDescent="0.25">
      <c r="D208" s="25"/>
      <c r="F208" s="25" t="str">
        <f>IFERROR(IF(ISBLANK(E208),"",INDEX(Gen_Vessels!$A$3:$C$500,MATCH(E208,Gen_Vessels!$C$3:$C$500,0),1)),"")</f>
        <v/>
      </c>
      <c r="G208" s="25"/>
      <c r="I208" s="25" t="str">
        <f>IFERROR(IF(ISBLANK(H208),"",INDEX(Gen_Vessels!$A$3:$C$500,MATCH(H208,Gen_Vessels!$C$3:$C$500,0),1)),"")</f>
        <v/>
      </c>
      <c r="J208" s="25"/>
    </row>
    <row r="209" spans="4:10" x14ac:dyDescent="0.25">
      <c r="D209" s="25"/>
      <c r="F209" s="25" t="str">
        <f>IFERROR(IF(ISBLANK(E209),"",INDEX(Gen_Vessels!$A$3:$C$500,MATCH(E209,Gen_Vessels!$C$3:$C$500,0),1)),"")</f>
        <v/>
      </c>
      <c r="G209" s="25"/>
      <c r="I209" s="25" t="str">
        <f>IFERROR(IF(ISBLANK(H209),"",INDEX(Gen_Vessels!$A$3:$C$500,MATCH(H209,Gen_Vessels!$C$3:$C$500,0),1)),"")</f>
        <v/>
      </c>
      <c r="J209" s="25"/>
    </row>
    <row r="210" spans="4:10" x14ac:dyDescent="0.25">
      <c r="D210" s="25"/>
      <c r="F210" s="25" t="str">
        <f>IFERROR(IF(ISBLANK(E210),"",INDEX(Gen_Vessels!$A$3:$C$500,MATCH(E210,Gen_Vessels!$C$3:$C$500,0),1)),"")</f>
        <v/>
      </c>
      <c r="G210" s="25"/>
      <c r="I210" s="25" t="str">
        <f>IFERROR(IF(ISBLANK(H210),"",INDEX(Gen_Vessels!$A$3:$C$500,MATCH(H210,Gen_Vessels!$C$3:$C$500,0),1)),"")</f>
        <v/>
      </c>
      <c r="J210" s="25"/>
    </row>
    <row r="211" spans="4:10" x14ac:dyDescent="0.25">
      <c r="D211" s="25"/>
      <c r="F211" s="25" t="str">
        <f>IFERROR(IF(ISBLANK(E211),"",INDEX(Gen_Vessels!$A$3:$C$500,MATCH(E211,Gen_Vessels!$C$3:$C$500,0),1)),"")</f>
        <v/>
      </c>
      <c r="G211" s="25"/>
      <c r="I211" s="25" t="str">
        <f>IFERROR(IF(ISBLANK(H211),"",INDEX(Gen_Vessels!$A$3:$C$500,MATCH(H211,Gen_Vessels!$C$3:$C$500,0),1)),"")</f>
        <v/>
      </c>
      <c r="J211" s="25"/>
    </row>
    <row r="212" spans="4:10" x14ac:dyDescent="0.25">
      <c r="D212" s="25"/>
      <c r="F212" s="25" t="str">
        <f>IFERROR(IF(ISBLANK(E212),"",INDEX(Gen_Vessels!$A$3:$C$500,MATCH(E212,Gen_Vessels!$C$3:$C$500,0),1)),"")</f>
        <v/>
      </c>
      <c r="G212" s="25"/>
      <c r="I212" s="25" t="str">
        <f>IFERROR(IF(ISBLANK(H212),"",INDEX(Gen_Vessels!$A$3:$C$500,MATCH(H212,Gen_Vessels!$C$3:$C$500,0),1)),"")</f>
        <v/>
      </c>
      <c r="J212" s="25"/>
    </row>
    <row r="213" spans="4:10" x14ac:dyDescent="0.25">
      <c r="D213" s="25"/>
      <c r="F213" s="25" t="str">
        <f>IFERROR(IF(ISBLANK(E213),"",INDEX(Gen_Vessels!$A$3:$C$500,MATCH(E213,Gen_Vessels!$C$3:$C$500,0),1)),"")</f>
        <v/>
      </c>
      <c r="G213" s="25"/>
      <c r="I213" s="25" t="str">
        <f>IFERROR(IF(ISBLANK(H213),"",INDEX(Gen_Vessels!$A$3:$C$500,MATCH(H213,Gen_Vessels!$C$3:$C$500,0),1)),"")</f>
        <v/>
      </c>
      <c r="J213" s="25"/>
    </row>
    <row r="214" spans="4:10" x14ac:dyDescent="0.25">
      <c r="D214" s="25"/>
      <c r="F214" s="25" t="str">
        <f>IFERROR(IF(ISBLANK(E214),"",INDEX(Gen_Vessels!$A$3:$C$500,MATCH(E214,Gen_Vessels!$C$3:$C$500,0),1)),"")</f>
        <v/>
      </c>
      <c r="G214" s="25"/>
      <c r="I214" s="25" t="str">
        <f>IFERROR(IF(ISBLANK(H214),"",INDEX(Gen_Vessels!$A$3:$C$500,MATCH(H214,Gen_Vessels!$C$3:$C$500,0),1)),"")</f>
        <v/>
      </c>
      <c r="J214" s="25"/>
    </row>
    <row r="215" spans="4:10" x14ac:dyDescent="0.25">
      <c r="D215" s="25"/>
      <c r="F215" s="25" t="str">
        <f>IFERROR(IF(ISBLANK(E215),"",INDEX(Gen_Vessels!$A$3:$C$500,MATCH(E215,Gen_Vessels!$C$3:$C$500,0),1)),"")</f>
        <v/>
      </c>
      <c r="G215" s="25"/>
      <c r="I215" s="25" t="str">
        <f>IFERROR(IF(ISBLANK(H215),"",INDEX(Gen_Vessels!$A$3:$C$500,MATCH(H215,Gen_Vessels!$C$3:$C$500,0),1)),"")</f>
        <v/>
      </c>
      <c r="J215" s="25"/>
    </row>
    <row r="216" spans="4:10" x14ac:dyDescent="0.25">
      <c r="D216" s="25"/>
      <c r="F216" s="25" t="str">
        <f>IFERROR(IF(ISBLANK(E216),"",INDEX(Gen_Vessels!$A$3:$C$500,MATCH(E216,Gen_Vessels!$C$3:$C$500,0),1)),"")</f>
        <v/>
      </c>
      <c r="G216" s="25"/>
      <c r="I216" s="25" t="str">
        <f>IFERROR(IF(ISBLANK(H216),"",INDEX(Gen_Vessels!$A$3:$C$500,MATCH(H216,Gen_Vessels!$C$3:$C$500,0),1)),"")</f>
        <v/>
      </c>
      <c r="J216" s="25"/>
    </row>
    <row r="217" spans="4:10" x14ac:dyDescent="0.25">
      <c r="D217" s="25"/>
      <c r="F217" s="25" t="str">
        <f>IFERROR(IF(ISBLANK(E217),"",INDEX(Gen_Vessels!$A$3:$C$500,MATCH(E217,Gen_Vessels!$C$3:$C$500,0),1)),"")</f>
        <v/>
      </c>
      <c r="G217" s="25"/>
      <c r="I217" s="25" t="str">
        <f>IFERROR(IF(ISBLANK(H217),"",INDEX(Gen_Vessels!$A$3:$C$500,MATCH(H217,Gen_Vessels!$C$3:$C$500,0),1)),"")</f>
        <v/>
      </c>
      <c r="J217" s="25"/>
    </row>
    <row r="218" spans="4:10" x14ac:dyDescent="0.25">
      <c r="D218" s="25"/>
      <c r="F218" s="25" t="str">
        <f>IFERROR(IF(ISBLANK(E218),"",INDEX(Gen_Vessels!$A$3:$C$500,MATCH(E218,Gen_Vessels!$C$3:$C$500,0),1)),"")</f>
        <v/>
      </c>
      <c r="G218" s="25"/>
      <c r="I218" s="25" t="str">
        <f>IFERROR(IF(ISBLANK(H218),"",INDEX(Gen_Vessels!$A$3:$C$500,MATCH(H218,Gen_Vessels!$C$3:$C$500,0),1)),"")</f>
        <v/>
      </c>
      <c r="J218" s="25"/>
    </row>
    <row r="219" spans="4:10" x14ac:dyDescent="0.25">
      <c r="D219" s="25"/>
      <c r="F219" s="25" t="str">
        <f>IFERROR(IF(ISBLANK(E219),"",INDEX(Gen_Vessels!$A$3:$C$500,MATCH(E219,Gen_Vessels!$C$3:$C$500,0),1)),"")</f>
        <v/>
      </c>
      <c r="G219" s="25"/>
      <c r="I219" s="25" t="str">
        <f>IFERROR(IF(ISBLANK(H219),"",INDEX(Gen_Vessels!$A$3:$C$500,MATCH(H219,Gen_Vessels!$C$3:$C$500,0),1)),"")</f>
        <v/>
      </c>
      <c r="J219" s="25"/>
    </row>
    <row r="220" spans="4:10" x14ac:dyDescent="0.25">
      <c r="D220" s="25"/>
      <c r="F220" s="25" t="str">
        <f>IFERROR(IF(ISBLANK(E220),"",INDEX(Gen_Vessels!$A$3:$C$500,MATCH(E220,Gen_Vessels!$C$3:$C$500,0),1)),"")</f>
        <v/>
      </c>
      <c r="G220" s="25"/>
      <c r="I220" s="25" t="str">
        <f>IFERROR(IF(ISBLANK(H220),"",INDEX(Gen_Vessels!$A$3:$C$500,MATCH(H220,Gen_Vessels!$C$3:$C$500,0),1)),"")</f>
        <v/>
      </c>
      <c r="J220" s="25"/>
    </row>
    <row r="221" spans="4:10" x14ac:dyDescent="0.25">
      <c r="D221" s="25"/>
      <c r="F221" s="25" t="str">
        <f>IFERROR(IF(ISBLANK(E221),"",INDEX(Gen_Vessels!$A$3:$C$500,MATCH(E221,Gen_Vessels!$C$3:$C$500,0),1)),"")</f>
        <v/>
      </c>
      <c r="G221" s="25"/>
      <c r="I221" s="25" t="str">
        <f>IFERROR(IF(ISBLANK(H221),"",INDEX(Gen_Vessels!$A$3:$C$500,MATCH(H221,Gen_Vessels!$C$3:$C$500,0),1)),"")</f>
        <v/>
      </c>
      <c r="J221" s="25"/>
    </row>
    <row r="222" spans="4:10" x14ac:dyDescent="0.25">
      <c r="D222" s="25"/>
      <c r="F222" s="25" t="str">
        <f>IFERROR(IF(ISBLANK(E222),"",INDEX(Gen_Vessels!$A$3:$C$500,MATCH(E222,Gen_Vessels!$C$3:$C$500,0),1)),"")</f>
        <v/>
      </c>
      <c r="G222" s="25"/>
      <c r="I222" s="25" t="str">
        <f>IFERROR(IF(ISBLANK(H222),"",INDEX(Gen_Vessels!$A$3:$C$500,MATCH(H222,Gen_Vessels!$C$3:$C$500,0),1)),"")</f>
        <v/>
      </c>
      <c r="J222" s="25"/>
    </row>
    <row r="223" spans="4:10" x14ac:dyDescent="0.25">
      <c r="D223" s="25"/>
      <c r="F223" s="25" t="str">
        <f>IFERROR(IF(ISBLANK(E223),"",INDEX(Gen_Vessels!$A$3:$C$500,MATCH(E223,Gen_Vessels!$C$3:$C$500,0),1)),"")</f>
        <v/>
      </c>
      <c r="G223" s="25"/>
      <c r="I223" s="25" t="str">
        <f>IFERROR(IF(ISBLANK(H223),"",INDEX(Gen_Vessels!$A$3:$C$500,MATCH(H223,Gen_Vessels!$C$3:$C$500,0),1)),"")</f>
        <v/>
      </c>
      <c r="J223" s="25"/>
    </row>
    <row r="224" spans="4:10" x14ac:dyDescent="0.25">
      <c r="D224" s="25"/>
      <c r="F224" s="25" t="str">
        <f>IFERROR(IF(ISBLANK(E224),"",INDEX(Gen_Vessels!$A$3:$C$500,MATCH(E224,Gen_Vessels!$C$3:$C$500,0),1)),"")</f>
        <v/>
      </c>
      <c r="G224" s="25"/>
      <c r="I224" s="25" t="str">
        <f>IFERROR(IF(ISBLANK(H224),"",INDEX(Gen_Vessels!$A$3:$C$500,MATCH(H224,Gen_Vessels!$C$3:$C$500,0),1)),"")</f>
        <v/>
      </c>
      <c r="J224" s="25"/>
    </row>
    <row r="225" spans="4:10" x14ac:dyDescent="0.25">
      <c r="D225" s="25"/>
      <c r="F225" s="25" t="str">
        <f>IFERROR(IF(ISBLANK(E225),"",INDEX(Gen_Vessels!$A$3:$C$500,MATCH(E225,Gen_Vessels!$C$3:$C$500,0),1)),"")</f>
        <v/>
      </c>
      <c r="G225" s="25"/>
      <c r="I225" s="25" t="str">
        <f>IFERROR(IF(ISBLANK(H225),"",INDEX(Gen_Vessels!$A$3:$C$500,MATCH(H225,Gen_Vessels!$C$3:$C$500,0),1)),"")</f>
        <v/>
      </c>
      <c r="J225" s="25"/>
    </row>
    <row r="226" spans="4:10" x14ac:dyDescent="0.25">
      <c r="D226" s="25"/>
      <c r="F226" s="25" t="str">
        <f>IFERROR(IF(ISBLANK(E226),"",INDEX(Gen_Vessels!$A$3:$C$500,MATCH(E226,Gen_Vessels!$C$3:$C$500,0),1)),"")</f>
        <v/>
      </c>
      <c r="G226" s="25"/>
      <c r="I226" s="25" t="str">
        <f>IFERROR(IF(ISBLANK(H226),"",INDEX(Gen_Vessels!$A$3:$C$500,MATCH(H226,Gen_Vessels!$C$3:$C$500,0),1)),"")</f>
        <v/>
      </c>
      <c r="J226" s="25"/>
    </row>
    <row r="227" spans="4:10" x14ac:dyDescent="0.25">
      <c r="D227" s="25"/>
      <c r="F227" s="25" t="str">
        <f>IFERROR(IF(ISBLANK(E227),"",INDEX(Gen_Vessels!$A$3:$C$500,MATCH(E227,Gen_Vessels!$C$3:$C$500,0),1)),"")</f>
        <v/>
      </c>
      <c r="G227" s="25"/>
      <c r="I227" s="25" t="str">
        <f>IFERROR(IF(ISBLANK(H227),"",INDEX(Gen_Vessels!$A$3:$C$500,MATCH(H227,Gen_Vessels!$C$3:$C$500,0),1)),"")</f>
        <v/>
      </c>
      <c r="J227" s="25"/>
    </row>
    <row r="228" spans="4:10" x14ac:dyDescent="0.25">
      <c r="D228" s="25"/>
      <c r="F228" s="25" t="str">
        <f>IFERROR(IF(ISBLANK(E228),"",INDEX(Gen_Vessels!$A$3:$C$500,MATCH(E228,Gen_Vessels!$C$3:$C$500,0),1)),"")</f>
        <v/>
      </c>
      <c r="G228" s="25"/>
      <c r="I228" s="25" t="str">
        <f>IFERROR(IF(ISBLANK(H228),"",INDEX(Gen_Vessels!$A$3:$C$500,MATCH(H228,Gen_Vessels!$C$3:$C$500,0),1)),"")</f>
        <v/>
      </c>
      <c r="J228" s="25"/>
    </row>
    <row r="229" spans="4:10" x14ac:dyDescent="0.25">
      <c r="D229" s="25"/>
      <c r="F229" s="25" t="str">
        <f>IFERROR(IF(ISBLANK(E229),"",INDEX(Gen_Vessels!$A$3:$C$500,MATCH(E229,Gen_Vessels!$C$3:$C$500,0),1)),"")</f>
        <v/>
      </c>
      <c r="G229" s="25"/>
      <c r="I229" s="25" t="str">
        <f>IFERROR(IF(ISBLANK(H229),"",INDEX(Gen_Vessels!$A$3:$C$500,MATCH(H229,Gen_Vessels!$C$3:$C$500,0),1)),"")</f>
        <v/>
      </c>
      <c r="J229" s="25"/>
    </row>
    <row r="230" spans="4:10" x14ac:dyDescent="0.25">
      <c r="D230" s="25"/>
      <c r="F230" s="25" t="str">
        <f>IFERROR(IF(ISBLANK(E230),"",INDEX(Gen_Vessels!$A$3:$C$500,MATCH(E230,Gen_Vessels!$C$3:$C$500,0),1)),"")</f>
        <v/>
      </c>
      <c r="G230" s="25"/>
      <c r="I230" s="25" t="str">
        <f>IFERROR(IF(ISBLANK(H230),"",INDEX(Gen_Vessels!$A$3:$C$500,MATCH(H230,Gen_Vessels!$C$3:$C$500,0),1)),"")</f>
        <v/>
      </c>
      <c r="J230" s="25"/>
    </row>
    <row r="231" spans="4:10" x14ac:dyDescent="0.25">
      <c r="D231" s="25"/>
      <c r="F231" s="25" t="str">
        <f>IFERROR(IF(ISBLANK(E231),"",INDEX(Gen_Vessels!$A$3:$C$500,MATCH(E231,Gen_Vessels!$C$3:$C$500,0),1)),"")</f>
        <v/>
      </c>
      <c r="G231" s="25"/>
      <c r="I231" s="25" t="str">
        <f>IFERROR(IF(ISBLANK(H231),"",INDEX(Gen_Vessels!$A$3:$C$500,MATCH(H231,Gen_Vessels!$C$3:$C$500,0),1)),"")</f>
        <v/>
      </c>
      <c r="J231" s="25"/>
    </row>
    <row r="232" spans="4:10" x14ac:dyDescent="0.25">
      <c r="D232" s="25"/>
      <c r="F232" s="25" t="str">
        <f>IFERROR(IF(ISBLANK(E232),"",INDEX(Gen_Vessels!$A$3:$C$500,MATCH(E232,Gen_Vessels!$C$3:$C$500,0),1)),"")</f>
        <v/>
      </c>
      <c r="G232" s="25"/>
      <c r="I232" s="25" t="str">
        <f>IFERROR(IF(ISBLANK(H232),"",INDEX(Gen_Vessels!$A$3:$C$500,MATCH(H232,Gen_Vessels!$C$3:$C$500,0),1)),"")</f>
        <v/>
      </c>
      <c r="J232" s="25"/>
    </row>
    <row r="233" spans="4:10" x14ac:dyDescent="0.25">
      <c r="D233" s="25"/>
      <c r="F233" s="25" t="str">
        <f>IFERROR(IF(ISBLANK(E233),"",INDEX(Gen_Vessels!$A$3:$C$500,MATCH(E233,Gen_Vessels!$C$3:$C$500,0),1)),"")</f>
        <v/>
      </c>
      <c r="G233" s="25"/>
      <c r="I233" s="25" t="str">
        <f>IFERROR(IF(ISBLANK(H233),"",INDEX(Gen_Vessels!$A$3:$C$500,MATCH(H233,Gen_Vessels!$C$3:$C$500,0),1)),"")</f>
        <v/>
      </c>
      <c r="J233" s="25"/>
    </row>
    <row r="234" spans="4:10" x14ac:dyDescent="0.25">
      <c r="D234" s="25"/>
      <c r="F234" s="25" t="str">
        <f>IFERROR(IF(ISBLANK(E234),"",INDEX(Gen_Vessels!$A$3:$C$500,MATCH(E234,Gen_Vessels!$C$3:$C$500,0),1)),"")</f>
        <v/>
      </c>
      <c r="G234" s="25"/>
      <c r="I234" s="25" t="str">
        <f>IFERROR(IF(ISBLANK(H234),"",INDEX(Gen_Vessels!$A$3:$C$500,MATCH(H234,Gen_Vessels!$C$3:$C$500,0),1)),"")</f>
        <v/>
      </c>
      <c r="J234" s="25"/>
    </row>
    <row r="235" spans="4:10" x14ac:dyDescent="0.25">
      <c r="D235" s="25"/>
      <c r="F235" s="25" t="str">
        <f>IFERROR(IF(ISBLANK(E235),"",INDEX(Gen_Vessels!$A$3:$C$500,MATCH(E235,Gen_Vessels!$C$3:$C$500,0),1)),"")</f>
        <v/>
      </c>
      <c r="G235" s="25"/>
      <c r="I235" s="25" t="str">
        <f>IFERROR(IF(ISBLANK(H235),"",INDEX(Gen_Vessels!$A$3:$C$500,MATCH(H235,Gen_Vessels!$C$3:$C$500,0),1)),"")</f>
        <v/>
      </c>
      <c r="J235" s="25"/>
    </row>
    <row r="236" spans="4:10" x14ac:dyDescent="0.25">
      <c r="D236" s="25"/>
      <c r="F236" s="25" t="str">
        <f>IFERROR(IF(ISBLANK(E236),"",INDEX(Gen_Vessels!$A$3:$C$500,MATCH(E236,Gen_Vessels!$C$3:$C$500,0),1)),"")</f>
        <v/>
      </c>
      <c r="G236" s="25"/>
      <c r="I236" s="25" t="str">
        <f>IFERROR(IF(ISBLANK(H236),"",INDEX(Gen_Vessels!$A$3:$C$500,MATCH(H236,Gen_Vessels!$C$3:$C$500,0),1)),"")</f>
        <v/>
      </c>
      <c r="J236" s="25"/>
    </row>
    <row r="237" spans="4:10" x14ac:dyDescent="0.25">
      <c r="D237" s="25"/>
      <c r="F237" s="25" t="str">
        <f>IFERROR(IF(ISBLANK(E237),"",INDEX(Gen_Vessels!$A$3:$C$500,MATCH(E237,Gen_Vessels!$C$3:$C$500,0),1)),"")</f>
        <v/>
      </c>
      <c r="G237" s="25"/>
      <c r="I237" s="25" t="str">
        <f>IFERROR(IF(ISBLANK(H237),"",INDEX(Gen_Vessels!$A$3:$C$500,MATCH(H237,Gen_Vessels!$C$3:$C$500,0),1)),"")</f>
        <v/>
      </c>
      <c r="J237" s="25"/>
    </row>
    <row r="238" spans="4:10" x14ac:dyDescent="0.25">
      <c r="D238" s="25"/>
      <c r="F238" s="25" t="str">
        <f>IFERROR(IF(ISBLANK(E238),"",INDEX(Gen_Vessels!$A$3:$C$500,MATCH(E238,Gen_Vessels!$C$3:$C$500,0),1)),"")</f>
        <v/>
      </c>
      <c r="G238" s="25"/>
      <c r="I238" s="25" t="str">
        <f>IFERROR(IF(ISBLANK(H238),"",INDEX(Gen_Vessels!$A$3:$C$500,MATCH(H238,Gen_Vessels!$C$3:$C$500,0),1)),"")</f>
        <v/>
      </c>
      <c r="J238" s="25"/>
    </row>
    <row r="239" spans="4:10" x14ac:dyDescent="0.25">
      <c r="D239" s="25"/>
      <c r="F239" s="25" t="str">
        <f>IFERROR(IF(ISBLANK(E239),"",INDEX(Gen_Vessels!$A$3:$C$500,MATCH(E239,Gen_Vessels!$C$3:$C$500,0),1)),"")</f>
        <v/>
      </c>
      <c r="G239" s="25"/>
      <c r="I239" s="25" t="str">
        <f>IFERROR(IF(ISBLANK(H239),"",INDEX(Gen_Vessels!$A$3:$C$500,MATCH(H239,Gen_Vessels!$C$3:$C$500,0),1)),"")</f>
        <v/>
      </c>
      <c r="J239" s="25"/>
    </row>
    <row r="240" spans="4:10" x14ac:dyDescent="0.25">
      <c r="D240" s="25"/>
      <c r="F240" s="25" t="str">
        <f>IFERROR(IF(ISBLANK(E240),"",INDEX(Gen_Vessels!$A$3:$C$500,MATCH(E240,Gen_Vessels!$C$3:$C$500,0),1)),"")</f>
        <v/>
      </c>
      <c r="G240" s="25"/>
      <c r="I240" s="25" t="str">
        <f>IFERROR(IF(ISBLANK(H240),"",INDEX(Gen_Vessels!$A$3:$C$500,MATCH(H240,Gen_Vessels!$C$3:$C$500,0),1)),"")</f>
        <v/>
      </c>
      <c r="J240" s="25"/>
    </row>
    <row r="241" spans="4:10" x14ac:dyDescent="0.25">
      <c r="D241" s="25"/>
      <c r="F241" s="25" t="str">
        <f>IFERROR(IF(ISBLANK(E241),"",INDEX(Gen_Vessels!$A$3:$C$500,MATCH(E241,Gen_Vessels!$C$3:$C$500,0),1)),"")</f>
        <v/>
      </c>
      <c r="G241" s="25"/>
      <c r="I241" s="25" t="str">
        <f>IFERROR(IF(ISBLANK(H241),"",INDEX(Gen_Vessels!$A$3:$C$500,MATCH(H241,Gen_Vessels!$C$3:$C$500,0),1)),"")</f>
        <v/>
      </c>
      <c r="J241" s="25"/>
    </row>
    <row r="242" spans="4:10" x14ac:dyDescent="0.25">
      <c r="D242" s="25"/>
      <c r="F242" s="25" t="str">
        <f>IFERROR(IF(ISBLANK(E242),"",INDEX(Gen_Vessels!$A$3:$C$500,MATCH(E242,Gen_Vessels!$C$3:$C$500,0),1)),"")</f>
        <v/>
      </c>
      <c r="G242" s="25"/>
      <c r="I242" s="25" t="str">
        <f>IFERROR(IF(ISBLANK(H242),"",INDEX(Gen_Vessels!$A$3:$C$500,MATCH(H242,Gen_Vessels!$C$3:$C$500,0),1)),"")</f>
        <v/>
      </c>
      <c r="J242" s="25"/>
    </row>
    <row r="243" spans="4:10" x14ac:dyDescent="0.25">
      <c r="D243" s="25"/>
      <c r="F243" s="25" t="str">
        <f>IFERROR(IF(ISBLANK(E243),"",INDEX(Gen_Vessels!$A$3:$C$500,MATCH(E243,Gen_Vessels!$C$3:$C$500,0),1)),"")</f>
        <v/>
      </c>
      <c r="G243" s="25"/>
      <c r="I243" s="25" t="str">
        <f>IFERROR(IF(ISBLANK(H243),"",INDEX(Gen_Vessels!$A$3:$C$500,MATCH(H243,Gen_Vessels!$C$3:$C$500,0),1)),"")</f>
        <v/>
      </c>
      <c r="J243" s="25"/>
    </row>
    <row r="244" spans="4:10" x14ac:dyDescent="0.25">
      <c r="D244" s="25"/>
      <c r="F244" s="25" t="str">
        <f>IFERROR(IF(ISBLANK(E244),"",INDEX(Gen_Vessels!$A$3:$C$500,MATCH(E244,Gen_Vessels!$C$3:$C$500,0),1)),"")</f>
        <v/>
      </c>
      <c r="G244" s="25"/>
      <c r="I244" s="25" t="str">
        <f>IFERROR(IF(ISBLANK(H244),"",INDEX(Gen_Vessels!$A$3:$C$500,MATCH(H244,Gen_Vessels!$C$3:$C$500,0),1)),"")</f>
        <v/>
      </c>
      <c r="J244" s="25"/>
    </row>
    <row r="245" spans="4:10" x14ac:dyDescent="0.25">
      <c r="D245" s="25"/>
      <c r="F245" s="25" t="str">
        <f>IFERROR(IF(ISBLANK(E245),"",INDEX(Gen_Vessels!$A$3:$C$500,MATCH(E245,Gen_Vessels!$C$3:$C$500,0),1)),"")</f>
        <v/>
      </c>
      <c r="G245" s="25"/>
      <c r="I245" s="25" t="str">
        <f>IFERROR(IF(ISBLANK(H245),"",INDEX(Gen_Vessels!$A$3:$C$500,MATCH(H245,Gen_Vessels!$C$3:$C$500,0),1)),"")</f>
        <v/>
      </c>
      <c r="J245" s="25"/>
    </row>
    <row r="246" spans="4:10" x14ac:dyDescent="0.25">
      <c r="D246" s="25"/>
      <c r="F246" s="25" t="str">
        <f>IFERROR(IF(ISBLANK(E246),"",INDEX(Gen_Vessels!$A$3:$C$500,MATCH(E246,Gen_Vessels!$C$3:$C$500,0),1)),"")</f>
        <v/>
      </c>
      <c r="G246" s="25"/>
      <c r="I246" s="25" t="str">
        <f>IFERROR(IF(ISBLANK(H246),"",INDEX(Gen_Vessels!$A$3:$C$500,MATCH(H246,Gen_Vessels!$C$3:$C$500,0),1)),"")</f>
        <v/>
      </c>
      <c r="J246" s="25"/>
    </row>
    <row r="247" spans="4:10" x14ac:dyDescent="0.25">
      <c r="D247" s="25"/>
      <c r="F247" s="25" t="str">
        <f>IFERROR(IF(ISBLANK(E247),"",INDEX(Gen_Vessels!$A$3:$C$500,MATCH(E247,Gen_Vessels!$C$3:$C$500,0),1)),"")</f>
        <v/>
      </c>
      <c r="G247" s="25"/>
      <c r="I247" s="25" t="str">
        <f>IFERROR(IF(ISBLANK(H247),"",INDEX(Gen_Vessels!$A$3:$C$500,MATCH(H247,Gen_Vessels!$C$3:$C$500,0),1)),"")</f>
        <v/>
      </c>
      <c r="J247" s="25"/>
    </row>
    <row r="248" spans="4:10" x14ac:dyDescent="0.25">
      <c r="D248" s="25"/>
      <c r="F248" s="25" t="str">
        <f>IFERROR(IF(ISBLANK(E248),"",INDEX(Gen_Vessels!$A$3:$C$500,MATCH(E248,Gen_Vessels!$C$3:$C$500,0),1)),"")</f>
        <v/>
      </c>
      <c r="G248" s="25"/>
      <c r="I248" s="25" t="str">
        <f>IFERROR(IF(ISBLANK(H248),"",INDEX(Gen_Vessels!$A$3:$C$500,MATCH(H248,Gen_Vessels!$C$3:$C$500,0),1)),"")</f>
        <v/>
      </c>
      <c r="J248" s="25"/>
    </row>
    <row r="249" spans="4:10" x14ac:dyDescent="0.25">
      <c r="D249" s="25"/>
      <c r="F249" s="25" t="str">
        <f>IFERROR(IF(ISBLANK(E249),"",INDEX(Gen_Vessels!$A$3:$C$500,MATCH(E249,Gen_Vessels!$C$3:$C$500,0),1)),"")</f>
        <v/>
      </c>
      <c r="G249" s="25"/>
      <c r="I249" s="25" t="str">
        <f>IFERROR(IF(ISBLANK(H249),"",INDEX(Gen_Vessels!$A$3:$C$500,MATCH(H249,Gen_Vessels!$C$3:$C$500,0),1)),"")</f>
        <v/>
      </c>
      <c r="J249" s="25"/>
    </row>
    <row r="250" spans="4:10" x14ac:dyDescent="0.25">
      <c r="D250" s="25"/>
      <c r="F250" s="25" t="str">
        <f>IFERROR(IF(ISBLANK(E250),"",INDEX(Gen_Vessels!$A$3:$C$500,MATCH(E250,Gen_Vessels!$C$3:$C$500,0),1)),"")</f>
        <v/>
      </c>
      <c r="G250" s="25"/>
      <c r="I250" s="25" t="str">
        <f>IFERROR(IF(ISBLANK(H250),"",INDEX(Gen_Vessels!$A$3:$C$500,MATCH(H250,Gen_Vessels!$C$3:$C$500,0),1)),"")</f>
        <v/>
      </c>
      <c r="J250" s="25"/>
    </row>
    <row r="251" spans="4:10" x14ac:dyDescent="0.25">
      <c r="D251" s="25"/>
      <c r="F251" s="25" t="str">
        <f>IFERROR(IF(ISBLANK(E251),"",INDEX(Gen_Vessels!$A$3:$C$500,MATCH(E251,Gen_Vessels!$C$3:$C$500,0),1)),"")</f>
        <v/>
      </c>
      <c r="G251" s="25"/>
      <c r="I251" s="25" t="str">
        <f>IFERROR(IF(ISBLANK(H251),"",INDEX(Gen_Vessels!$A$3:$C$500,MATCH(H251,Gen_Vessels!$C$3:$C$500,0),1)),"")</f>
        <v/>
      </c>
      <c r="J251" s="25"/>
    </row>
    <row r="252" spans="4:10" x14ac:dyDescent="0.25">
      <c r="D252" s="25"/>
      <c r="F252" s="25" t="str">
        <f>IFERROR(IF(ISBLANK(E252),"",INDEX(Gen_Vessels!$A$3:$C$500,MATCH(E252,Gen_Vessels!$C$3:$C$500,0),1)),"")</f>
        <v/>
      </c>
      <c r="G252" s="25"/>
      <c r="I252" s="25" t="str">
        <f>IFERROR(IF(ISBLANK(H252),"",INDEX(Gen_Vessels!$A$3:$C$500,MATCH(H252,Gen_Vessels!$C$3:$C$500,0),1)),"")</f>
        <v/>
      </c>
      <c r="J252" s="25"/>
    </row>
    <row r="253" spans="4:10" x14ac:dyDescent="0.25">
      <c r="D253" s="25"/>
      <c r="F253" s="25" t="str">
        <f>IFERROR(IF(ISBLANK(E253),"",INDEX(Gen_Vessels!$A$3:$C$500,MATCH(E253,Gen_Vessels!$C$3:$C$500,0),1)),"")</f>
        <v/>
      </c>
      <c r="G253" s="25"/>
      <c r="I253" s="25" t="str">
        <f>IFERROR(IF(ISBLANK(H253),"",INDEX(Gen_Vessels!$A$3:$C$500,MATCH(H253,Gen_Vessels!$C$3:$C$500,0),1)),"")</f>
        <v/>
      </c>
      <c r="J253" s="25"/>
    </row>
    <row r="254" spans="4:10" x14ac:dyDescent="0.25">
      <c r="D254" s="25"/>
      <c r="F254" s="25" t="str">
        <f>IFERROR(IF(ISBLANK(E254),"",INDEX(Gen_Vessels!$A$3:$C$500,MATCH(E254,Gen_Vessels!$C$3:$C$500,0),1)),"")</f>
        <v/>
      </c>
      <c r="G254" s="25"/>
      <c r="I254" s="25" t="str">
        <f>IFERROR(IF(ISBLANK(H254),"",INDEX(Gen_Vessels!$A$3:$C$500,MATCH(H254,Gen_Vessels!$C$3:$C$500,0),1)),"")</f>
        <v/>
      </c>
      <c r="J254" s="25"/>
    </row>
    <row r="255" spans="4:10" x14ac:dyDescent="0.25">
      <c r="D255" s="25"/>
      <c r="F255" s="25" t="str">
        <f>IFERROR(IF(ISBLANK(E255),"",INDEX(Gen_Vessels!$A$3:$C$500,MATCH(E255,Gen_Vessels!$C$3:$C$500,0),1)),"")</f>
        <v/>
      </c>
      <c r="G255" s="25"/>
      <c r="I255" s="25" t="str">
        <f>IFERROR(IF(ISBLANK(H255),"",INDEX(Gen_Vessels!$A$3:$C$500,MATCH(H255,Gen_Vessels!$C$3:$C$500,0),1)),"")</f>
        <v/>
      </c>
      <c r="J255" s="25"/>
    </row>
    <row r="256" spans="4:10" x14ac:dyDescent="0.25">
      <c r="D256" s="25"/>
      <c r="F256" s="25" t="str">
        <f>IFERROR(IF(ISBLANK(E256),"",INDEX(Gen_Vessels!$A$3:$C$500,MATCH(E256,Gen_Vessels!$C$3:$C$500,0),1)),"")</f>
        <v/>
      </c>
      <c r="G256" s="25"/>
      <c r="I256" s="25" t="str">
        <f>IFERROR(IF(ISBLANK(H256),"",INDEX(Gen_Vessels!$A$3:$C$500,MATCH(H256,Gen_Vessels!$C$3:$C$500,0),1)),"")</f>
        <v/>
      </c>
      <c r="J256" s="25"/>
    </row>
    <row r="257" spans="4:10" x14ac:dyDescent="0.25">
      <c r="D257" s="25"/>
      <c r="F257" s="25" t="str">
        <f>IFERROR(IF(ISBLANK(E257),"",INDEX(Gen_Vessels!$A$3:$C$500,MATCH(E257,Gen_Vessels!$C$3:$C$500,0),1)),"")</f>
        <v/>
      </c>
      <c r="G257" s="25"/>
      <c r="I257" s="25" t="str">
        <f>IFERROR(IF(ISBLANK(H257),"",INDEX(Gen_Vessels!$A$3:$C$500,MATCH(H257,Gen_Vessels!$C$3:$C$500,0),1)),"")</f>
        <v/>
      </c>
      <c r="J257" s="25"/>
    </row>
    <row r="258" spans="4:10" x14ac:dyDescent="0.25">
      <c r="D258" s="25"/>
      <c r="F258" s="25" t="str">
        <f>IFERROR(IF(ISBLANK(E258),"",INDEX(Gen_Vessels!$A$3:$C$500,MATCH(E258,Gen_Vessels!$C$3:$C$500,0),1)),"")</f>
        <v/>
      </c>
      <c r="G258" s="25"/>
      <c r="I258" s="25" t="str">
        <f>IFERROR(IF(ISBLANK(H258),"",INDEX(Gen_Vessels!$A$3:$C$500,MATCH(H258,Gen_Vessels!$C$3:$C$500,0),1)),"")</f>
        <v/>
      </c>
      <c r="J258" s="25"/>
    </row>
    <row r="259" spans="4:10" x14ac:dyDescent="0.25">
      <c r="D259" s="25"/>
      <c r="F259" s="25" t="str">
        <f>IFERROR(IF(ISBLANK(E259),"",INDEX(Gen_Vessels!$A$3:$C$500,MATCH(E259,Gen_Vessels!$C$3:$C$500,0),1)),"")</f>
        <v/>
      </c>
      <c r="G259" s="25"/>
      <c r="I259" s="25" t="str">
        <f>IFERROR(IF(ISBLANK(H259),"",INDEX(Gen_Vessels!$A$3:$C$500,MATCH(H259,Gen_Vessels!$C$3:$C$500,0),1)),"")</f>
        <v/>
      </c>
      <c r="J259" s="25"/>
    </row>
    <row r="260" spans="4:10" x14ac:dyDescent="0.25">
      <c r="D260" s="25"/>
      <c r="F260" s="25" t="str">
        <f>IFERROR(IF(ISBLANK(E260),"",INDEX(Gen_Vessels!$A$3:$C$500,MATCH(E260,Gen_Vessels!$C$3:$C$500,0),1)),"")</f>
        <v/>
      </c>
      <c r="G260" s="25"/>
      <c r="I260" s="25" t="str">
        <f>IFERROR(IF(ISBLANK(H260),"",INDEX(Gen_Vessels!$A$3:$C$500,MATCH(H260,Gen_Vessels!$C$3:$C$500,0),1)),"")</f>
        <v/>
      </c>
      <c r="J260" s="25"/>
    </row>
    <row r="261" spans="4:10" x14ac:dyDescent="0.25">
      <c r="D261" s="25"/>
      <c r="F261" s="25" t="str">
        <f>IFERROR(IF(ISBLANK(E261),"",INDEX(Gen_Vessels!$A$3:$C$500,MATCH(E261,Gen_Vessels!$C$3:$C$500,0),1)),"")</f>
        <v/>
      </c>
      <c r="G261" s="25"/>
      <c r="I261" s="25" t="str">
        <f>IFERROR(IF(ISBLANK(H261),"",INDEX(Gen_Vessels!$A$3:$C$500,MATCH(H261,Gen_Vessels!$C$3:$C$500,0),1)),"")</f>
        <v/>
      </c>
      <c r="J261" s="25"/>
    </row>
    <row r="262" spans="4:10" x14ac:dyDescent="0.25">
      <c r="D262" s="25"/>
      <c r="F262" s="25" t="str">
        <f>IFERROR(IF(ISBLANK(E262),"",INDEX(Gen_Vessels!$A$3:$C$500,MATCH(E262,Gen_Vessels!$C$3:$C$500,0),1)),"")</f>
        <v/>
      </c>
      <c r="G262" s="25"/>
      <c r="I262" s="25" t="str">
        <f>IFERROR(IF(ISBLANK(H262),"",INDEX(Gen_Vessels!$A$3:$C$500,MATCH(H262,Gen_Vessels!$C$3:$C$500,0),1)),"")</f>
        <v/>
      </c>
      <c r="J262" s="25"/>
    </row>
    <row r="263" spans="4:10" x14ac:dyDescent="0.25">
      <c r="D263" s="25"/>
      <c r="F263" s="25" t="str">
        <f>IFERROR(IF(ISBLANK(E263),"",INDEX(Gen_Vessels!$A$3:$C$500,MATCH(E263,Gen_Vessels!$C$3:$C$500,0),1)),"")</f>
        <v/>
      </c>
      <c r="G263" s="25"/>
      <c r="I263" s="25" t="str">
        <f>IFERROR(IF(ISBLANK(H263),"",INDEX(Gen_Vessels!$A$3:$C$500,MATCH(H263,Gen_Vessels!$C$3:$C$500,0),1)),"")</f>
        <v/>
      </c>
      <c r="J263" s="25"/>
    </row>
    <row r="264" spans="4:10" x14ac:dyDescent="0.25">
      <c r="D264" s="25"/>
      <c r="F264" s="25" t="str">
        <f>IFERROR(IF(ISBLANK(E264),"",INDEX(Gen_Vessels!$A$3:$C$500,MATCH(E264,Gen_Vessels!$C$3:$C$500,0),1)),"")</f>
        <v/>
      </c>
      <c r="G264" s="25"/>
      <c r="I264" s="25" t="str">
        <f>IFERROR(IF(ISBLANK(H264),"",INDEX(Gen_Vessels!$A$3:$C$500,MATCH(H264,Gen_Vessels!$C$3:$C$500,0),1)),"")</f>
        <v/>
      </c>
      <c r="J264" s="25"/>
    </row>
    <row r="265" spans="4:10" x14ac:dyDescent="0.25">
      <c r="D265" s="25"/>
      <c r="F265" s="25" t="str">
        <f>IFERROR(IF(ISBLANK(E265),"",INDEX(Gen_Vessels!$A$3:$C$500,MATCH(E265,Gen_Vessels!$C$3:$C$500,0),1)),"")</f>
        <v/>
      </c>
      <c r="G265" s="25"/>
      <c r="I265" s="25" t="str">
        <f>IFERROR(IF(ISBLANK(H265),"",INDEX(Gen_Vessels!$A$3:$C$500,MATCH(H265,Gen_Vessels!$C$3:$C$500,0),1)),"")</f>
        <v/>
      </c>
      <c r="J265" s="25"/>
    </row>
    <row r="266" spans="4:10" x14ac:dyDescent="0.25">
      <c r="D266" s="25"/>
      <c r="F266" s="25" t="str">
        <f>IFERROR(IF(ISBLANK(E266),"",INDEX(Gen_Vessels!$A$3:$C$500,MATCH(E266,Gen_Vessels!$C$3:$C$500,0),1)),"")</f>
        <v/>
      </c>
      <c r="G266" s="25"/>
      <c r="I266" s="25" t="str">
        <f>IFERROR(IF(ISBLANK(H266),"",INDEX(Gen_Vessels!$A$3:$C$500,MATCH(H266,Gen_Vessels!$C$3:$C$500,0),1)),"")</f>
        <v/>
      </c>
      <c r="J266" s="25"/>
    </row>
    <row r="267" spans="4:10" x14ac:dyDescent="0.25">
      <c r="D267" s="25"/>
      <c r="F267" s="25" t="str">
        <f>IFERROR(IF(ISBLANK(E267),"",INDEX(Gen_Vessels!$A$3:$C$500,MATCH(E267,Gen_Vessels!$C$3:$C$500,0),1)),"")</f>
        <v/>
      </c>
      <c r="G267" s="25"/>
      <c r="I267" s="25" t="str">
        <f>IFERROR(IF(ISBLANK(H267),"",INDEX(Gen_Vessels!$A$3:$C$500,MATCH(H267,Gen_Vessels!$C$3:$C$500,0),1)),"")</f>
        <v/>
      </c>
      <c r="J267" s="25"/>
    </row>
    <row r="268" spans="4:10" x14ac:dyDescent="0.25">
      <c r="D268" s="25"/>
      <c r="F268" s="25" t="str">
        <f>IFERROR(IF(ISBLANK(E268),"",INDEX(Gen_Vessels!$A$3:$C$500,MATCH(E268,Gen_Vessels!$C$3:$C$500,0),1)),"")</f>
        <v/>
      </c>
      <c r="G268" s="25"/>
      <c r="I268" s="25" t="str">
        <f>IFERROR(IF(ISBLANK(H268),"",INDEX(Gen_Vessels!$A$3:$C$500,MATCH(H268,Gen_Vessels!$C$3:$C$500,0),1)),"")</f>
        <v/>
      </c>
      <c r="J268" s="25"/>
    </row>
    <row r="269" spans="4:10" x14ac:dyDescent="0.25">
      <c r="D269" s="25"/>
      <c r="F269" s="25" t="str">
        <f>IFERROR(IF(ISBLANK(E269),"",INDEX(Gen_Vessels!$A$3:$C$500,MATCH(E269,Gen_Vessels!$C$3:$C$500,0),1)),"")</f>
        <v/>
      </c>
      <c r="G269" s="25"/>
      <c r="I269" s="25" t="str">
        <f>IFERROR(IF(ISBLANK(H269),"",INDEX(Gen_Vessels!$A$3:$C$500,MATCH(H269,Gen_Vessels!$C$3:$C$500,0),1)),"")</f>
        <v/>
      </c>
      <c r="J269" s="25"/>
    </row>
    <row r="270" spans="4:10" x14ac:dyDescent="0.25">
      <c r="D270" s="25"/>
      <c r="F270" s="25" t="str">
        <f>IFERROR(IF(ISBLANK(E270),"",INDEX(Gen_Vessels!$A$3:$C$500,MATCH(E270,Gen_Vessels!$C$3:$C$500,0),1)),"")</f>
        <v/>
      </c>
      <c r="G270" s="25"/>
      <c r="I270" s="25" t="str">
        <f>IFERROR(IF(ISBLANK(H270),"",INDEX(Gen_Vessels!$A$3:$C$500,MATCH(H270,Gen_Vessels!$C$3:$C$500,0),1)),"")</f>
        <v/>
      </c>
      <c r="J270" s="25"/>
    </row>
    <row r="271" spans="4:10" x14ac:dyDescent="0.25">
      <c r="D271" s="25"/>
      <c r="F271" s="25" t="str">
        <f>IFERROR(IF(ISBLANK(E271),"",INDEX(Gen_Vessels!$A$3:$C$500,MATCH(E271,Gen_Vessels!$C$3:$C$500,0),1)),"")</f>
        <v/>
      </c>
      <c r="G271" s="25"/>
      <c r="I271" s="25" t="str">
        <f>IFERROR(IF(ISBLANK(H271),"",INDEX(Gen_Vessels!$A$3:$C$500,MATCH(H271,Gen_Vessels!$C$3:$C$500,0),1)),"")</f>
        <v/>
      </c>
      <c r="J271" s="25"/>
    </row>
    <row r="272" spans="4:10" x14ac:dyDescent="0.25">
      <c r="D272" s="25"/>
      <c r="F272" s="25" t="str">
        <f>IFERROR(IF(ISBLANK(E272),"",INDEX(Gen_Vessels!$A$3:$C$500,MATCH(E272,Gen_Vessels!$C$3:$C$500,0),1)),"")</f>
        <v/>
      </c>
      <c r="G272" s="25"/>
      <c r="I272" s="25" t="str">
        <f>IFERROR(IF(ISBLANK(H272),"",INDEX(Gen_Vessels!$A$3:$C$500,MATCH(H272,Gen_Vessels!$C$3:$C$500,0),1)),"")</f>
        <v/>
      </c>
      <c r="J272" s="25"/>
    </row>
    <row r="273" spans="4:10" x14ac:dyDescent="0.25">
      <c r="D273" s="25"/>
      <c r="F273" s="25" t="str">
        <f>IFERROR(IF(ISBLANK(E273),"",INDEX(Gen_Vessels!$A$3:$C$500,MATCH(E273,Gen_Vessels!$C$3:$C$500,0),1)),"")</f>
        <v/>
      </c>
      <c r="G273" s="25"/>
      <c r="I273" s="25" t="str">
        <f>IFERROR(IF(ISBLANK(H273),"",INDEX(Gen_Vessels!$A$3:$C$500,MATCH(H273,Gen_Vessels!$C$3:$C$500,0),1)),"")</f>
        <v/>
      </c>
      <c r="J273" s="25"/>
    </row>
    <row r="274" spans="4:10" x14ac:dyDescent="0.25">
      <c r="D274" s="25"/>
      <c r="F274" s="25" t="str">
        <f>IFERROR(IF(ISBLANK(E274),"",INDEX(Gen_Vessels!$A$3:$C$500,MATCH(E274,Gen_Vessels!$C$3:$C$500,0),1)),"")</f>
        <v/>
      </c>
      <c r="G274" s="25"/>
      <c r="I274" s="25" t="str">
        <f>IFERROR(IF(ISBLANK(H274),"",INDEX(Gen_Vessels!$A$3:$C$500,MATCH(H274,Gen_Vessels!$C$3:$C$500,0),1)),"")</f>
        <v/>
      </c>
      <c r="J274" s="25"/>
    </row>
    <row r="275" spans="4:10" x14ac:dyDescent="0.25">
      <c r="D275" s="25"/>
      <c r="F275" s="25" t="str">
        <f>IFERROR(IF(ISBLANK(E275),"",INDEX(Gen_Vessels!$A$3:$C$500,MATCH(E275,Gen_Vessels!$C$3:$C$500,0),1)),"")</f>
        <v/>
      </c>
      <c r="G275" s="25"/>
      <c r="I275" s="25" t="str">
        <f>IFERROR(IF(ISBLANK(H275),"",INDEX(Gen_Vessels!$A$3:$C$500,MATCH(H275,Gen_Vessels!$C$3:$C$500,0),1)),"")</f>
        <v/>
      </c>
      <c r="J275" s="25"/>
    </row>
    <row r="276" spans="4:10" x14ac:dyDescent="0.25">
      <c r="D276" s="25"/>
      <c r="F276" s="25" t="str">
        <f>IFERROR(IF(ISBLANK(E276),"",INDEX(Gen_Vessels!$A$3:$C$500,MATCH(E276,Gen_Vessels!$C$3:$C$500,0),1)),"")</f>
        <v/>
      </c>
      <c r="G276" s="25"/>
      <c r="I276" s="25" t="str">
        <f>IFERROR(IF(ISBLANK(H276),"",INDEX(Gen_Vessels!$A$3:$C$500,MATCH(H276,Gen_Vessels!$C$3:$C$500,0),1)),"")</f>
        <v/>
      </c>
      <c r="J276" s="25"/>
    </row>
    <row r="277" spans="4:10" x14ac:dyDescent="0.25">
      <c r="D277" s="25"/>
      <c r="F277" s="25" t="str">
        <f>IFERROR(IF(ISBLANK(E277),"",INDEX(Gen_Vessels!$A$3:$C$500,MATCH(E277,Gen_Vessels!$C$3:$C$500,0),1)),"")</f>
        <v/>
      </c>
      <c r="G277" s="25"/>
      <c r="I277" s="25" t="str">
        <f>IFERROR(IF(ISBLANK(H277),"",INDEX(Gen_Vessels!$A$3:$C$500,MATCH(H277,Gen_Vessels!$C$3:$C$500,0),1)),"")</f>
        <v/>
      </c>
      <c r="J277" s="25"/>
    </row>
    <row r="278" spans="4:10" x14ac:dyDescent="0.25">
      <c r="D278" s="25"/>
      <c r="F278" s="25" t="str">
        <f>IFERROR(IF(ISBLANK(E278),"",INDEX(Gen_Vessels!$A$3:$C$500,MATCH(E278,Gen_Vessels!$C$3:$C$500,0),1)),"")</f>
        <v/>
      </c>
      <c r="G278" s="25"/>
      <c r="I278" s="25" t="str">
        <f>IFERROR(IF(ISBLANK(H278),"",INDEX(Gen_Vessels!$A$3:$C$500,MATCH(H278,Gen_Vessels!$C$3:$C$500,0),1)),"")</f>
        <v/>
      </c>
      <c r="J278" s="25"/>
    </row>
    <row r="279" spans="4:10" x14ac:dyDescent="0.25">
      <c r="D279" s="25"/>
      <c r="F279" s="25" t="str">
        <f>IFERROR(IF(ISBLANK(E279),"",INDEX(Gen_Vessels!$A$3:$C$500,MATCH(E279,Gen_Vessels!$C$3:$C$500,0),1)),"")</f>
        <v/>
      </c>
      <c r="G279" s="25"/>
      <c r="I279" s="25" t="str">
        <f>IFERROR(IF(ISBLANK(H279),"",INDEX(Gen_Vessels!$A$3:$C$500,MATCH(H279,Gen_Vessels!$C$3:$C$500,0),1)),"")</f>
        <v/>
      </c>
      <c r="J279" s="25"/>
    </row>
    <row r="280" spans="4:10" x14ac:dyDescent="0.25">
      <c r="D280" s="25"/>
      <c r="F280" s="25" t="str">
        <f>IFERROR(IF(ISBLANK(E280),"",INDEX(Gen_Vessels!$A$3:$C$500,MATCH(E280,Gen_Vessels!$C$3:$C$500,0),1)),"")</f>
        <v/>
      </c>
      <c r="G280" s="25"/>
      <c r="I280" s="25" t="str">
        <f>IFERROR(IF(ISBLANK(H280),"",INDEX(Gen_Vessels!$A$3:$C$500,MATCH(H280,Gen_Vessels!$C$3:$C$500,0),1)),"")</f>
        <v/>
      </c>
      <c r="J280" s="25"/>
    </row>
    <row r="281" spans="4:10" x14ac:dyDescent="0.25">
      <c r="D281" s="25"/>
      <c r="F281" s="25" t="str">
        <f>IFERROR(IF(ISBLANK(E281),"",INDEX(Gen_Vessels!$A$3:$C$500,MATCH(E281,Gen_Vessels!$C$3:$C$500,0),1)),"")</f>
        <v/>
      </c>
      <c r="G281" s="25"/>
      <c r="I281" s="25" t="str">
        <f>IFERROR(IF(ISBLANK(H281),"",INDEX(Gen_Vessels!$A$3:$C$500,MATCH(H281,Gen_Vessels!$C$3:$C$500,0),1)),"")</f>
        <v/>
      </c>
      <c r="J281" s="25"/>
    </row>
    <row r="282" spans="4:10" x14ac:dyDescent="0.25">
      <c r="D282" s="25"/>
      <c r="F282" s="25" t="str">
        <f>IFERROR(IF(ISBLANK(E282),"",INDEX(Gen_Vessels!$A$3:$C$500,MATCH(E282,Gen_Vessels!$C$3:$C$500,0),1)),"")</f>
        <v/>
      </c>
      <c r="G282" s="25"/>
      <c r="I282" s="25" t="str">
        <f>IFERROR(IF(ISBLANK(H282),"",INDEX(Gen_Vessels!$A$3:$C$500,MATCH(H282,Gen_Vessels!$C$3:$C$500,0),1)),"")</f>
        <v/>
      </c>
      <c r="J282" s="25"/>
    </row>
    <row r="283" spans="4:10" x14ac:dyDescent="0.25">
      <c r="D283" s="25"/>
      <c r="F283" s="25" t="str">
        <f>IFERROR(IF(ISBLANK(E283),"",INDEX(Gen_Vessels!$A$3:$C$500,MATCH(E283,Gen_Vessels!$C$3:$C$500,0),1)),"")</f>
        <v/>
      </c>
      <c r="G283" s="25"/>
      <c r="I283" s="25" t="str">
        <f>IFERROR(IF(ISBLANK(H283),"",INDEX(Gen_Vessels!$A$3:$C$500,MATCH(H283,Gen_Vessels!$C$3:$C$500,0),1)),"")</f>
        <v/>
      </c>
      <c r="J283" s="25"/>
    </row>
    <row r="284" spans="4:10" x14ac:dyDescent="0.25">
      <c r="D284" s="25"/>
      <c r="F284" s="25" t="str">
        <f>IFERROR(IF(ISBLANK(E284),"",INDEX(Gen_Vessels!$A$3:$C$500,MATCH(E284,Gen_Vessels!$C$3:$C$500,0),1)),"")</f>
        <v/>
      </c>
      <c r="G284" s="25"/>
      <c r="I284" s="25" t="str">
        <f>IFERROR(IF(ISBLANK(H284),"",INDEX(Gen_Vessels!$A$3:$C$500,MATCH(H284,Gen_Vessels!$C$3:$C$500,0),1)),"")</f>
        <v/>
      </c>
      <c r="J284" s="25"/>
    </row>
    <row r="285" spans="4:10" x14ac:dyDescent="0.25">
      <c r="D285" s="25"/>
      <c r="F285" s="25" t="str">
        <f>IFERROR(IF(ISBLANK(E285),"",INDEX(Gen_Vessels!$A$3:$C$500,MATCH(E285,Gen_Vessels!$C$3:$C$500,0),1)),"")</f>
        <v/>
      </c>
      <c r="G285" s="25"/>
      <c r="I285" s="25" t="str">
        <f>IFERROR(IF(ISBLANK(H285),"",INDEX(Gen_Vessels!$A$3:$C$500,MATCH(H285,Gen_Vessels!$C$3:$C$500,0),1)),"")</f>
        <v/>
      </c>
      <c r="J285" s="25"/>
    </row>
    <row r="286" spans="4:10" x14ac:dyDescent="0.25">
      <c r="D286" s="25"/>
      <c r="F286" s="25" t="str">
        <f>IFERROR(IF(ISBLANK(E286),"",INDEX(Gen_Vessels!$A$3:$C$500,MATCH(E286,Gen_Vessels!$C$3:$C$500,0),1)),"")</f>
        <v/>
      </c>
      <c r="G286" s="25"/>
      <c r="I286" s="25" t="str">
        <f>IFERROR(IF(ISBLANK(H286),"",INDEX(Gen_Vessels!$A$3:$C$500,MATCH(H286,Gen_Vessels!$C$3:$C$500,0),1)),"")</f>
        <v/>
      </c>
      <c r="J286" s="25"/>
    </row>
    <row r="287" spans="4:10" x14ac:dyDescent="0.25">
      <c r="D287" s="25"/>
      <c r="F287" s="25" t="str">
        <f>IFERROR(IF(ISBLANK(E287),"",INDEX(Gen_Vessels!$A$3:$C$500,MATCH(E287,Gen_Vessels!$C$3:$C$500,0),1)),"")</f>
        <v/>
      </c>
      <c r="G287" s="25"/>
      <c r="I287" s="25" t="str">
        <f>IFERROR(IF(ISBLANK(H287),"",INDEX(Gen_Vessels!$A$3:$C$500,MATCH(H287,Gen_Vessels!$C$3:$C$500,0),1)),"")</f>
        <v/>
      </c>
      <c r="J287" s="25"/>
    </row>
    <row r="288" spans="4:10" x14ac:dyDescent="0.25">
      <c r="D288" s="25"/>
      <c r="F288" s="25" t="str">
        <f>IFERROR(IF(ISBLANK(E288),"",INDEX(Gen_Vessels!$A$3:$C$500,MATCH(E288,Gen_Vessels!$C$3:$C$500,0),1)),"")</f>
        <v/>
      </c>
      <c r="G288" s="25"/>
      <c r="I288" s="25" t="str">
        <f>IFERROR(IF(ISBLANK(H288),"",INDEX(Gen_Vessels!$A$3:$C$500,MATCH(H288,Gen_Vessels!$C$3:$C$500,0),1)),"")</f>
        <v/>
      </c>
      <c r="J288" s="25"/>
    </row>
    <row r="289" spans="4:10" x14ac:dyDescent="0.25">
      <c r="D289" s="25"/>
      <c r="F289" s="25" t="str">
        <f>IFERROR(IF(ISBLANK(E289),"",INDEX(Gen_Vessels!$A$3:$C$500,MATCH(E289,Gen_Vessels!$C$3:$C$500,0),1)),"")</f>
        <v/>
      </c>
      <c r="G289" s="25"/>
      <c r="I289" s="25" t="str">
        <f>IFERROR(IF(ISBLANK(H289),"",INDEX(Gen_Vessels!$A$3:$C$500,MATCH(H289,Gen_Vessels!$C$3:$C$500,0),1)),"")</f>
        <v/>
      </c>
      <c r="J289" s="25"/>
    </row>
    <row r="290" spans="4:10" x14ac:dyDescent="0.25">
      <c r="D290" s="25"/>
      <c r="F290" s="25" t="str">
        <f>IFERROR(IF(ISBLANK(E290),"",INDEX(Gen_Vessels!$A$3:$C$500,MATCH(E290,Gen_Vessels!$C$3:$C$500,0),1)),"")</f>
        <v/>
      </c>
      <c r="G290" s="25"/>
      <c r="I290" s="25" t="str">
        <f>IFERROR(IF(ISBLANK(H290),"",INDEX(Gen_Vessels!$A$3:$C$500,MATCH(H290,Gen_Vessels!$C$3:$C$500,0),1)),"")</f>
        <v/>
      </c>
      <c r="J290" s="25"/>
    </row>
    <row r="291" spans="4:10" x14ac:dyDescent="0.25">
      <c r="D291" s="25"/>
      <c r="F291" s="25" t="str">
        <f>IFERROR(IF(ISBLANK(E291),"",INDEX(Gen_Vessels!$A$3:$C$500,MATCH(E291,Gen_Vessels!$C$3:$C$500,0),1)),"")</f>
        <v/>
      </c>
      <c r="G291" s="25"/>
      <c r="I291" s="25" t="str">
        <f>IFERROR(IF(ISBLANK(H291),"",INDEX(Gen_Vessels!$A$3:$C$500,MATCH(H291,Gen_Vessels!$C$3:$C$500,0),1)),"")</f>
        <v/>
      </c>
      <c r="J291" s="25"/>
    </row>
    <row r="292" spans="4:10" x14ac:dyDescent="0.25">
      <c r="D292" s="25"/>
      <c r="F292" s="25" t="str">
        <f>IFERROR(IF(ISBLANK(E292),"",INDEX(Gen_Vessels!$A$3:$C$500,MATCH(E292,Gen_Vessels!$C$3:$C$500,0),1)),"")</f>
        <v/>
      </c>
      <c r="G292" s="25"/>
      <c r="I292" s="25" t="str">
        <f>IFERROR(IF(ISBLANK(H292),"",INDEX(Gen_Vessels!$A$3:$C$500,MATCH(H292,Gen_Vessels!$C$3:$C$500,0),1)),"")</f>
        <v/>
      </c>
      <c r="J292" s="25"/>
    </row>
    <row r="293" spans="4:10" x14ac:dyDescent="0.25">
      <c r="D293" s="25"/>
      <c r="F293" s="25" t="str">
        <f>IFERROR(IF(ISBLANK(E293),"",INDEX(Gen_Vessels!$A$3:$C$500,MATCH(E293,Gen_Vessels!$C$3:$C$500,0),1)),"")</f>
        <v/>
      </c>
      <c r="G293" s="25"/>
      <c r="I293" s="25" t="str">
        <f>IFERROR(IF(ISBLANK(H293),"",INDEX(Gen_Vessels!$A$3:$C$500,MATCH(H293,Gen_Vessels!$C$3:$C$500,0),1)),"")</f>
        <v/>
      </c>
      <c r="J293" s="25"/>
    </row>
    <row r="294" spans="4:10" x14ac:dyDescent="0.25">
      <c r="D294" s="25"/>
      <c r="F294" s="25" t="str">
        <f>IFERROR(IF(ISBLANK(E294),"",INDEX(Gen_Vessels!$A$3:$C$500,MATCH(E294,Gen_Vessels!$C$3:$C$500,0),1)),"")</f>
        <v/>
      </c>
      <c r="G294" s="25"/>
      <c r="I294" s="25" t="str">
        <f>IFERROR(IF(ISBLANK(H294),"",INDEX(Gen_Vessels!$A$3:$C$500,MATCH(H294,Gen_Vessels!$C$3:$C$500,0),1)),"")</f>
        <v/>
      </c>
      <c r="J294" s="25"/>
    </row>
    <row r="295" spans="4:10" x14ac:dyDescent="0.25">
      <c r="D295" s="25"/>
      <c r="F295" s="25" t="str">
        <f>IFERROR(IF(ISBLANK(E295),"",INDEX(Gen_Vessels!$A$3:$C$500,MATCH(E295,Gen_Vessels!$C$3:$C$500,0),1)),"")</f>
        <v/>
      </c>
      <c r="G295" s="25"/>
      <c r="I295" s="25" t="str">
        <f>IFERROR(IF(ISBLANK(H295),"",INDEX(Gen_Vessels!$A$3:$C$500,MATCH(H295,Gen_Vessels!$C$3:$C$500,0),1)),"")</f>
        <v/>
      </c>
      <c r="J295" s="25"/>
    </row>
    <row r="296" spans="4:10" x14ac:dyDescent="0.25">
      <c r="D296" s="25"/>
      <c r="F296" s="25" t="str">
        <f>IFERROR(IF(ISBLANK(E296),"",INDEX(Gen_Vessels!$A$3:$C$500,MATCH(E296,Gen_Vessels!$C$3:$C$500,0),1)),"")</f>
        <v/>
      </c>
      <c r="G296" s="25"/>
      <c r="I296" s="25" t="str">
        <f>IFERROR(IF(ISBLANK(H296),"",INDEX(Gen_Vessels!$A$3:$C$500,MATCH(H296,Gen_Vessels!$C$3:$C$500,0),1)),"")</f>
        <v/>
      </c>
      <c r="J296" s="25"/>
    </row>
    <row r="297" spans="4:10" x14ac:dyDescent="0.25">
      <c r="D297" s="25"/>
      <c r="F297" s="25" t="str">
        <f>IFERROR(IF(ISBLANK(E297),"",INDEX(Gen_Vessels!$A$3:$C$500,MATCH(E297,Gen_Vessels!$C$3:$C$500,0),1)),"")</f>
        <v/>
      </c>
      <c r="G297" s="25"/>
      <c r="I297" s="25" t="str">
        <f>IFERROR(IF(ISBLANK(H297),"",INDEX(Gen_Vessels!$A$3:$C$500,MATCH(H297,Gen_Vessels!$C$3:$C$500,0),1)),"")</f>
        <v/>
      </c>
      <c r="J297" s="25"/>
    </row>
    <row r="298" spans="4:10" x14ac:dyDescent="0.25">
      <c r="D298" s="25"/>
      <c r="F298" s="25" t="str">
        <f>IFERROR(IF(ISBLANK(E298),"",INDEX(Gen_Vessels!$A$3:$C$500,MATCH(E298,Gen_Vessels!$C$3:$C$500,0),1)),"")</f>
        <v/>
      </c>
      <c r="G298" s="25"/>
      <c r="I298" s="25" t="str">
        <f>IFERROR(IF(ISBLANK(H298),"",INDEX(Gen_Vessels!$A$3:$C$500,MATCH(H298,Gen_Vessels!$C$3:$C$500,0),1)),"")</f>
        <v/>
      </c>
      <c r="J298" s="25"/>
    </row>
    <row r="299" spans="4:10" x14ac:dyDescent="0.25">
      <c r="D299" s="25"/>
      <c r="F299" s="25" t="str">
        <f>IFERROR(IF(ISBLANK(E299),"",INDEX(Gen_Vessels!$A$3:$C$500,MATCH(E299,Gen_Vessels!$C$3:$C$500,0),1)),"")</f>
        <v/>
      </c>
      <c r="G299" s="25"/>
      <c r="I299" s="25" t="str">
        <f>IFERROR(IF(ISBLANK(H299),"",INDEX(Gen_Vessels!$A$3:$C$500,MATCH(H299,Gen_Vessels!$C$3:$C$500,0),1)),"")</f>
        <v/>
      </c>
      <c r="J299" s="25"/>
    </row>
    <row r="300" spans="4:10" x14ac:dyDescent="0.25">
      <c r="D300" s="25"/>
      <c r="F300" s="25" t="str">
        <f>IFERROR(IF(ISBLANK(E300),"",INDEX(Gen_Vessels!$A$3:$C$500,MATCH(E300,Gen_Vessels!$C$3:$C$500,0),1)),"")</f>
        <v/>
      </c>
      <c r="G300" s="25"/>
      <c r="I300" s="25" t="str">
        <f>IFERROR(IF(ISBLANK(H300),"",INDEX(Gen_Vessels!$A$3:$C$500,MATCH(H300,Gen_Vessels!$C$3:$C$500,0),1)),"")</f>
        <v/>
      </c>
      <c r="J300" s="25"/>
    </row>
    <row r="301" spans="4:10" x14ac:dyDescent="0.25">
      <c r="D301" s="25"/>
      <c r="F301" s="25" t="str">
        <f>IFERROR(IF(ISBLANK(E301),"",INDEX(Gen_Vessels!$A$3:$C$500,MATCH(E301,Gen_Vessels!$C$3:$C$500,0),1)),"")</f>
        <v/>
      </c>
      <c r="G301" s="25"/>
      <c r="I301" s="25" t="str">
        <f>IFERROR(IF(ISBLANK(H301),"",INDEX(Gen_Vessels!$A$3:$C$500,MATCH(H301,Gen_Vessels!$C$3:$C$500,0),1)),"")</f>
        <v/>
      </c>
      <c r="J301" s="25"/>
    </row>
    <row r="302" spans="4:10" x14ac:dyDescent="0.25">
      <c r="D302" s="25"/>
      <c r="F302" s="25" t="str">
        <f>IFERROR(IF(ISBLANK(E302),"",INDEX(Gen_Vessels!$A$3:$C$500,MATCH(E302,Gen_Vessels!$C$3:$C$500,0),1)),"")</f>
        <v/>
      </c>
      <c r="G302" s="25"/>
      <c r="I302" s="25" t="str">
        <f>IFERROR(IF(ISBLANK(H302),"",INDEX(Gen_Vessels!$A$3:$C$500,MATCH(H302,Gen_Vessels!$C$3:$C$500,0),1)),"")</f>
        <v/>
      </c>
      <c r="J302" s="25"/>
    </row>
    <row r="303" spans="4:10" x14ac:dyDescent="0.25">
      <c r="D303" s="25"/>
      <c r="F303" s="25" t="str">
        <f>IFERROR(IF(ISBLANK(E303),"",INDEX(Gen_Vessels!$A$3:$C$500,MATCH(E303,Gen_Vessels!$C$3:$C$500,0),1)),"")</f>
        <v/>
      </c>
      <c r="G303" s="25"/>
      <c r="I303" s="25" t="str">
        <f>IFERROR(IF(ISBLANK(H303),"",INDEX(Gen_Vessels!$A$3:$C$500,MATCH(H303,Gen_Vessels!$C$3:$C$500,0),1)),"")</f>
        <v/>
      </c>
      <c r="J303" s="25"/>
    </row>
    <row r="304" spans="4:10" x14ac:dyDescent="0.25">
      <c r="D304" s="25"/>
      <c r="F304" s="25" t="str">
        <f>IFERROR(IF(ISBLANK(E304),"",INDEX(Gen_Vessels!$A$3:$C$500,MATCH(E304,Gen_Vessels!$C$3:$C$500,0),1)),"")</f>
        <v/>
      </c>
      <c r="G304" s="25"/>
      <c r="I304" s="25" t="str">
        <f>IFERROR(IF(ISBLANK(H304),"",INDEX(Gen_Vessels!$A$3:$C$500,MATCH(H304,Gen_Vessels!$C$3:$C$500,0),1)),"")</f>
        <v/>
      </c>
      <c r="J304" s="25"/>
    </row>
    <row r="305" spans="4:10" x14ac:dyDescent="0.25">
      <c r="D305" s="25"/>
      <c r="F305" s="25" t="str">
        <f>IFERROR(IF(ISBLANK(E305),"",INDEX(Gen_Vessels!$A$3:$C$500,MATCH(E305,Gen_Vessels!$C$3:$C$500,0),1)),"")</f>
        <v/>
      </c>
      <c r="G305" s="25"/>
      <c r="I305" s="25" t="str">
        <f>IFERROR(IF(ISBLANK(H305),"",INDEX(Gen_Vessels!$A$3:$C$500,MATCH(H305,Gen_Vessels!$C$3:$C$500,0),1)),"")</f>
        <v/>
      </c>
      <c r="J305" s="25"/>
    </row>
    <row r="306" spans="4:10" x14ac:dyDescent="0.25">
      <c r="D306" s="25"/>
      <c r="F306" s="25" t="str">
        <f>IFERROR(IF(ISBLANK(E306),"",INDEX(Gen_Vessels!$A$3:$C$500,MATCH(E306,Gen_Vessels!$C$3:$C$500,0),1)),"")</f>
        <v/>
      </c>
      <c r="G306" s="25"/>
      <c r="I306" s="25" t="str">
        <f>IFERROR(IF(ISBLANK(H306),"",INDEX(Gen_Vessels!$A$3:$C$500,MATCH(H306,Gen_Vessels!$C$3:$C$500,0),1)),"")</f>
        <v/>
      </c>
      <c r="J306" s="25"/>
    </row>
    <row r="307" spans="4:10" x14ac:dyDescent="0.25">
      <c r="D307" s="25"/>
      <c r="F307" s="25" t="str">
        <f>IFERROR(IF(ISBLANK(E307),"",INDEX(Gen_Vessels!$A$3:$C$500,MATCH(E307,Gen_Vessels!$C$3:$C$500,0),1)),"")</f>
        <v/>
      </c>
      <c r="G307" s="25"/>
      <c r="I307" s="25" t="str">
        <f>IFERROR(IF(ISBLANK(H307),"",INDEX(Gen_Vessels!$A$3:$C$500,MATCH(H307,Gen_Vessels!$C$3:$C$500,0),1)),"")</f>
        <v/>
      </c>
      <c r="J307" s="25"/>
    </row>
    <row r="308" spans="4:10" x14ac:dyDescent="0.25">
      <c r="D308" s="25"/>
      <c r="F308" s="25" t="str">
        <f>IFERROR(IF(ISBLANK(E308),"",INDEX(Gen_Vessels!$A$3:$C$500,MATCH(E308,Gen_Vessels!$C$3:$C$500,0),1)),"")</f>
        <v/>
      </c>
      <c r="G308" s="25"/>
      <c r="I308" s="25" t="str">
        <f>IFERROR(IF(ISBLANK(H308),"",INDEX(Gen_Vessels!$A$3:$C$500,MATCH(H308,Gen_Vessels!$C$3:$C$500,0),1)),"")</f>
        <v/>
      </c>
      <c r="J308" s="25"/>
    </row>
    <row r="309" spans="4:10" x14ac:dyDescent="0.25">
      <c r="D309" s="25"/>
      <c r="F309" s="25" t="str">
        <f>IFERROR(IF(ISBLANK(E309),"",INDEX(Gen_Vessels!$A$3:$C$500,MATCH(E309,Gen_Vessels!$C$3:$C$500,0),1)),"")</f>
        <v/>
      </c>
      <c r="G309" s="25"/>
      <c r="I309" s="25" t="str">
        <f>IFERROR(IF(ISBLANK(H309),"",INDEX(Gen_Vessels!$A$3:$C$500,MATCH(H309,Gen_Vessels!$C$3:$C$500,0),1)),"")</f>
        <v/>
      </c>
      <c r="J309" s="25"/>
    </row>
    <row r="310" spans="4:10" x14ac:dyDescent="0.25">
      <c r="D310" s="25"/>
      <c r="F310" s="25" t="str">
        <f>IFERROR(IF(ISBLANK(E310),"",INDEX(Gen_Vessels!$A$3:$C$500,MATCH(E310,Gen_Vessels!$C$3:$C$500,0),1)),"")</f>
        <v/>
      </c>
      <c r="G310" s="25"/>
      <c r="I310" s="25" t="str">
        <f>IFERROR(IF(ISBLANK(H310),"",INDEX(Gen_Vessels!$A$3:$C$500,MATCH(H310,Gen_Vessels!$C$3:$C$500,0),1)),"")</f>
        <v/>
      </c>
      <c r="J310" s="25"/>
    </row>
    <row r="311" spans="4:10" x14ac:dyDescent="0.25">
      <c r="D311" s="25"/>
      <c r="F311" s="25" t="str">
        <f>IFERROR(IF(ISBLANK(E311),"",INDEX(Gen_Vessels!$A$3:$C$500,MATCH(E311,Gen_Vessels!$C$3:$C$500,0),1)),"")</f>
        <v/>
      </c>
      <c r="G311" s="25"/>
      <c r="I311" s="25" t="str">
        <f>IFERROR(IF(ISBLANK(H311),"",INDEX(Gen_Vessels!$A$3:$C$500,MATCH(H311,Gen_Vessels!$C$3:$C$500,0),1)),"")</f>
        <v/>
      </c>
      <c r="J311" s="25"/>
    </row>
    <row r="312" spans="4:10" x14ac:dyDescent="0.25">
      <c r="D312" s="25"/>
      <c r="F312" s="25" t="str">
        <f>IFERROR(IF(ISBLANK(E312),"",INDEX(Gen_Vessels!$A$3:$C$500,MATCH(E312,Gen_Vessels!$C$3:$C$500,0),1)),"")</f>
        <v/>
      </c>
      <c r="G312" s="25"/>
      <c r="I312" s="25" t="str">
        <f>IFERROR(IF(ISBLANK(H312),"",INDEX(Gen_Vessels!$A$3:$C$500,MATCH(H312,Gen_Vessels!$C$3:$C$500,0),1)),"")</f>
        <v/>
      </c>
      <c r="J312" s="25"/>
    </row>
    <row r="313" spans="4:10" x14ac:dyDescent="0.25">
      <c r="D313" s="25"/>
      <c r="F313" s="25" t="str">
        <f>IFERROR(IF(ISBLANK(E313),"",INDEX(Gen_Vessels!$A$3:$C$500,MATCH(E313,Gen_Vessels!$C$3:$C$500,0),1)),"")</f>
        <v/>
      </c>
      <c r="G313" s="25"/>
      <c r="I313" s="25" t="str">
        <f>IFERROR(IF(ISBLANK(H313),"",INDEX(Gen_Vessels!$A$3:$C$500,MATCH(H313,Gen_Vessels!$C$3:$C$500,0),1)),"")</f>
        <v/>
      </c>
      <c r="J313" s="25"/>
    </row>
    <row r="314" spans="4:10" x14ac:dyDescent="0.25">
      <c r="D314" s="25"/>
      <c r="F314" s="25" t="str">
        <f>IFERROR(IF(ISBLANK(E314),"",INDEX(Gen_Vessels!$A$3:$C$500,MATCH(E314,Gen_Vessels!$C$3:$C$500,0),1)),"")</f>
        <v/>
      </c>
      <c r="G314" s="25"/>
      <c r="I314" s="25" t="str">
        <f>IFERROR(IF(ISBLANK(H314),"",INDEX(Gen_Vessels!$A$3:$C$500,MATCH(H314,Gen_Vessels!$C$3:$C$500,0),1)),"")</f>
        <v/>
      </c>
      <c r="J314" s="25"/>
    </row>
    <row r="315" spans="4:10" x14ac:dyDescent="0.25">
      <c r="D315" s="25"/>
      <c r="F315" s="25" t="str">
        <f>IFERROR(IF(ISBLANK(E315),"",INDEX(Gen_Vessels!$A$3:$C$500,MATCH(E315,Gen_Vessels!$C$3:$C$500,0),1)),"")</f>
        <v/>
      </c>
      <c r="G315" s="25"/>
      <c r="I315" s="25" t="str">
        <f>IFERROR(IF(ISBLANK(H315),"",INDEX(Gen_Vessels!$A$3:$C$500,MATCH(H315,Gen_Vessels!$C$3:$C$500,0),1)),"")</f>
        <v/>
      </c>
      <c r="J315" s="25"/>
    </row>
    <row r="316" spans="4:10" x14ac:dyDescent="0.25">
      <c r="D316" s="25"/>
      <c r="F316" s="25" t="str">
        <f>IFERROR(IF(ISBLANK(E316),"",INDEX(Gen_Vessels!$A$3:$C$500,MATCH(E316,Gen_Vessels!$C$3:$C$500,0),1)),"")</f>
        <v/>
      </c>
      <c r="G316" s="25"/>
      <c r="I316" s="25" t="str">
        <f>IFERROR(IF(ISBLANK(H316),"",INDEX(Gen_Vessels!$A$3:$C$500,MATCH(H316,Gen_Vessels!$C$3:$C$500,0),1)),"")</f>
        <v/>
      </c>
      <c r="J316" s="25"/>
    </row>
    <row r="317" spans="4:10" x14ac:dyDescent="0.25">
      <c r="D317" s="25"/>
      <c r="F317" s="25" t="str">
        <f>IFERROR(IF(ISBLANK(E317),"",INDEX(Gen_Vessels!$A$3:$C$500,MATCH(E317,Gen_Vessels!$C$3:$C$500,0),1)),"")</f>
        <v/>
      </c>
      <c r="G317" s="25"/>
      <c r="I317" s="25" t="str">
        <f>IFERROR(IF(ISBLANK(H317),"",INDEX(Gen_Vessels!$A$3:$C$500,MATCH(H317,Gen_Vessels!$C$3:$C$500,0),1)),"")</f>
        <v/>
      </c>
      <c r="J317" s="25"/>
    </row>
    <row r="318" spans="4:10" x14ac:dyDescent="0.25">
      <c r="D318" s="25"/>
      <c r="F318" s="25" t="str">
        <f>IFERROR(IF(ISBLANK(E318),"",INDEX(Gen_Vessels!$A$3:$C$500,MATCH(E318,Gen_Vessels!$C$3:$C$500,0),1)),"")</f>
        <v/>
      </c>
      <c r="G318" s="25"/>
      <c r="I318" s="25" t="str">
        <f>IFERROR(IF(ISBLANK(H318),"",INDEX(Gen_Vessels!$A$3:$C$500,MATCH(H318,Gen_Vessels!$C$3:$C$500,0),1)),"")</f>
        <v/>
      </c>
      <c r="J318" s="25"/>
    </row>
    <row r="319" spans="4:10" x14ac:dyDescent="0.25">
      <c r="D319" s="25"/>
      <c r="F319" s="25" t="str">
        <f>IFERROR(IF(ISBLANK(E319),"",INDEX(Gen_Vessels!$A$3:$C$500,MATCH(E319,Gen_Vessels!$C$3:$C$500,0),1)),"")</f>
        <v/>
      </c>
      <c r="G319" s="25"/>
      <c r="I319" s="25" t="str">
        <f>IFERROR(IF(ISBLANK(H319),"",INDEX(Gen_Vessels!$A$3:$C$500,MATCH(H319,Gen_Vessels!$C$3:$C$500,0),1)),"")</f>
        <v/>
      </c>
      <c r="J319" s="25"/>
    </row>
    <row r="320" spans="4:10" x14ac:dyDescent="0.25">
      <c r="D320" s="25"/>
      <c r="F320" s="25" t="str">
        <f>IFERROR(IF(ISBLANK(E320),"",INDEX(Gen_Vessels!$A$3:$C$500,MATCH(E320,Gen_Vessels!$C$3:$C$500,0),1)),"")</f>
        <v/>
      </c>
      <c r="G320" s="25"/>
      <c r="I320" s="25" t="str">
        <f>IFERROR(IF(ISBLANK(H320),"",INDEX(Gen_Vessels!$A$3:$C$500,MATCH(H320,Gen_Vessels!$C$3:$C$500,0),1)),"")</f>
        <v/>
      </c>
      <c r="J320" s="25"/>
    </row>
    <row r="321" spans="4:10" x14ac:dyDescent="0.25">
      <c r="D321" s="25"/>
      <c r="F321" s="25" t="str">
        <f>IFERROR(IF(ISBLANK(E321),"",INDEX(Gen_Vessels!$A$3:$C$500,MATCH(E321,Gen_Vessels!$C$3:$C$500,0),1)),"")</f>
        <v/>
      </c>
      <c r="G321" s="25"/>
      <c r="I321" s="25" t="str">
        <f>IFERROR(IF(ISBLANK(H321),"",INDEX(Gen_Vessels!$A$3:$C$500,MATCH(H321,Gen_Vessels!$C$3:$C$500,0),1)),"")</f>
        <v/>
      </c>
      <c r="J321" s="25"/>
    </row>
    <row r="322" spans="4:10" x14ac:dyDescent="0.25">
      <c r="D322" s="25"/>
      <c r="F322" s="25" t="str">
        <f>IFERROR(IF(ISBLANK(E322),"",INDEX(Gen_Vessels!$A$3:$C$500,MATCH(E322,Gen_Vessels!$C$3:$C$500,0),1)),"")</f>
        <v/>
      </c>
      <c r="G322" s="25"/>
      <c r="I322" s="25" t="str">
        <f>IFERROR(IF(ISBLANK(H322),"",INDEX(Gen_Vessels!$A$3:$C$500,MATCH(H322,Gen_Vessels!$C$3:$C$500,0),1)),"")</f>
        <v/>
      </c>
      <c r="J322" s="25"/>
    </row>
    <row r="323" spans="4:10" x14ac:dyDescent="0.25">
      <c r="D323" s="25"/>
      <c r="F323" s="25" t="str">
        <f>IFERROR(IF(ISBLANK(E323),"",INDEX(Gen_Vessels!$A$3:$C$500,MATCH(E323,Gen_Vessels!$C$3:$C$500,0),1)),"")</f>
        <v/>
      </c>
      <c r="G323" s="25"/>
      <c r="I323" s="25" t="str">
        <f>IFERROR(IF(ISBLANK(H323),"",INDEX(Gen_Vessels!$A$3:$C$500,MATCH(H323,Gen_Vessels!$C$3:$C$500,0),1)),"")</f>
        <v/>
      </c>
      <c r="J323" s="25"/>
    </row>
    <row r="324" spans="4:10" x14ac:dyDescent="0.25">
      <c r="D324" s="25"/>
      <c r="F324" s="25" t="str">
        <f>IFERROR(IF(ISBLANK(E324),"",INDEX(Gen_Vessels!$A$3:$C$500,MATCH(E324,Gen_Vessels!$C$3:$C$500,0),1)),"")</f>
        <v/>
      </c>
      <c r="G324" s="25"/>
      <c r="I324" s="25" t="str">
        <f>IFERROR(IF(ISBLANK(H324),"",INDEX(Gen_Vessels!$A$3:$C$500,MATCH(H324,Gen_Vessels!$C$3:$C$500,0),1)),"")</f>
        <v/>
      </c>
      <c r="J324" s="25"/>
    </row>
    <row r="325" spans="4:10" x14ac:dyDescent="0.25">
      <c r="D325" s="25"/>
      <c r="F325" s="25" t="str">
        <f>IFERROR(IF(ISBLANK(E325),"",INDEX(Gen_Vessels!$A$3:$C$500,MATCH(E325,Gen_Vessels!$C$3:$C$500,0),1)),"")</f>
        <v/>
      </c>
      <c r="G325" s="25"/>
      <c r="I325" s="25" t="str">
        <f>IFERROR(IF(ISBLANK(H325),"",INDEX(Gen_Vessels!$A$3:$C$500,MATCH(H325,Gen_Vessels!$C$3:$C$500,0),1)),"")</f>
        <v/>
      </c>
      <c r="J325" s="25"/>
    </row>
    <row r="326" spans="4:10" x14ac:dyDescent="0.25">
      <c r="D326" s="25"/>
      <c r="F326" s="25" t="str">
        <f>IFERROR(IF(ISBLANK(E326),"",INDEX(Gen_Vessels!$A$3:$C$500,MATCH(E326,Gen_Vessels!$C$3:$C$500,0),1)),"")</f>
        <v/>
      </c>
      <c r="G326" s="25"/>
      <c r="I326" s="25" t="str">
        <f>IFERROR(IF(ISBLANK(H326),"",INDEX(Gen_Vessels!$A$3:$C$500,MATCH(H326,Gen_Vessels!$C$3:$C$500,0),1)),"")</f>
        <v/>
      </c>
      <c r="J326" s="25"/>
    </row>
    <row r="327" spans="4:10" x14ac:dyDescent="0.25">
      <c r="D327" s="25"/>
      <c r="F327" s="25" t="str">
        <f>IFERROR(IF(ISBLANK(E327),"",INDEX(Gen_Vessels!$A$3:$C$500,MATCH(E327,Gen_Vessels!$C$3:$C$500,0),1)),"")</f>
        <v/>
      </c>
      <c r="G327" s="25"/>
      <c r="I327" s="25" t="str">
        <f>IFERROR(IF(ISBLANK(H327),"",INDEX(Gen_Vessels!$A$3:$C$500,MATCH(H327,Gen_Vessels!$C$3:$C$500,0),1)),"")</f>
        <v/>
      </c>
      <c r="J327" s="25"/>
    </row>
    <row r="328" spans="4:10" x14ac:dyDescent="0.25">
      <c r="D328" s="25"/>
      <c r="F328" s="25" t="str">
        <f>IFERROR(IF(ISBLANK(E328),"",INDEX(Gen_Vessels!$A$3:$C$500,MATCH(E328,Gen_Vessels!$C$3:$C$500,0),1)),"")</f>
        <v/>
      </c>
      <c r="G328" s="25"/>
      <c r="I328" s="25" t="str">
        <f>IFERROR(IF(ISBLANK(H328),"",INDEX(Gen_Vessels!$A$3:$C$500,MATCH(H328,Gen_Vessels!$C$3:$C$500,0),1)),"")</f>
        <v/>
      </c>
      <c r="J328" s="25"/>
    </row>
    <row r="329" spans="4:10" x14ac:dyDescent="0.25">
      <c r="D329" s="25"/>
      <c r="F329" s="25" t="str">
        <f>IFERROR(IF(ISBLANK(E329),"",INDEX(Gen_Vessels!$A$3:$C$500,MATCH(E329,Gen_Vessels!$C$3:$C$500,0),1)),"")</f>
        <v/>
      </c>
      <c r="G329" s="25"/>
      <c r="I329" s="25" t="str">
        <f>IFERROR(IF(ISBLANK(H329),"",INDEX(Gen_Vessels!$A$3:$C$500,MATCH(H329,Gen_Vessels!$C$3:$C$500,0),1)),"")</f>
        <v/>
      </c>
      <c r="J329" s="25"/>
    </row>
    <row r="330" spans="4:10" x14ac:dyDescent="0.25">
      <c r="D330" s="25"/>
      <c r="F330" s="25" t="str">
        <f>IFERROR(IF(ISBLANK(E330),"",INDEX(Gen_Vessels!$A$3:$C$500,MATCH(E330,Gen_Vessels!$C$3:$C$500,0),1)),"")</f>
        <v/>
      </c>
      <c r="G330" s="25"/>
      <c r="I330" s="25" t="str">
        <f>IFERROR(IF(ISBLANK(H330),"",INDEX(Gen_Vessels!$A$3:$C$500,MATCH(H330,Gen_Vessels!$C$3:$C$500,0),1)),"")</f>
        <v/>
      </c>
      <c r="J330" s="25"/>
    </row>
    <row r="331" spans="4:10" x14ac:dyDescent="0.25">
      <c r="D331" s="25"/>
      <c r="F331" s="25" t="str">
        <f>IFERROR(IF(ISBLANK(E331),"",INDEX(Gen_Vessels!$A$3:$C$500,MATCH(E331,Gen_Vessels!$C$3:$C$500,0),1)),"")</f>
        <v/>
      </c>
      <c r="G331" s="25"/>
      <c r="I331" s="25" t="str">
        <f>IFERROR(IF(ISBLANK(H331),"",INDEX(Gen_Vessels!$A$3:$C$500,MATCH(H331,Gen_Vessels!$C$3:$C$500,0),1)),"")</f>
        <v/>
      </c>
      <c r="J331" s="25"/>
    </row>
    <row r="332" spans="4:10" x14ac:dyDescent="0.25">
      <c r="D332" s="25"/>
      <c r="F332" s="25" t="str">
        <f>IFERROR(IF(ISBLANK(E332),"",INDEX(Gen_Vessels!$A$3:$C$500,MATCH(E332,Gen_Vessels!$C$3:$C$500,0),1)),"")</f>
        <v/>
      </c>
      <c r="G332" s="25"/>
      <c r="I332" s="25" t="str">
        <f>IFERROR(IF(ISBLANK(H332),"",INDEX(Gen_Vessels!$A$3:$C$500,MATCH(H332,Gen_Vessels!$C$3:$C$500,0),1)),"")</f>
        <v/>
      </c>
      <c r="J332" s="25"/>
    </row>
    <row r="333" spans="4:10" x14ac:dyDescent="0.25">
      <c r="D333" s="25"/>
      <c r="F333" s="25" t="str">
        <f>IFERROR(IF(ISBLANK(E333),"",INDEX(Gen_Vessels!$A$3:$C$500,MATCH(E333,Gen_Vessels!$C$3:$C$500,0),1)),"")</f>
        <v/>
      </c>
      <c r="G333" s="25"/>
      <c r="I333" s="25" t="str">
        <f>IFERROR(IF(ISBLANK(H333),"",INDEX(Gen_Vessels!$A$3:$C$500,MATCH(H333,Gen_Vessels!$C$3:$C$500,0),1)),"")</f>
        <v/>
      </c>
      <c r="J333" s="25"/>
    </row>
    <row r="334" spans="4:10" x14ac:dyDescent="0.25">
      <c r="D334" s="25"/>
      <c r="F334" s="25" t="str">
        <f>IFERROR(IF(ISBLANK(E334),"",INDEX(Gen_Vessels!$A$3:$C$500,MATCH(E334,Gen_Vessels!$C$3:$C$500,0),1)),"")</f>
        <v/>
      </c>
      <c r="G334" s="25"/>
      <c r="I334" s="25" t="str">
        <f>IFERROR(IF(ISBLANK(H334),"",INDEX(Gen_Vessels!$A$3:$C$500,MATCH(H334,Gen_Vessels!$C$3:$C$500,0),1)),"")</f>
        <v/>
      </c>
      <c r="J334" s="25"/>
    </row>
    <row r="335" spans="4:10" x14ac:dyDescent="0.25">
      <c r="D335" s="25"/>
      <c r="F335" s="25" t="str">
        <f>IFERROR(IF(ISBLANK(E335),"",INDEX(Gen_Vessels!$A$3:$C$500,MATCH(E335,Gen_Vessels!$C$3:$C$500,0),1)),"")</f>
        <v/>
      </c>
      <c r="G335" s="25"/>
      <c r="I335" s="25" t="str">
        <f>IFERROR(IF(ISBLANK(H335),"",INDEX(Gen_Vessels!$A$3:$C$500,MATCH(H335,Gen_Vessels!$C$3:$C$500,0),1)),"")</f>
        <v/>
      </c>
      <c r="J335" s="25"/>
    </row>
    <row r="336" spans="4:10" x14ac:dyDescent="0.25">
      <c r="D336" s="25"/>
      <c r="F336" s="25" t="str">
        <f>IFERROR(IF(ISBLANK(E336),"",INDEX(Gen_Vessels!$A$3:$C$500,MATCH(E336,Gen_Vessels!$C$3:$C$500,0),1)),"")</f>
        <v/>
      </c>
      <c r="G336" s="25"/>
      <c r="I336" s="25" t="str">
        <f>IFERROR(IF(ISBLANK(H336),"",INDEX(Gen_Vessels!$A$3:$C$500,MATCH(H336,Gen_Vessels!$C$3:$C$500,0),1)),"")</f>
        <v/>
      </c>
      <c r="J336" s="25"/>
    </row>
    <row r="337" spans="4:10" x14ac:dyDescent="0.25">
      <c r="D337" s="25"/>
      <c r="F337" s="25" t="str">
        <f>IFERROR(IF(ISBLANK(E337),"",INDEX(Gen_Vessels!$A$3:$C$500,MATCH(E337,Gen_Vessels!$C$3:$C$500,0),1)),"")</f>
        <v/>
      </c>
      <c r="G337" s="25"/>
      <c r="I337" s="25" t="str">
        <f>IFERROR(IF(ISBLANK(H337),"",INDEX(Gen_Vessels!$A$3:$C$500,MATCH(H337,Gen_Vessels!$C$3:$C$500,0),1)),"")</f>
        <v/>
      </c>
      <c r="J337" s="25"/>
    </row>
    <row r="338" spans="4:10" x14ac:dyDescent="0.25">
      <c r="D338" s="25"/>
      <c r="F338" s="25" t="str">
        <f>IFERROR(IF(ISBLANK(E338),"",INDEX(Gen_Vessels!$A$3:$C$500,MATCH(E338,Gen_Vessels!$C$3:$C$500,0),1)),"")</f>
        <v/>
      </c>
      <c r="G338" s="25"/>
      <c r="I338" s="25" t="str">
        <f>IFERROR(IF(ISBLANK(H338),"",INDEX(Gen_Vessels!$A$3:$C$500,MATCH(H338,Gen_Vessels!$C$3:$C$500,0),1)),"")</f>
        <v/>
      </c>
      <c r="J338" s="25"/>
    </row>
    <row r="339" spans="4:10" x14ac:dyDescent="0.25">
      <c r="D339" s="25"/>
      <c r="F339" s="25" t="str">
        <f>IFERROR(IF(ISBLANK(E339),"",INDEX(Gen_Vessels!$A$3:$C$500,MATCH(E339,Gen_Vessels!$C$3:$C$500,0),1)),"")</f>
        <v/>
      </c>
      <c r="G339" s="25"/>
      <c r="I339" s="25" t="str">
        <f>IFERROR(IF(ISBLANK(H339),"",INDEX(Gen_Vessels!$A$3:$C$500,MATCH(H339,Gen_Vessels!$C$3:$C$500,0),1)),"")</f>
        <v/>
      </c>
      <c r="J339" s="25"/>
    </row>
    <row r="340" spans="4:10" x14ac:dyDescent="0.25">
      <c r="D340" s="25"/>
      <c r="F340" s="25" t="str">
        <f>IFERROR(IF(ISBLANK(E340),"",INDEX(Gen_Vessels!$A$3:$C$500,MATCH(E340,Gen_Vessels!$C$3:$C$500,0),1)),"")</f>
        <v/>
      </c>
      <c r="G340" s="25"/>
      <c r="I340" s="25" t="str">
        <f>IFERROR(IF(ISBLANK(H340),"",INDEX(Gen_Vessels!$A$3:$C$500,MATCH(H340,Gen_Vessels!$C$3:$C$500,0),1)),"")</f>
        <v/>
      </c>
      <c r="J340" s="25"/>
    </row>
    <row r="341" spans="4:10" x14ac:dyDescent="0.25">
      <c r="D341" s="25"/>
      <c r="F341" s="25" t="str">
        <f>IFERROR(IF(ISBLANK(E341),"",INDEX(Gen_Vessels!$A$3:$C$500,MATCH(E341,Gen_Vessels!$C$3:$C$500,0),1)),"")</f>
        <v/>
      </c>
      <c r="G341" s="25"/>
      <c r="I341" s="25" t="str">
        <f>IFERROR(IF(ISBLANK(H341),"",INDEX(Gen_Vessels!$A$3:$C$500,MATCH(H341,Gen_Vessels!$C$3:$C$500,0),1)),"")</f>
        <v/>
      </c>
      <c r="J341" s="25"/>
    </row>
    <row r="342" spans="4:10" x14ac:dyDescent="0.25">
      <c r="D342" s="25"/>
      <c r="F342" s="25" t="str">
        <f>IFERROR(IF(ISBLANK(E342),"",INDEX(Gen_Vessels!$A$3:$C$500,MATCH(E342,Gen_Vessels!$C$3:$C$500,0),1)),"")</f>
        <v/>
      </c>
      <c r="G342" s="25"/>
      <c r="I342" s="25" t="str">
        <f>IFERROR(IF(ISBLANK(H342),"",INDEX(Gen_Vessels!$A$3:$C$500,MATCH(H342,Gen_Vessels!$C$3:$C$500,0),1)),"")</f>
        <v/>
      </c>
      <c r="J342" s="25"/>
    </row>
    <row r="343" spans="4:10" x14ac:dyDescent="0.25">
      <c r="D343" s="25"/>
      <c r="F343" s="25" t="str">
        <f>IFERROR(IF(ISBLANK(E343),"",INDEX(Gen_Vessels!$A$3:$C$500,MATCH(E343,Gen_Vessels!$C$3:$C$500,0),1)),"")</f>
        <v/>
      </c>
      <c r="G343" s="25"/>
      <c r="I343" s="25" t="str">
        <f>IFERROR(IF(ISBLANK(H343),"",INDEX(Gen_Vessels!$A$3:$C$500,MATCH(H343,Gen_Vessels!$C$3:$C$500,0),1)),"")</f>
        <v/>
      </c>
      <c r="J343" s="25"/>
    </row>
    <row r="344" spans="4:10" x14ac:dyDescent="0.25">
      <c r="D344" s="25"/>
      <c r="F344" s="25" t="str">
        <f>IFERROR(IF(ISBLANK(E344),"",INDEX(Gen_Vessels!$A$3:$C$500,MATCH(E344,Gen_Vessels!$C$3:$C$500,0),1)),"")</f>
        <v/>
      </c>
      <c r="G344" s="25"/>
      <c r="I344" s="25" t="str">
        <f>IFERROR(IF(ISBLANK(H344),"",INDEX(Gen_Vessels!$A$3:$C$500,MATCH(H344,Gen_Vessels!$C$3:$C$500,0),1)),"")</f>
        <v/>
      </c>
      <c r="J344" s="25"/>
    </row>
    <row r="345" spans="4:10" x14ac:dyDescent="0.25">
      <c r="D345" s="25"/>
      <c r="F345" s="25" t="str">
        <f>IFERROR(IF(ISBLANK(E345),"",INDEX(Gen_Vessels!$A$3:$C$500,MATCH(E345,Gen_Vessels!$C$3:$C$500,0),1)),"")</f>
        <v/>
      </c>
      <c r="G345" s="25"/>
      <c r="I345" s="25" t="str">
        <f>IFERROR(IF(ISBLANK(H345),"",INDEX(Gen_Vessels!$A$3:$C$500,MATCH(H345,Gen_Vessels!$C$3:$C$500,0),1)),"")</f>
        <v/>
      </c>
      <c r="J345" s="25"/>
    </row>
    <row r="346" spans="4:10" x14ac:dyDescent="0.25">
      <c r="D346" s="25"/>
      <c r="F346" s="25" t="str">
        <f>IFERROR(IF(ISBLANK(E346),"",INDEX(Gen_Vessels!$A$3:$C$500,MATCH(E346,Gen_Vessels!$C$3:$C$500,0),1)),"")</f>
        <v/>
      </c>
      <c r="G346" s="25"/>
      <c r="I346" s="25" t="str">
        <f>IFERROR(IF(ISBLANK(H346),"",INDEX(Gen_Vessels!$A$3:$C$500,MATCH(H346,Gen_Vessels!$C$3:$C$500,0),1)),"")</f>
        <v/>
      </c>
      <c r="J346" s="25"/>
    </row>
    <row r="347" spans="4:10" x14ac:dyDescent="0.25">
      <c r="D347" s="25"/>
      <c r="F347" s="25" t="str">
        <f>IFERROR(IF(ISBLANK(E347),"",INDEX(Gen_Vessels!$A$3:$C$500,MATCH(E347,Gen_Vessels!$C$3:$C$500,0),1)),"")</f>
        <v/>
      </c>
      <c r="G347" s="25"/>
      <c r="I347" s="25" t="str">
        <f>IFERROR(IF(ISBLANK(H347),"",INDEX(Gen_Vessels!$A$3:$C$500,MATCH(H347,Gen_Vessels!$C$3:$C$500,0),1)),"")</f>
        <v/>
      </c>
      <c r="J347" s="25"/>
    </row>
    <row r="348" spans="4:10" x14ac:dyDescent="0.25">
      <c r="D348" s="25"/>
      <c r="F348" s="25" t="str">
        <f>IFERROR(IF(ISBLANK(E348),"",INDEX(Gen_Vessels!$A$3:$C$500,MATCH(E348,Gen_Vessels!$C$3:$C$500,0),1)),"")</f>
        <v/>
      </c>
      <c r="G348" s="25"/>
      <c r="I348" s="25" t="str">
        <f>IFERROR(IF(ISBLANK(H348),"",INDEX(Gen_Vessels!$A$3:$C$500,MATCH(H348,Gen_Vessels!$C$3:$C$500,0),1)),"")</f>
        <v/>
      </c>
      <c r="J348" s="25"/>
    </row>
    <row r="349" spans="4:10" x14ac:dyDescent="0.25">
      <c r="D349" s="25"/>
      <c r="F349" s="25" t="str">
        <f>IFERROR(IF(ISBLANK(E349),"",INDEX(Gen_Vessels!$A$3:$C$500,MATCH(E349,Gen_Vessels!$C$3:$C$500,0),1)),"")</f>
        <v/>
      </c>
      <c r="G349" s="25"/>
      <c r="I349" s="25" t="str">
        <f>IFERROR(IF(ISBLANK(H349),"",INDEX(Gen_Vessels!$A$3:$C$500,MATCH(H349,Gen_Vessels!$C$3:$C$500,0),1)),"")</f>
        <v/>
      </c>
      <c r="J349" s="25"/>
    </row>
    <row r="350" spans="4:10" x14ac:dyDescent="0.25">
      <c r="D350" s="25"/>
      <c r="F350" s="25" t="str">
        <f>IFERROR(IF(ISBLANK(E350),"",INDEX(Gen_Vessels!$A$3:$C$500,MATCH(E350,Gen_Vessels!$C$3:$C$500,0),1)),"")</f>
        <v/>
      </c>
      <c r="G350" s="25"/>
      <c r="I350" s="25" t="str">
        <f>IFERROR(IF(ISBLANK(H350),"",INDEX(Gen_Vessels!$A$3:$C$500,MATCH(H350,Gen_Vessels!$C$3:$C$500,0),1)),"")</f>
        <v/>
      </c>
      <c r="J350" s="25"/>
    </row>
    <row r="351" spans="4:10" x14ac:dyDescent="0.25">
      <c r="D351" s="25"/>
      <c r="F351" s="25" t="str">
        <f>IFERROR(IF(ISBLANK(E351),"",INDEX(Gen_Vessels!$A$3:$C$500,MATCH(E351,Gen_Vessels!$C$3:$C$500,0),1)),"")</f>
        <v/>
      </c>
      <c r="G351" s="25"/>
      <c r="I351" s="25" t="str">
        <f>IFERROR(IF(ISBLANK(H351),"",INDEX(Gen_Vessels!$A$3:$C$500,MATCH(H351,Gen_Vessels!$C$3:$C$500,0),1)),"")</f>
        <v/>
      </c>
      <c r="J351" s="25"/>
    </row>
    <row r="352" spans="4:10" x14ac:dyDescent="0.25">
      <c r="D352" s="25"/>
      <c r="F352" s="25" t="str">
        <f>IFERROR(IF(ISBLANK(E352),"",INDEX(Gen_Vessels!$A$3:$C$500,MATCH(E352,Gen_Vessels!$C$3:$C$500,0),1)),"")</f>
        <v/>
      </c>
      <c r="G352" s="25"/>
      <c r="I352" s="25" t="str">
        <f>IFERROR(IF(ISBLANK(H352),"",INDEX(Gen_Vessels!$A$3:$C$500,MATCH(H352,Gen_Vessels!$C$3:$C$500,0),1)),"")</f>
        <v/>
      </c>
      <c r="J352" s="25"/>
    </row>
    <row r="353" spans="4:10" x14ac:dyDescent="0.25">
      <c r="D353" s="25"/>
      <c r="F353" s="25" t="str">
        <f>IFERROR(IF(ISBLANK(E353),"",INDEX(Gen_Vessels!$A$3:$C$500,MATCH(E353,Gen_Vessels!$C$3:$C$500,0),1)),"")</f>
        <v/>
      </c>
      <c r="G353" s="25"/>
      <c r="I353" s="25" t="str">
        <f>IFERROR(IF(ISBLANK(H353),"",INDEX(Gen_Vessels!$A$3:$C$500,MATCH(H353,Gen_Vessels!$C$3:$C$500,0),1)),"")</f>
        <v/>
      </c>
      <c r="J353" s="25"/>
    </row>
    <row r="354" spans="4:10" x14ac:dyDescent="0.25">
      <c r="D354" s="25"/>
      <c r="F354" s="25" t="str">
        <f>IFERROR(IF(ISBLANK(E354),"",INDEX(Gen_Vessels!$A$3:$C$500,MATCH(E354,Gen_Vessels!$C$3:$C$500,0),1)),"")</f>
        <v/>
      </c>
      <c r="G354" s="25"/>
      <c r="I354" s="25" t="str">
        <f>IFERROR(IF(ISBLANK(H354),"",INDEX(Gen_Vessels!$A$3:$C$500,MATCH(H354,Gen_Vessels!$C$3:$C$500,0),1)),"")</f>
        <v/>
      </c>
      <c r="J354" s="25"/>
    </row>
    <row r="355" spans="4:10" x14ac:dyDescent="0.25">
      <c r="D355" s="25"/>
      <c r="F355" s="25" t="str">
        <f>IFERROR(IF(ISBLANK(E355),"",INDEX(Gen_Vessels!$A$3:$C$500,MATCH(E355,Gen_Vessels!$C$3:$C$500,0),1)),"")</f>
        <v/>
      </c>
      <c r="G355" s="25"/>
      <c r="I355" s="25" t="str">
        <f>IFERROR(IF(ISBLANK(H355),"",INDEX(Gen_Vessels!$A$3:$C$500,MATCH(H355,Gen_Vessels!$C$3:$C$500,0),1)),"")</f>
        <v/>
      </c>
      <c r="J355" s="25"/>
    </row>
    <row r="356" spans="4:10" x14ac:dyDescent="0.25">
      <c r="D356" s="25"/>
      <c r="F356" s="25" t="str">
        <f>IFERROR(IF(ISBLANK(E356),"",INDEX(Gen_Vessels!$A$3:$C$500,MATCH(E356,Gen_Vessels!$C$3:$C$500,0),1)),"")</f>
        <v/>
      </c>
      <c r="G356" s="25"/>
      <c r="I356" s="25" t="str">
        <f>IFERROR(IF(ISBLANK(H356),"",INDEX(Gen_Vessels!$A$3:$C$500,MATCH(H356,Gen_Vessels!$C$3:$C$500,0),1)),"")</f>
        <v/>
      </c>
      <c r="J356" s="25"/>
    </row>
    <row r="357" spans="4:10" x14ac:dyDescent="0.25">
      <c r="D357" s="25"/>
      <c r="F357" s="25" t="str">
        <f>IFERROR(IF(ISBLANK(E357),"",INDEX(Gen_Vessels!$A$3:$C$500,MATCH(E357,Gen_Vessels!$C$3:$C$500,0),1)),"")</f>
        <v/>
      </c>
      <c r="G357" s="25"/>
      <c r="I357" s="25" t="str">
        <f>IFERROR(IF(ISBLANK(H357),"",INDEX(Gen_Vessels!$A$3:$C$500,MATCH(H357,Gen_Vessels!$C$3:$C$500,0),1)),"")</f>
        <v/>
      </c>
      <c r="J357" s="25"/>
    </row>
    <row r="358" spans="4:10" x14ac:dyDescent="0.25">
      <c r="D358" s="25"/>
      <c r="F358" s="25" t="str">
        <f>IFERROR(IF(ISBLANK(E358),"",INDEX(Gen_Vessels!$A$3:$C$500,MATCH(E358,Gen_Vessels!$C$3:$C$500,0),1)),"")</f>
        <v/>
      </c>
      <c r="G358" s="25"/>
      <c r="I358" s="25" t="str">
        <f>IFERROR(IF(ISBLANK(H358),"",INDEX(Gen_Vessels!$A$3:$C$500,MATCH(H358,Gen_Vessels!$C$3:$C$500,0),1)),"")</f>
        <v/>
      </c>
      <c r="J358" s="25"/>
    </row>
    <row r="359" spans="4:10" x14ac:dyDescent="0.25">
      <c r="D359" s="25"/>
      <c r="F359" s="25" t="str">
        <f>IFERROR(IF(ISBLANK(E359),"",INDEX(Gen_Vessels!$A$3:$C$500,MATCH(E359,Gen_Vessels!$C$3:$C$500,0),1)),"")</f>
        <v/>
      </c>
      <c r="G359" s="25"/>
      <c r="I359" s="25" t="str">
        <f>IFERROR(IF(ISBLANK(H359),"",INDEX(Gen_Vessels!$A$3:$C$500,MATCH(H359,Gen_Vessels!$C$3:$C$500,0),1)),"")</f>
        <v/>
      </c>
      <c r="J359" s="25"/>
    </row>
    <row r="360" spans="4:10" x14ac:dyDescent="0.25">
      <c r="D360" s="25"/>
      <c r="F360" s="25" t="str">
        <f>IFERROR(IF(ISBLANK(E360),"",INDEX(Gen_Vessels!$A$3:$C$500,MATCH(E360,Gen_Vessels!$C$3:$C$500,0),1)),"")</f>
        <v/>
      </c>
      <c r="G360" s="25"/>
      <c r="I360" s="25" t="str">
        <f>IFERROR(IF(ISBLANK(H360),"",INDEX(Gen_Vessels!$A$3:$C$500,MATCH(H360,Gen_Vessels!$C$3:$C$500,0),1)),"")</f>
        <v/>
      </c>
      <c r="J360" s="25"/>
    </row>
    <row r="361" spans="4:10" x14ac:dyDescent="0.25">
      <c r="D361" s="25"/>
      <c r="F361" s="25" t="str">
        <f>IFERROR(IF(ISBLANK(E361),"",INDEX(Gen_Vessels!$A$3:$C$500,MATCH(E361,Gen_Vessels!$C$3:$C$500,0),1)),"")</f>
        <v/>
      </c>
      <c r="G361" s="25"/>
      <c r="I361" s="25" t="str">
        <f>IFERROR(IF(ISBLANK(H361),"",INDEX(Gen_Vessels!$A$3:$C$500,MATCH(H361,Gen_Vessels!$C$3:$C$500,0),1)),"")</f>
        <v/>
      </c>
      <c r="J361" s="25"/>
    </row>
    <row r="362" spans="4:10" x14ac:dyDescent="0.25">
      <c r="D362" s="25"/>
      <c r="F362" s="25" t="str">
        <f>IFERROR(IF(ISBLANK(E362),"",INDEX(Gen_Vessels!$A$3:$C$500,MATCH(E362,Gen_Vessels!$C$3:$C$500,0),1)),"")</f>
        <v/>
      </c>
      <c r="G362" s="25"/>
      <c r="I362" s="25" t="str">
        <f>IFERROR(IF(ISBLANK(H362),"",INDEX(Gen_Vessels!$A$3:$C$500,MATCH(H362,Gen_Vessels!$C$3:$C$500,0),1)),"")</f>
        <v/>
      </c>
      <c r="J362" s="25"/>
    </row>
    <row r="363" spans="4:10" x14ac:dyDescent="0.25">
      <c r="D363" s="25"/>
      <c r="F363" s="25" t="str">
        <f>IFERROR(IF(ISBLANK(E363),"",INDEX(Gen_Vessels!$A$3:$C$500,MATCH(E363,Gen_Vessels!$C$3:$C$500,0),1)),"")</f>
        <v/>
      </c>
      <c r="G363" s="25"/>
      <c r="I363" s="25" t="str">
        <f>IFERROR(IF(ISBLANK(H363),"",INDEX(Gen_Vessels!$A$3:$C$500,MATCH(H363,Gen_Vessels!$C$3:$C$500,0),1)),"")</f>
        <v/>
      </c>
      <c r="J363" s="25"/>
    </row>
    <row r="364" spans="4:10" x14ac:dyDescent="0.25">
      <c r="D364" s="25"/>
      <c r="F364" s="25" t="str">
        <f>IFERROR(IF(ISBLANK(E364),"",INDEX(Gen_Vessels!$A$3:$C$500,MATCH(E364,Gen_Vessels!$C$3:$C$500,0),1)),"")</f>
        <v/>
      </c>
      <c r="G364" s="25"/>
      <c r="I364" s="25" t="str">
        <f>IFERROR(IF(ISBLANK(H364),"",INDEX(Gen_Vessels!$A$3:$C$500,MATCH(H364,Gen_Vessels!$C$3:$C$500,0),1)),"")</f>
        <v/>
      </c>
      <c r="J364" s="25"/>
    </row>
    <row r="365" spans="4:10" x14ac:dyDescent="0.25">
      <c r="D365" s="25"/>
      <c r="F365" s="25" t="str">
        <f>IFERROR(IF(ISBLANK(E365),"",INDEX(Gen_Vessels!$A$3:$C$500,MATCH(E365,Gen_Vessels!$C$3:$C$500,0),1)),"")</f>
        <v/>
      </c>
      <c r="G365" s="25"/>
      <c r="I365" s="25" t="str">
        <f>IFERROR(IF(ISBLANK(H365),"",INDEX(Gen_Vessels!$A$3:$C$500,MATCH(H365,Gen_Vessels!$C$3:$C$500,0),1)),"")</f>
        <v/>
      </c>
      <c r="J365" s="25"/>
    </row>
    <row r="366" spans="4:10" x14ac:dyDescent="0.25">
      <c r="D366" s="25"/>
      <c r="F366" s="25" t="str">
        <f>IFERROR(IF(ISBLANK(E366),"",INDEX(Gen_Vessels!$A$3:$C$500,MATCH(E366,Gen_Vessels!$C$3:$C$500,0),1)),"")</f>
        <v/>
      </c>
      <c r="G366" s="25"/>
      <c r="I366" s="25" t="str">
        <f>IFERROR(IF(ISBLANK(H366),"",INDEX(Gen_Vessels!$A$3:$C$500,MATCH(H366,Gen_Vessels!$C$3:$C$500,0),1)),"")</f>
        <v/>
      </c>
      <c r="J366" s="25"/>
    </row>
    <row r="367" spans="4:10" x14ac:dyDescent="0.25">
      <c r="D367" s="25"/>
      <c r="F367" s="25" t="str">
        <f>IFERROR(IF(ISBLANK(E367),"",INDEX(Gen_Vessels!$A$3:$C$500,MATCH(E367,Gen_Vessels!$C$3:$C$500,0),1)),"")</f>
        <v/>
      </c>
      <c r="G367" s="25"/>
      <c r="I367" s="25" t="str">
        <f>IFERROR(IF(ISBLANK(H367),"",INDEX(Gen_Vessels!$A$3:$C$500,MATCH(H367,Gen_Vessels!$C$3:$C$500,0),1)),"")</f>
        <v/>
      </c>
      <c r="J367" s="25"/>
    </row>
    <row r="368" spans="4:10" x14ac:dyDescent="0.25">
      <c r="D368" s="25"/>
      <c r="F368" s="25" t="str">
        <f>IFERROR(IF(ISBLANK(E368),"",INDEX(Gen_Vessels!$A$3:$C$500,MATCH(E368,Gen_Vessels!$C$3:$C$500,0),1)),"")</f>
        <v/>
      </c>
      <c r="G368" s="25"/>
      <c r="I368" s="25" t="str">
        <f>IFERROR(IF(ISBLANK(H368),"",INDEX(Gen_Vessels!$A$3:$C$500,MATCH(H368,Gen_Vessels!$C$3:$C$500,0),1)),"")</f>
        <v/>
      </c>
      <c r="J368" s="25"/>
    </row>
    <row r="369" spans="4:10" x14ac:dyDescent="0.25">
      <c r="D369" s="25"/>
      <c r="F369" s="25" t="str">
        <f>IFERROR(IF(ISBLANK(E369),"",INDEX(Gen_Vessels!$A$3:$C$500,MATCH(E369,Gen_Vessels!$C$3:$C$500,0),1)),"")</f>
        <v/>
      </c>
      <c r="G369" s="25"/>
      <c r="I369" s="25" t="str">
        <f>IFERROR(IF(ISBLANK(H369),"",INDEX(Gen_Vessels!$A$3:$C$500,MATCH(H369,Gen_Vessels!$C$3:$C$500,0),1)),"")</f>
        <v/>
      </c>
      <c r="J369" s="25"/>
    </row>
    <row r="370" spans="4:10" x14ac:dyDescent="0.25">
      <c r="D370" s="25"/>
      <c r="F370" s="25" t="str">
        <f>IFERROR(IF(ISBLANK(E370),"",INDEX(Gen_Vessels!$A$3:$C$500,MATCH(E370,Gen_Vessels!$C$3:$C$500,0),1)),"")</f>
        <v/>
      </c>
      <c r="G370" s="25"/>
      <c r="I370" s="25" t="str">
        <f>IFERROR(IF(ISBLANK(H370),"",INDEX(Gen_Vessels!$A$3:$C$500,MATCH(H370,Gen_Vessels!$C$3:$C$500,0),1)),"")</f>
        <v/>
      </c>
      <c r="J370" s="25"/>
    </row>
    <row r="371" spans="4:10" x14ac:dyDescent="0.25">
      <c r="D371" s="25"/>
      <c r="F371" s="25" t="str">
        <f>IFERROR(IF(ISBLANK(E371),"",INDEX(Gen_Vessels!$A$3:$C$500,MATCH(E371,Gen_Vessels!$C$3:$C$500,0),1)),"")</f>
        <v/>
      </c>
      <c r="G371" s="25"/>
      <c r="I371" s="25" t="str">
        <f>IFERROR(IF(ISBLANK(H371),"",INDEX(Gen_Vessels!$A$3:$C$500,MATCH(H371,Gen_Vessels!$C$3:$C$500,0),1)),"")</f>
        <v/>
      </c>
      <c r="J371" s="25"/>
    </row>
    <row r="372" spans="4:10" x14ac:dyDescent="0.25">
      <c r="D372" s="25"/>
      <c r="F372" s="25" t="str">
        <f>IFERROR(IF(ISBLANK(E372),"",INDEX(Gen_Vessels!$A$3:$C$500,MATCH(E372,Gen_Vessels!$C$3:$C$500,0),1)),"")</f>
        <v/>
      </c>
      <c r="G372" s="25"/>
      <c r="I372" s="25" t="str">
        <f>IFERROR(IF(ISBLANK(H372),"",INDEX(Gen_Vessels!$A$3:$C$500,MATCH(H372,Gen_Vessels!$C$3:$C$500,0),1)),"")</f>
        <v/>
      </c>
      <c r="J372" s="25"/>
    </row>
    <row r="373" spans="4:10" x14ac:dyDescent="0.25">
      <c r="D373" s="25"/>
      <c r="F373" s="25" t="str">
        <f>IFERROR(IF(ISBLANK(E373),"",INDEX(Gen_Vessels!$A$3:$C$500,MATCH(E373,Gen_Vessels!$C$3:$C$500,0),1)),"")</f>
        <v/>
      </c>
      <c r="G373" s="25"/>
      <c r="I373" s="25" t="str">
        <f>IFERROR(IF(ISBLANK(H373),"",INDEX(Gen_Vessels!$A$3:$C$500,MATCH(H373,Gen_Vessels!$C$3:$C$500,0),1)),"")</f>
        <v/>
      </c>
      <c r="J373" s="25"/>
    </row>
    <row r="374" spans="4:10" x14ac:dyDescent="0.25">
      <c r="D374" s="25"/>
      <c r="F374" s="25" t="str">
        <f>IFERROR(IF(ISBLANK(E374),"",INDEX(Gen_Vessels!$A$3:$C$500,MATCH(E374,Gen_Vessels!$C$3:$C$500,0),1)),"")</f>
        <v/>
      </c>
      <c r="G374" s="25"/>
      <c r="I374" s="25" t="str">
        <f>IFERROR(IF(ISBLANK(H374),"",INDEX(Gen_Vessels!$A$3:$C$500,MATCH(H374,Gen_Vessels!$C$3:$C$500,0),1)),"")</f>
        <v/>
      </c>
      <c r="J374" s="25"/>
    </row>
    <row r="375" spans="4:10" x14ac:dyDescent="0.25">
      <c r="D375" s="25"/>
      <c r="F375" s="25" t="str">
        <f>IFERROR(IF(ISBLANK(E375),"",INDEX(Gen_Vessels!$A$3:$C$500,MATCH(E375,Gen_Vessels!$C$3:$C$500,0),1)),"")</f>
        <v/>
      </c>
      <c r="G375" s="25"/>
      <c r="I375" s="25" t="str">
        <f>IFERROR(IF(ISBLANK(H375),"",INDEX(Gen_Vessels!$A$3:$C$500,MATCH(H375,Gen_Vessels!$C$3:$C$500,0),1)),"")</f>
        <v/>
      </c>
      <c r="J375" s="25"/>
    </row>
    <row r="376" spans="4:10" x14ac:dyDescent="0.25">
      <c r="D376" s="25"/>
      <c r="F376" s="25" t="str">
        <f>IFERROR(IF(ISBLANK(E376),"",INDEX(Gen_Vessels!$A$3:$C$500,MATCH(E376,Gen_Vessels!$C$3:$C$500,0),1)),"")</f>
        <v/>
      </c>
      <c r="G376" s="25"/>
      <c r="I376" s="25" t="str">
        <f>IFERROR(IF(ISBLANK(H376),"",INDEX(Gen_Vessels!$A$3:$C$500,MATCH(H376,Gen_Vessels!$C$3:$C$500,0),1)),"")</f>
        <v/>
      </c>
      <c r="J376" s="25"/>
    </row>
    <row r="377" spans="4:10" x14ac:dyDescent="0.25">
      <c r="D377" s="25"/>
      <c r="F377" s="25" t="str">
        <f>IFERROR(IF(ISBLANK(E377),"",INDEX(Gen_Vessels!$A$3:$C$500,MATCH(E377,Gen_Vessels!$C$3:$C$500,0),1)),"")</f>
        <v/>
      </c>
      <c r="G377" s="25"/>
      <c r="I377" s="25" t="str">
        <f>IFERROR(IF(ISBLANK(H377),"",INDEX(Gen_Vessels!$A$3:$C$500,MATCH(H377,Gen_Vessels!$C$3:$C$500,0),1)),"")</f>
        <v/>
      </c>
      <c r="J377" s="25"/>
    </row>
    <row r="378" spans="4:10" x14ac:dyDescent="0.25">
      <c r="D378" s="25"/>
      <c r="F378" s="25" t="str">
        <f>IFERROR(IF(ISBLANK(E378),"",INDEX(Gen_Vessels!$A$3:$C$500,MATCH(E378,Gen_Vessels!$C$3:$C$500,0),1)),"")</f>
        <v/>
      </c>
      <c r="G378" s="25"/>
      <c r="I378" s="25" t="str">
        <f>IFERROR(IF(ISBLANK(H378),"",INDEX(Gen_Vessels!$A$3:$C$500,MATCH(H378,Gen_Vessels!$C$3:$C$500,0),1)),"")</f>
        <v/>
      </c>
      <c r="J378" s="25"/>
    </row>
    <row r="379" spans="4:10" x14ac:dyDescent="0.25">
      <c r="D379" s="25"/>
      <c r="F379" s="25" t="str">
        <f>IFERROR(IF(ISBLANK(E379),"",INDEX(Gen_Vessels!$A$3:$C$500,MATCH(E379,Gen_Vessels!$C$3:$C$500,0),1)),"")</f>
        <v/>
      </c>
      <c r="G379" s="25"/>
      <c r="I379" s="25" t="str">
        <f>IFERROR(IF(ISBLANK(H379),"",INDEX(Gen_Vessels!$A$3:$C$500,MATCH(H379,Gen_Vessels!$C$3:$C$500,0),1)),"")</f>
        <v/>
      </c>
      <c r="J379" s="25"/>
    </row>
    <row r="380" spans="4:10" x14ac:dyDescent="0.25">
      <c r="D380" s="25"/>
      <c r="F380" s="25" t="str">
        <f>IFERROR(IF(ISBLANK(E380),"",INDEX(Gen_Vessels!$A$3:$C$500,MATCH(E380,Gen_Vessels!$C$3:$C$500,0),1)),"")</f>
        <v/>
      </c>
      <c r="G380" s="25"/>
      <c r="I380" s="25" t="str">
        <f>IFERROR(IF(ISBLANK(H380),"",INDEX(Gen_Vessels!$A$3:$C$500,MATCH(H380,Gen_Vessels!$C$3:$C$500,0),1)),"")</f>
        <v/>
      </c>
      <c r="J380" s="25"/>
    </row>
    <row r="381" spans="4:10" x14ac:dyDescent="0.25">
      <c r="D381" s="25"/>
      <c r="F381" s="25" t="str">
        <f>IFERROR(IF(ISBLANK(E381),"",INDEX(Gen_Vessels!$A$3:$C$500,MATCH(E381,Gen_Vessels!$C$3:$C$500,0),1)),"")</f>
        <v/>
      </c>
      <c r="G381" s="25"/>
      <c r="I381" s="25" t="str">
        <f>IFERROR(IF(ISBLANK(H381),"",INDEX(Gen_Vessels!$A$3:$C$500,MATCH(H381,Gen_Vessels!$C$3:$C$500,0),1)),"")</f>
        <v/>
      </c>
      <c r="J381" s="25"/>
    </row>
    <row r="382" spans="4:10" x14ac:dyDescent="0.25">
      <c r="D382" s="25"/>
      <c r="F382" s="25" t="str">
        <f>IFERROR(IF(ISBLANK(E382),"",INDEX(Gen_Vessels!$A$3:$C$500,MATCH(E382,Gen_Vessels!$C$3:$C$500,0),1)),"")</f>
        <v/>
      </c>
      <c r="G382" s="25"/>
      <c r="I382" s="25" t="str">
        <f>IFERROR(IF(ISBLANK(H382),"",INDEX(Gen_Vessels!$A$3:$C$500,MATCH(H382,Gen_Vessels!$C$3:$C$500,0),1)),"")</f>
        <v/>
      </c>
      <c r="J382" s="25"/>
    </row>
    <row r="383" spans="4:10" x14ac:dyDescent="0.25">
      <c r="D383" s="25"/>
      <c r="F383" s="25" t="str">
        <f>IFERROR(IF(ISBLANK(E383),"",INDEX(Gen_Vessels!$A$3:$C$500,MATCH(E383,Gen_Vessels!$C$3:$C$500,0),1)),"")</f>
        <v/>
      </c>
      <c r="G383" s="25"/>
      <c r="I383" s="25" t="str">
        <f>IFERROR(IF(ISBLANK(H383),"",INDEX(Gen_Vessels!$A$3:$C$500,MATCH(H383,Gen_Vessels!$C$3:$C$500,0),1)),"")</f>
        <v/>
      </c>
      <c r="J383" s="25"/>
    </row>
    <row r="384" spans="4:10" x14ac:dyDescent="0.25">
      <c r="D384" s="25"/>
      <c r="F384" s="25" t="str">
        <f>IFERROR(IF(ISBLANK(E384),"",INDEX(Gen_Vessels!$A$3:$C$500,MATCH(E384,Gen_Vessels!$C$3:$C$500,0),1)),"")</f>
        <v/>
      </c>
      <c r="G384" s="25"/>
      <c r="I384" s="25" t="str">
        <f>IFERROR(IF(ISBLANK(H384),"",INDEX(Gen_Vessels!$A$3:$C$500,MATCH(H384,Gen_Vessels!$C$3:$C$500,0),1)),"")</f>
        <v/>
      </c>
      <c r="J384" s="25"/>
    </row>
    <row r="385" spans="4:10" x14ac:dyDescent="0.25">
      <c r="D385" s="25"/>
      <c r="F385" s="25" t="str">
        <f>IFERROR(IF(ISBLANK(E385),"",INDEX(Gen_Vessels!$A$3:$C$500,MATCH(E385,Gen_Vessels!$C$3:$C$500,0),1)),"")</f>
        <v/>
      </c>
      <c r="G385" s="25"/>
      <c r="I385" s="25" t="str">
        <f>IFERROR(IF(ISBLANK(H385),"",INDEX(Gen_Vessels!$A$3:$C$500,MATCH(H385,Gen_Vessels!$C$3:$C$500,0),1)),"")</f>
        <v/>
      </c>
      <c r="J385" s="25"/>
    </row>
    <row r="386" spans="4:10" x14ac:dyDescent="0.25">
      <c r="D386" s="25"/>
      <c r="F386" s="25" t="str">
        <f>IFERROR(IF(ISBLANK(E386),"",INDEX(Gen_Vessels!$A$3:$C$500,MATCH(E386,Gen_Vessels!$C$3:$C$500,0),1)),"")</f>
        <v/>
      </c>
      <c r="G386" s="25"/>
      <c r="I386" s="25" t="str">
        <f>IFERROR(IF(ISBLANK(H386),"",INDEX(Gen_Vessels!$A$3:$C$500,MATCH(H386,Gen_Vessels!$C$3:$C$500,0),1)),"")</f>
        <v/>
      </c>
      <c r="J386" s="25"/>
    </row>
    <row r="387" spans="4:10" x14ac:dyDescent="0.25">
      <c r="D387" s="25"/>
      <c r="F387" s="25" t="str">
        <f>IFERROR(IF(ISBLANK(E387),"",INDEX(Gen_Vessels!$A$3:$C$500,MATCH(E387,Gen_Vessels!$C$3:$C$500,0),1)),"")</f>
        <v/>
      </c>
      <c r="G387" s="25"/>
      <c r="I387" s="25" t="str">
        <f>IFERROR(IF(ISBLANK(H387),"",INDEX(Gen_Vessels!$A$3:$C$500,MATCH(H387,Gen_Vessels!$C$3:$C$500,0),1)),"")</f>
        <v/>
      </c>
      <c r="J387" s="25"/>
    </row>
    <row r="388" spans="4:10" x14ac:dyDescent="0.25">
      <c r="D388" s="25"/>
      <c r="F388" s="25" t="str">
        <f>IFERROR(IF(ISBLANK(E388),"",INDEX(Gen_Vessels!$A$3:$C$500,MATCH(E388,Gen_Vessels!$C$3:$C$500,0),1)),"")</f>
        <v/>
      </c>
      <c r="G388" s="25"/>
      <c r="I388" s="25" t="str">
        <f>IFERROR(IF(ISBLANK(H388),"",INDEX(Gen_Vessels!$A$3:$C$500,MATCH(H388,Gen_Vessels!$C$3:$C$500,0),1)),"")</f>
        <v/>
      </c>
      <c r="J388" s="25"/>
    </row>
    <row r="389" spans="4:10" x14ac:dyDescent="0.25">
      <c r="D389" s="25"/>
      <c r="F389" s="25" t="str">
        <f>IFERROR(IF(ISBLANK(E389),"",INDEX(Gen_Vessels!$A$3:$C$500,MATCH(E389,Gen_Vessels!$C$3:$C$500,0),1)),"")</f>
        <v/>
      </c>
      <c r="G389" s="25"/>
      <c r="I389" s="25" t="str">
        <f>IFERROR(IF(ISBLANK(H389),"",INDEX(Gen_Vessels!$A$3:$C$500,MATCH(H389,Gen_Vessels!$C$3:$C$500,0),1)),"")</f>
        <v/>
      </c>
      <c r="J389" s="25"/>
    </row>
    <row r="390" spans="4:10" x14ac:dyDescent="0.25">
      <c r="D390" s="25"/>
      <c r="F390" s="25" t="str">
        <f>IFERROR(IF(ISBLANK(E390),"",INDEX(Gen_Vessels!$A$3:$C$500,MATCH(E390,Gen_Vessels!$C$3:$C$500,0),1)),"")</f>
        <v/>
      </c>
      <c r="G390" s="25"/>
      <c r="I390" s="25" t="str">
        <f>IFERROR(IF(ISBLANK(H390),"",INDEX(Gen_Vessels!$A$3:$C$500,MATCH(H390,Gen_Vessels!$C$3:$C$500,0),1)),"")</f>
        <v/>
      </c>
      <c r="J390" s="25"/>
    </row>
    <row r="391" spans="4:10" x14ac:dyDescent="0.25">
      <c r="D391" s="25"/>
      <c r="F391" s="25" t="str">
        <f>IFERROR(IF(ISBLANK(E391),"",INDEX(Gen_Vessels!$A$3:$C$500,MATCH(E391,Gen_Vessels!$C$3:$C$500,0),1)),"")</f>
        <v/>
      </c>
      <c r="G391" s="25"/>
      <c r="I391" s="25" t="str">
        <f>IFERROR(IF(ISBLANK(H391),"",INDEX(Gen_Vessels!$A$3:$C$500,MATCH(H391,Gen_Vessels!$C$3:$C$500,0),1)),"")</f>
        <v/>
      </c>
      <c r="J391" s="25"/>
    </row>
    <row r="392" spans="4:10" x14ac:dyDescent="0.25">
      <c r="D392" s="25"/>
      <c r="F392" s="25" t="str">
        <f>IFERROR(IF(ISBLANK(E392),"",INDEX(Gen_Vessels!$A$3:$C$500,MATCH(E392,Gen_Vessels!$C$3:$C$500,0),1)),"")</f>
        <v/>
      </c>
      <c r="G392" s="25"/>
      <c r="I392" s="25" t="str">
        <f>IFERROR(IF(ISBLANK(H392),"",INDEX(Gen_Vessels!$A$3:$C$500,MATCH(H392,Gen_Vessels!$C$3:$C$500,0),1)),"")</f>
        <v/>
      </c>
      <c r="J392" s="25"/>
    </row>
    <row r="393" spans="4:10" x14ac:dyDescent="0.25">
      <c r="D393" s="25"/>
      <c r="F393" s="25" t="str">
        <f>IFERROR(IF(ISBLANK(E393),"",INDEX(Gen_Vessels!$A$3:$C$500,MATCH(E393,Gen_Vessels!$C$3:$C$500,0),1)),"")</f>
        <v/>
      </c>
      <c r="G393" s="25"/>
      <c r="I393" s="25" t="str">
        <f>IFERROR(IF(ISBLANK(H393),"",INDEX(Gen_Vessels!$A$3:$C$500,MATCH(H393,Gen_Vessels!$C$3:$C$500,0),1)),"")</f>
        <v/>
      </c>
      <c r="J393" s="25"/>
    </row>
    <row r="394" spans="4:10" x14ac:dyDescent="0.25">
      <c r="D394" s="25"/>
      <c r="F394" s="25" t="str">
        <f>IFERROR(IF(ISBLANK(E394),"",INDEX(Gen_Vessels!$A$3:$C$500,MATCH(E394,Gen_Vessels!$C$3:$C$500,0),1)),"")</f>
        <v/>
      </c>
      <c r="G394" s="25"/>
      <c r="I394" s="25" t="str">
        <f>IFERROR(IF(ISBLANK(H394),"",INDEX(Gen_Vessels!$A$3:$C$500,MATCH(H394,Gen_Vessels!$C$3:$C$500,0),1)),"")</f>
        <v/>
      </c>
      <c r="J394" s="25"/>
    </row>
    <row r="395" spans="4:10" x14ac:dyDescent="0.25">
      <c r="D395" s="25"/>
      <c r="F395" s="25" t="str">
        <f>IFERROR(IF(ISBLANK(E395),"",INDEX(Gen_Vessels!$A$3:$C$500,MATCH(E395,Gen_Vessels!$C$3:$C$500,0),1)),"")</f>
        <v/>
      </c>
      <c r="G395" s="25"/>
      <c r="I395" s="25" t="str">
        <f>IFERROR(IF(ISBLANK(H395),"",INDEX(Gen_Vessels!$A$3:$C$500,MATCH(H395,Gen_Vessels!$C$3:$C$500,0),1)),"")</f>
        <v/>
      </c>
      <c r="J395" s="25"/>
    </row>
    <row r="396" spans="4:10" x14ac:dyDescent="0.25">
      <c r="D396" s="25"/>
      <c r="F396" s="25" t="str">
        <f>IFERROR(IF(ISBLANK(E396),"",INDEX(Gen_Vessels!$A$3:$C$500,MATCH(E396,Gen_Vessels!$C$3:$C$500,0),1)),"")</f>
        <v/>
      </c>
      <c r="G396" s="25"/>
      <c r="I396" s="25" t="str">
        <f>IFERROR(IF(ISBLANK(H396),"",INDEX(Gen_Vessels!$A$3:$C$500,MATCH(H396,Gen_Vessels!$C$3:$C$500,0),1)),"")</f>
        <v/>
      </c>
      <c r="J396" s="25"/>
    </row>
    <row r="397" spans="4:10" x14ac:dyDescent="0.25">
      <c r="D397" s="25"/>
      <c r="F397" s="25" t="str">
        <f>IFERROR(IF(ISBLANK(E397),"",INDEX(Gen_Vessels!$A$3:$C$500,MATCH(E397,Gen_Vessels!$C$3:$C$500,0),1)),"")</f>
        <v/>
      </c>
      <c r="G397" s="25"/>
      <c r="I397" s="25" t="str">
        <f>IFERROR(IF(ISBLANK(H397),"",INDEX(Gen_Vessels!$A$3:$C$500,MATCH(H397,Gen_Vessels!$C$3:$C$500,0),1)),"")</f>
        <v/>
      </c>
      <c r="J397" s="25"/>
    </row>
    <row r="398" spans="4:10" x14ac:dyDescent="0.25">
      <c r="D398" s="25"/>
      <c r="F398" s="25" t="str">
        <f>IFERROR(IF(ISBLANK(E398),"",INDEX(Gen_Vessels!$A$3:$C$500,MATCH(E398,Gen_Vessels!$C$3:$C$500,0),1)),"")</f>
        <v/>
      </c>
      <c r="G398" s="25"/>
      <c r="I398" s="25" t="str">
        <f>IFERROR(IF(ISBLANK(H398),"",INDEX(Gen_Vessels!$A$3:$C$500,MATCH(H398,Gen_Vessels!$C$3:$C$500,0),1)),"")</f>
        <v/>
      </c>
      <c r="J398" s="25"/>
    </row>
    <row r="399" spans="4:10" x14ac:dyDescent="0.25">
      <c r="D399" s="25"/>
      <c r="F399" s="25" t="str">
        <f>IFERROR(IF(ISBLANK(E399),"",INDEX(Gen_Vessels!$A$3:$C$500,MATCH(E399,Gen_Vessels!$C$3:$C$500,0),1)),"")</f>
        <v/>
      </c>
      <c r="G399" s="25"/>
      <c r="I399" s="25" t="str">
        <f>IFERROR(IF(ISBLANK(H399),"",INDEX(Gen_Vessels!$A$3:$C$500,MATCH(H399,Gen_Vessels!$C$3:$C$500,0),1)),"")</f>
        <v/>
      </c>
      <c r="J399" s="25"/>
    </row>
    <row r="400" spans="4:10" x14ac:dyDescent="0.25">
      <c r="D400" s="25"/>
      <c r="F400" s="25" t="str">
        <f>IFERROR(IF(ISBLANK(E400),"",INDEX(Gen_Vessels!$A$3:$C$500,MATCH(E400,Gen_Vessels!$C$3:$C$500,0),1)),"")</f>
        <v/>
      </c>
      <c r="G400" s="25"/>
      <c r="I400" s="25" t="str">
        <f>IFERROR(IF(ISBLANK(H400),"",INDEX(Gen_Vessels!$A$3:$C$500,MATCH(H400,Gen_Vessels!$C$3:$C$500,0),1)),"")</f>
        <v/>
      </c>
      <c r="J400" s="25"/>
    </row>
    <row r="401" spans="4:10" x14ac:dyDescent="0.25">
      <c r="D401" s="25"/>
      <c r="F401" s="25" t="str">
        <f>IFERROR(IF(ISBLANK(E401),"",INDEX(Gen_Vessels!$A$3:$C$500,MATCH(E401,Gen_Vessels!$C$3:$C$500,0),1)),"")</f>
        <v/>
      </c>
      <c r="G401" s="25"/>
      <c r="I401" s="25" t="str">
        <f>IFERROR(IF(ISBLANK(H401),"",INDEX(Gen_Vessels!$A$3:$C$500,MATCH(H401,Gen_Vessels!$C$3:$C$500,0),1)),"")</f>
        <v/>
      </c>
      <c r="J401" s="25"/>
    </row>
    <row r="402" spans="4:10" x14ac:dyDescent="0.25">
      <c r="D402" s="25"/>
      <c r="F402" s="25" t="str">
        <f>IFERROR(IF(ISBLANK(E402),"",INDEX(Gen_Vessels!$A$3:$C$500,MATCH(E402,Gen_Vessels!$C$3:$C$500,0),1)),"")</f>
        <v/>
      </c>
      <c r="G402" s="25"/>
      <c r="I402" s="25" t="str">
        <f>IFERROR(IF(ISBLANK(H402),"",INDEX(Gen_Vessels!$A$3:$C$500,MATCH(H402,Gen_Vessels!$C$3:$C$500,0),1)),"")</f>
        <v/>
      </c>
      <c r="J402" s="25"/>
    </row>
    <row r="403" spans="4:10" x14ac:dyDescent="0.25">
      <c r="D403" s="25"/>
      <c r="F403" s="25" t="str">
        <f>IFERROR(IF(ISBLANK(E403),"",INDEX(Gen_Vessels!$A$3:$C$500,MATCH(E403,Gen_Vessels!$C$3:$C$500,0),1)),"")</f>
        <v/>
      </c>
      <c r="G403" s="25"/>
      <c r="I403" s="25" t="str">
        <f>IFERROR(IF(ISBLANK(H403),"",INDEX(Gen_Vessels!$A$3:$C$500,MATCH(H403,Gen_Vessels!$C$3:$C$500,0),1)),"")</f>
        <v/>
      </c>
      <c r="J403" s="25"/>
    </row>
    <row r="404" spans="4:10" x14ac:dyDescent="0.25">
      <c r="D404" s="25"/>
      <c r="F404" s="25" t="str">
        <f>IFERROR(IF(ISBLANK(E404),"",INDEX(Gen_Vessels!$A$3:$C$500,MATCH(E404,Gen_Vessels!$C$3:$C$500,0),1)),"")</f>
        <v/>
      </c>
      <c r="G404" s="25"/>
      <c r="I404" s="25" t="str">
        <f>IFERROR(IF(ISBLANK(H404),"",INDEX(Gen_Vessels!$A$3:$C$500,MATCH(H404,Gen_Vessels!$C$3:$C$500,0),1)),"")</f>
        <v/>
      </c>
      <c r="J404" s="25"/>
    </row>
    <row r="405" spans="4:10" x14ac:dyDescent="0.25">
      <c r="D405" s="25"/>
      <c r="F405" s="25" t="str">
        <f>IFERROR(IF(ISBLANK(E405),"",INDEX(Gen_Vessels!$A$3:$C$500,MATCH(E405,Gen_Vessels!$C$3:$C$500,0),1)),"")</f>
        <v/>
      </c>
      <c r="G405" s="25"/>
      <c r="I405" s="25" t="str">
        <f>IFERROR(IF(ISBLANK(H405),"",INDEX(Gen_Vessels!$A$3:$C$500,MATCH(H405,Gen_Vessels!$C$3:$C$500,0),1)),"")</f>
        <v/>
      </c>
      <c r="J405" s="25"/>
    </row>
    <row r="406" spans="4:10" x14ac:dyDescent="0.25">
      <c r="D406" s="25"/>
      <c r="F406" s="25" t="str">
        <f>IFERROR(IF(ISBLANK(E406),"",INDEX(Gen_Vessels!$A$3:$C$500,MATCH(E406,Gen_Vessels!$C$3:$C$500,0),1)),"")</f>
        <v/>
      </c>
      <c r="G406" s="25"/>
      <c r="I406" s="25" t="str">
        <f>IFERROR(IF(ISBLANK(H406),"",INDEX(Gen_Vessels!$A$3:$C$500,MATCH(H406,Gen_Vessels!$C$3:$C$500,0),1)),"")</f>
        <v/>
      </c>
      <c r="J406" s="25"/>
    </row>
    <row r="407" spans="4:10" x14ac:dyDescent="0.25">
      <c r="D407" s="25"/>
      <c r="F407" s="25" t="str">
        <f>IFERROR(IF(ISBLANK(E407),"",INDEX(Gen_Vessels!$A$3:$C$500,MATCH(E407,Gen_Vessels!$C$3:$C$500,0),1)),"")</f>
        <v/>
      </c>
      <c r="G407" s="25"/>
      <c r="I407" s="25" t="str">
        <f>IFERROR(IF(ISBLANK(H407),"",INDEX(Gen_Vessels!$A$3:$C$500,MATCH(H407,Gen_Vessels!$C$3:$C$500,0),1)),"")</f>
        <v/>
      </c>
      <c r="J407" s="25"/>
    </row>
    <row r="408" spans="4:10" x14ac:dyDescent="0.25">
      <c r="D408" s="25"/>
      <c r="F408" s="25" t="str">
        <f>IFERROR(IF(ISBLANK(E408),"",INDEX(Gen_Vessels!$A$3:$C$500,MATCH(E408,Gen_Vessels!$C$3:$C$500,0),1)),"")</f>
        <v/>
      </c>
      <c r="G408" s="25"/>
      <c r="I408" s="25" t="str">
        <f>IFERROR(IF(ISBLANK(H408),"",INDEX(Gen_Vessels!$A$3:$C$500,MATCH(H408,Gen_Vessels!$C$3:$C$500,0),1)),"")</f>
        <v/>
      </c>
      <c r="J408" s="25"/>
    </row>
    <row r="409" spans="4:10" x14ac:dyDescent="0.25">
      <c r="D409" s="25"/>
      <c r="F409" s="25" t="str">
        <f>IFERROR(IF(ISBLANK(E409),"",INDEX(Gen_Vessels!$A$3:$C$500,MATCH(E409,Gen_Vessels!$C$3:$C$500,0),1)),"")</f>
        <v/>
      </c>
      <c r="G409" s="25"/>
      <c r="I409" s="25" t="str">
        <f>IFERROR(IF(ISBLANK(H409),"",INDEX(Gen_Vessels!$A$3:$C$500,MATCH(H409,Gen_Vessels!$C$3:$C$500,0),1)),"")</f>
        <v/>
      </c>
      <c r="J409" s="25"/>
    </row>
    <row r="410" spans="4:10" x14ac:dyDescent="0.25">
      <c r="D410" s="25"/>
      <c r="F410" s="25" t="str">
        <f>IFERROR(IF(ISBLANK(E410),"",INDEX(Gen_Vessels!$A$3:$C$500,MATCH(E410,Gen_Vessels!$C$3:$C$500,0),1)),"")</f>
        <v/>
      </c>
      <c r="G410" s="25"/>
      <c r="I410" s="25" t="str">
        <f>IFERROR(IF(ISBLANK(H410),"",INDEX(Gen_Vessels!$A$3:$C$500,MATCH(H410,Gen_Vessels!$C$3:$C$500,0),1)),"")</f>
        <v/>
      </c>
      <c r="J410" s="25"/>
    </row>
    <row r="411" spans="4:10" x14ac:dyDescent="0.25">
      <c r="D411" s="25"/>
      <c r="F411" s="25" t="str">
        <f>IFERROR(IF(ISBLANK(E411),"",INDEX(Gen_Vessels!$A$3:$C$500,MATCH(E411,Gen_Vessels!$C$3:$C$500,0),1)),"")</f>
        <v/>
      </c>
      <c r="G411" s="25"/>
      <c r="I411" s="25" t="str">
        <f>IFERROR(IF(ISBLANK(H411),"",INDEX(Gen_Vessels!$A$3:$C$500,MATCH(H411,Gen_Vessels!$C$3:$C$500,0),1)),"")</f>
        <v/>
      </c>
      <c r="J411" s="25"/>
    </row>
    <row r="412" spans="4:10" x14ac:dyDescent="0.25">
      <c r="D412" s="25"/>
      <c r="F412" s="25" t="str">
        <f>IFERROR(IF(ISBLANK(E412),"",INDEX(Gen_Vessels!$A$3:$C$500,MATCH(E412,Gen_Vessels!$C$3:$C$500,0),1)),"")</f>
        <v/>
      </c>
      <c r="G412" s="25"/>
      <c r="I412" s="25" t="str">
        <f>IFERROR(IF(ISBLANK(H412),"",INDEX(Gen_Vessels!$A$3:$C$500,MATCH(H412,Gen_Vessels!$C$3:$C$500,0),1)),"")</f>
        <v/>
      </c>
      <c r="J412" s="25"/>
    </row>
    <row r="413" spans="4:10" x14ac:dyDescent="0.25">
      <c r="D413" s="25"/>
      <c r="F413" s="25" t="str">
        <f>IFERROR(IF(ISBLANK(E413),"",INDEX(Gen_Vessels!$A$3:$C$500,MATCH(E413,Gen_Vessels!$C$3:$C$500,0),1)),"")</f>
        <v/>
      </c>
      <c r="G413" s="25"/>
      <c r="I413" s="25" t="str">
        <f>IFERROR(IF(ISBLANK(H413),"",INDEX(Gen_Vessels!$A$3:$C$500,MATCH(H413,Gen_Vessels!$C$3:$C$500,0),1)),"")</f>
        <v/>
      </c>
      <c r="J413" s="25"/>
    </row>
    <row r="414" spans="4:10" x14ac:dyDescent="0.25">
      <c r="D414" s="25"/>
      <c r="F414" s="25" t="str">
        <f>IFERROR(IF(ISBLANK(E414),"",INDEX(Gen_Vessels!$A$3:$C$500,MATCH(E414,Gen_Vessels!$C$3:$C$500,0),1)),"")</f>
        <v/>
      </c>
      <c r="G414" s="25"/>
      <c r="I414" s="25" t="str">
        <f>IFERROR(IF(ISBLANK(H414),"",INDEX(Gen_Vessels!$A$3:$C$500,MATCH(H414,Gen_Vessels!$C$3:$C$500,0),1)),"")</f>
        <v/>
      </c>
      <c r="J414" s="25"/>
    </row>
    <row r="415" spans="4:10" x14ac:dyDescent="0.25">
      <c r="D415" s="25"/>
      <c r="F415" s="25" t="str">
        <f>IFERROR(IF(ISBLANK(E415),"",INDEX(Gen_Vessels!$A$3:$C$500,MATCH(E415,Gen_Vessels!$C$3:$C$500,0),1)),"")</f>
        <v/>
      </c>
      <c r="G415" s="25"/>
      <c r="I415" s="25" t="str">
        <f>IFERROR(IF(ISBLANK(H415),"",INDEX(Gen_Vessels!$A$3:$C$500,MATCH(H415,Gen_Vessels!$C$3:$C$500,0),1)),"")</f>
        <v/>
      </c>
      <c r="J415" s="25"/>
    </row>
    <row r="416" spans="4:10" x14ac:dyDescent="0.25">
      <c r="D416" s="25"/>
      <c r="F416" s="25" t="str">
        <f>IFERROR(IF(ISBLANK(E416),"",INDEX(Gen_Vessels!$A$3:$C$500,MATCH(E416,Gen_Vessels!$C$3:$C$500,0),1)),"")</f>
        <v/>
      </c>
      <c r="G416" s="25"/>
      <c r="I416" s="25" t="str">
        <f>IFERROR(IF(ISBLANK(H416),"",INDEX(Gen_Vessels!$A$3:$C$500,MATCH(H416,Gen_Vessels!$C$3:$C$500,0),1)),"")</f>
        <v/>
      </c>
      <c r="J416" s="25"/>
    </row>
    <row r="417" spans="4:10" x14ac:dyDescent="0.25">
      <c r="D417" s="25"/>
      <c r="F417" s="25" t="str">
        <f>IFERROR(IF(ISBLANK(E417),"",INDEX(Gen_Vessels!$A$3:$C$500,MATCH(E417,Gen_Vessels!$C$3:$C$500,0),1)),"")</f>
        <v/>
      </c>
      <c r="G417" s="25"/>
      <c r="I417" s="25" t="str">
        <f>IFERROR(IF(ISBLANK(H417),"",INDEX(Gen_Vessels!$A$3:$C$500,MATCH(H417,Gen_Vessels!$C$3:$C$500,0),1)),"")</f>
        <v/>
      </c>
      <c r="J417" s="25"/>
    </row>
    <row r="418" spans="4:10" x14ac:dyDescent="0.25">
      <c r="D418" s="25"/>
      <c r="F418" s="25" t="str">
        <f>IFERROR(IF(ISBLANK(E418),"",INDEX(Gen_Vessels!$A$3:$C$500,MATCH(E418,Gen_Vessels!$C$3:$C$500,0),1)),"")</f>
        <v/>
      </c>
      <c r="G418" s="25"/>
      <c r="I418" s="25" t="str">
        <f>IFERROR(IF(ISBLANK(H418),"",INDEX(Gen_Vessels!$A$3:$C$500,MATCH(H418,Gen_Vessels!$C$3:$C$500,0),1)),"")</f>
        <v/>
      </c>
      <c r="J418" s="25"/>
    </row>
    <row r="419" spans="4:10" x14ac:dyDescent="0.25">
      <c r="D419" s="25"/>
      <c r="F419" s="25" t="str">
        <f>IFERROR(IF(ISBLANK(E419),"",INDEX(Gen_Vessels!$A$3:$C$500,MATCH(E419,Gen_Vessels!$C$3:$C$500,0),1)),"")</f>
        <v/>
      </c>
      <c r="G419" s="25"/>
      <c r="I419" s="25" t="str">
        <f>IFERROR(IF(ISBLANK(H419),"",INDEX(Gen_Vessels!$A$3:$C$500,MATCH(H419,Gen_Vessels!$C$3:$C$500,0),1)),"")</f>
        <v/>
      </c>
      <c r="J419" s="25"/>
    </row>
    <row r="420" spans="4:10" x14ac:dyDescent="0.25">
      <c r="D420" s="25"/>
      <c r="F420" s="25" t="str">
        <f>IFERROR(IF(ISBLANK(E420),"",INDEX(Gen_Vessels!$A$3:$C$500,MATCH(E420,Gen_Vessels!$C$3:$C$500,0),1)),"")</f>
        <v/>
      </c>
      <c r="G420" s="25"/>
      <c r="I420" s="25" t="str">
        <f>IFERROR(IF(ISBLANK(H420),"",INDEX(Gen_Vessels!$A$3:$C$500,MATCH(H420,Gen_Vessels!$C$3:$C$500,0),1)),"")</f>
        <v/>
      </c>
      <c r="J420" s="25"/>
    </row>
    <row r="421" spans="4:10" x14ac:dyDescent="0.25">
      <c r="D421" s="25"/>
      <c r="F421" s="25" t="str">
        <f>IFERROR(IF(ISBLANK(E421),"",INDEX(Gen_Vessels!$A$3:$C$500,MATCH(E421,Gen_Vessels!$C$3:$C$500,0),1)),"")</f>
        <v/>
      </c>
      <c r="G421" s="25"/>
      <c r="I421" s="25" t="str">
        <f>IFERROR(IF(ISBLANK(H421),"",INDEX(Gen_Vessels!$A$3:$C$500,MATCH(H421,Gen_Vessels!$C$3:$C$500,0),1)),"")</f>
        <v/>
      </c>
      <c r="J421" s="25"/>
    </row>
    <row r="422" spans="4:10" x14ac:dyDescent="0.25">
      <c r="D422" s="25"/>
      <c r="F422" s="25" t="str">
        <f>IFERROR(IF(ISBLANK(E422),"",INDEX(Gen_Vessels!$A$3:$C$500,MATCH(E422,Gen_Vessels!$C$3:$C$500,0),1)),"")</f>
        <v/>
      </c>
      <c r="G422" s="25"/>
      <c r="I422" s="25" t="str">
        <f>IFERROR(IF(ISBLANK(H422),"",INDEX(Gen_Vessels!$A$3:$C$500,MATCH(H422,Gen_Vessels!$C$3:$C$500,0),1)),"")</f>
        <v/>
      </c>
      <c r="J422" s="25"/>
    </row>
    <row r="423" spans="4:10" x14ac:dyDescent="0.25">
      <c r="D423" s="25"/>
      <c r="F423" s="25" t="str">
        <f>IFERROR(IF(ISBLANK(E423),"",INDEX(Gen_Vessels!$A$3:$C$500,MATCH(E423,Gen_Vessels!$C$3:$C$500,0),1)),"")</f>
        <v/>
      </c>
      <c r="G423" s="25"/>
      <c r="I423" s="25" t="str">
        <f>IFERROR(IF(ISBLANK(H423),"",INDEX(Gen_Vessels!$A$3:$C$500,MATCH(H423,Gen_Vessels!$C$3:$C$500,0),1)),"")</f>
        <v/>
      </c>
      <c r="J423" s="25"/>
    </row>
    <row r="424" spans="4:10" x14ac:dyDescent="0.25">
      <c r="D424" s="25"/>
      <c r="F424" s="25" t="str">
        <f>IFERROR(IF(ISBLANK(E424),"",INDEX(Gen_Vessels!$A$3:$C$500,MATCH(E424,Gen_Vessels!$C$3:$C$500,0),1)),"")</f>
        <v/>
      </c>
      <c r="G424" s="25"/>
      <c r="I424" s="25" t="str">
        <f>IFERROR(IF(ISBLANK(H424),"",INDEX(Gen_Vessels!$A$3:$C$500,MATCH(H424,Gen_Vessels!$C$3:$C$500,0),1)),"")</f>
        <v/>
      </c>
      <c r="J424" s="25"/>
    </row>
    <row r="425" spans="4:10" x14ac:dyDescent="0.25">
      <c r="D425" s="25"/>
      <c r="F425" s="25" t="str">
        <f>IFERROR(IF(ISBLANK(E425),"",INDEX(Gen_Vessels!$A$3:$C$500,MATCH(E425,Gen_Vessels!$C$3:$C$500,0),1)),"")</f>
        <v/>
      </c>
      <c r="G425" s="25"/>
      <c r="I425" s="25" t="str">
        <f>IFERROR(IF(ISBLANK(H425),"",INDEX(Gen_Vessels!$A$3:$C$500,MATCH(H425,Gen_Vessels!$C$3:$C$500,0),1)),"")</f>
        <v/>
      </c>
      <c r="J425" s="25"/>
    </row>
    <row r="426" spans="4:10" x14ac:dyDescent="0.25">
      <c r="D426" s="25"/>
      <c r="F426" s="25" t="str">
        <f>IFERROR(IF(ISBLANK(E426),"",INDEX(Gen_Vessels!$A$3:$C$500,MATCH(E426,Gen_Vessels!$C$3:$C$500,0),1)),"")</f>
        <v/>
      </c>
      <c r="G426" s="25"/>
      <c r="I426" s="25" t="str">
        <f>IFERROR(IF(ISBLANK(H426),"",INDEX(Gen_Vessels!$A$3:$C$500,MATCH(H426,Gen_Vessels!$C$3:$C$500,0),1)),"")</f>
        <v/>
      </c>
      <c r="J426" s="25"/>
    </row>
    <row r="427" spans="4:10" x14ac:dyDescent="0.25">
      <c r="D427" s="25"/>
      <c r="F427" s="25" t="str">
        <f>IFERROR(IF(ISBLANK(E427),"",INDEX(Gen_Vessels!$A$3:$C$500,MATCH(E427,Gen_Vessels!$C$3:$C$500,0),1)),"")</f>
        <v/>
      </c>
      <c r="G427" s="25"/>
      <c r="I427" s="25" t="str">
        <f>IFERROR(IF(ISBLANK(H427),"",INDEX(Gen_Vessels!$A$3:$C$500,MATCH(H427,Gen_Vessels!$C$3:$C$500,0),1)),"")</f>
        <v/>
      </c>
      <c r="J427" s="25"/>
    </row>
    <row r="428" spans="4:10" x14ac:dyDescent="0.25">
      <c r="D428" s="25"/>
      <c r="F428" s="25" t="str">
        <f>IFERROR(IF(ISBLANK(E428),"",INDEX(Gen_Vessels!$A$3:$C$500,MATCH(E428,Gen_Vessels!$C$3:$C$500,0),1)),"")</f>
        <v/>
      </c>
      <c r="G428" s="25"/>
      <c r="I428" s="25" t="str">
        <f>IFERROR(IF(ISBLANK(H428),"",INDEX(Gen_Vessels!$A$3:$C$500,MATCH(H428,Gen_Vessels!$C$3:$C$500,0),1)),"")</f>
        <v/>
      </c>
      <c r="J428" s="25"/>
    </row>
    <row r="429" spans="4:10" x14ac:dyDescent="0.25">
      <c r="D429" s="25"/>
      <c r="F429" s="25" t="str">
        <f>IFERROR(IF(ISBLANK(E429),"",INDEX(Gen_Vessels!$A$3:$C$500,MATCH(E429,Gen_Vessels!$C$3:$C$500,0),1)),"")</f>
        <v/>
      </c>
      <c r="G429" s="25"/>
      <c r="I429" s="25" t="str">
        <f>IFERROR(IF(ISBLANK(H429),"",INDEX(Gen_Vessels!$A$3:$C$500,MATCH(H429,Gen_Vessels!$C$3:$C$500,0),1)),"")</f>
        <v/>
      </c>
      <c r="J429" s="25"/>
    </row>
    <row r="430" spans="4:10" x14ac:dyDescent="0.25">
      <c r="D430" s="25"/>
      <c r="F430" s="25" t="str">
        <f>IFERROR(IF(ISBLANK(E430),"",INDEX(Gen_Vessels!$A$3:$C$500,MATCH(E430,Gen_Vessels!$C$3:$C$500,0),1)),"")</f>
        <v/>
      </c>
      <c r="G430" s="25"/>
      <c r="I430" s="25" t="str">
        <f>IFERROR(IF(ISBLANK(H430),"",INDEX(Gen_Vessels!$A$3:$C$500,MATCH(H430,Gen_Vessels!$C$3:$C$500,0),1)),"")</f>
        <v/>
      </c>
      <c r="J430" s="25"/>
    </row>
    <row r="431" spans="4:10" x14ac:dyDescent="0.25">
      <c r="D431" s="25"/>
      <c r="F431" s="25" t="str">
        <f>IFERROR(IF(ISBLANK(E431),"",INDEX(Gen_Vessels!$A$3:$C$500,MATCH(E431,Gen_Vessels!$C$3:$C$500,0),1)),"")</f>
        <v/>
      </c>
      <c r="G431" s="25"/>
      <c r="I431" s="25" t="str">
        <f>IFERROR(IF(ISBLANK(H431),"",INDEX(Gen_Vessels!$A$3:$C$500,MATCH(H431,Gen_Vessels!$C$3:$C$500,0),1)),"")</f>
        <v/>
      </c>
      <c r="J431" s="25"/>
    </row>
    <row r="432" spans="4:10" x14ac:dyDescent="0.25">
      <c r="D432" s="25"/>
      <c r="F432" s="25" t="str">
        <f>IFERROR(IF(ISBLANK(E432),"",INDEX(Gen_Vessels!$A$3:$C$500,MATCH(E432,Gen_Vessels!$C$3:$C$500,0),1)),"")</f>
        <v/>
      </c>
      <c r="G432" s="25"/>
      <c r="I432" s="25" t="str">
        <f>IFERROR(IF(ISBLANK(H432),"",INDEX(Gen_Vessels!$A$3:$C$500,MATCH(H432,Gen_Vessels!$C$3:$C$500,0),1)),"")</f>
        <v/>
      </c>
      <c r="J432" s="25"/>
    </row>
    <row r="433" spans="4:10" x14ac:dyDescent="0.25">
      <c r="D433" s="25"/>
      <c r="F433" s="25" t="str">
        <f>IFERROR(IF(ISBLANK(E433),"",INDEX(Gen_Vessels!$A$3:$C$500,MATCH(E433,Gen_Vessels!$C$3:$C$500,0),1)),"")</f>
        <v/>
      </c>
      <c r="G433" s="25"/>
      <c r="I433" s="25" t="str">
        <f>IFERROR(IF(ISBLANK(H433),"",INDEX(Gen_Vessels!$A$3:$C$500,MATCH(H433,Gen_Vessels!$C$3:$C$500,0),1)),"")</f>
        <v/>
      </c>
      <c r="J433" s="25"/>
    </row>
    <row r="434" spans="4:10" x14ac:dyDescent="0.25">
      <c r="D434" s="25"/>
      <c r="F434" s="25" t="str">
        <f>IFERROR(IF(ISBLANK(E434),"",INDEX(Gen_Vessels!$A$3:$C$500,MATCH(E434,Gen_Vessels!$C$3:$C$500,0),1)),"")</f>
        <v/>
      </c>
      <c r="G434" s="25"/>
      <c r="I434" s="25" t="str">
        <f>IFERROR(IF(ISBLANK(H434),"",INDEX(Gen_Vessels!$A$3:$C$500,MATCH(H434,Gen_Vessels!$C$3:$C$500,0),1)),"")</f>
        <v/>
      </c>
      <c r="J434" s="25"/>
    </row>
    <row r="435" spans="4:10" x14ac:dyDescent="0.25">
      <c r="D435" s="25"/>
      <c r="F435" s="25" t="str">
        <f>IFERROR(IF(ISBLANK(E435),"",INDEX(Gen_Vessels!$A$3:$C$500,MATCH(E435,Gen_Vessels!$C$3:$C$500,0),1)),"")</f>
        <v/>
      </c>
      <c r="G435" s="25"/>
      <c r="I435" s="25" t="str">
        <f>IFERROR(IF(ISBLANK(H435),"",INDEX(Gen_Vessels!$A$3:$C$500,MATCH(H435,Gen_Vessels!$C$3:$C$500,0),1)),"")</f>
        <v/>
      </c>
      <c r="J435" s="25"/>
    </row>
    <row r="436" spans="4:10" x14ac:dyDescent="0.25">
      <c r="D436" s="25"/>
      <c r="F436" s="25" t="str">
        <f>IFERROR(IF(ISBLANK(E436),"",INDEX(Gen_Vessels!$A$3:$C$500,MATCH(E436,Gen_Vessels!$C$3:$C$500,0),1)),"")</f>
        <v/>
      </c>
      <c r="G436" s="25"/>
      <c r="I436" s="25" t="str">
        <f>IFERROR(IF(ISBLANK(H436),"",INDEX(Gen_Vessels!$A$3:$C$500,MATCH(H436,Gen_Vessels!$C$3:$C$500,0),1)),"")</f>
        <v/>
      </c>
      <c r="J436" s="25"/>
    </row>
    <row r="437" spans="4:10" x14ac:dyDescent="0.25">
      <c r="D437" s="25"/>
      <c r="F437" s="25" t="str">
        <f>IFERROR(IF(ISBLANK(E437),"",INDEX(Gen_Vessels!$A$3:$C$500,MATCH(E437,Gen_Vessels!$C$3:$C$500,0),1)),"")</f>
        <v/>
      </c>
      <c r="G437" s="25"/>
      <c r="I437" s="25" t="str">
        <f>IFERROR(IF(ISBLANK(H437),"",INDEX(Gen_Vessels!$A$3:$C$500,MATCH(H437,Gen_Vessels!$C$3:$C$500,0),1)),"")</f>
        <v/>
      </c>
      <c r="J437" s="25"/>
    </row>
    <row r="438" spans="4:10" x14ac:dyDescent="0.25">
      <c r="D438" s="25"/>
      <c r="F438" s="25" t="str">
        <f>IFERROR(IF(ISBLANK(E438),"",INDEX(Gen_Vessels!$A$3:$C$500,MATCH(E438,Gen_Vessels!$C$3:$C$500,0),1)),"")</f>
        <v/>
      </c>
      <c r="G438" s="25"/>
      <c r="I438" s="25" t="str">
        <f>IFERROR(IF(ISBLANK(H438),"",INDEX(Gen_Vessels!$A$3:$C$500,MATCH(H438,Gen_Vessels!$C$3:$C$500,0),1)),"")</f>
        <v/>
      </c>
      <c r="J438" s="25"/>
    </row>
    <row r="439" spans="4:10" x14ac:dyDescent="0.25">
      <c r="D439" s="25"/>
      <c r="F439" s="25" t="str">
        <f>IFERROR(IF(ISBLANK(E439),"",INDEX(Gen_Vessels!$A$3:$C$500,MATCH(E439,Gen_Vessels!$C$3:$C$500,0),1)),"")</f>
        <v/>
      </c>
      <c r="G439" s="25"/>
      <c r="I439" s="25" t="str">
        <f>IFERROR(IF(ISBLANK(H439),"",INDEX(Gen_Vessels!$A$3:$C$500,MATCH(H439,Gen_Vessels!$C$3:$C$500,0),1)),"")</f>
        <v/>
      </c>
      <c r="J439" s="25"/>
    </row>
    <row r="440" spans="4:10" x14ac:dyDescent="0.25">
      <c r="D440" s="25"/>
      <c r="F440" s="25" t="str">
        <f>IFERROR(IF(ISBLANK(E440),"",INDEX(Gen_Vessels!$A$3:$C$500,MATCH(E440,Gen_Vessels!$C$3:$C$500,0),1)),"")</f>
        <v/>
      </c>
      <c r="G440" s="25"/>
      <c r="I440" s="25" t="str">
        <f>IFERROR(IF(ISBLANK(H440),"",INDEX(Gen_Vessels!$A$3:$C$500,MATCH(H440,Gen_Vessels!$C$3:$C$500,0),1)),"")</f>
        <v/>
      </c>
      <c r="J440" s="25"/>
    </row>
    <row r="441" spans="4:10" x14ac:dyDescent="0.25">
      <c r="D441" s="25"/>
      <c r="F441" s="25" t="str">
        <f>IFERROR(IF(ISBLANK(E441),"",INDEX(Gen_Vessels!$A$3:$C$500,MATCH(E441,Gen_Vessels!$C$3:$C$500,0),1)),"")</f>
        <v/>
      </c>
      <c r="G441" s="25"/>
      <c r="I441" s="25" t="str">
        <f>IFERROR(IF(ISBLANK(H441),"",INDEX(Gen_Vessels!$A$3:$C$500,MATCH(H441,Gen_Vessels!$C$3:$C$500,0),1)),"")</f>
        <v/>
      </c>
      <c r="J441" s="25"/>
    </row>
    <row r="442" spans="4:10" x14ac:dyDescent="0.25">
      <c r="D442" s="25"/>
      <c r="F442" s="25" t="str">
        <f>IFERROR(IF(ISBLANK(E442),"",INDEX(Gen_Vessels!$A$3:$C$500,MATCH(E442,Gen_Vessels!$C$3:$C$500,0),1)),"")</f>
        <v/>
      </c>
      <c r="G442" s="25"/>
      <c r="I442" s="25" t="str">
        <f>IFERROR(IF(ISBLANK(H442),"",INDEX(Gen_Vessels!$A$3:$C$500,MATCH(H442,Gen_Vessels!$C$3:$C$500,0),1)),"")</f>
        <v/>
      </c>
      <c r="J442" s="25"/>
    </row>
    <row r="443" spans="4:10" x14ac:dyDescent="0.25">
      <c r="D443" s="25"/>
      <c r="F443" s="25" t="str">
        <f>IFERROR(IF(ISBLANK(E443),"",INDEX(Gen_Vessels!$A$3:$C$500,MATCH(E443,Gen_Vessels!$C$3:$C$500,0),1)),"")</f>
        <v/>
      </c>
      <c r="G443" s="25"/>
      <c r="I443" s="25" t="str">
        <f>IFERROR(IF(ISBLANK(H443),"",INDEX(Gen_Vessels!$A$3:$C$500,MATCH(H443,Gen_Vessels!$C$3:$C$500,0),1)),"")</f>
        <v/>
      </c>
      <c r="J443" s="25"/>
    </row>
    <row r="444" spans="4:10" x14ac:dyDescent="0.25">
      <c r="D444" s="25"/>
      <c r="F444" s="25" t="str">
        <f>IFERROR(IF(ISBLANK(E444),"",INDEX(Gen_Vessels!$A$3:$C$500,MATCH(E444,Gen_Vessels!$C$3:$C$500,0),1)),"")</f>
        <v/>
      </c>
      <c r="G444" s="25"/>
      <c r="I444" s="25" t="str">
        <f>IFERROR(IF(ISBLANK(H444),"",INDEX(Gen_Vessels!$A$3:$C$500,MATCH(H444,Gen_Vessels!$C$3:$C$500,0),1)),"")</f>
        <v/>
      </c>
      <c r="J444" s="25"/>
    </row>
    <row r="445" spans="4:10" x14ac:dyDescent="0.25">
      <c r="D445" s="25"/>
      <c r="F445" s="25" t="str">
        <f>IFERROR(IF(ISBLANK(E445),"",INDEX(Gen_Vessels!$A$3:$C$500,MATCH(E445,Gen_Vessels!$C$3:$C$500,0),1)),"")</f>
        <v/>
      </c>
      <c r="G445" s="25"/>
      <c r="I445" s="25" t="str">
        <f>IFERROR(IF(ISBLANK(H445),"",INDEX(Gen_Vessels!$A$3:$C$500,MATCH(H445,Gen_Vessels!$C$3:$C$500,0),1)),"")</f>
        <v/>
      </c>
      <c r="J445" s="25"/>
    </row>
    <row r="446" spans="4:10" x14ac:dyDescent="0.25">
      <c r="D446" s="25"/>
      <c r="F446" s="25" t="str">
        <f>IFERROR(IF(ISBLANK(E446),"",INDEX(Gen_Vessels!$A$3:$C$500,MATCH(E446,Gen_Vessels!$C$3:$C$500,0),1)),"")</f>
        <v/>
      </c>
      <c r="G446" s="25"/>
      <c r="I446" s="25" t="str">
        <f>IFERROR(IF(ISBLANK(H446),"",INDEX(Gen_Vessels!$A$3:$C$500,MATCH(H446,Gen_Vessels!$C$3:$C$500,0),1)),"")</f>
        <v/>
      </c>
      <c r="J446" s="25"/>
    </row>
    <row r="447" spans="4:10" x14ac:dyDescent="0.25">
      <c r="D447" s="25"/>
      <c r="F447" s="25" t="str">
        <f>IFERROR(IF(ISBLANK(E447),"",INDEX(Gen_Vessels!$A$3:$C$500,MATCH(E447,Gen_Vessels!$C$3:$C$500,0),1)),"")</f>
        <v/>
      </c>
      <c r="G447" s="25"/>
      <c r="I447" s="25" t="str">
        <f>IFERROR(IF(ISBLANK(H447),"",INDEX(Gen_Vessels!$A$3:$C$500,MATCH(H447,Gen_Vessels!$C$3:$C$500,0),1)),"")</f>
        <v/>
      </c>
      <c r="J447" s="25"/>
    </row>
    <row r="448" spans="4:10" x14ac:dyDescent="0.25">
      <c r="D448" s="25"/>
      <c r="F448" s="25" t="str">
        <f>IFERROR(IF(ISBLANK(E448),"",INDEX(Gen_Vessels!$A$3:$C$500,MATCH(E448,Gen_Vessels!$C$3:$C$500,0),1)),"")</f>
        <v/>
      </c>
      <c r="G448" s="25"/>
      <c r="I448" s="25" t="str">
        <f>IFERROR(IF(ISBLANK(H448),"",INDEX(Gen_Vessels!$A$3:$C$500,MATCH(H448,Gen_Vessels!$C$3:$C$500,0),1)),"")</f>
        <v/>
      </c>
      <c r="J448" s="25"/>
    </row>
    <row r="449" spans="4:10" x14ac:dyDescent="0.25">
      <c r="D449" s="25"/>
      <c r="F449" s="25" t="str">
        <f>IFERROR(IF(ISBLANK(E449),"",INDEX(Gen_Vessels!$A$3:$C$500,MATCH(E449,Gen_Vessels!$C$3:$C$500,0),1)),"")</f>
        <v/>
      </c>
      <c r="G449" s="25"/>
      <c r="I449" s="25" t="str">
        <f>IFERROR(IF(ISBLANK(H449),"",INDEX(Gen_Vessels!$A$3:$C$500,MATCH(H449,Gen_Vessels!$C$3:$C$500,0),1)),"")</f>
        <v/>
      </c>
      <c r="J449" s="25"/>
    </row>
    <row r="450" spans="4:10" x14ac:dyDescent="0.25">
      <c r="D450" s="25"/>
      <c r="F450" s="25" t="str">
        <f>IFERROR(IF(ISBLANK(E450),"",INDEX(Gen_Vessels!$A$3:$C$500,MATCH(E450,Gen_Vessels!$C$3:$C$500,0),1)),"")</f>
        <v/>
      </c>
      <c r="G450" s="25"/>
      <c r="I450" s="25" t="str">
        <f>IFERROR(IF(ISBLANK(H450),"",INDEX(Gen_Vessels!$A$3:$C$500,MATCH(H450,Gen_Vessels!$C$3:$C$500,0),1)),"")</f>
        <v/>
      </c>
      <c r="J450" s="25"/>
    </row>
    <row r="451" spans="4:10" x14ac:dyDescent="0.25">
      <c r="D451" s="25"/>
      <c r="F451" s="25" t="str">
        <f>IFERROR(IF(ISBLANK(E451),"",INDEX(Gen_Vessels!$A$3:$C$500,MATCH(E451,Gen_Vessels!$C$3:$C$500,0),1)),"")</f>
        <v/>
      </c>
      <c r="G451" s="25"/>
      <c r="I451" s="25" t="str">
        <f>IFERROR(IF(ISBLANK(H451),"",INDEX(Gen_Vessels!$A$3:$C$500,MATCH(H451,Gen_Vessels!$C$3:$C$500,0),1)),"")</f>
        <v/>
      </c>
      <c r="J451" s="25"/>
    </row>
    <row r="452" spans="4:10" x14ac:dyDescent="0.25">
      <c r="D452" s="25"/>
      <c r="F452" s="25" t="str">
        <f>IFERROR(IF(ISBLANK(E452),"",INDEX(Gen_Vessels!$A$3:$C$500,MATCH(E452,Gen_Vessels!$C$3:$C$500,0),1)),"")</f>
        <v/>
      </c>
      <c r="G452" s="25"/>
      <c r="I452" s="25" t="str">
        <f>IFERROR(IF(ISBLANK(H452),"",INDEX(Gen_Vessels!$A$3:$C$500,MATCH(H452,Gen_Vessels!$C$3:$C$500,0),1)),"")</f>
        <v/>
      </c>
      <c r="J452" s="25"/>
    </row>
    <row r="453" spans="4:10" x14ac:dyDescent="0.25">
      <c r="D453" s="25"/>
      <c r="F453" s="25" t="str">
        <f>IFERROR(IF(ISBLANK(E453),"",INDEX(Gen_Vessels!$A$3:$C$500,MATCH(E453,Gen_Vessels!$C$3:$C$500,0),1)),"")</f>
        <v/>
      </c>
      <c r="G453" s="25"/>
      <c r="I453" s="25" t="str">
        <f>IFERROR(IF(ISBLANK(H453),"",INDEX(Gen_Vessels!$A$3:$C$500,MATCH(H453,Gen_Vessels!$C$3:$C$500,0),1)),"")</f>
        <v/>
      </c>
      <c r="J453" s="25"/>
    </row>
    <row r="454" spans="4:10" x14ac:dyDescent="0.25">
      <c r="D454" s="25"/>
      <c r="F454" s="25" t="str">
        <f>IFERROR(IF(ISBLANK(E454),"",INDEX(Gen_Vessels!$A$3:$C$500,MATCH(E454,Gen_Vessels!$C$3:$C$500,0),1)),"")</f>
        <v/>
      </c>
      <c r="G454" s="25"/>
      <c r="I454" s="25" t="str">
        <f>IFERROR(IF(ISBLANK(H454),"",INDEX(Gen_Vessels!$A$3:$C$500,MATCH(H454,Gen_Vessels!$C$3:$C$500,0),1)),"")</f>
        <v/>
      </c>
      <c r="J454" s="25"/>
    </row>
    <row r="455" spans="4:10" x14ac:dyDescent="0.25">
      <c r="D455" s="25"/>
      <c r="F455" s="25" t="str">
        <f>IFERROR(IF(ISBLANK(E455),"",INDEX(Gen_Vessels!$A$3:$C$500,MATCH(E455,Gen_Vessels!$C$3:$C$500,0),1)),"")</f>
        <v/>
      </c>
      <c r="G455" s="25"/>
      <c r="I455" s="25" t="str">
        <f>IFERROR(IF(ISBLANK(H455),"",INDEX(Gen_Vessels!$A$3:$C$500,MATCH(H455,Gen_Vessels!$C$3:$C$500,0),1)),"")</f>
        <v/>
      </c>
      <c r="J455" s="25"/>
    </row>
    <row r="456" spans="4:10" x14ac:dyDescent="0.25">
      <c r="D456" s="25"/>
      <c r="F456" s="25" t="str">
        <f>IFERROR(IF(ISBLANK(E456),"",INDEX(Gen_Vessels!$A$3:$C$500,MATCH(E456,Gen_Vessels!$C$3:$C$500,0),1)),"")</f>
        <v/>
      </c>
      <c r="G456" s="25"/>
      <c r="I456" s="25" t="str">
        <f>IFERROR(IF(ISBLANK(H456),"",INDEX(Gen_Vessels!$A$3:$C$500,MATCH(H456,Gen_Vessels!$C$3:$C$500,0),1)),"")</f>
        <v/>
      </c>
      <c r="J456" s="25"/>
    </row>
    <row r="457" spans="4:10" x14ac:dyDescent="0.25">
      <c r="D457" s="25"/>
      <c r="F457" s="25" t="str">
        <f>IFERROR(IF(ISBLANK(E457),"",INDEX(Gen_Vessels!$A$3:$C$500,MATCH(E457,Gen_Vessels!$C$3:$C$500,0),1)),"")</f>
        <v/>
      </c>
      <c r="G457" s="25"/>
      <c r="I457" s="25" t="str">
        <f>IFERROR(IF(ISBLANK(H457),"",INDEX(Gen_Vessels!$A$3:$C$500,MATCH(H457,Gen_Vessels!$C$3:$C$500,0),1)),"")</f>
        <v/>
      </c>
      <c r="J457" s="25"/>
    </row>
    <row r="458" spans="4:10" x14ac:dyDescent="0.25">
      <c r="D458" s="25"/>
      <c r="F458" s="25" t="str">
        <f>IFERROR(IF(ISBLANK(E458),"",INDEX(Gen_Vessels!$A$3:$C$500,MATCH(E458,Gen_Vessels!$C$3:$C$500,0),1)),"")</f>
        <v/>
      </c>
      <c r="G458" s="25"/>
      <c r="I458" s="25" t="str">
        <f>IFERROR(IF(ISBLANK(H458),"",INDEX(Gen_Vessels!$A$3:$C$500,MATCH(H458,Gen_Vessels!$C$3:$C$500,0),1)),"")</f>
        <v/>
      </c>
      <c r="J458" s="25"/>
    </row>
    <row r="459" spans="4:10" x14ac:dyDescent="0.25">
      <c r="D459" s="25"/>
      <c r="F459" s="25" t="str">
        <f>IFERROR(IF(ISBLANK(E459),"",INDEX(Gen_Vessels!$A$3:$C$500,MATCH(E459,Gen_Vessels!$C$3:$C$500,0),1)),"")</f>
        <v/>
      </c>
      <c r="G459" s="25"/>
      <c r="I459" s="25" t="str">
        <f>IFERROR(IF(ISBLANK(H459),"",INDEX(Gen_Vessels!$A$3:$C$500,MATCH(H459,Gen_Vessels!$C$3:$C$500,0),1)),"")</f>
        <v/>
      </c>
      <c r="J459" s="25"/>
    </row>
    <row r="460" spans="4:10" x14ac:dyDescent="0.25">
      <c r="D460" s="25"/>
      <c r="F460" s="25" t="str">
        <f>IFERROR(IF(ISBLANK(E460),"",INDEX(Gen_Vessels!$A$3:$C$500,MATCH(E460,Gen_Vessels!$C$3:$C$500,0),1)),"")</f>
        <v/>
      </c>
      <c r="G460" s="25"/>
      <c r="I460" s="25" t="str">
        <f>IFERROR(IF(ISBLANK(H460),"",INDEX(Gen_Vessels!$A$3:$C$500,MATCH(H460,Gen_Vessels!$C$3:$C$500,0),1)),"")</f>
        <v/>
      </c>
      <c r="J460" s="25"/>
    </row>
    <row r="461" spans="4:10" x14ac:dyDescent="0.25">
      <c r="D461" s="25"/>
      <c r="F461" s="25" t="str">
        <f>IFERROR(IF(ISBLANK(E461),"",INDEX(Gen_Vessels!$A$3:$C$500,MATCH(E461,Gen_Vessels!$C$3:$C$500,0),1)),"")</f>
        <v/>
      </c>
      <c r="G461" s="25"/>
      <c r="I461" s="25" t="str">
        <f>IFERROR(IF(ISBLANK(H461),"",INDEX(Gen_Vessels!$A$3:$C$500,MATCH(H461,Gen_Vessels!$C$3:$C$500,0),1)),"")</f>
        <v/>
      </c>
      <c r="J461" s="25"/>
    </row>
    <row r="462" spans="4:10" x14ac:dyDescent="0.25">
      <c r="D462" s="25"/>
      <c r="F462" s="25" t="str">
        <f>IFERROR(IF(ISBLANK(E462),"",INDEX(Gen_Vessels!$A$3:$C$500,MATCH(E462,Gen_Vessels!$C$3:$C$500,0),1)),"")</f>
        <v/>
      </c>
      <c r="G462" s="25"/>
      <c r="I462" s="25" t="str">
        <f>IFERROR(IF(ISBLANK(H462),"",INDEX(Gen_Vessels!$A$3:$C$500,MATCH(H462,Gen_Vessels!$C$3:$C$500,0),1)),"")</f>
        <v/>
      </c>
      <c r="J462" s="25"/>
    </row>
    <row r="463" spans="4:10" x14ac:dyDescent="0.25">
      <c r="D463" s="25"/>
      <c r="F463" s="25" t="str">
        <f>IFERROR(IF(ISBLANK(E463),"",INDEX(Gen_Vessels!$A$3:$C$500,MATCH(E463,Gen_Vessels!$C$3:$C$500,0),1)),"")</f>
        <v/>
      </c>
      <c r="G463" s="25"/>
      <c r="I463" s="25" t="str">
        <f>IFERROR(IF(ISBLANK(H463),"",INDEX(Gen_Vessels!$A$3:$C$500,MATCH(H463,Gen_Vessels!$C$3:$C$500,0),1)),"")</f>
        <v/>
      </c>
      <c r="J463" s="25"/>
    </row>
    <row r="464" spans="4:10" x14ac:dyDescent="0.25">
      <c r="D464" s="25"/>
      <c r="F464" s="25" t="str">
        <f>IFERROR(IF(ISBLANK(E464),"",INDEX(Gen_Vessels!$A$3:$C$500,MATCH(E464,Gen_Vessels!$C$3:$C$500,0),1)),"")</f>
        <v/>
      </c>
      <c r="G464" s="25"/>
      <c r="I464" s="25" t="str">
        <f>IFERROR(IF(ISBLANK(H464),"",INDEX(Gen_Vessels!$A$3:$C$500,MATCH(H464,Gen_Vessels!$C$3:$C$500,0),1)),"")</f>
        <v/>
      </c>
      <c r="J464" s="25"/>
    </row>
    <row r="465" spans="4:10" x14ac:dyDescent="0.25">
      <c r="D465" s="25"/>
      <c r="F465" s="25" t="str">
        <f>IFERROR(IF(ISBLANK(E465),"",INDEX(Gen_Vessels!$A$3:$C$500,MATCH(E465,Gen_Vessels!$C$3:$C$500,0),1)),"")</f>
        <v/>
      </c>
      <c r="G465" s="25"/>
      <c r="I465" s="25" t="str">
        <f>IFERROR(IF(ISBLANK(H465),"",INDEX(Gen_Vessels!$A$3:$C$500,MATCH(H465,Gen_Vessels!$C$3:$C$500,0),1)),"")</f>
        <v/>
      </c>
      <c r="J465" s="25"/>
    </row>
    <row r="466" spans="4:10" x14ac:dyDescent="0.25">
      <c r="D466" s="25"/>
      <c r="F466" s="25" t="str">
        <f>IFERROR(IF(ISBLANK(E466),"",INDEX(Gen_Vessels!$A$3:$C$500,MATCH(E466,Gen_Vessels!$C$3:$C$500,0),1)),"")</f>
        <v/>
      </c>
      <c r="G466" s="25"/>
      <c r="I466" s="25" t="str">
        <f>IFERROR(IF(ISBLANK(H466),"",INDEX(Gen_Vessels!$A$3:$C$500,MATCH(H466,Gen_Vessels!$C$3:$C$500,0),1)),"")</f>
        <v/>
      </c>
      <c r="J466" s="25"/>
    </row>
    <row r="467" spans="4:10" x14ac:dyDescent="0.25">
      <c r="D467" s="25"/>
      <c r="F467" s="25" t="str">
        <f>IFERROR(IF(ISBLANK(E467),"",INDEX(Gen_Vessels!$A$3:$C$500,MATCH(E467,Gen_Vessels!$C$3:$C$500,0),1)),"")</f>
        <v/>
      </c>
      <c r="G467" s="25"/>
      <c r="I467" s="25" t="str">
        <f>IFERROR(IF(ISBLANK(H467),"",INDEX(Gen_Vessels!$A$3:$C$500,MATCH(H467,Gen_Vessels!$C$3:$C$500,0),1)),"")</f>
        <v/>
      </c>
      <c r="J467" s="25"/>
    </row>
    <row r="468" spans="4:10" x14ac:dyDescent="0.25">
      <c r="D468" s="25"/>
      <c r="F468" s="25" t="str">
        <f>IFERROR(IF(ISBLANK(E468),"",INDEX(Gen_Vessels!$A$3:$C$500,MATCH(E468,Gen_Vessels!$C$3:$C$500,0),1)),"")</f>
        <v/>
      </c>
      <c r="G468" s="25"/>
      <c r="I468" s="25" t="str">
        <f>IFERROR(IF(ISBLANK(H468),"",INDEX(Gen_Vessels!$A$3:$C$500,MATCH(H468,Gen_Vessels!$C$3:$C$500,0),1)),"")</f>
        <v/>
      </c>
      <c r="J468" s="25"/>
    </row>
    <row r="469" spans="4:10" x14ac:dyDescent="0.25">
      <c r="D469" s="25"/>
      <c r="F469" s="25" t="str">
        <f>IFERROR(IF(ISBLANK(E469),"",INDEX(Gen_Vessels!$A$3:$C$500,MATCH(E469,Gen_Vessels!$C$3:$C$500,0),1)),"")</f>
        <v/>
      </c>
      <c r="G469" s="25"/>
      <c r="I469" s="25" t="str">
        <f>IFERROR(IF(ISBLANK(H469),"",INDEX(Gen_Vessels!$A$3:$C$500,MATCH(H469,Gen_Vessels!$C$3:$C$500,0),1)),"")</f>
        <v/>
      </c>
      <c r="J469" s="25"/>
    </row>
    <row r="470" spans="4:10" x14ac:dyDescent="0.25">
      <c r="D470" s="25"/>
      <c r="F470" s="25" t="str">
        <f>IFERROR(IF(ISBLANK(E470),"",INDEX(Gen_Vessels!$A$3:$C$500,MATCH(E470,Gen_Vessels!$C$3:$C$500,0),1)),"")</f>
        <v/>
      </c>
      <c r="G470" s="25"/>
      <c r="I470" s="25" t="str">
        <f>IFERROR(IF(ISBLANK(H470),"",INDEX(Gen_Vessels!$A$3:$C$500,MATCH(H470,Gen_Vessels!$C$3:$C$500,0),1)),"")</f>
        <v/>
      </c>
      <c r="J470" s="25"/>
    </row>
    <row r="471" spans="4:10" x14ac:dyDescent="0.25">
      <c r="D471" s="25"/>
      <c r="F471" s="25" t="str">
        <f>IFERROR(IF(ISBLANK(E471),"",INDEX(Gen_Vessels!$A$3:$C$500,MATCH(E471,Gen_Vessels!$C$3:$C$500,0),1)),"")</f>
        <v/>
      </c>
      <c r="G471" s="25"/>
      <c r="I471" s="25" t="str">
        <f>IFERROR(IF(ISBLANK(H471),"",INDEX(Gen_Vessels!$A$3:$C$500,MATCH(H471,Gen_Vessels!$C$3:$C$500,0),1)),"")</f>
        <v/>
      </c>
      <c r="J471" s="25"/>
    </row>
    <row r="472" spans="4:10" x14ac:dyDescent="0.25">
      <c r="D472" s="25"/>
      <c r="F472" s="25" t="str">
        <f>IFERROR(IF(ISBLANK(E472),"",INDEX(Gen_Vessels!$A$3:$C$500,MATCH(E472,Gen_Vessels!$C$3:$C$500,0),1)),"")</f>
        <v/>
      </c>
      <c r="G472" s="25"/>
      <c r="I472" s="25" t="str">
        <f>IFERROR(IF(ISBLANK(H472),"",INDEX(Gen_Vessels!$A$3:$C$500,MATCH(H472,Gen_Vessels!$C$3:$C$500,0),1)),"")</f>
        <v/>
      </c>
      <c r="J472" s="25"/>
    </row>
    <row r="473" spans="4:10" x14ac:dyDescent="0.25">
      <c r="D473" s="25"/>
      <c r="F473" s="25" t="str">
        <f>IFERROR(IF(ISBLANK(E473),"",INDEX(Gen_Vessels!$A$3:$C$500,MATCH(E473,Gen_Vessels!$C$3:$C$500,0),1)),"")</f>
        <v/>
      </c>
      <c r="G473" s="25"/>
      <c r="I473" s="25" t="str">
        <f>IFERROR(IF(ISBLANK(H473),"",INDEX(Gen_Vessels!$A$3:$C$500,MATCH(H473,Gen_Vessels!$C$3:$C$500,0),1)),"")</f>
        <v/>
      </c>
      <c r="J473" s="25"/>
    </row>
    <row r="474" spans="4:10" x14ac:dyDescent="0.25">
      <c r="D474" s="25"/>
      <c r="F474" s="25" t="str">
        <f>IFERROR(IF(ISBLANK(E474),"",INDEX(Gen_Vessels!$A$3:$C$500,MATCH(E474,Gen_Vessels!$C$3:$C$500,0),1)),"")</f>
        <v/>
      </c>
      <c r="G474" s="25"/>
      <c r="I474" s="25" t="str">
        <f>IFERROR(IF(ISBLANK(H474),"",INDEX(Gen_Vessels!$A$3:$C$500,MATCH(H474,Gen_Vessels!$C$3:$C$500,0),1)),"")</f>
        <v/>
      </c>
      <c r="J474" s="25"/>
    </row>
    <row r="475" spans="4:10" x14ac:dyDescent="0.25">
      <c r="D475" s="25"/>
      <c r="F475" s="25" t="str">
        <f>IFERROR(IF(ISBLANK(E475),"",INDEX(Gen_Vessels!$A$3:$C$500,MATCH(E475,Gen_Vessels!$C$3:$C$500,0),1)),"")</f>
        <v/>
      </c>
      <c r="G475" s="25"/>
      <c r="I475" s="25" t="str">
        <f>IFERROR(IF(ISBLANK(H475),"",INDEX(Gen_Vessels!$A$3:$C$500,MATCH(H475,Gen_Vessels!$C$3:$C$500,0),1)),"")</f>
        <v/>
      </c>
      <c r="J475" s="25"/>
    </row>
    <row r="476" spans="4:10" x14ac:dyDescent="0.25">
      <c r="D476" s="25"/>
      <c r="F476" s="25" t="str">
        <f>IFERROR(IF(ISBLANK(E476),"",INDEX(Gen_Vessels!$A$3:$C$500,MATCH(E476,Gen_Vessels!$C$3:$C$500,0),1)),"")</f>
        <v/>
      </c>
      <c r="G476" s="25"/>
      <c r="I476" s="25" t="str">
        <f>IFERROR(IF(ISBLANK(H476),"",INDEX(Gen_Vessels!$A$3:$C$500,MATCH(H476,Gen_Vessels!$C$3:$C$500,0),1)),"")</f>
        <v/>
      </c>
      <c r="J476" s="25"/>
    </row>
    <row r="477" spans="4:10" x14ac:dyDescent="0.25">
      <c r="D477" s="25"/>
      <c r="F477" s="25" t="str">
        <f>IFERROR(IF(ISBLANK(E477),"",INDEX(Gen_Vessels!$A$3:$C$500,MATCH(E477,Gen_Vessels!$C$3:$C$500,0),1)),"")</f>
        <v/>
      </c>
      <c r="G477" s="25"/>
      <c r="I477" s="25" t="str">
        <f>IFERROR(IF(ISBLANK(H477),"",INDEX(Gen_Vessels!$A$3:$C$500,MATCH(H477,Gen_Vessels!$C$3:$C$500,0),1)),"")</f>
        <v/>
      </c>
      <c r="J477" s="25"/>
    </row>
    <row r="478" spans="4:10" x14ac:dyDescent="0.25">
      <c r="D478" s="25"/>
      <c r="F478" s="25" t="str">
        <f>IFERROR(IF(ISBLANK(E478),"",INDEX(Gen_Vessels!$A$3:$C$500,MATCH(E478,Gen_Vessels!$C$3:$C$500,0),1)),"")</f>
        <v/>
      </c>
      <c r="G478" s="25"/>
      <c r="I478" s="25" t="str">
        <f>IFERROR(IF(ISBLANK(H478),"",INDEX(Gen_Vessels!$A$3:$C$500,MATCH(H478,Gen_Vessels!$C$3:$C$500,0),1)),"")</f>
        <v/>
      </c>
      <c r="J478" s="25"/>
    </row>
    <row r="479" spans="4:10" x14ac:dyDescent="0.25">
      <c r="D479" s="25"/>
      <c r="F479" s="25" t="str">
        <f>IFERROR(IF(ISBLANK(E479),"",INDEX(Gen_Vessels!$A$3:$C$500,MATCH(E479,Gen_Vessels!$C$3:$C$500,0),1)),"")</f>
        <v/>
      </c>
      <c r="G479" s="25"/>
      <c r="I479" s="25" t="str">
        <f>IFERROR(IF(ISBLANK(H479),"",INDEX(Gen_Vessels!$A$3:$C$500,MATCH(H479,Gen_Vessels!$C$3:$C$500,0),1)),"")</f>
        <v/>
      </c>
      <c r="J479" s="25"/>
    </row>
    <row r="480" spans="4:10" x14ac:dyDescent="0.25">
      <c r="D480" s="25"/>
      <c r="F480" s="25" t="str">
        <f>IFERROR(IF(ISBLANK(E480),"",INDEX(Gen_Vessels!$A$3:$C$500,MATCH(E480,Gen_Vessels!$C$3:$C$500,0),1)),"")</f>
        <v/>
      </c>
      <c r="G480" s="25"/>
      <c r="I480" s="25" t="str">
        <f>IFERROR(IF(ISBLANK(H480),"",INDEX(Gen_Vessels!$A$3:$C$500,MATCH(H480,Gen_Vessels!$C$3:$C$500,0),1)),"")</f>
        <v/>
      </c>
      <c r="J480" s="25"/>
    </row>
    <row r="481" spans="4:10" x14ac:dyDescent="0.25">
      <c r="D481" s="25"/>
      <c r="F481" s="25" t="str">
        <f>IFERROR(IF(ISBLANK(E481),"",INDEX(Gen_Vessels!$A$3:$C$500,MATCH(E481,Gen_Vessels!$C$3:$C$500,0),1)),"")</f>
        <v/>
      </c>
      <c r="G481" s="25"/>
      <c r="I481" s="25" t="str">
        <f>IFERROR(IF(ISBLANK(H481),"",INDEX(Gen_Vessels!$A$3:$C$500,MATCH(H481,Gen_Vessels!$C$3:$C$500,0),1)),"")</f>
        <v/>
      </c>
      <c r="J481" s="25"/>
    </row>
    <row r="482" spans="4:10" x14ac:dyDescent="0.25">
      <c r="D482" s="25"/>
      <c r="F482" s="25" t="str">
        <f>IFERROR(IF(ISBLANK(E482),"",INDEX(Gen_Vessels!$A$3:$C$500,MATCH(E482,Gen_Vessels!$C$3:$C$500,0),1)),"")</f>
        <v/>
      </c>
      <c r="G482" s="25"/>
      <c r="I482" s="25" t="str">
        <f>IFERROR(IF(ISBLANK(H482),"",INDEX(Gen_Vessels!$A$3:$C$500,MATCH(H482,Gen_Vessels!$C$3:$C$500,0),1)),"")</f>
        <v/>
      </c>
      <c r="J482" s="25"/>
    </row>
    <row r="483" spans="4:10" x14ac:dyDescent="0.25">
      <c r="D483" s="25"/>
      <c r="F483" s="25" t="str">
        <f>IFERROR(IF(ISBLANK(E483),"",INDEX(Gen_Vessels!$A$3:$C$500,MATCH(E483,Gen_Vessels!$C$3:$C$500,0),1)),"")</f>
        <v/>
      </c>
      <c r="G483" s="25"/>
      <c r="I483" s="25" t="str">
        <f>IFERROR(IF(ISBLANK(H483),"",INDEX(Gen_Vessels!$A$3:$C$500,MATCH(H483,Gen_Vessels!$C$3:$C$500,0),1)),"")</f>
        <v/>
      </c>
      <c r="J483" s="25"/>
    </row>
    <row r="484" spans="4:10" x14ac:dyDescent="0.25">
      <c r="D484" s="25"/>
      <c r="F484" s="25" t="str">
        <f>IFERROR(IF(ISBLANK(E484),"",INDEX(Gen_Vessels!$A$3:$C$500,MATCH(E484,Gen_Vessels!$C$3:$C$500,0),1)),"")</f>
        <v/>
      </c>
      <c r="G484" s="25"/>
      <c r="I484" s="25" t="str">
        <f>IFERROR(IF(ISBLANK(H484),"",INDEX(Gen_Vessels!$A$3:$C$500,MATCH(H484,Gen_Vessels!$C$3:$C$500,0),1)),"")</f>
        <v/>
      </c>
      <c r="J484" s="25"/>
    </row>
    <row r="485" spans="4:10" x14ac:dyDescent="0.25">
      <c r="D485" s="25"/>
      <c r="F485" s="25" t="str">
        <f>IFERROR(IF(ISBLANK(E485),"",INDEX(Gen_Vessels!$A$3:$C$500,MATCH(E485,Gen_Vessels!$C$3:$C$500,0),1)),"")</f>
        <v/>
      </c>
      <c r="G485" s="25"/>
      <c r="I485" s="25" t="str">
        <f>IFERROR(IF(ISBLANK(H485),"",INDEX(Gen_Vessels!$A$3:$C$500,MATCH(H485,Gen_Vessels!$C$3:$C$500,0),1)),"")</f>
        <v/>
      </c>
      <c r="J485" s="25"/>
    </row>
    <row r="486" spans="4:10" x14ac:dyDescent="0.25">
      <c r="D486" s="25"/>
      <c r="F486" s="25" t="str">
        <f>IFERROR(IF(ISBLANK(E486),"",INDEX(Gen_Vessels!$A$3:$C$500,MATCH(E486,Gen_Vessels!$C$3:$C$500,0),1)),"")</f>
        <v/>
      </c>
      <c r="G486" s="25"/>
      <c r="I486" s="25" t="str">
        <f>IFERROR(IF(ISBLANK(H486),"",INDEX(Gen_Vessels!$A$3:$C$500,MATCH(H486,Gen_Vessels!$C$3:$C$500,0),1)),"")</f>
        <v/>
      </c>
      <c r="J486" s="25"/>
    </row>
    <row r="487" spans="4:10" x14ac:dyDescent="0.25">
      <c r="D487" s="25"/>
      <c r="F487" s="25" t="str">
        <f>IFERROR(IF(ISBLANK(E487),"",INDEX(Gen_Vessels!$A$3:$C$500,MATCH(E487,Gen_Vessels!$C$3:$C$500,0),1)),"")</f>
        <v/>
      </c>
      <c r="G487" s="25"/>
      <c r="I487" s="25" t="str">
        <f>IFERROR(IF(ISBLANK(H487),"",INDEX(Gen_Vessels!$A$3:$C$500,MATCH(H487,Gen_Vessels!$C$3:$C$500,0),1)),"")</f>
        <v/>
      </c>
      <c r="J487" s="25"/>
    </row>
    <row r="488" spans="4:10" x14ac:dyDescent="0.25">
      <c r="D488" s="25"/>
      <c r="F488" s="25" t="str">
        <f>IFERROR(IF(ISBLANK(E488),"",INDEX(Gen_Vessels!$A$3:$C$500,MATCH(E488,Gen_Vessels!$C$3:$C$500,0),1)),"")</f>
        <v/>
      </c>
      <c r="G488" s="25"/>
      <c r="I488" s="25" t="str">
        <f>IFERROR(IF(ISBLANK(H488),"",INDEX(Gen_Vessels!$A$3:$C$500,MATCH(H488,Gen_Vessels!$C$3:$C$500,0),1)),"")</f>
        <v/>
      </c>
      <c r="J488" s="25"/>
    </row>
    <row r="489" spans="4:10" x14ac:dyDescent="0.25">
      <c r="D489" s="25"/>
      <c r="F489" s="25" t="str">
        <f>IFERROR(IF(ISBLANK(E489),"",INDEX(Gen_Vessels!$A$3:$C$500,MATCH(E489,Gen_Vessels!$C$3:$C$500,0),1)),"")</f>
        <v/>
      </c>
      <c r="G489" s="25"/>
      <c r="I489" s="25" t="str">
        <f>IFERROR(IF(ISBLANK(H489),"",INDEX(Gen_Vessels!$A$3:$C$500,MATCH(H489,Gen_Vessels!$C$3:$C$500,0),1)),"")</f>
        <v/>
      </c>
      <c r="J489" s="25"/>
    </row>
    <row r="490" spans="4:10" x14ac:dyDescent="0.25">
      <c r="D490" s="25"/>
      <c r="F490" s="25" t="str">
        <f>IFERROR(IF(ISBLANK(E490),"",INDEX(Gen_Vessels!$A$3:$C$500,MATCH(E490,Gen_Vessels!$C$3:$C$500,0),1)),"")</f>
        <v/>
      </c>
      <c r="G490" s="25"/>
      <c r="I490" s="25" t="str">
        <f>IFERROR(IF(ISBLANK(H490),"",INDEX(Gen_Vessels!$A$3:$C$500,MATCH(H490,Gen_Vessels!$C$3:$C$500,0),1)),"")</f>
        <v/>
      </c>
      <c r="J490" s="25"/>
    </row>
    <row r="491" spans="4:10" x14ac:dyDescent="0.25">
      <c r="D491" s="25"/>
      <c r="F491" s="25" t="str">
        <f>IFERROR(IF(ISBLANK(E491),"",INDEX(Gen_Vessels!$A$3:$C$500,MATCH(E491,Gen_Vessels!$C$3:$C$500,0),1)),"")</f>
        <v/>
      </c>
      <c r="G491" s="25"/>
      <c r="I491" s="25" t="str">
        <f>IFERROR(IF(ISBLANK(H491),"",INDEX(Gen_Vessels!$A$3:$C$500,MATCH(H491,Gen_Vessels!$C$3:$C$500,0),1)),"")</f>
        <v/>
      </c>
      <c r="J491" s="25"/>
    </row>
    <row r="492" spans="4:10" x14ac:dyDescent="0.25">
      <c r="D492" s="25"/>
      <c r="F492" s="25" t="str">
        <f>IFERROR(IF(ISBLANK(E492),"",INDEX(Gen_Vessels!$A$3:$C$500,MATCH(E492,Gen_Vessels!$C$3:$C$500,0),1)),"")</f>
        <v/>
      </c>
      <c r="G492" s="25"/>
      <c r="I492" s="25" t="str">
        <f>IFERROR(IF(ISBLANK(H492),"",INDEX(Gen_Vessels!$A$3:$C$500,MATCH(H492,Gen_Vessels!$C$3:$C$500,0),1)),"")</f>
        <v/>
      </c>
      <c r="J492" s="25"/>
    </row>
    <row r="493" spans="4:10" x14ac:dyDescent="0.25">
      <c r="F493" s="25" t="str">
        <f>IFERROR(IF(ISBLANK(E493),"",INDEX(Gen_Vessels!$A$3:$C$500,MATCH(E493,Gen_Vessels!$C$3:$C$500,0),1)),"")</f>
        <v/>
      </c>
      <c r="G493" s="25"/>
      <c r="I493" s="25" t="str">
        <f>IFERROR(IF(ISBLANK(H493),"",INDEX(Gen_Vessels!$A$3:$C$500,MATCH(H493,Gen_Vessels!$C$3:$C$500,0),1)),"")</f>
        <v/>
      </c>
      <c r="J493" s="25"/>
    </row>
    <row r="494" spans="4:10" x14ac:dyDescent="0.25">
      <c r="F494" s="25" t="str">
        <f>IFERROR(IF(ISBLANK(E494),"",INDEX(Gen_Vessels!$A$3:$C$500,MATCH(E494,Gen_Vessels!$C$3:$C$500,0),1)),"")</f>
        <v/>
      </c>
      <c r="G494" s="25"/>
      <c r="I494" s="25" t="str">
        <f>IFERROR(IF(ISBLANK(H494),"",INDEX(Gen_Vessels!$A$3:$C$500,MATCH(H494,Gen_Vessels!$C$3:$C$500,0),1)),"")</f>
        <v/>
      </c>
      <c r="J494" s="25"/>
    </row>
    <row r="495" spans="4:10" x14ac:dyDescent="0.25">
      <c r="F495" s="25" t="str">
        <f>IFERROR(IF(ISBLANK(E495),"",INDEX(Gen_Vessels!$A$3:$C$500,MATCH(E495,Gen_Vessels!$C$3:$C$500,0),1)),"")</f>
        <v/>
      </c>
      <c r="G495" s="25"/>
      <c r="I495" s="25" t="str">
        <f>IFERROR(IF(ISBLANK(H495),"",INDEX(Gen_Vessels!$A$3:$C$500,MATCH(H495,Gen_Vessels!$C$3:$C$500,0),1)),"")</f>
        <v/>
      </c>
      <c r="J495" s="25"/>
    </row>
    <row r="496" spans="4:10" x14ac:dyDescent="0.25">
      <c r="F496" s="25" t="str">
        <f>IFERROR(IF(ISBLANK(E496),"",INDEX(Gen_Vessels!$A$3:$C$500,MATCH(E496,Gen_Vessels!$C$3:$C$500,0),1)),"")</f>
        <v/>
      </c>
      <c r="G496" s="25"/>
      <c r="I496" s="25" t="str">
        <f>IFERROR(IF(ISBLANK(H496),"",INDEX(Gen_Vessels!$A$3:$C$500,MATCH(H496,Gen_Vessels!$C$3:$C$500,0),1)),"")</f>
        <v/>
      </c>
      <c r="J496" s="25"/>
    </row>
    <row r="497" spans="6:10" x14ac:dyDescent="0.25">
      <c r="F497" s="25" t="str">
        <f>IFERROR(IF(ISBLANK(E497),"",INDEX(Gen_Vessels!$A$3:$C$500,MATCH(E497,Gen_Vessels!$C$3:$C$500,0),1)),"")</f>
        <v/>
      </c>
      <c r="G497" s="25"/>
      <c r="I497" s="25" t="str">
        <f>IFERROR(IF(ISBLANK(H497),"",INDEX(Gen_Vessels!$A$3:$C$500,MATCH(H497,Gen_Vessels!$C$3:$C$500,0),1)),"")</f>
        <v/>
      </c>
      <c r="J497" s="25"/>
    </row>
    <row r="498" spans="6:10" x14ac:dyDescent="0.25">
      <c r="F498" s="25" t="str">
        <f>IFERROR(IF(ISBLANK(E498),"",INDEX(Gen_Vessels!$A$3:$C$500,MATCH(E498,Gen_Vessels!$C$3:$C$500,0),1)),"")</f>
        <v/>
      </c>
      <c r="G498" s="25"/>
      <c r="I498" s="25" t="str">
        <f>IFERROR(IF(ISBLANK(H498),"",INDEX(Gen_Vessels!$A$3:$C$500,MATCH(H498,Gen_Vessels!$C$3:$C$500,0),1)),"")</f>
        <v/>
      </c>
      <c r="J498" s="25"/>
    </row>
    <row r="499" spans="6:10" x14ac:dyDescent="0.25">
      <c r="G499" s="25"/>
    </row>
    <row r="500" spans="6:10" x14ac:dyDescent="0.25">
      <c r="G500" s="25"/>
    </row>
    <row r="1048575" spans="10:10" x14ac:dyDescent="0.25">
      <c r="J1048575" s="25"/>
    </row>
    <row r="1048576" spans="10:10" x14ac:dyDescent="0.25">
      <c r="J1048576" s="25"/>
    </row>
  </sheetData>
  <conditionalFormatting sqref="B1:B2 B6:B1048576">
    <cfRule type="expression" dxfId="53" priority="13">
      <formula>COUNTIF(B:B,$B1)&gt;1</formula>
    </cfRule>
  </conditionalFormatting>
  <conditionalFormatting sqref="B6:B498">
    <cfRule type="expression" dxfId="52" priority="11">
      <formula>FIND("-",$B6)&gt;1</formula>
    </cfRule>
  </conditionalFormatting>
  <conditionalFormatting sqref="G3:G1048576">
    <cfRule type="expression" dxfId="51" priority="3">
      <formula>NOT(G3=INT(G3))</formula>
    </cfRule>
    <cfRule type="expression" dxfId="50" priority="4">
      <formula>G3&lt;0</formula>
    </cfRule>
  </conditionalFormatting>
  <conditionalFormatting sqref="J1:J1048576">
    <cfRule type="expression" dxfId="49" priority="1">
      <formula>NOT(J1=INT(J1))</formula>
    </cfRule>
    <cfRule type="expression" dxfId="48" priority="2">
      <formula>J1&lt;0</formula>
    </cfRule>
  </conditionalFormatting>
  <dataValidations count="3">
    <dataValidation type="whole" operator="greaterThanOrEqual" allowBlank="1" showInputMessage="1" showErrorMessage="1" sqref="L3:L491 G3:G1048576 J3:J1048576" xr:uid="{894FF06F-AA46-47AA-9820-C011C7E68D77}">
      <formula1>1</formula1>
    </dataValidation>
    <dataValidation type="decimal" operator="greaterThanOrEqual" allowBlank="1" showInputMessage="1" showErrorMessage="1" sqref="M3:N5 M6:O491" xr:uid="{0F5DD9D1-6E24-4482-AD2F-2410F812D8BF}">
      <formula1>0</formula1>
    </dataValidation>
    <dataValidation type="list" allowBlank="1" showInputMessage="1" showErrorMessage="1" sqref="D3:D17" xr:uid="{7B892D76-E17C-48F8-B63E-6324F5A95BC7}">
      <formula1>"False,True"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3B08A99-2343-4C87-BEE7-38DE11DD641F}">
          <x14:formula1>
            <xm:f>Gen_ROVs!$D$3:$D$194</xm:f>
          </x14:formula1>
          <xm:sqref>K6:K491</xm:sqref>
        </x14:dataValidation>
        <x14:dataValidation type="list" allowBlank="1" showInputMessage="1" showErrorMessage="1" xr:uid="{8EABBEA5-7B32-4996-A3BA-28C049015587}">
          <x14:formula1>
            <xm:f>Gen_Vessels!$C$3:$C$500</xm:f>
          </x14:formula1>
          <xm:sqref>H6:H498 E3:E498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91D26-1A3F-4101-A9B6-40FB65AE29D1}">
  <sheetPr>
    <tabColor theme="4" tint="0.39997558519241921"/>
  </sheetPr>
  <dimension ref="A1:AB1048576"/>
  <sheetViews>
    <sheetView zoomScale="85" zoomScaleNormal="85" workbookViewId="0">
      <pane xSplit="3" ySplit="2" topLeftCell="D3" activePane="bottomRight" state="frozen"/>
      <selection pane="topRight" activeCell="C1" sqref="C1"/>
      <selection pane="bottomLeft" activeCell="A3" sqref="A3"/>
      <selection pane="bottomRight" activeCell="I1" sqref="I1:I1048576"/>
    </sheetView>
  </sheetViews>
  <sheetFormatPr defaultColWidth="9.28515625" defaultRowHeight="15" x14ac:dyDescent="0.25"/>
  <cols>
    <col min="1" max="1" width="18.7109375" style="18" customWidth="1"/>
    <col min="2" max="2" width="16.7109375" style="18" customWidth="1"/>
    <col min="3" max="3" width="40.7109375" style="18" customWidth="1"/>
    <col min="4" max="4" width="15.5703125" style="18" customWidth="1"/>
    <col min="5" max="5" width="12.7109375" style="18" customWidth="1"/>
    <col min="6" max="9" width="15.5703125" style="18" customWidth="1"/>
    <col min="10" max="10" width="28.140625" style="18" bestFit="1" customWidth="1"/>
    <col min="11" max="11" width="22.42578125" style="18" customWidth="1"/>
    <col min="12" max="12" width="21.42578125" bestFit="1" customWidth="1"/>
    <col min="13" max="13" width="15.5703125" style="18" customWidth="1"/>
    <col min="14" max="14" width="21.42578125" style="25" customWidth="1"/>
    <col min="15" max="15" width="21.42578125" style="18" customWidth="1"/>
    <col min="16" max="16" width="12.7109375" style="18" customWidth="1"/>
    <col min="17" max="16384" width="9.28515625" style="18"/>
  </cols>
  <sheetData>
    <row r="1" spans="1:28" x14ac:dyDescent="0.25">
      <c r="A1" s="18" t="s">
        <v>66</v>
      </c>
      <c r="B1" s="18" t="s">
        <v>149</v>
      </c>
      <c r="C1" s="18" t="s">
        <v>150</v>
      </c>
      <c r="D1" s="18" t="s">
        <v>166</v>
      </c>
      <c r="E1" s="18" t="s">
        <v>167</v>
      </c>
      <c r="F1" s="18" t="s">
        <v>265</v>
      </c>
      <c r="G1" s="18" t="s">
        <v>168</v>
      </c>
      <c r="H1" s="18" t="s">
        <v>169</v>
      </c>
      <c r="I1" s="25" t="s">
        <v>430</v>
      </c>
      <c r="J1" s="18" t="s">
        <v>434</v>
      </c>
      <c r="K1" s="18" t="s">
        <v>435</v>
      </c>
      <c r="L1" s="18" t="s">
        <v>439</v>
      </c>
      <c r="M1" s="18" t="s">
        <v>170</v>
      </c>
      <c r="N1" s="25" t="s">
        <v>257</v>
      </c>
      <c r="O1" s="18" t="s">
        <v>172</v>
      </c>
      <c r="P1" s="18" t="s">
        <v>174</v>
      </c>
    </row>
    <row r="2" spans="1:28" x14ac:dyDescent="0.25">
      <c r="A2" s="18" t="s">
        <v>13</v>
      </c>
      <c r="B2" s="18" t="s">
        <v>13</v>
      </c>
      <c r="C2" s="18" t="s">
        <v>13</v>
      </c>
      <c r="D2" s="18" t="s">
        <v>13</v>
      </c>
      <c r="E2" s="18" t="s">
        <v>13</v>
      </c>
      <c r="F2" s="18" t="s">
        <v>13</v>
      </c>
      <c r="G2" s="18" t="s">
        <v>13</v>
      </c>
      <c r="H2" s="18" t="s">
        <v>13</v>
      </c>
      <c r="I2" s="25" t="s">
        <v>13</v>
      </c>
      <c r="J2" s="18" t="s">
        <v>13</v>
      </c>
      <c r="K2" s="18" t="s">
        <v>13</v>
      </c>
      <c r="L2" s="18" t="s">
        <v>277</v>
      </c>
      <c r="M2" s="18" t="s">
        <v>13</v>
      </c>
      <c r="N2" s="25" t="s">
        <v>13</v>
      </c>
      <c r="O2" s="18" t="s">
        <v>181</v>
      </c>
      <c r="P2" s="18" t="s">
        <v>90</v>
      </c>
    </row>
    <row r="3" spans="1:28" x14ac:dyDescent="0.25">
      <c r="A3" s="18" t="str">
        <f>IF(ISBLANK($B3)=FALSE,_xlfn.CONCAT($B3,"_tow"),"")</f>
        <v>owc_removal_tow</v>
      </c>
      <c r="B3" s="25" t="s">
        <v>266</v>
      </c>
      <c r="C3" s="25" t="s">
        <v>202</v>
      </c>
      <c r="D3" s="25" t="s">
        <v>260</v>
      </c>
      <c r="E3" s="25" t="str">
        <f>IFERROR(IF(ISBLANK(D3),"",INDEX(Gen_Vessels!$A$3:$C$500,MATCH(D3,Gen_Vessels!$C$3:$C$500,0),1)),"")</f>
        <v>V002</v>
      </c>
      <c r="F3" s="25">
        <v>1</v>
      </c>
      <c r="G3" s="25"/>
      <c r="H3" s="25" t="str">
        <f>IFERROR(IF(ISBLANK(G3),"",INDEX(Gen_Vessels!$A$3:$C$500,MATCH(G3,Gen_Vessels!$C$3:$C$500,0),1)),"")</f>
        <v/>
      </c>
      <c r="I3" s="25">
        <v>1</v>
      </c>
      <c r="J3" s="25" t="s">
        <v>433</v>
      </c>
      <c r="K3" s="25"/>
      <c r="N3" s="25">
        <v>1</v>
      </c>
      <c r="O3" s="25">
        <v>0</v>
      </c>
      <c r="Q3" s="25"/>
      <c r="R3" s="25"/>
      <c r="S3" s="25"/>
      <c r="T3" s="25"/>
      <c r="U3" s="25"/>
      <c r="V3" s="25"/>
      <c r="W3" s="25"/>
      <c r="X3" s="25"/>
      <c r="Y3" s="25"/>
      <c r="Z3" s="25"/>
      <c r="AA3" s="25"/>
      <c r="AB3" s="25"/>
    </row>
    <row r="4" spans="1:28" x14ac:dyDescent="0.25">
      <c r="A4" s="18" t="str">
        <f t="shared" ref="A4:A5" si="0">IF(ISBLANK($B4)=FALSE,_xlfn.CONCAT($B4,"_tow"),"")</f>
        <v>owc_redeploy_removal_tow</v>
      </c>
      <c r="B4" s="25" t="s">
        <v>267</v>
      </c>
      <c r="C4" s="25" t="s">
        <v>268</v>
      </c>
      <c r="D4" s="25" t="s">
        <v>260</v>
      </c>
      <c r="E4" s="25" t="str">
        <f>IFERROR(IF(ISBLANK(D4),"",INDEX(Gen_Vessels!$A$3:$C$500,MATCH(D4,Gen_Vessels!$C$3:$C$500,0),1)),"")</f>
        <v>V002</v>
      </c>
      <c r="F4" s="25">
        <v>1</v>
      </c>
      <c r="G4" s="25"/>
      <c r="H4" s="25" t="str">
        <f>IFERROR(IF(ISBLANK(G4),"",INDEX(Gen_Vessels!$A$3:$C$500,MATCH(G4,Gen_Vessels!$C$3:$C$500,0),1)),"")</f>
        <v/>
      </c>
      <c r="I4" s="25">
        <v>1</v>
      </c>
      <c r="J4" s="25" t="s">
        <v>433</v>
      </c>
      <c r="K4" s="25"/>
      <c r="N4" s="25">
        <v>1</v>
      </c>
      <c r="O4" s="25">
        <v>0</v>
      </c>
      <c r="Q4" s="25"/>
      <c r="R4" s="25"/>
      <c r="S4" s="25"/>
      <c r="T4" s="25"/>
      <c r="U4" s="25"/>
      <c r="V4" s="25"/>
      <c r="W4" s="25"/>
      <c r="X4" s="25"/>
      <c r="Y4" s="25"/>
      <c r="Z4" s="25"/>
      <c r="AA4" s="25"/>
      <c r="AB4" s="25"/>
    </row>
    <row r="5" spans="1:28" x14ac:dyDescent="0.25">
      <c r="A5" s="18" t="str">
        <f t="shared" si="0"/>
        <v>owc_redeploy_tow</v>
      </c>
      <c r="B5" s="25" t="s">
        <v>269</v>
      </c>
      <c r="C5" s="25" t="s">
        <v>211</v>
      </c>
      <c r="D5" s="25" t="s">
        <v>260</v>
      </c>
      <c r="E5" s="25" t="str">
        <f>IFERROR(IF(ISBLANK(D5),"",INDEX(Gen_Vessels!$A$3:$C$500,MATCH(D5,Gen_Vessels!$C$3:$C$500,0),1)),"")</f>
        <v>V002</v>
      </c>
      <c r="F5" s="25">
        <v>1</v>
      </c>
      <c r="G5" s="25"/>
      <c r="H5" s="25" t="str">
        <f>IFERROR(IF(ISBLANK(G5),"",INDEX(Gen_Vessels!$A$3:$C$500,MATCH(G5,Gen_Vessels!$C$3:$C$500,0),1)),"")</f>
        <v/>
      </c>
      <c r="I5" s="25">
        <v>1</v>
      </c>
      <c r="J5" s="25" t="s">
        <v>433</v>
      </c>
      <c r="K5" s="25"/>
      <c r="N5" s="25">
        <v>1</v>
      </c>
      <c r="O5" s="25">
        <v>0</v>
      </c>
      <c r="Q5" s="25"/>
      <c r="R5" s="25"/>
      <c r="S5" s="25"/>
      <c r="T5" s="25"/>
      <c r="U5" s="25"/>
      <c r="V5" s="25"/>
      <c r="W5" s="25"/>
      <c r="X5" s="25"/>
      <c r="Y5" s="25"/>
      <c r="Z5" s="25"/>
      <c r="AA5" s="25"/>
      <c r="AB5" s="25"/>
    </row>
    <row r="6" spans="1:28" x14ac:dyDescent="0.25">
      <c r="A6" s="18" t="str">
        <f t="shared" ref="A6:A9" si="1">IF(ISBLANK($B6)=FALSE,_xlfn.CONCAT($B6,"_tow"),"")</f>
        <v/>
      </c>
      <c r="B6" s="25"/>
      <c r="C6" s="25"/>
      <c r="D6" s="25"/>
      <c r="E6" s="25" t="str">
        <f>IFERROR(IF(ISBLANK(D6),"",INDEX(Gen_Vessels!$A$3:$C$500,MATCH(D6,Gen_Vessels!$C$3:$C$500,0),1)),"")</f>
        <v/>
      </c>
      <c r="F6" s="25"/>
      <c r="G6" s="25"/>
      <c r="H6" s="25" t="str">
        <f>IFERROR(IF(ISBLANK(G6),"",INDEX(Gen_Vessels!$A$3:$C$500,MATCH(G6,Gen_Vessels!$C$3:$C$500,0),1)),"")</f>
        <v/>
      </c>
      <c r="I6" s="25"/>
      <c r="J6" s="25"/>
      <c r="K6" s="25"/>
      <c r="O6" s="25"/>
      <c r="Q6" s="25"/>
      <c r="R6" s="25"/>
      <c r="S6" s="25"/>
      <c r="T6" s="25"/>
      <c r="U6" s="25"/>
      <c r="V6" s="25"/>
      <c r="W6" s="25"/>
      <c r="X6" s="25"/>
      <c r="Y6" s="25"/>
      <c r="Z6" s="25"/>
      <c r="AA6" s="25"/>
      <c r="AB6" s="25"/>
    </row>
    <row r="7" spans="1:28" x14ac:dyDescent="0.25">
      <c r="A7" s="18" t="str">
        <f t="shared" si="1"/>
        <v/>
      </c>
      <c r="B7" s="25"/>
      <c r="C7" s="25"/>
      <c r="D7" s="25"/>
      <c r="E7" s="25" t="str">
        <f>IFERROR(IF(ISBLANK(D7),"",INDEX(Gen_Vessels!$A$3:$C$500,MATCH(D7,Gen_Vessels!$C$3:$C$500,0),1)),"")</f>
        <v/>
      </c>
      <c r="F7" s="25"/>
      <c r="G7" s="25"/>
      <c r="H7" s="25" t="str">
        <f>IFERROR(IF(ISBLANK(G7),"",INDEX(Gen_Vessels!$A$3:$C$500,MATCH(G7,Gen_Vessels!$C$3:$C$500,0),1)),"")</f>
        <v/>
      </c>
      <c r="I7" s="25"/>
      <c r="J7" s="25"/>
      <c r="K7" s="25"/>
      <c r="M7" s="25"/>
      <c r="O7" s="25"/>
      <c r="Q7" s="25"/>
      <c r="R7" s="25"/>
      <c r="S7" s="25"/>
      <c r="T7" s="25"/>
      <c r="U7" s="25"/>
      <c r="V7" s="25"/>
      <c r="W7" s="25"/>
      <c r="X7" s="25"/>
    </row>
    <row r="8" spans="1:28" x14ac:dyDescent="0.25">
      <c r="A8" s="18" t="str">
        <f t="shared" si="1"/>
        <v/>
      </c>
      <c r="B8" s="25"/>
      <c r="C8" s="25"/>
      <c r="D8" s="25"/>
      <c r="E8" s="25" t="str">
        <f>IFERROR(IF(ISBLANK(D8),"",INDEX(Gen_Vessels!$A$3:$C$500,MATCH(D8,Gen_Vessels!$C$3:$C$500,0),1)),"")</f>
        <v/>
      </c>
      <c r="F8" s="25"/>
      <c r="G8" s="25"/>
      <c r="H8" s="25" t="str">
        <f>IFERROR(IF(ISBLANK(G8),"",INDEX(Gen_Vessels!$A$3:$C$500,MATCH(G8,Gen_Vessels!$C$3:$C$500,0),1)),"")</f>
        <v/>
      </c>
      <c r="I8" s="25"/>
      <c r="J8" s="25"/>
      <c r="K8" s="25"/>
      <c r="M8" s="25"/>
      <c r="O8" s="25"/>
      <c r="Q8" s="25"/>
      <c r="R8" s="25"/>
      <c r="S8" s="25"/>
      <c r="T8" s="25"/>
      <c r="U8" s="25"/>
      <c r="V8" s="25"/>
      <c r="W8" s="25"/>
      <c r="X8" s="25"/>
    </row>
    <row r="9" spans="1:28" x14ac:dyDescent="0.25">
      <c r="A9" s="18" t="str">
        <f t="shared" si="1"/>
        <v/>
      </c>
      <c r="B9" s="25"/>
      <c r="C9" s="25"/>
      <c r="D9" s="25"/>
      <c r="E9" s="25" t="str">
        <f>IFERROR(IF(ISBLANK(D9),"",INDEX(Gen_Vessels!$A$3:$C$500,MATCH(D9,Gen_Vessels!$C$3:$C$500,0),1)),"")</f>
        <v/>
      </c>
      <c r="F9" s="25"/>
      <c r="G9" s="25"/>
      <c r="H9" s="25" t="str">
        <f>IFERROR(IF(ISBLANK(G9),"",INDEX(Gen_Vessels!$A$3:$C$500,MATCH(G9,Gen_Vessels!$C$3:$C$500,0),1)),"")</f>
        <v/>
      </c>
      <c r="I9" s="25"/>
      <c r="J9" s="25"/>
      <c r="K9" s="25"/>
      <c r="M9" s="25"/>
      <c r="O9" s="25"/>
      <c r="Q9" s="25"/>
      <c r="R9" s="25"/>
      <c r="S9" s="25"/>
      <c r="T9" s="25"/>
      <c r="U9" s="25"/>
      <c r="V9" s="25"/>
      <c r="W9" s="25"/>
      <c r="X9" s="25"/>
    </row>
    <row r="10" spans="1:28" x14ac:dyDescent="0.25">
      <c r="A10" s="18" t="str">
        <f t="shared" ref="A10:A67" si="2">IF(ISBLANK($B10)=FALSE,_xlfn.CONCAT($B10,"_tow"),"")</f>
        <v/>
      </c>
      <c r="B10" s="25"/>
      <c r="C10" s="25"/>
      <c r="D10" s="25"/>
      <c r="E10" s="25" t="str">
        <f>IFERROR(IF(ISBLANK(D10),"",INDEX(Gen_Vessels!$A$3:$C$500,MATCH(D10,Gen_Vessels!$C$3:$C$500,0),1)),"")</f>
        <v/>
      </c>
      <c r="F10" s="25"/>
      <c r="G10" s="25"/>
      <c r="H10" s="25" t="str">
        <f>IFERROR(IF(ISBLANK(G10),"",INDEX(Gen_Vessels!$A$3:$C$500,MATCH(G10,Gen_Vessels!$C$3:$C$500,0),1)),"")</f>
        <v/>
      </c>
      <c r="I10" s="25"/>
      <c r="J10" s="25"/>
      <c r="K10" s="25"/>
      <c r="M10" s="25"/>
      <c r="O10" s="25"/>
      <c r="Q10" s="25"/>
      <c r="R10" s="25"/>
      <c r="S10" s="25"/>
      <c r="T10" s="25"/>
      <c r="U10" s="25"/>
      <c r="V10" s="25"/>
      <c r="W10" s="25"/>
      <c r="X10" s="25"/>
    </row>
    <row r="11" spans="1:28" x14ac:dyDescent="0.25">
      <c r="A11" s="18" t="str">
        <f t="shared" si="2"/>
        <v/>
      </c>
      <c r="B11" s="25"/>
      <c r="C11" s="25"/>
      <c r="D11" s="25"/>
      <c r="E11" s="25" t="str">
        <f>IFERROR(IF(ISBLANK(D11),"",INDEX(Gen_Vessels!$A$3:$C$500,MATCH(D11,Gen_Vessels!$C$3:$C$500,0),1)),"")</f>
        <v/>
      </c>
      <c r="F11" s="25"/>
      <c r="G11" s="25"/>
      <c r="H11" s="25" t="str">
        <f>IFERROR(IF(ISBLANK(G11),"",INDEX(Gen_Vessels!$A$3:$C$500,MATCH(G11,Gen_Vessels!$C$3:$C$500,0),1)),"")</f>
        <v/>
      </c>
      <c r="I11" s="25"/>
      <c r="J11" s="25"/>
      <c r="K11" s="25"/>
      <c r="M11" s="25"/>
      <c r="O11" s="25"/>
      <c r="Q11" s="25"/>
      <c r="R11" s="25"/>
      <c r="S11" s="25"/>
      <c r="T11" s="25"/>
      <c r="U11" s="25"/>
      <c r="V11" s="25"/>
      <c r="W11" s="25"/>
      <c r="X11" s="25"/>
    </row>
    <row r="12" spans="1:28" x14ac:dyDescent="0.25">
      <c r="A12" s="18" t="str">
        <f t="shared" si="2"/>
        <v/>
      </c>
      <c r="B12" s="25"/>
      <c r="C12" s="25"/>
      <c r="D12" s="25"/>
      <c r="E12" s="25" t="str">
        <f>IFERROR(IF(ISBLANK(D12),"",INDEX(Gen_Vessels!$A$3:$C$500,MATCH(D12,Gen_Vessels!$C$3:$C$500,0),1)),"")</f>
        <v/>
      </c>
      <c r="F12" s="25"/>
      <c r="G12" s="25"/>
      <c r="H12" s="25" t="str">
        <f>IFERROR(IF(ISBLANK(G12),"",INDEX(Gen_Vessels!$A$3:$C$500,MATCH(G12,Gen_Vessels!$C$3:$C$500,0),1)),"")</f>
        <v/>
      </c>
      <c r="I12" s="25"/>
      <c r="J12" s="25"/>
      <c r="K12" s="25"/>
      <c r="M12" s="25"/>
      <c r="O12" s="25"/>
      <c r="Q12" s="25"/>
      <c r="R12" s="25"/>
      <c r="S12" s="25"/>
      <c r="T12" s="25"/>
      <c r="U12" s="25"/>
      <c r="V12" s="25"/>
      <c r="W12" s="25"/>
      <c r="X12" s="25"/>
    </row>
    <row r="13" spans="1:28" x14ac:dyDescent="0.25">
      <c r="A13" s="18" t="str">
        <f t="shared" si="2"/>
        <v/>
      </c>
      <c r="B13" s="25"/>
      <c r="C13" s="25"/>
      <c r="D13" s="25"/>
      <c r="E13" s="25" t="str">
        <f>IFERROR(IF(ISBLANK(D13),"",INDEX(Gen_Vessels!$A$3:$C$500,MATCH(D13,Gen_Vessels!$C$3:$C$500,0),1)),"")</f>
        <v/>
      </c>
      <c r="F13" s="25"/>
      <c r="G13" s="25"/>
      <c r="H13" s="25" t="str">
        <f>IFERROR(IF(ISBLANK(G13),"",INDEX(Gen_Vessels!$A$3:$C$500,MATCH(G13,Gen_Vessels!$C$3:$C$500,0),1)),"")</f>
        <v/>
      </c>
      <c r="I13" s="25"/>
      <c r="J13" s="25"/>
      <c r="K13" s="25"/>
      <c r="M13" s="25"/>
      <c r="O13" s="25"/>
      <c r="Q13" s="25"/>
      <c r="R13" s="25"/>
      <c r="S13" s="25"/>
      <c r="T13" s="25"/>
      <c r="U13" s="25"/>
      <c r="V13" s="25"/>
      <c r="W13" s="25"/>
      <c r="X13" s="25"/>
    </row>
    <row r="14" spans="1:28" x14ac:dyDescent="0.25">
      <c r="A14" s="18" t="str">
        <f t="shared" si="2"/>
        <v/>
      </c>
      <c r="B14" s="25"/>
      <c r="C14" s="25"/>
      <c r="D14" s="25"/>
      <c r="E14" s="25" t="str">
        <f>IFERROR(IF(ISBLANK(D14),"",INDEX(Gen_Vessels!$A$3:$C$500,MATCH(D14,Gen_Vessels!$C$3:$C$500,0),1)),"")</f>
        <v/>
      </c>
      <c r="F14" s="25"/>
      <c r="G14" s="25"/>
      <c r="H14" s="25" t="str">
        <f>IFERROR(IF(ISBLANK(G14),"",INDEX(Gen_Vessels!$A$3:$C$500,MATCH(G14,Gen_Vessels!$C$3:$C$500,0),1)),"")</f>
        <v/>
      </c>
      <c r="I14" s="25"/>
      <c r="J14" s="25"/>
      <c r="K14" s="25"/>
      <c r="M14" s="25"/>
      <c r="O14" s="25"/>
      <c r="Q14" s="25"/>
      <c r="R14" s="25"/>
      <c r="S14" s="25"/>
      <c r="T14" s="25"/>
      <c r="U14" s="25"/>
      <c r="V14" s="25"/>
      <c r="W14" s="25"/>
      <c r="X14" s="25"/>
    </row>
    <row r="15" spans="1:28" x14ac:dyDescent="0.25">
      <c r="A15" s="18" t="str">
        <f t="shared" si="2"/>
        <v/>
      </c>
      <c r="B15" s="25"/>
      <c r="C15" s="25"/>
      <c r="D15" s="25"/>
      <c r="E15" s="25" t="str">
        <f>IFERROR(IF(ISBLANK(D15),"",INDEX(Gen_Vessels!$A$3:$C$500,MATCH(D15,Gen_Vessels!$C$3:$C$500,0),1)),"")</f>
        <v/>
      </c>
      <c r="F15" s="25"/>
      <c r="G15" s="25"/>
      <c r="H15" s="25" t="str">
        <f>IFERROR(IF(ISBLANK(G15),"",INDEX(Gen_Vessels!$A$3:$C$500,MATCH(G15,Gen_Vessels!$C$3:$C$500,0),1)),"")</f>
        <v/>
      </c>
      <c r="I15" s="25"/>
      <c r="J15" s="25"/>
      <c r="K15" s="25"/>
      <c r="M15" s="25"/>
      <c r="O15" s="25"/>
      <c r="Q15" s="25"/>
      <c r="R15" s="25"/>
      <c r="S15" s="25"/>
      <c r="T15" s="25"/>
      <c r="U15" s="25"/>
      <c r="V15" s="25"/>
      <c r="W15" s="25"/>
      <c r="X15" s="25"/>
    </row>
    <row r="16" spans="1:28" x14ac:dyDescent="0.25">
      <c r="A16" s="18" t="str">
        <f t="shared" si="2"/>
        <v/>
      </c>
      <c r="B16" s="25"/>
      <c r="C16" s="25"/>
      <c r="D16" s="25"/>
      <c r="E16" s="25" t="str">
        <f>IFERROR(IF(ISBLANK(D16),"",INDEX(Gen_Vessels!$A$3:$C$500,MATCH(D16,Gen_Vessels!$C$3:$C$500,0),1)),"")</f>
        <v/>
      </c>
      <c r="F16" s="25"/>
      <c r="G16" s="25"/>
      <c r="H16" s="25" t="str">
        <f>IFERROR(IF(ISBLANK(G16),"",INDEX(Gen_Vessels!$A$3:$C$500,MATCH(G16,Gen_Vessels!$C$3:$C$500,0),1)),"")</f>
        <v/>
      </c>
      <c r="I16" s="25"/>
      <c r="J16" s="25"/>
      <c r="K16" s="25"/>
      <c r="M16" s="25"/>
      <c r="O16" s="25"/>
      <c r="Q16" s="25"/>
      <c r="R16" s="25"/>
      <c r="S16" s="25"/>
      <c r="T16" s="25"/>
      <c r="U16" s="25"/>
      <c r="V16" s="25"/>
      <c r="W16" s="25"/>
      <c r="X16" s="25"/>
    </row>
    <row r="17" spans="1:24" x14ac:dyDescent="0.25">
      <c r="A17" s="18" t="str">
        <f t="shared" si="2"/>
        <v/>
      </c>
      <c r="B17" s="25"/>
      <c r="C17" s="25"/>
      <c r="D17" s="25"/>
      <c r="E17" s="25" t="str">
        <f>IFERROR(IF(ISBLANK(D17),"",INDEX(Gen_Vessels!$A$3:$C$500,MATCH(D17,Gen_Vessels!$C$3:$C$500,0),1)),"")</f>
        <v/>
      </c>
      <c r="F17" s="25"/>
      <c r="G17" s="25"/>
      <c r="H17" s="25" t="str">
        <f>IFERROR(IF(ISBLANK(G17),"",INDEX(Gen_Vessels!$A$3:$C$500,MATCH(G17,Gen_Vessels!$C$3:$C$500,0),1)),"")</f>
        <v/>
      </c>
      <c r="I17" s="25"/>
      <c r="J17" s="25"/>
      <c r="K17" s="25"/>
      <c r="M17" s="25"/>
      <c r="O17" s="25"/>
      <c r="Q17" s="25"/>
      <c r="R17" s="25"/>
      <c r="S17" s="25"/>
      <c r="T17" s="25"/>
      <c r="U17" s="25"/>
      <c r="V17" s="25"/>
      <c r="W17" s="25"/>
      <c r="X17" s="25"/>
    </row>
    <row r="18" spans="1:24" x14ac:dyDescent="0.25">
      <c r="A18" s="18" t="str">
        <f t="shared" si="2"/>
        <v/>
      </c>
      <c r="B18" s="25"/>
      <c r="C18" s="25"/>
      <c r="D18" s="25"/>
      <c r="E18" s="25" t="str">
        <f>IFERROR(IF(ISBLANK(D18),"",INDEX(Gen_Vessels!$A$3:$C$500,MATCH(D18,Gen_Vessels!$C$3:$C$500,0),1)),"")</f>
        <v/>
      </c>
      <c r="F18" s="25"/>
      <c r="G18" s="25"/>
      <c r="H18" s="25" t="str">
        <f>IFERROR(IF(ISBLANK(G18),"",INDEX(Gen_Vessels!$A$3:$C$500,MATCH(G18,Gen_Vessels!$C$3:$C$500,0),1)),"")</f>
        <v/>
      </c>
      <c r="I18" s="25"/>
      <c r="J18" s="25"/>
      <c r="K18" s="25"/>
      <c r="M18" s="25"/>
      <c r="O18" s="25"/>
      <c r="Q18" s="25"/>
      <c r="R18" s="25"/>
      <c r="S18" s="25"/>
      <c r="T18" s="25"/>
      <c r="U18" s="25"/>
      <c r="V18" s="25"/>
      <c r="W18" s="25"/>
      <c r="X18" s="25"/>
    </row>
    <row r="19" spans="1:24" x14ac:dyDescent="0.25">
      <c r="A19" s="18" t="str">
        <f t="shared" si="2"/>
        <v/>
      </c>
      <c r="B19" s="25"/>
      <c r="C19" s="25"/>
      <c r="D19" s="25"/>
      <c r="E19" s="25" t="str">
        <f>IFERROR(IF(ISBLANK(D19),"",INDEX(Gen_Vessels!$A$3:$C$500,MATCH(D19,Gen_Vessels!$C$3:$C$500,0),1)),"")</f>
        <v/>
      </c>
      <c r="F19" s="25"/>
      <c r="G19" s="25"/>
      <c r="H19" s="25" t="str">
        <f>IFERROR(IF(ISBLANK(G19),"",INDEX(Gen_Vessels!$A$3:$C$500,MATCH(G19,Gen_Vessels!$C$3:$C$500,0),1)),"")</f>
        <v/>
      </c>
      <c r="I19" s="25"/>
      <c r="J19" s="25"/>
      <c r="K19" s="25"/>
      <c r="M19" s="25"/>
      <c r="O19" s="25"/>
      <c r="Q19" s="25"/>
      <c r="R19" s="25"/>
      <c r="S19" s="25"/>
      <c r="T19" s="25"/>
      <c r="U19" s="25"/>
      <c r="V19" s="25"/>
      <c r="W19" s="25"/>
      <c r="X19" s="25"/>
    </row>
    <row r="20" spans="1:24" x14ac:dyDescent="0.25">
      <c r="A20" s="18" t="str">
        <f t="shared" si="2"/>
        <v/>
      </c>
      <c r="B20" s="25"/>
      <c r="C20" s="25"/>
      <c r="D20" s="25"/>
      <c r="E20" s="25" t="str">
        <f>IFERROR(IF(ISBLANK(D20),"",INDEX(Gen_Vessels!$A$3:$C$500,MATCH(D20,Gen_Vessels!$C$3:$C$500,0),1)),"")</f>
        <v/>
      </c>
      <c r="F20" s="25"/>
      <c r="G20" s="25"/>
      <c r="H20" s="25" t="str">
        <f>IFERROR(IF(ISBLANK(G20),"",INDEX(Gen_Vessels!$A$3:$C$500,MATCH(G20,Gen_Vessels!$C$3:$C$500,0),1)),"")</f>
        <v/>
      </c>
      <c r="I20" s="25"/>
      <c r="J20" s="25"/>
      <c r="K20" s="25"/>
      <c r="M20" s="25"/>
      <c r="O20" s="25"/>
      <c r="Q20" s="25"/>
      <c r="R20" s="25"/>
      <c r="S20" s="25"/>
      <c r="T20" s="25"/>
      <c r="U20" s="25"/>
      <c r="V20" s="25"/>
      <c r="W20" s="25"/>
      <c r="X20" s="25"/>
    </row>
    <row r="21" spans="1:24" x14ac:dyDescent="0.25">
      <c r="A21" s="18" t="str">
        <f t="shared" si="2"/>
        <v/>
      </c>
      <c r="B21" s="25"/>
      <c r="C21" s="25"/>
      <c r="D21" s="25"/>
      <c r="E21" s="25" t="str">
        <f>IFERROR(IF(ISBLANK(D21),"",INDEX(Gen_Vessels!$A$3:$C$500,MATCH(D21,Gen_Vessels!$C$3:$C$500,0),1)),"")</f>
        <v/>
      </c>
      <c r="F21" s="25"/>
      <c r="G21" s="25"/>
      <c r="H21" s="25" t="str">
        <f>IFERROR(IF(ISBLANK(G21),"",INDEX(Gen_Vessels!$A$3:$C$500,MATCH(G21,Gen_Vessels!$C$3:$C$500,0),1)),"")</f>
        <v/>
      </c>
      <c r="I21" s="25"/>
      <c r="J21" s="25"/>
      <c r="K21" s="25"/>
      <c r="M21" s="25"/>
      <c r="O21" s="25"/>
      <c r="Q21" s="25"/>
      <c r="R21" s="25"/>
      <c r="S21" s="25"/>
      <c r="T21" s="25"/>
      <c r="U21" s="25"/>
      <c r="V21" s="25"/>
      <c r="W21" s="25"/>
      <c r="X21" s="25"/>
    </row>
    <row r="22" spans="1:24" x14ac:dyDescent="0.25">
      <c r="A22" s="18" t="str">
        <f t="shared" si="2"/>
        <v/>
      </c>
      <c r="B22" s="25"/>
      <c r="C22" s="25"/>
      <c r="D22" s="25"/>
      <c r="E22" s="25" t="str">
        <f>IFERROR(IF(ISBLANK(D22),"",INDEX(Gen_Vessels!$A$3:$C$500,MATCH(D22,Gen_Vessels!$C$3:$C$500,0),1)),"")</f>
        <v/>
      </c>
      <c r="F22" s="25"/>
      <c r="G22" s="25"/>
      <c r="H22" s="25" t="str">
        <f>IFERROR(IF(ISBLANK(G22),"",INDEX(Gen_Vessels!$A$3:$C$500,MATCH(G22,Gen_Vessels!$C$3:$C$500,0),1)),"")</f>
        <v/>
      </c>
      <c r="I22" s="25"/>
      <c r="J22" s="25"/>
      <c r="K22" s="25"/>
      <c r="M22" s="25"/>
      <c r="O22" s="25"/>
      <c r="Q22" s="25"/>
      <c r="R22" s="25"/>
      <c r="S22" s="25"/>
      <c r="T22" s="25"/>
      <c r="U22" s="25"/>
      <c r="V22" s="25"/>
      <c r="W22" s="25"/>
      <c r="X22" s="25"/>
    </row>
    <row r="23" spans="1:24" x14ac:dyDescent="0.25">
      <c r="A23" s="18" t="str">
        <f t="shared" si="2"/>
        <v/>
      </c>
      <c r="B23" s="25"/>
      <c r="C23" s="25"/>
      <c r="D23" s="25"/>
      <c r="E23" s="25" t="str">
        <f>IFERROR(IF(ISBLANK(D23),"",INDEX(Gen_Vessels!$A$3:$C$500,MATCH(D23,Gen_Vessels!$C$3:$C$500,0),1)),"")</f>
        <v/>
      </c>
      <c r="F23" s="25"/>
      <c r="G23" s="25"/>
      <c r="H23" s="25" t="str">
        <f>IFERROR(IF(ISBLANK(G23),"",INDEX(Gen_Vessels!$A$3:$C$500,MATCH(G23,Gen_Vessels!$C$3:$C$500,0),1)),"")</f>
        <v/>
      </c>
      <c r="I23" s="25"/>
      <c r="J23" s="25"/>
      <c r="K23" s="25"/>
      <c r="M23" s="25"/>
      <c r="O23" s="25"/>
      <c r="Q23" s="25"/>
      <c r="R23" s="25"/>
      <c r="S23" s="25"/>
      <c r="T23" s="25"/>
      <c r="U23" s="25"/>
      <c r="V23" s="25"/>
      <c r="W23" s="25"/>
      <c r="X23" s="25"/>
    </row>
    <row r="24" spans="1:24" x14ac:dyDescent="0.25">
      <c r="A24" s="18" t="str">
        <f t="shared" si="2"/>
        <v/>
      </c>
      <c r="B24" s="25"/>
      <c r="C24" s="25"/>
      <c r="D24" s="25"/>
      <c r="E24" s="25" t="str">
        <f>IFERROR(IF(ISBLANK(D24),"",INDEX(Gen_Vessels!$A$3:$C$500,MATCH(D24,Gen_Vessels!$C$3:$C$500,0),1)),"")</f>
        <v/>
      </c>
      <c r="F24" s="25"/>
      <c r="G24" s="25"/>
      <c r="H24" s="25" t="str">
        <f>IFERROR(IF(ISBLANK(G24),"",INDEX(Gen_Vessels!$A$3:$C$500,MATCH(G24,Gen_Vessels!$C$3:$C$500,0),1)),"")</f>
        <v/>
      </c>
      <c r="I24" s="25"/>
      <c r="J24" s="25"/>
      <c r="K24" s="25"/>
      <c r="M24" s="25"/>
      <c r="O24" s="25"/>
      <c r="Q24" s="25"/>
      <c r="R24" s="25"/>
      <c r="S24" s="25"/>
      <c r="T24" s="25"/>
      <c r="U24" s="25"/>
      <c r="V24" s="25"/>
      <c r="W24" s="25"/>
      <c r="X24" s="25"/>
    </row>
    <row r="25" spans="1:24" x14ac:dyDescent="0.25">
      <c r="A25" s="18" t="str">
        <f t="shared" si="2"/>
        <v/>
      </c>
      <c r="B25" s="25"/>
      <c r="C25" s="25"/>
      <c r="D25" s="25"/>
      <c r="E25" s="25" t="str">
        <f>IFERROR(IF(ISBLANK(D25),"",INDEX(Gen_Vessels!$A$3:$C$500,MATCH(D25,Gen_Vessels!$C$3:$C$500,0),1)),"")</f>
        <v/>
      </c>
      <c r="F25" s="25"/>
      <c r="G25" s="25"/>
      <c r="H25" s="25" t="str">
        <f>IFERROR(IF(ISBLANK(G25),"",INDEX(Gen_Vessels!$A$3:$C$500,MATCH(G25,Gen_Vessels!$C$3:$C$500,0),1)),"")</f>
        <v/>
      </c>
      <c r="I25" s="25"/>
      <c r="J25" s="25"/>
      <c r="K25" s="25"/>
      <c r="M25" s="25"/>
      <c r="O25" s="25"/>
      <c r="Q25" s="25"/>
      <c r="R25" s="25"/>
      <c r="S25" s="25"/>
      <c r="T25" s="25"/>
      <c r="U25" s="25"/>
      <c r="V25" s="25"/>
      <c r="W25" s="25"/>
      <c r="X25" s="25"/>
    </row>
    <row r="26" spans="1:24" x14ac:dyDescent="0.25">
      <c r="A26" s="18" t="str">
        <f t="shared" si="2"/>
        <v/>
      </c>
      <c r="B26" s="25"/>
      <c r="C26" s="25"/>
      <c r="D26" s="25"/>
      <c r="E26" s="25" t="str">
        <f>IFERROR(IF(ISBLANK(D26),"",INDEX(Gen_Vessels!$A$3:$C$500,MATCH(D26,Gen_Vessels!$C$3:$C$500,0),1)),"")</f>
        <v/>
      </c>
      <c r="F26" s="25"/>
      <c r="G26" s="25"/>
      <c r="H26" s="25" t="str">
        <f>IFERROR(IF(ISBLANK(G26),"",INDEX(Gen_Vessels!$A$3:$C$500,MATCH(G26,Gen_Vessels!$C$3:$C$500,0),1)),"")</f>
        <v/>
      </c>
      <c r="I26" s="25"/>
      <c r="J26" s="25"/>
      <c r="K26" s="25"/>
      <c r="M26" s="25"/>
      <c r="O26" s="25"/>
      <c r="Q26" s="25"/>
      <c r="R26" s="25"/>
      <c r="S26" s="25"/>
      <c r="T26" s="25"/>
      <c r="U26" s="25"/>
      <c r="V26" s="25"/>
      <c r="W26" s="25"/>
      <c r="X26" s="25"/>
    </row>
    <row r="27" spans="1:24" x14ac:dyDescent="0.25">
      <c r="A27" s="18" t="str">
        <f t="shared" si="2"/>
        <v/>
      </c>
      <c r="B27" s="25"/>
      <c r="C27" s="25"/>
      <c r="D27" s="25"/>
      <c r="E27" s="25" t="str">
        <f>IFERROR(IF(ISBLANK(D27),"",INDEX(Gen_Vessels!$A$3:$C$500,MATCH(D27,Gen_Vessels!$C$3:$C$500,0),1)),"")</f>
        <v/>
      </c>
      <c r="F27" s="25"/>
      <c r="G27" s="25"/>
      <c r="H27" s="25" t="str">
        <f>IFERROR(IF(ISBLANK(G27),"",INDEX(Gen_Vessels!$A$3:$C$500,MATCH(G27,Gen_Vessels!$C$3:$C$500,0),1)),"")</f>
        <v/>
      </c>
      <c r="I27" s="25"/>
      <c r="J27" s="25"/>
      <c r="K27" s="25"/>
      <c r="M27" s="25"/>
      <c r="O27" s="25"/>
      <c r="Q27" s="25"/>
      <c r="R27" s="25"/>
      <c r="S27" s="25"/>
      <c r="T27" s="25"/>
      <c r="U27" s="25"/>
      <c r="V27" s="25"/>
      <c r="W27" s="25"/>
      <c r="X27" s="25"/>
    </row>
    <row r="28" spans="1:24" x14ac:dyDescent="0.25">
      <c r="A28" s="18" t="str">
        <f t="shared" si="2"/>
        <v/>
      </c>
      <c r="B28" s="25"/>
      <c r="C28" s="25"/>
      <c r="D28" s="25"/>
      <c r="E28" s="25" t="str">
        <f>IFERROR(IF(ISBLANK(D28),"",INDEX(Gen_Vessels!$A$3:$C$500,MATCH(D28,Gen_Vessels!$C$3:$C$500,0),1)),"")</f>
        <v/>
      </c>
      <c r="F28" s="25"/>
      <c r="G28" s="25"/>
      <c r="H28" s="25" t="str">
        <f>IFERROR(IF(ISBLANK(G28),"",INDEX(Gen_Vessels!$A$3:$C$500,MATCH(G28,Gen_Vessels!$C$3:$C$500,0),1)),"")</f>
        <v/>
      </c>
      <c r="I28" s="25"/>
      <c r="J28" s="25"/>
      <c r="K28" s="25"/>
      <c r="M28" s="25"/>
      <c r="O28" s="25"/>
      <c r="Q28" s="25"/>
      <c r="R28" s="25"/>
      <c r="S28" s="25"/>
      <c r="T28" s="25"/>
      <c r="U28" s="25"/>
      <c r="V28" s="25"/>
      <c r="W28" s="25"/>
      <c r="X28" s="25"/>
    </row>
    <row r="29" spans="1:24" x14ac:dyDescent="0.25">
      <c r="A29" s="18" t="str">
        <f t="shared" si="2"/>
        <v/>
      </c>
      <c r="B29" s="25"/>
      <c r="C29" s="25"/>
      <c r="D29" s="25"/>
      <c r="E29" s="25" t="str">
        <f>IFERROR(IF(ISBLANK(D29),"",INDEX(Gen_Vessels!$A$3:$C$500,MATCH(D29,Gen_Vessels!$C$3:$C$500,0),1)),"")</f>
        <v/>
      </c>
      <c r="F29" s="25"/>
      <c r="G29" s="25"/>
      <c r="H29" s="25" t="str">
        <f>IFERROR(IF(ISBLANK(G29),"",INDEX(Gen_Vessels!$A$3:$C$500,MATCH(G29,Gen_Vessels!$C$3:$C$500,0),1)),"")</f>
        <v/>
      </c>
      <c r="I29" s="25"/>
      <c r="J29" s="25"/>
      <c r="K29" s="25"/>
      <c r="M29" s="25"/>
      <c r="O29" s="25"/>
      <c r="Q29" s="25"/>
      <c r="R29" s="25"/>
      <c r="S29" s="25"/>
      <c r="T29" s="25"/>
      <c r="U29" s="25"/>
      <c r="V29" s="25"/>
      <c r="W29" s="25"/>
      <c r="X29" s="25"/>
    </row>
    <row r="30" spans="1:24" x14ac:dyDescent="0.25">
      <c r="A30" s="18" t="str">
        <f t="shared" si="2"/>
        <v/>
      </c>
      <c r="B30" s="25"/>
      <c r="C30" s="25"/>
      <c r="D30" s="25"/>
      <c r="E30" s="25" t="str">
        <f>IFERROR(IF(ISBLANK(D30),"",INDEX(Gen_Vessels!$A$3:$C$500,MATCH(D30,Gen_Vessels!$C$3:$C$500,0),1)),"")</f>
        <v/>
      </c>
      <c r="F30" s="25"/>
      <c r="G30" s="25"/>
      <c r="H30" s="25" t="str">
        <f>IFERROR(IF(ISBLANK(G30),"",INDEX(Gen_Vessels!$A$3:$C$500,MATCH(G30,Gen_Vessels!$C$3:$C$500,0),1)),"")</f>
        <v/>
      </c>
      <c r="I30" s="25"/>
      <c r="J30" s="25"/>
      <c r="K30" s="25"/>
      <c r="M30" s="25"/>
      <c r="O30" s="25"/>
      <c r="Q30" s="25"/>
      <c r="R30" s="25"/>
      <c r="S30" s="25"/>
      <c r="T30" s="25"/>
      <c r="U30" s="25"/>
      <c r="V30" s="25"/>
      <c r="W30" s="25"/>
      <c r="X30" s="25"/>
    </row>
    <row r="31" spans="1:24" x14ac:dyDescent="0.25">
      <c r="A31" s="18" t="str">
        <f t="shared" si="2"/>
        <v/>
      </c>
      <c r="B31" s="25"/>
      <c r="C31" s="25"/>
      <c r="D31" s="25"/>
      <c r="E31" s="25" t="str">
        <f>IFERROR(IF(ISBLANK(D31),"",INDEX(Gen_Vessels!$A$3:$C$500,MATCH(D31,Gen_Vessels!$C$3:$C$500,0),1)),"")</f>
        <v/>
      </c>
      <c r="F31" s="25"/>
      <c r="G31" s="25"/>
      <c r="H31" s="25" t="str">
        <f>IFERROR(IF(ISBLANK(G31),"",INDEX(Gen_Vessels!$A$3:$C$500,MATCH(G31,Gen_Vessels!$C$3:$C$500,0),1)),"")</f>
        <v/>
      </c>
      <c r="I31" s="25"/>
      <c r="J31" s="25"/>
      <c r="K31" s="25"/>
      <c r="M31" s="25"/>
      <c r="O31" s="25"/>
      <c r="Q31" s="25"/>
      <c r="R31" s="25"/>
      <c r="S31" s="25"/>
      <c r="T31" s="25"/>
      <c r="U31" s="25"/>
      <c r="V31" s="25"/>
      <c r="W31" s="25"/>
      <c r="X31" s="25"/>
    </row>
    <row r="32" spans="1:24" x14ac:dyDescent="0.25">
      <c r="A32" s="18" t="str">
        <f t="shared" si="2"/>
        <v/>
      </c>
      <c r="B32" s="25"/>
      <c r="C32" s="25"/>
      <c r="D32" s="25"/>
      <c r="E32" s="25" t="str">
        <f>IFERROR(IF(ISBLANK(D32),"",INDEX(Gen_Vessels!$A$3:$C$500,MATCH(D32,Gen_Vessels!$C$3:$C$500,0),1)),"")</f>
        <v/>
      </c>
      <c r="F32" s="25"/>
      <c r="G32" s="25"/>
      <c r="H32" s="25" t="str">
        <f>IFERROR(IF(ISBLANK(G32),"",INDEX(Gen_Vessels!$A$3:$C$500,MATCH(G32,Gen_Vessels!$C$3:$C$500,0),1)),"")</f>
        <v/>
      </c>
      <c r="I32" s="25"/>
      <c r="J32" s="25"/>
      <c r="K32" s="25"/>
      <c r="M32" s="25"/>
      <c r="O32" s="25"/>
      <c r="Q32" s="25"/>
      <c r="R32" s="25"/>
      <c r="S32" s="25"/>
      <c r="T32" s="25"/>
      <c r="U32" s="25"/>
      <c r="V32" s="25"/>
      <c r="W32" s="25"/>
      <c r="X32" s="25"/>
    </row>
    <row r="33" spans="1:24" x14ac:dyDescent="0.25">
      <c r="A33" s="18" t="str">
        <f t="shared" si="2"/>
        <v/>
      </c>
      <c r="B33" s="25"/>
      <c r="C33" s="25"/>
      <c r="D33" s="25"/>
      <c r="E33" s="25" t="str">
        <f>IFERROR(IF(ISBLANK(D33),"",INDEX(Gen_Vessels!$A$3:$C$500,MATCH(D33,Gen_Vessels!$C$3:$C$500,0),1)),"")</f>
        <v/>
      </c>
      <c r="F33" s="25"/>
      <c r="G33" s="25"/>
      <c r="H33" s="25" t="str">
        <f>IFERROR(IF(ISBLANK(G33),"",INDEX(Gen_Vessels!$A$3:$C$500,MATCH(G33,Gen_Vessels!$C$3:$C$500,0),1)),"")</f>
        <v/>
      </c>
      <c r="I33" s="25"/>
      <c r="J33" s="25"/>
      <c r="K33" s="25"/>
      <c r="M33" s="25"/>
      <c r="O33" s="25"/>
      <c r="Q33" s="25"/>
      <c r="R33" s="25"/>
      <c r="S33" s="25"/>
      <c r="T33" s="25"/>
      <c r="U33" s="25"/>
      <c r="V33" s="25"/>
      <c r="W33" s="25"/>
      <c r="X33" s="25"/>
    </row>
    <row r="34" spans="1:24" x14ac:dyDescent="0.25">
      <c r="A34" s="18" t="str">
        <f t="shared" si="2"/>
        <v/>
      </c>
      <c r="B34" s="25"/>
      <c r="C34" s="25"/>
      <c r="D34" s="25"/>
      <c r="E34" s="25" t="str">
        <f>IFERROR(IF(ISBLANK(D34),"",INDEX(Gen_Vessels!$A$3:$C$500,MATCH(D34,Gen_Vessels!$C$3:$C$500,0),1)),"")</f>
        <v/>
      </c>
      <c r="F34" s="25"/>
      <c r="G34" s="25"/>
      <c r="H34" s="25" t="str">
        <f>IFERROR(IF(ISBLANK(G34),"",INDEX(Gen_Vessels!$A$3:$C$500,MATCH(G34,Gen_Vessels!$C$3:$C$500,0),1)),"")</f>
        <v/>
      </c>
      <c r="I34" s="25"/>
      <c r="J34" s="25"/>
      <c r="K34" s="25"/>
      <c r="M34" s="25"/>
      <c r="O34" s="25"/>
      <c r="Q34" s="25"/>
      <c r="R34" s="25"/>
      <c r="S34" s="25"/>
      <c r="T34" s="25"/>
      <c r="U34" s="25"/>
      <c r="V34" s="25"/>
      <c r="W34" s="25"/>
      <c r="X34" s="25"/>
    </row>
    <row r="35" spans="1:24" x14ac:dyDescent="0.25">
      <c r="A35" s="18" t="str">
        <f t="shared" si="2"/>
        <v/>
      </c>
      <c r="B35" s="25"/>
      <c r="C35" s="25"/>
      <c r="D35" s="25"/>
      <c r="E35" s="25" t="str">
        <f>IFERROR(IF(ISBLANK(D35),"",INDEX(Gen_Vessels!$A$3:$C$500,MATCH(D35,Gen_Vessels!$C$3:$C$500,0),1)),"")</f>
        <v/>
      </c>
      <c r="F35" s="25"/>
      <c r="G35" s="25"/>
      <c r="H35" s="25" t="str">
        <f>IFERROR(IF(ISBLANK(G35),"",INDEX(Gen_Vessels!$A$3:$C$500,MATCH(G35,Gen_Vessels!$C$3:$C$500,0),1)),"")</f>
        <v/>
      </c>
      <c r="I35" s="25"/>
      <c r="J35" s="25"/>
      <c r="K35" s="25"/>
      <c r="M35" s="25"/>
      <c r="O35" s="25"/>
      <c r="Q35" s="25"/>
      <c r="R35" s="25"/>
      <c r="S35" s="25"/>
      <c r="T35" s="25"/>
      <c r="U35" s="25"/>
      <c r="V35" s="25"/>
      <c r="W35" s="25"/>
      <c r="X35" s="25"/>
    </row>
    <row r="36" spans="1:24" x14ac:dyDescent="0.25">
      <c r="A36" s="18" t="str">
        <f t="shared" si="2"/>
        <v/>
      </c>
      <c r="B36" s="25"/>
      <c r="C36" s="25"/>
      <c r="D36" s="25"/>
      <c r="E36" s="25" t="str">
        <f>IFERROR(IF(ISBLANK(D36),"",INDEX(Gen_Vessels!$A$3:$C$500,MATCH(D36,Gen_Vessels!$C$3:$C$500,0),1)),"")</f>
        <v/>
      </c>
      <c r="F36" s="25"/>
      <c r="G36" s="25"/>
      <c r="H36" s="25" t="str">
        <f>IFERROR(IF(ISBLANK(G36),"",INDEX(Gen_Vessels!$A$3:$C$500,MATCH(G36,Gen_Vessels!$C$3:$C$500,0),1)),"")</f>
        <v/>
      </c>
      <c r="I36" s="25"/>
      <c r="J36" s="25"/>
      <c r="K36" s="25"/>
      <c r="M36" s="25"/>
      <c r="O36" s="25"/>
      <c r="Q36" s="25"/>
      <c r="R36" s="25"/>
      <c r="S36" s="25"/>
      <c r="T36" s="25"/>
      <c r="U36" s="25"/>
      <c r="V36" s="25"/>
      <c r="W36" s="25"/>
      <c r="X36" s="25"/>
    </row>
    <row r="37" spans="1:24" x14ac:dyDescent="0.25">
      <c r="A37" s="18" t="str">
        <f t="shared" si="2"/>
        <v/>
      </c>
      <c r="B37" s="25"/>
      <c r="C37" s="25"/>
      <c r="D37" s="25"/>
      <c r="E37" s="25" t="str">
        <f>IFERROR(IF(ISBLANK(D37),"",INDEX(Gen_Vessels!$A$3:$C$500,MATCH(D37,Gen_Vessels!$C$3:$C$500,0),1)),"")</f>
        <v/>
      </c>
      <c r="F37" s="25"/>
      <c r="G37" s="25"/>
      <c r="H37" s="25" t="str">
        <f>IFERROR(IF(ISBLANK(G37),"",INDEX(Gen_Vessels!$A$3:$C$500,MATCH(G37,Gen_Vessels!$C$3:$C$500,0),1)),"")</f>
        <v/>
      </c>
      <c r="I37" s="25"/>
      <c r="J37" s="25"/>
      <c r="K37" s="25"/>
      <c r="M37" s="25"/>
      <c r="O37" s="25"/>
      <c r="Q37" s="25"/>
      <c r="R37" s="25"/>
      <c r="S37" s="25"/>
      <c r="T37" s="25"/>
      <c r="U37" s="25"/>
      <c r="V37" s="25"/>
      <c r="W37" s="25"/>
      <c r="X37" s="25"/>
    </row>
    <row r="38" spans="1:24" x14ac:dyDescent="0.25">
      <c r="A38" s="18" t="str">
        <f t="shared" si="2"/>
        <v/>
      </c>
      <c r="B38" s="25"/>
      <c r="C38" s="25"/>
      <c r="D38" s="25"/>
      <c r="E38" s="25" t="str">
        <f>IFERROR(IF(ISBLANK(D38),"",INDEX(Gen_Vessels!$A$3:$C$500,MATCH(D38,Gen_Vessels!$C$3:$C$500,0),1)),"")</f>
        <v/>
      </c>
      <c r="F38" s="25"/>
      <c r="G38" s="25"/>
      <c r="H38" s="25" t="str">
        <f>IFERROR(IF(ISBLANK(G38),"",INDEX(Gen_Vessels!$A$3:$C$500,MATCH(G38,Gen_Vessels!$C$3:$C$500,0),1)),"")</f>
        <v/>
      </c>
      <c r="I38" s="25"/>
      <c r="J38" s="25"/>
      <c r="K38" s="25"/>
      <c r="M38" s="25"/>
      <c r="O38" s="25"/>
      <c r="Q38" s="25"/>
      <c r="R38" s="25"/>
      <c r="S38" s="25"/>
      <c r="T38" s="25"/>
      <c r="U38" s="25"/>
      <c r="V38" s="25"/>
      <c r="W38" s="25"/>
      <c r="X38" s="25"/>
    </row>
    <row r="39" spans="1:24" x14ac:dyDescent="0.25">
      <c r="A39" s="18" t="str">
        <f t="shared" si="2"/>
        <v/>
      </c>
      <c r="B39" s="25"/>
      <c r="C39" s="25"/>
      <c r="D39" s="25"/>
      <c r="E39" s="25" t="str">
        <f>IFERROR(IF(ISBLANK(D39),"",INDEX(Gen_Vessels!$A$3:$C$500,MATCH(D39,Gen_Vessels!$C$3:$C$500,0),1)),"")</f>
        <v/>
      </c>
      <c r="F39" s="25"/>
      <c r="G39" s="25"/>
      <c r="H39" s="25" t="str">
        <f>IFERROR(IF(ISBLANK(G39),"",INDEX(Gen_Vessels!$A$3:$C$500,MATCH(G39,Gen_Vessels!$C$3:$C$500,0),1)),"")</f>
        <v/>
      </c>
      <c r="I39" s="25"/>
      <c r="J39" s="25"/>
      <c r="K39" s="25"/>
      <c r="M39" s="25"/>
      <c r="O39" s="25"/>
      <c r="Q39" s="25"/>
      <c r="R39" s="25"/>
      <c r="S39" s="25"/>
      <c r="T39" s="25"/>
      <c r="U39" s="25"/>
      <c r="V39" s="25"/>
      <c r="W39" s="25"/>
      <c r="X39" s="25"/>
    </row>
    <row r="40" spans="1:24" x14ac:dyDescent="0.25">
      <c r="A40" s="18" t="str">
        <f t="shared" si="2"/>
        <v/>
      </c>
      <c r="B40" s="25"/>
      <c r="C40" s="25"/>
      <c r="D40" s="25"/>
      <c r="E40" s="25" t="str">
        <f>IFERROR(IF(ISBLANK(D40),"",INDEX(Gen_Vessels!$A$3:$C$500,MATCH(D40,Gen_Vessels!$C$3:$C$500,0),1)),"")</f>
        <v/>
      </c>
      <c r="F40" s="25"/>
      <c r="G40" s="25"/>
      <c r="H40" s="25" t="str">
        <f>IFERROR(IF(ISBLANK(G40),"",INDEX(Gen_Vessels!$A$3:$C$500,MATCH(G40,Gen_Vessels!$C$3:$C$500,0),1)),"")</f>
        <v/>
      </c>
      <c r="I40" s="25"/>
      <c r="J40" s="25"/>
      <c r="K40" s="25"/>
      <c r="M40" s="25"/>
      <c r="O40" s="25"/>
      <c r="Q40" s="25"/>
      <c r="R40" s="25"/>
      <c r="S40" s="25"/>
      <c r="T40" s="25"/>
      <c r="U40" s="25"/>
      <c r="V40" s="25"/>
      <c r="W40" s="25"/>
      <c r="X40" s="25"/>
    </row>
    <row r="41" spans="1:24" x14ac:dyDescent="0.25">
      <c r="A41" s="18" t="str">
        <f t="shared" si="2"/>
        <v/>
      </c>
      <c r="B41" s="25"/>
      <c r="C41" s="25"/>
      <c r="D41" s="25"/>
      <c r="E41" s="25" t="str">
        <f>IFERROR(IF(ISBLANK(D41),"",INDEX(Gen_Vessels!$A$3:$C$500,MATCH(D41,Gen_Vessels!$C$3:$C$500,0),1)),"")</f>
        <v/>
      </c>
      <c r="F41" s="25"/>
      <c r="G41" s="25"/>
      <c r="H41" s="25" t="str">
        <f>IFERROR(IF(ISBLANK(G41),"",INDEX(Gen_Vessels!$A$3:$C$500,MATCH(G41,Gen_Vessels!$C$3:$C$500,0),1)),"")</f>
        <v/>
      </c>
      <c r="I41" s="25"/>
      <c r="J41" s="25"/>
      <c r="K41" s="25"/>
      <c r="M41" s="25"/>
      <c r="O41" s="25"/>
      <c r="Q41" s="25"/>
      <c r="R41" s="25"/>
      <c r="S41" s="25"/>
      <c r="T41" s="25"/>
      <c r="U41" s="25"/>
      <c r="V41" s="25"/>
      <c r="W41" s="25"/>
      <c r="X41" s="25"/>
    </row>
    <row r="42" spans="1:24" x14ac:dyDescent="0.25">
      <c r="A42" s="18" t="str">
        <f t="shared" si="2"/>
        <v/>
      </c>
      <c r="B42" s="25"/>
      <c r="C42" s="25"/>
      <c r="D42" s="25"/>
      <c r="E42" s="25" t="str">
        <f>IFERROR(IF(ISBLANK(D42),"",INDEX(Gen_Vessels!$A$3:$C$500,MATCH(D42,Gen_Vessels!$C$3:$C$500,0),1)),"")</f>
        <v/>
      </c>
      <c r="F42" s="25"/>
      <c r="G42" s="25"/>
      <c r="H42" s="25" t="str">
        <f>IFERROR(IF(ISBLANK(G42),"",INDEX(Gen_Vessels!$A$3:$C$500,MATCH(G42,Gen_Vessels!$C$3:$C$500,0),1)),"")</f>
        <v/>
      </c>
      <c r="I42" s="25"/>
      <c r="J42" s="25"/>
      <c r="K42" s="25"/>
      <c r="M42" s="25"/>
      <c r="O42" s="25"/>
      <c r="Q42" s="25"/>
      <c r="R42" s="25"/>
      <c r="S42" s="25"/>
      <c r="T42" s="25"/>
      <c r="U42" s="25"/>
      <c r="V42" s="25"/>
      <c r="W42" s="25"/>
      <c r="X42" s="25"/>
    </row>
    <row r="43" spans="1:24" x14ac:dyDescent="0.25">
      <c r="A43" s="18" t="str">
        <f t="shared" si="2"/>
        <v/>
      </c>
      <c r="B43" s="25"/>
      <c r="C43" s="25"/>
      <c r="D43" s="25"/>
      <c r="E43" s="25" t="str">
        <f>IFERROR(IF(ISBLANK(D43),"",INDEX(Gen_Vessels!$A$3:$C$500,MATCH(D43,Gen_Vessels!$C$3:$C$500,0),1)),"")</f>
        <v/>
      </c>
      <c r="F43" s="25"/>
      <c r="G43" s="25"/>
      <c r="H43" s="25" t="str">
        <f>IFERROR(IF(ISBLANK(G43),"",INDEX(Gen_Vessels!$A$3:$C$500,MATCH(G43,Gen_Vessels!$C$3:$C$500,0),1)),"")</f>
        <v/>
      </c>
      <c r="I43" s="25"/>
      <c r="J43" s="25"/>
      <c r="K43" s="25"/>
      <c r="M43" s="25"/>
      <c r="O43" s="25"/>
      <c r="Q43" s="25"/>
      <c r="R43" s="25"/>
      <c r="S43" s="25"/>
      <c r="T43" s="25"/>
      <c r="U43" s="25"/>
      <c r="V43" s="25"/>
      <c r="W43" s="25"/>
      <c r="X43" s="25"/>
    </row>
    <row r="44" spans="1:24" x14ac:dyDescent="0.25">
      <c r="A44" s="18" t="str">
        <f t="shared" si="2"/>
        <v/>
      </c>
      <c r="B44" s="25"/>
      <c r="C44" s="25"/>
      <c r="D44" s="25"/>
      <c r="E44" s="25" t="str">
        <f>IFERROR(IF(ISBLANK(D44),"",INDEX(Gen_Vessels!$A$3:$C$500,MATCH(D44,Gen_Vessels!$C$3:$C$500,0),1)),"")</f>
        <v/>
      </c>
      <c r="F44" s="25"/>
      <c r="G44" s="25"/>
      <c r="H44" s="25" t="str">
        <f>IFERROR(IF(ISBLANK(G44),"",INDEX(Gen_Vessels!$A$3:$C$500,MATCH(G44,Gen_Vessels!$C$3:$C$500,0),1)),"")</f>
        <v/>
      </c>
      <c r="I44" s="25"/>
      <c r="J44" s="25"/>
      <c r="K44" s="25"/>
      <c r="M44" s="25"/>
      <c r="O44" s="25"/>
      <c r="Q44" s="25"/>
      <c r="R44" s="25"/>
      <c r="S44" s="25"/>
      <c r="T44" s="25"/>
      <c r="U44" s="25"/>
      <c r="V44" s="25"/>
      <c r="W44" s="25"/>
      <c r="X44" s="25"/>
    </row>
    <row r="45" spans="1:24" x14ac:dyDescent="0.25">
      <c r="A45" s="18" t="str">
        <f t="shared" si="2"/>
        <v/>
      </c>
      <c r="B45" s="25"/>
      <c r="C45" s="25"/>
      <c r="D45" s="25"/>
      <c r="E45" s="25" t="str">
        <f>IFERROR(IF(ISBLANK(D45),"",INDEX(Gen_Vessels!$A$3:$C$500,MATCH(D45,Gen_Vessels!$C$3:$C$500,0),1)),"")</f>
        <v/>
      </c>
      <c r="F45" s="25"/>
      <c r="G45" s="25"/>
      <c r="H45" s="25" t="str">
        <f>IFERROR(IF(ISBLANK(G45),"",INDEX(Gen_Vessels!$A$3:$C$500,MATCH(G45,Gen_Vessels!$C$3:$C$500,0),1)),"")</f>
        <v/>
      </c>
      <c r="I45" s="25"/>
      <c r="J45" s="25"/>
      <c r="K45" s="25"/>
      <c r="M45" s="25"/>
      <c r="O45" s="25"/>
      <c r="Q45" s="25"/>
      <c r="R45" s="25"/>
      <c r="S45" s="25"/>
      <c r="T45" s="25"/>
      <c r="U45" s="25"/>
      <c r="V45" s="25"/>
      <c r="W45" s="25"/>
      <c r="X45" s="25"/>
    </row>
    <row r="46" spans="1:24" x14ac:dyDescent="0.25">
      <c r="A46" s="18" t="str">
        <f t="shared" si="2"/>
        <v/>
      </c>
      <c r="B46" s="25"/>
      <c r="C46" s="25"/>
      <c r="D46" s="25"/>
      <c r="E46" s="25" t="str">
        <f>IFERROR(IF(ISBLANK(D46),"",INDEX(Gen_Vessels!$A$3:$C$500,MATCH(D46,Gen_Vessels!$C$3:$C$500,0),1)),"")</f>
        <v/>
      </c>
      <c r="F46" s="25"/>
      <c r="G46" s="25"/>
      <c r="H46" s="25" t="str">
        <f>IFERROR(IF(ISBLANK(G46),"",INDEX(Gen_Vessels!$A$3:$C$500,MATCH(G46,Gen_Vessels!$C$3:$C$500,0),1)),"")</f>
        <v/>
      </c>
      <c r="I46" s="25"/>
      <c r="J46" s="25"/>
      <c r="K46" s="25"/>
      <c r="M46" s="25"/>
      <c r="O46" s="25"/>
      <c r="Q46" s="25"/>
      <c r="R46" s="25"/>
      <c r="S46" s="25"/>
      <c r="T46" s="25"/>
      <c r="U46" s="25"/>
      <c r="V46" s="25"/>
      <c r="W46" s="25"/>
      <c r="X46" s="25"/>
    </row>
    <row r="47" spans="1:24" x14ac:dyDescent="0.25">
      <c r="A47" s="18" t="str">
        <f t="shared" si="2"/>
        <v/>
      </c>
      <c r="B47" s="25"/>
      <c r="C47" s="25"/>
      <c r="D47" s="25"/>
      <c r="E47" s="25" t="str">
        <f>IFERROR(IF(ISBLANK(D47),"",INDEX(Gen_Vessels!$A$3:$C$500,MATCH(D47,Gen_Vessels!$C$3:$C$500,0),1)),"")</f>
        <v/>
      </c>
      <c r="F47" s="25"/>
      <c r="G47" s="25"/>
      <c r="H47" s="25" t="str">
        <f>IFERROR(IF(ISBLANK(G47),"",INDEX(Gen_Vessels!$A$3:$C$500,MATCH(G47,Gen_Vessels!$C$3:$C$500,0),1)),"")</f>
        <v/>
      </c>
      <c r="I47" s="25"/>
      <c r="J47" s="25"/>
      <c r="K47" s="25"/>
      <c r="M47" s="25"/>
      <c r="O47" s="25"/>
      <c r="Q47" s="25"/>
      <c r="R47" s="25"/>
      <c r="S47" s="25"/>
      <c r="T47" s="25"/>
      <c r="U47" s="25"/>
      <c r="V47" s="25"/>
      <c r="W47" s="25"/>
      <c r="X47" s="25"/>
    </row>
    <row r="48" spans="1:24" x14ac:dyDescent="0.25">
      <c r="A48" s="18" t="str">
        <f t="shared" si="2"/>
        <v/>
      </c>
      <c r="B48" s="25"/>
      <c r="C48" s="25"/>
      <c r="D48" s="25"/>
      <c r="E48" s="25" t="str">
        <f>IFERROR(IF(ISBLANK(D48),"",INDEX(Gen_Vessels!$A$3:$C$500,MATCH(D48,Gen_Vessels!$C$3:$C$500,0),1)),"")</f>
        <v/>
      </c>
      <c r="F48" s="25"/>
      <c r="G48" s="25"/>
      <c r="H48" s="25" t="str">
        <f>IFERROR(IF(ISBLANK(G48),"",INDEX(Gen_Vessels!$A$3:$C$500,MATCH(G48,Gen_Vessels!$C$3:$C$500,0),1)),"")</f>
        <v/>
      </c>
      <c r="I48" s="25"/>
      <c r="J48" s="25"/>
      <c r="K48" s="25"/>
      <c r="M48" s="25"/>
      <c r="O48" s="25"/>
      <c r="Q48" s="25"/>
      <c r="R48" s="25"/>
      <c r="S48" s="25"/>
      <c r="T48" s="25"/>
      <c r="U48" s="25"/>
      <c r="V48" s="25"/>
      <c r="W48" s="25"/>
      <c r="X48" s="25"/>
    </row>
    <row r="49" spans="1:24" x14ac:dyDescent="0.25">
      <c r="A49" s="18" t="str">
        <f t="shared" si="2"/>
        <v/>
      </c>
      <c r="B49" s="25"/>
      <c r="C49" s="25"/>
      <c r="D49" s="25"/>
      <c r="E49" s="25" t="str">
        <f>IFERROR(IF(ISBLANK(D49),"",INDEX(Gen_Vessels!$A$3:$C$500,MATCH(D49,Gen_Vessels!$C$3:$C$500,0),1)),"")</f>
        <v/>
      </c>
      <c r="F49" s="25"/>
      <c r="G49" s="25"/>
      <c r="H49" s="25" t="str">
        <f>IFERROR(IF(ISBLANK(G49),"",INDEX(Gen_Vessels!$A$3:$C$500,MATCH(G49,Gen_Vessels!$C$3:$C$500,0),1)),"")</f>
        <v/>
      </c>
      <c r="I49" s="25"/>
      <c r="J49" s="25"/>
      <c r="K49" s="25"/>
      <c r="M49" s="25"/>
      <c r="O49" s="25"/>
      <c r="Q49" s="25"/>
      <c r="R49" s="25"/>
      <c r="S49" s="25"/>
      <c r="T49" s="25"/>
      <c r="U49" s="25"/>
      <c r="V49" s="25"/>
      <c r="W49" s="25"/>
      <c r="X49" s="25"/>
    </row>
    <row r="50" spans="1:24" x14ac:dyDescent="0.25">
      <c r="A50" s="18" t="str">
        <f t="shared" si="2"/>
        <v/>
      </c>
      <c r="B50" s="25"/>
      <c r="C50" s="25"/>
      <c r="D50" s="25"/>
      <c r="E50" s="25" t="str">
        <f>IFERROR(IF(ISBLANK(D50),"",INDEX(Gen_Vessels!$A$3:$C$500,MATCH(D50,Gen_Vessels!$C$3:$C$500,0),1)),"")</f>
        <v/>
      </c>
      <c r="F50" s="25"/>
      <c r="G50" s="25"/>
      <c r="H50" s="25" t="str">
        <f>IFERROR(IF(ISBLANK(G50),"",INDEX(Gen_Vessels!$A$3:$C$500,MATCH(G50,Gen_Vessels!$C$3:$C$500,0),1)),"")</f>
        <v/>
      </c>
      <c r="I50" s="25"/>
      <c r="J50" s="25"/>
      <c r="K50" s="25"/>
      <c r="M50" s="25"/>
      <c r="O50" s="25"/>
      <c r="Q50" s="25"/>
      <c r="R50" s="25"/>
      <c r="S50" s="25"/>
      <c r="T50" s="25"/>
      <c r="U50" s="25"/>
      <c r="V50" s="25"/>
      <c r="W50" s="25"/>
      <c r="X50" s="25"/>
    </row>
    <row r="51" spans="1:24" x14ac:dyDescent="0.25">
      <c r="A51" s="18" t="str">
        <f t="shared" si="2"/>
        <v/>
      </c>
      <c r="B51" s="25"/>
      <c r="C51" s="25"/>
      <c r="D51" s="25"/>
      <c r="E51" s="25" t="str">
        <f>IFERROR(IF(ISBLANK(D51),"",INDEX(Gen_Vessels!$A$3:$C$500,MATCH(D51,Gen_Vessels!$C$3:$C$500,0),1)),"")</f>
        <v/>
      </c>
      <c r="F51" s="25"/>
      <c r="G51" s="25"/>
      <c r="H51" s="25" t="str">
        <f>IFERROR(IF(ISBLANK(G51),"",INDEX(Gen_Vessels!$A$3:$C$500,MATCH(G51,Gen_Vessels!$C$3:$C$500,0),1)),"")</f>
        <v/>
      </c>
      <c r="I51" s="25"/>
      <c r="J51" s="25"/>
      <c r="K51" s="25"/>
      <c r="M51" s="25"/>
      <c r="O51" s="25"/>
      <c r="Q51" s="25"/>
      <c r="R51" s="25"/>
      <c r="S51" s="25"/>
      <c r="T51" s="25"/>
      <c r="U51" s="25"/>
      <c r="V51" s="25"/>
      <c r="W51" s="25"/>
      <c r="X51" s="25"/>
    </row>
    <row r="52" spans="1:24" x14ac:dyDescent="0.25">
      <c r="A52" s="18" t="str">
        <f t="shared" si="2"/>
        <v/>
      </c>
      <c r="B52" s="25"/>
      <c r="C52" s="25"/>
      <c r="D52" s="25"/>
      <c r="E52" s="25" t="str">
        <f>IFERROR(IF(ISBLANK(D52),"",INDEX(Gen_Vessels!$A$3:$C$500,MATCH(D52,Gen_Vessels!$C$3:$C$500,0),1)),"")</f>
        <v/>
      </c>
      <c r="F52" s="25"/>
      <c r="G52" s="25"/>
      <c r="H52" s="25" t="str">
        <f>IFERROR(IF(ISBLANK(G52),"",INDEX(Gen_Vessels!$A$3:$C$500,MATCH(G52,Gen_Vessels!$C$3:$C$500,0),1)),"")</f>
        <v/>
      </c>
      <c r="I52" s="25"/>
      <c r="J52" s="25"/>
      <c r="K52" s="25"/>
      <c r="M52" s="25"/>
      <c r="O52" s="25"/>
      <c r="Q52" s="25"/>
      <c r="R52" s="25"/>
      <c r="S52" s="25"/>
      <c r="T52" s="25"/>
      <c r="U52" s="25"/>
      <c r="V52" s="25"/>
      <c r="W52" s="25"/>
      <c r="X52" s="25"/>
    </row>
    <row r="53" spans="1:24" x14ac:dyDescent="0.25">
      <c r="A53" s="18" t="str">
        <f t="shared" si="2"/>
        <v/>
      </c>
      <c r="B53" s="25"/>
      <c r="C53" s="25"/>
      <c r="D53" s="25"/>
      <c r="E53" s="25" t="str">
        <f>IFERROR(IF(ISBLANK(D53),"",INDEX(Gen_Vessels!$A$3:$C$500,MATCH(D53,Gen_Vessels!$C$3:$C$500,0),1)),"")</f>
        <v/>
      </c>
      <c r="F53" s="25"/>
      <c r="G53" s="25"/>
      <c r="H53" s="25" t="str">
        <f>IFERROR(IF(ISBLANK(G53),"",INDEX(Gen_Vessels!$A$3:$C$500,MATCH(G53,Gen_Vessels!$C$3:$C$500,0),1)),"")</f>
        <v/>
      </c>
      <c r="I53" s="25"/>
      <c r="J53" s="25"/>
      <c r="K53" s="25"/>
      <c r="M53" s="25"/>
      <c r="O53" s="25"/>
      <c r="Q53" s="25"/>
      <c r="R53" s="25"/>
      <c r="S53" s="25"/>
      <c r="T53" s="25"/>
      <c r="U53" s="25"/>
      <c r="V53" s="25"/>
      <c r="W53" s="25"/>
      <c r="X53" s="25"/>
    </row>
    <row r="54" spans="1:24" x14ac:dyDescent="0.25">
      <c r="A54" s="18" t="str">
        <f t="shared" si="2"/>
        <v/>
      </c>
      <c r="B54" s="25"/>
      <c r="C54" s="25"/>
      <c r="D54" s="25"/>
      <c r="E54" s="25" t="str">
        <f>IFERROR(IF(ISBLANK(D54),"",INDEX(Gen_Vessels!$A$3:$C$500,MATCH(D54,Gen_Vessels!$C$3:$C$500,0),1)),"")</f>
        <v/>
      </c>
      <c r="F54" s="25"/>
      <c r="G54" s="25"/>
      <c r="H54" s="25" t="str">
        <f>IFERROR(IF(ISBLANK(G54),"",INDEX(Gen_Vessels!$A$3:$C$500,MATCH(G54,Gen_Vessels!$C$3:$C$500,0),1)),"")</f>
        <v/>
      </c>
      <c r="I54" s="25"/>
      <c r="J54" s="25"/>
      <c r="K54" s="25"/>
      <c r="M54" s="25"/>
      <c r="O54" s="25"/>
      <c r="Q54" s="25"/>
      <c r="R54" s="25"/>
      <c r="S54" s="25"/>
      <c r="T54" s="25"/>
      <c r="U54" s="25"/>
      <c r="V54" s="25"/>
      <c r="W54" s="25"/>
      <c r="X54" s="25"/>
    </row>
    <row r="55" spans="1:24" x14ac:dyDescent="0.25">
      <c r="A55" s="18" t="str">
        <f t="shared" si="2"/>
        <v/>
      </c>
      <c r="B55" s="25"/>
      <c r="C55" s="25"/>
      <c r="D55" s="25"/>
      <c r="E55" s="25" t="str">
        <f>IFERROR(IF(ISBLANK(D55),"",INDEX(Gen_Vessels!$A$3:$C$500,MATCH(D55,Gen_Vessels!$C$3:$C$500,0),1)),"")</f>
        <v/>
      </c>
      <c r="F55" s="25"/>
      <c r="G55" s="25"/>
      <c r="H55" s="25" t="str">
        <f>IFERROR(IF(ISBLANK(G55),"",INDEX(Gen_Vessels!$A$3:$C$500,MATCH(G55,Gen_Vessels!$C$3:$C$500,0),1)),"")</f>
        <v/>
      </c>
      <c r="I55" s="25"/>
      <c r="J55" s="25"/>
      <c r="K55" s="25"/>
      <c r="M55" s="25"/>
      <c r="O55" s="25"/>
      <c r="Q55" s="25"/>
      <c r="R55" s="25"/>
      <c r="S55" s="25"/>
      <c r="T55" s="25"/>
      <c r="U55" s="25"/>
      <c r="V55" s="25"/>
      <c r="W55" s="25"/>
      <c r="X55" s="25"/>
    </row>
    <row r="56" spans="1:24" x14ac:dyDescent="0.25">
      <c r="A56" s="18" t="str">
        <f t="shared" si="2"/>
        <v/>
      </c>
      <c r="B56" s="25"/>
      <c r="C56" s="25"/>
      <c r="D56" s="25"/>
      <c r="E56" s="25" t="str">
        <f>IFERROR(IF(ISBLANK(D56),"",INDEX(Gen_Vessels!$A$3:$C$500,MATCH(D56,Gen_Vessels!$C$3:$C$500,0),1)),"")</f>
        <v/>
      </c>
      <c r="F56" s="25"/>
      <c r="G56" s="25"/>
      <c r="H56" s="25" t="str">
        <f>IFERROR(IF(ISBLANK(G56),"",INDEX(Gen_Vessels!$A$3:$C$500,MATCH(G56,Gen_Vessels!$C$3:$C$500,0),1)),"")</f>
        <v/>
      </c>
      <c r="I56" s="25"/>
      <c r="J56" s="25"/>
      <c r="K56" s="25"/>
      <c r="M56" s="25"/>
      <c r="O56" s="25"/>
      <c r="Q56" s="25"/>
      <c r="R56" s="25"/>
      <c r="S56" s="25"/>
      <c r="T56" s="25"/>
      <c r="U56" s="25"/>
      <c r="V56" s="25"/>
      <c r="W56" s="25"/>
      <c r="X56" s="25"/>
    </row>
    <row r="57" spans="1:24" x14ac:dyDescent="0.25">
      <c r="A57" s="18" t="str">
        <f t="shared" si="2"/>
        <v/>
      </c>
      <c r="B57" s="25"/>
      <c r="C57" s="25"/>
      <c r="D57" s="25"/>
      <c r="E57" s="25" t="str">
        <f>IFERROR(IF(ISBLANK(D57),"",INDEX(Gen_Vessels!$A$3:$C$500,MATCH(D57,Gen_Vessels!$C$3:$C$500,0),1)),"")</f>
        <v/>
      </c>
      <c r="F57" s="25"/>
      <c r="G57" s="25"/>
      <c r="H57" s="25" t="str">
        <f>IFERROR(IF(ISBLANK(G57),"",INDEX(Gen_Vessels!$A$3:$C$500,MATCH(G57,Gen_Vessels!$C$3:$C$500,0),1)),"")</f>
        <v/>
      </c>
      <c r="I57" s="25"/>
      <c r="J57" s="25"/>
      <c r="K57" s="25"/>
      <c r="M57" s="25"/>
      <c r="O57" s="25"/>
      <c r="Q57" s="25"/>
      <c r="R57" s="25"/>
      <c r="S57" s="25"/>
      <c r="T57" s="25"/>
      <c r="U57" s="25"/>
      <c r="V57" s="25"/>
      <c r="W57" s="25"/>
      <c r="X57" s="25"/>
    </row>
    <row r="58" spans="1:24" x14ac:dyDescent="0.25">
      <c r="A58" s="18" t="str">
        <f t="shared" si="2"/>
        <v/>
      </c>
      <c r="B58" s="25"/>
      <c r="C58" s="25"/>
      <c r="D58" s="25"/>
      <c r="E58" s="25" t="str">
        <f>IFERROR(IF(ISBLANK(D58),"",INDEX(Gen_Vessels!$A$3:$C$500,MATCH(D58,Gen_Vessels!$C$3:$C$500,0),1)),"")</f>
        <v/>
      </c>
      <c r="F58" s="25"/>
      <c r="G58" s="25"/>
      <c r="H58" s="25" t="str">
        <f>IFERROR(IF(ISBLANK(G58),"",INDEX(Gen_Vessels!$A$3:$C$500,MATCH(G58,Gen_Vessels!$C$3:$C$500,0),1)),"")</f>
        <v/>
      </c>
      <c r="I58" s="25"/>
      <c r="J58" s="25"/>
      <c r="K58" s="25"/>
      <c r="M58" s="25"/>
      <c r="O58" s="25"/>
      <c r="Q58" s="25"/>
      <c r="R58" s="25"/>
      <c r="S58" s="25"/>
      <c r="T58" s="25"/>
      <c r="U58" s="25"/>
      <c r="V58" s="25"/>
      <c r="W58" s="25"/>
      <c r="X58" s="25"/>
    </row>
    <row r="59" spans="1:24" x14ac:dyDescent="0.25">
      <c r="A59" s="18" t="str">
        <f t="shared" si="2"/>
        <v/>
      </c>
      <c r="B59" s="25"/>
      <c r="C59" s="25"/>
      <c r="D59" s="25"/>
      <c r="E59" s="25" t="str">
        <f>IFERROR(IF(ISBLANK(D59),"",INDEX(Gen_Vessels!$A$3:$C$500,MATCH(D59,Gen_Vessels!$C$3:$C$500,0),1)),"")</f>
        <v/>
      </c>
      <c r="F59" s="25"/>
      <c r="G59" s="25"/>
      <c r="H59" s="25" t="str">
        <f>IFERROR(IF(ISBLANK(G59),"",INDEX(Gen_Vessels!$A$3:$C$500,MATCH(G59,Gen_Vessels!$C$3:$C$500,0),1)),"")</f>
        <v/>
      </c>
      <c r="I59" s="25"/>
      <c r="J59" s="25"/>
      <c r="K59" s="25"/>
      <c r="M59" s="25"/>
      <c r="O59" s="25"/>
      <c r="Q59" s="25"/>
      <c r="R59" s="25"/>
      <c r="S59" s="25"/>
      <c r="T59" s="25"/>
      <c r="U59" s="25"/>
      <c r="V59" s="25"/>
      <c r="W59" s="25"/>
      <c r="X59" s="25"/>
    </row>
    <row r="60" spans="1:24" x14ac:dyDescent="0.25">
      <c r="A60" s="18" t="str">
        <f t="shared" si="2"/>
        <v/>
      </c>
      <c r="B60" s="25"/>
      <c r="C60" s="25"/>
      <c r="D60" s="25"/>
      <c r="E60" s="25" t="str">
        <f>IFERROR(IF(ISBLANK(D60),"",INDEX(Gen_Vessels!$A$3:$C$500,MATCH(D60,Gen_Vessels!$C$3:$C$500,0),1)),"")</f>
        <v/>
      </c>
      <c r="F60" s="25"/>
      <c r="G60" s="25"/>
      <c r="H60" s="25" t="str">
        <f>IFERROR(IF(ISBLANK(G60),"",INDEX(Gen_Vessels!$A$3:$C$500,MATCH(G60,Gen_Vessels!$C$3:$C$500,0),1)),"")</f>
        <v/>
      </c>
      <c r="I60" s="25"/>
      <c r="J60" s="25"/>
      <c r="K60" s="25"/>
      <c r="M60" s="25"/>
      <c r="O60" s="25"/>
      <c r="Q60" s="25"/>
      <c r="R60" s="25"/>
      <c r="S60" s="25"/>
      <c r="T60" s="25"/>
      <c r="U60" s="25"/>
      <c r="V60" s="25"/>
      <c r="W60" s="25"/>
      <c r="X60" s="25"/>
    </row>
    <row r="61" spans="1:24" x14ac:dyDescent="0.25">
      <c r="A61" s="18" t="str">
        <f t="shared" si="2"/>
        <v/>
      </c>
      <c r="B61" s="25"/>
      <c r="C61" s="25"/>
      <c r="D61" s="25"/>
      <c r="E61" s="25" t="str">
        <f>IFERROR(IF(ISBLANK(D61),"",INDEX(Gen_Vessels!$A$3:$C$500,MATCH(D61,Gen_Vessels!$C$3:$C$500,0),1)),"")</f>
        <v/>
      </c>
      <c r="F61" s="25"/>
      <c r="G61" s="25"/>
      <c r="H61" s="25" t="str">
        <f>IFERROR(IF(ISBLANK(G61),"",INDEX(Gen_Vessels!$A$3:$C$500,MATCH(G61,Gen_Vessels!$C$3:$C$500,0),1)),"")</f>
        <v/>
      </c>
      <c r="I61" s="25"/>
      <c r="J61" s="25"/>
      <c r="K61" s="25"/>
      <c r="M61" s="25"/>
      <c r="O61" s="25"/>
      <c r="Q61" s="25"/>
      <c r="R61" s="25"/>
      <c r="S61" s="25"/>
      <c r="T61" s="25"/>
      <c r="U61" s="25"/>
      <c r="V61" s="25"/>
      <c r="W61" s="25"/>
      <c r="X61" s="25"/>
    </row>
    <row r="62" spans="1:24" x14ac:dyDescent="0.25">
      <c r="A62" s="18" t="str">
        <f t="shared" si="2"/>
        <v/>
      </c>
      <c r="B62" s="25"/>
      <c r="C62" s="25"/>
      <c r="D62" s="25"/>
      <c r="E62" s="25" t="str">
        <f>IFERROR(IF(ISBLANK(D62),"",INDEX(Gen_Vessels!$A$3:$C$500,MATCH(D62,Gen_Vessels!$C$3:$C$500,0),1)),"")</f>
        <v/>
      </c>
      <c r="F62" s="25"/>
      <c r="G62" s="25"/>
      <c r="H62" s="25" t="str">
        <f>IFERROR(IF(ISBLANK(G62),"",INDEX(Gen_Vessels!$A$3:$C$500,MATCH(G62,Gen_Vessels!$C$3:$C$500,0),1)),"")</f>
        <v/>
      </c>
      <c r="I62" s="25"/>
      <c r="J62" s="25"/>
      <c r="K62" s="25"/>
      <c r="M62" s="25"/>
      <c r="O62" s="25"/>
      <c r="Q62" s="25"/>
      <c r="R62" s="25"/>
      <c r="S62" s="25"/>
      <c r="T62" s="25"/>
      <c r="U62" s="25"/>
      <c r="V62" s="25"/>
      <c r="W62" s="25"/>
      <c r="X62" s="25"/>
    </row>
    <row r="63" spans="1:24" x14ac:dyDescent="0.25">
      <c r="A63" s="18" t="str">
        <f t="shared" si="2"/>
        <v/>
      </c>
      <c r="B63" s="25"/>
      <c r="C63" s="25"/>
      <c r="D63" s="25"/>
      <c r="E63" s="25" t="str">
        <f>IFERROR(IF(ISBLANK(D63),"",INDEX(Gen_Vessels!$A$3:$C$500,MATCH(D63,Gen_Vessels!$C$3:$C$500,0),1)),"")</f>
        <v/>
      </c>
      <c r="F63" s="25"/>
      <c r="G63" s="25"/>
      <c r="H63" s="25" t="str">
        <f>IFERROR(IF(ISBLANK(G63),"",INDEX(Gen_Vessels!$A$3:$C$500,MATCH(G63,Gen_Vessels!$C$3:$C$500,0),1)),"")</f>
        <v/>
      </c>
      <c r="I63" s="25"/>
      <c r="J63" s="25"/>
      <c r="K63" s="25"/>
      <c r="M63" s="25"/>
      <c r="O63" s="25"/>
      <c r="Q63" s="25"/>
      <c r="R63" s="25"/>
      <c r="S63" s="25"/>
      <c r="T63" s="25"/>
      <c r="U63" s="25"/>
      <c r="V63" s="25"/>
      <c r="W63" s="25"/>
      <c r="X63" s="25"/>
    </row>
    <row r="64" spans="1:24" x14ac:dyDescent="0.25">
      <c r="A64" s="18" t="str">
        <f t="shared" si="2"/>
        <v/>
      </c>
      <c r="B64" s="25"/>
      <c r="C64" s="25"/>
      <c r="D64" s="25"/>
      <c r="E64" s="25" t="str">
        <f>IFERROR(IF(ISBLANK(D64),"",INDEX(Gen_Vessels!$A$3:$C$500,MATCH(D64,Gen_Vessels!$C$3:$C$500,0),1)),"")</f>
        <v/>
      </c>
      <c r="F64" s="25"/>
      <c r="G64" s="25"/>
      <c r="H64" s="25" t="str">
        <f>IFERROR(IF(ISBLANK(G64),"",INDEX(Gen_Vessels!$A$3:$C$500,MATCH(G64,Gen_Vessels!$C$3:$C$500,0),1)),"")</f>
        <v/>
      </c>
      <c r="I64" s="25"/>
      <c r="J64" s="25"/>
      <c r="K64" s="25"/>
      <c r="M64" s="25"/>
      <c r="O64" s="25"/>
      <c r="Q64" s="25"/>
      <c r="R64" s="25"/>
      <c r="S64" s="25"/>
      <c r="T64" s="25"/>
      <c r="U64" s="25"/>
      <c r="V64" s="25"/>
      <c r="W64" s="25"/>
      <c r="X64" s="25"/>
    </row>
    <row r="65" spans="1:24" x14ac:dyDescent="0.25">
      <c r="A65" s="18" t="str">
        <f t="shared" si="2"/>
        <v/>
      </c>
      <c r="B65" s="25"/>
      <c r="C65" s="25"/>
      <c r="D65" s="25"/>
      <c r="E65" s="25" t="str">
        <f>IFERROR(IF(ISBLANK(D65),"",INDEX(Gen_Vessels!$A$3:$C$500,MATCH(D65,Gen_Vessels!$C$3:$C$500,0),1)),"")</f>
        <v/>
      </c>
      <c r="F65" s="25"/>
      <c r="G65" s="25"/>
      <c r="H65" s="25" t="str">
        <f>IFERROR(IF(ISBLANK(G65),"",INDEX(Gen_Vessels!$A$3:$C$500,MATCH(G65,Gen_Vessels!$C$3:$C$500,0),1)),"")</f>
        <v/>
      </c>
      <c r="I65" s="25"/>
      <c r="J65" s="25"/>
      <c r="K65" s="25"/>
      <c r="M65" s="25"/>
      <c r="O65" s="25"/>
      <c r="Q65" s="25"/>
      <c r="R65" s="25"/>
      <c r="S65" s="25"/>
      <c r="T65" s="25"/>
      <c r="U65" s="25"/>
      <c r="V65" s="25"/>
      <c r="W65" s="25"/>
      <c r="X65" s="25"/>
    </row>
    <row r="66" spans="1:24" x14ac:dyDescent="0.25">
      <c r="A66" s="18" t="str">
        <f t="shared" si="2"/>
        <v/>
      </c>
      <c r="B66" s="25"/>
      <c r="C66" s="25"/>
      <c r="D66" s="25"/>
      <c r="E66" s="25" t="str">
        <f>IFERROR(IF(ISBLANK(D66),"",INDEX(Gen_Vessels!$A$3:$C$500,MATCH(D66,Gen_Vessels!$C$3:$C$500,0),1)),"")</f>
        <v/>
      </c>
      <c r="F66" s="25"/>
      <c r="G66" s="25"/>
      <c r="H66" s="25" t="str">
        <f>IFERROR(IF(ISBLANK(G66),"",INDEX(Gen_Vessels!$A$3:$C$500,MATCH(G66,Gen_Vessels!$C$3:$C$500,0),1)),"")</f>
        <v/>
      </c>
      <c r="I66" s="25"/>
      <c r="J66" s="25"/>
      <c r="K66" s="25"/>
      <c r="M66" s="25"/>
      <c r="O66" s="25"/>
      <c r="Q66" s="25"/>
      <c r="R66" s="25"/>
      <c r="S66" s="25"/>
      <c r="T66" s="25"/>
      <c r="U66" s="25"/>
      <c r="V66" s="25"/>
      <c r="W66" s="25"/>
      <c r="X66" s="25"/>
    </row>
    <row r="67" spans="1:24" x14ac:dyDescent="0.25">
      <c r="A67" s="18" t="str">
        <f t="shared" si="2"/>
        <v/>
      </c>
      <c r="B67" s="25"/>
      <c r="C67" s="25"/>
      <c r="D67" s="25"/>
      <c r="E67" s="25" t="str">
        <f>IFERROR(IF(ISBLANK(D67),"",INDEX(Gen_Vessels!$A$3:$C$500,MATCH(D67,Gen_Vessels!$C$3:$C$500,0),1)),"")</f>
        <v/>
      </c>
      <c r="F67" s="25"/>
      <c r="G67" s="25"/>
      <c r="H67" s="25" t="str">
        <f>IFERROR(IF(ISBLANK(G67),"",INDEX(Gen_Vessels!$A$3:$C$500,MATCH(G67,Gen_Vessels!$C$3:$C$500,0),1)),"")</f>
        <v/>
      </c>
      <c r="I67" s="25"/>
      <c r="J67" s="25"/>
      <c r="K67" s="25"/>
      <c r="M67" s="25"/>
      <c r="O67" s="25"/>
      <c r="Q67" s="25"/>
      <c r="R67" s="25"/>
      <c r="S67" s="25"/>
      <c r="T67" s="25"/>
      <c r="U67" s="25"/>
      <c r="V67" s="25"/>
      <c r="W67" s="25"/>
      <c r="X67" s="25"/>
    </row>
    <row r="68" spans="1:24" x14ac:dyDescent="0.25">
      <c r="A68" s="18" t="str">
        <f t="shared" ref="A68:A131" si="3">IF(ISBLANK($B68)=FALSE,_xlfn.CONCAT($B68,"_tow"),"")</f>
        <v/>
      </c>
      <c r="B68" s="25"/>
      <c r="C68" s="25"/>
      <c r="D68" s="25"/>
      <c r="E68" s="25" t="str">
        <f>IFERROR(IF(ISBLANK(D68),"",INDEX(Gen_Vessels!$A$3:$C$500,MATCH(D68,Gen_Vessels!$C$3:$C$500,0),1)),"")</f>
        <v/>
      </c>
      <c r="F68" s="25"/>
      <c r="G68" s="25"/>
      <c r="H68" s="25" t="str">
        <f>IFERROR(IF(ISBLANK(G68),"",INDEX(Gen_Vessels!$A$3:$C$500,MATCH(G68,Gen_Vessels!$C$3:$C$500,0),1)),"")</f>
        <v/>
      </c>
      <c r="I68" s="25"/>
      <c r="J68" s="25"/>
      <c r="K68" s="25"/>
      <c r="M68" s="25"/>
      <c r="O68" s="25"/>
      <c r="Q68" s="25"/>
      <c r="R68" s="25"/>
      <c r="S68" s="25"/>
      <c r="T68" s="25"/>
      <c r="U68" s="25"/>
      <c r="V68" s="25"/>
      <c r="W68" s="25"/>
      <c r="X68" s="25"/>
    </row>
    <row r="69" spans="1:24" x14ac:dyDescent="0.25">
      <c r="A69" s="18" t="str">
        <f t="shared" si="3"/>
        <v/>
      </c>
      <c r="B69" s="25"/>
      <c r="C69" s="25"/>
      <c r="D69" s="25"/>
      <c r="E69" s="25" t="str">
        <f>IFERROR(IF(ISBLANK(D69),"",INDEX(Gen_Vessels!$A$3:$C$500,MATCH(D69,Gen_Vessels!$C$3:$C$500,0),1)),"")</f>
        <v/>
      </c>
      <c r="F69" s="25"/>
      <c r="G69" s="25"/>
      <c r="H69" s="25" t="str">
        <f>IFERROR(IF(ISBLANK(G69),"",INDEX(Gen_Vessels!$A$3:$C$500,MATCH(G69,Gen_Vessels!$C$3:$C$500,0),1)),"")</f>
        <v/>
      </c>
      <c r="I69" s="25"/>
      <c r="J69" s="25"/>
      <c r="K69" s="25"/>
      <c r="M69" s="25"/>
      <c r="O69" s="25"/>
      <c r="Q69" s="25"/>
      <c r="R69" s="25"/>
      <c r="S69" s="25"/>
      <c r="T69" s="25"/>
      <c r="U69" s="25"/>
      <c r="V69" s="25"/>
      <c r="W69" s="25"/>
      <c r="X69" s="25"/>
    </row>
    <row r="70" spans="1:24" x14ac:dyDescent="0.25">
      <c r="A70" s="18" t="str">
        <f t="shared" si="3"/>
        <v/>
      </c>
      <c r="B70" s="25"/>
      <c r="C70" s="25"/>
      <c r="D70" s="25"/>
      <c r="E70" s="25" t="str">
        <f>IFERROR(IF(ISBLANK(D70),"",INDEX(Gen_Vessels!$A$3:$C$500,MATCH(D70,Gen_Vessels!$C$3:$C$500,0),1)),"")</f>
        <v/>
      </c>
      <c r="F70" s="25"/>
      <c r="G70" s="25"/>
      <c r="H70" s="25" t="str">
        <f>IFERROR(IF(ISBLANK(G70),"",INDEX(Gen_Vessels!$A$3:$C$500,MATCH(G70,Gen_Vessels!$C$3:$C$500,0),1)),"")</f>
        <v/>
      </c>
      <c r="I70" s="25"/>
      <c r="J70" s="25"/>
      <c r="K70" s="25"/>
      <c r="M70" s="25"/>
      <c r="O70" s="25"/>
      <c r="Q70" s="25"/>
      <c r="R70" s="25"/>
      <c r="S70" s="25"/>
      <c r="T70" s="25"/>
      <c r="U70" s="25"/>
      <c r="V70" s="25"/>
      <c r="W70" s="25"/>
      <c r="X70" s="25"/>
    </row>
    <row r="71" spans="1:24" x14ac:dyDescent="0.25">
      <c r="A71" s="18" t="str">
        <f t="shared" si="3"/>
        <v/>
      </c>
      <c r="B71" s="25"/>
      <c r="C71" s="25"/>
      <c r="D71" s="25"/>
      <c r="E71" s="25" t="str">
        <f>IFERROR(IF(ISBLANK(D71),"",INDEX(Gen_Vessels!$A$3:$C$500,MATCH(D71,Gen_Vessels!$C$3:$C$500,0),1)),"")</f>
        <v/>
      </c>
      <c r="F71" s="25"/>
      <c r="G71" s="25"/>
      <c r="H71" s="25" t="str">
        <f>IFERROR(IF(ISBLANK(G71),"",INDEX(Gen_Vessels!$A$3:$C$500,MATCH(G71,Gen_Vessels!$C$3:$C$500,0),1)),"")</f>
        <v/>
      </c>
      <c r="I71" s="25"/>
      <c r="J71" s="25"/>
      <c r="K71" s="25"/>
      <c r="M71" s="25"/>
      <c r="O71" s="25"/>
      <c r="Q71" s="25"/>
      <c r="R71" s="25"/>
      <c r="S71" s="25"/>
      <c r="T71" s="25"/>
      <c r="U71" s="25"/>
      <c r="V71" s="25"/>
      <c r="W71" s="25"/>
      <c r="X71" s="25"/>
    </row>
    <row r="72" spans="1:24" x14ac:dyDescent="0.25">
      <c r="A72" s="18" t="str">
        <f t="shared" si="3"/>
        <v/>
      </c>
      <c r="B72" s="25"/>
      <c r="C72" s="25"/>
      <c r="D72" s="25"/>
      <c r="E72" s="25" t="str">
        <f>IFERROR(IF(ISBLANK(D72),"",INDEX(Gen_Vessels!$A$3:$C$500,MATCH(D72,Gen_Vessels!$C$3:$C$500,0),1)),"")</f>
        <v/>
      </c>
      <c r="F72" s="25"/>
      <c r="G72" s="25"/>
      <c r="H72" s="25" t="str">
        <f>IFERROR(IF(ISBLANK(G72),"",INDEX(Gen_Vessels!$A$3:$C$500,MATCH(G72,Gen_Vessels!$C$3:$C$500,0),1)),"")</f>
        <v/>
      </c>
      <c r="I72" s="25"/>
      <c r="J72" s="25"/>
      <c r="K72" s="25"/>
      <c r="M72" s="25"/>
      <c r="O72" s="25"/>
      <c r="Q72" s="25"/>
      <c r="R72" s="25"/>
      <c r="S72" s="25"/>
      <c r="T72" s="25"/>
      <c r="U72" s="25"/>
      <c r="V72" s="25"/>
      <c r="W72" s="25"/>
      <c r="X72" s="25"/>
    </row>
    <row r="73" spans="1:24" x14ac:dyDescent="0.25">
      <c r="A73" s="18" t="str">
        <f t="shared" si="3"/>
        <v/>
      </c>
      <c r="B73" s="25"/>
      <c r="C73" s="25"/>
      <c r="D73" s="25"/>
      <c r="E73" s="25" t="str">
        <f>IFERROR(IF(ISBLANK(D73),"",INDEX(Gen_Vessels!$A$3:$C$500,MATCH(D73,Gen_Vessels!$C$3:$C$500,0),1)),"")</f>
        <v/>
      </c>
      <c r="F73" s="25"/>
      <c r="G73" s="25"/>
      <c r="H73" s="25" t="str">
        <f>IFERROR(IF(ISBLANK(G73),"",INDEX(Gen_Vessels!$A$3:$C$500,MATCH(G73,Gen_Vessels!$C$3:$C$500,0),1)),"")</f>
        <v/>
      </c>
      <c r="I73" s="25"/>
      <c r="J73" s="25"/>
      <c r="K73" s="25"/>
      <c r="M73" s="25"/>
      <c r="O73" s="25"/>
      <c r="Q73" s="25"/>
      <c r="R73" s="25"/>
      <c r="S73" s="25"/>
      <c r="T73" s="25"/>
      <c r="U73" s="25"/>
      <c r="V73" s="25"/>
      <c r="W73" s="25"/>
      <c r="X73" s="25"/>
    </row>
    <row r="74" spans="1:24" x14ac:dyDescent="0.25">
      <c r="A74" s="18" t="str">
        <f t="shared" si="3"/>
        <v/>
      </c>
      <c r="B74" s="25"/>
      <c r="C74" s="25"/>
      <c r="D74" s="25"/>
      <c r="E74" s="25" t="str">
        <f>IFERROR(IF(ISBLANK(D74),"",INDEX(Gen_Vessels!$A$3:$C$500,MATCH(D74,Gen_Vessels!$C$3:$C$500,0),1)),"")</f>
        <v/>
      </c>
      <c r="F74" s="25"/>
      <c r="G74" s="25"/>
      <c r="H74" s="25" t="str">
        <f>IFERROR(IF(ISBLANK(G74),"",INDEX(Gen_Vessels!$A$3:$C$500,MATCH(G74,Gen_Vessels!$C$3:$C$500,0),1)),"")</f>
        <v/>
      </c>
      <c r="I74" s="25"/>
      <c r="J74" s="25"/>
      <c r="K74" s="25"/>
      <c r="M74" s="25"/>
      <c r="O74" s="25"/>
      <c r="Q74" s="25"/>
      <c r="R74" s="25"/>
      <c r="S74" s="25"/>
      <c r="T74" s="25"/>
      <c r="U74" s="25"/>
      <c r="V74" s="25"/>
      <c r="W74" s="25"/>
      <c r="X74" s="25"/>
    </row>
    <row r="75" spans="1:24" x14ac:dyDescent="0.25">
      <c r="A75" s="18" t="str">
        <f t="shared" si="3"/>
        <v/>
      </c>
      <c r="B75" s="25"/>
      <c r="C75" s="25"/>
      <c r="D75" s="25"/>
      <c r="E75" s="25" t="str">
        <f>IFERROR(IF(ISBLANK(D75),"",INDEX(Gen_Vessels!$A$3:$C$500,MATCH(D75,Gen_Vessels!$C$3:$C$500,0),1)),"")</f>
        <v/>
      </c>
      <c r="F75" s="25"/>
      <c r="G75" s="25"/>
      <c r="H75" s="25" t="str">
        <f>IFERROR(IF(ISBLANK(G75),"",INDEX(Gen_Vessels!$A$3:$C$500,MATCH(G75,Gen_Vessels!$C$3:$C$500,0),1)),"")</f>
        <v/>
      </c>
      <c r="I75" s="25"/>
      <c r="J75" s="25"/>
      <c r="K75" s="25"/>
      <c r="M75" s="25"/>
      <c r="O75" s="25"/>
      <c r="Q75" s="25"/>
      <c r="R75" s="25"/>
      <c r="S75" s="25"/>
      <c r="T75" s="25"/>
      <c r="U75" s="25"/>
      <c r="V75" s="25"/>
      <c r="W75" s="25"/>
      <c r="X75" s="25"/>
    </row>
    <row r="76" spans="1:24" x14ac:dyDescent="0.25">
      <c r="A76" s="18" t="str">
        <f t="shared" si="3"/>
        <v/>
      </c>
      <c r="B76" s="25"/>
      <c r="C76" s="25"/>
      <c r="D76" s="25"/>
      <c r="E76" s="25" t="str">
        <f>IFERROR(IF(ISBLANK(D76),"",INDEX(Gen_Vessels!$A$3:$C$500,MATCH(D76,Gen_Vessels!$C$3:$C$500,0),1)),"")</f>
        <v/>
      </c>
      <c r="F76" s="25"/>
      <c r="G76" s="25"/>
      <c r="H76" s="25" t="str">
        <f>IFERROR(IF(ISBLANK(G76),"",INDEX(Gen_Vessels!$A$3:$C$500,MATCH(G76,Gen_Vessels!$C$3:$C$500,0),1)),"")</f>
        <v/>
      </c>
      <c r="I76" s="25"/>
      <c r="J76" s="25"/>
      <c r="K76" s="25"/>
      <c r="M76" s="25"/>
      <c r="O76" s="25"/>
      <c r="Q76" s="25"/>
      <c r="R76" s="25"/>
      <c r="S76" s="25"/>
      <c r="T76" s="25"/>
      <c r="U76" s="25"/>
      <c r="V76" s="25"/>
      <c r="W76" s="25"/>
      <c r="X76" s="25"/>
    </row>
    <row r="77" spans="1:24" x14ac:dyDescent="0.25">
      <c r="A77" s="18" t="str">
        <f t="shared" si="3"/>
        <v/>
      </c>
      <c r="B77" s="25"/>
      <c r="C77" s="25"/>
      <c r="D77" s="25"/>
      <c r="E77" s="25" t="str">
        <f>IFERROR(IF(ISBLANK(D77),"",INDEX(Gen_Vessels!$A$3:$C$500,MATCH(D77,Gen_Vessels!$C$3:$C$500,0),1)),"")</f>
        <v/>
      </c>
      <c r="F77" s="25"/>
      <c r="G77" s="25"/>
      <c r="H77" s="25" t="str">
        <f>IFERROR(IF(ISBLANK(G77),"",INDEX(Gen_Vessels!$A$3:$C$500,MATCH(G77,Gen_Vessels!$C$3:$C$500,0),1)),"")</f>
        <v/>
      </c>
      <c r="I77" s="25"/>
      <c r="J77" s="25"/>
      <c r="K77" s="25"/>
      <c r="M77" s="25"/>
      <c r="O77" s="25"/>
      <c r="Q77" s="25"/>
      <c r="R77" s="25"/>
      <c r="S77" s="25"/>
      <c r="T77" s="25"/>
      <c r="U77" s="25"/>
      <c r="V77" s="25"/>
      <c r="W77" s="25"/>
      <c r="X77" s="25"/>
    </row>
    <row r="78" spans="1:24" x14ac:dyDescent="0.25">
      <c r="A78" s="18" t="str">
        <f t="shared" si="3"/>
        <v/>
      </c>
      <c r="B78" s="25"/>
      <c r="C78" s="25"/>
      <c r="D78" s="25"/>
      <c r="E78" s="25" t="str">
        <f>IFERROR(IF(ISBLANK(D78),"",INDEX(Gen_Vessels!$A$3:$C$500,MATCH(D78,Gen_Vessels!$C$3:$C$500,0),1)),"")</f>
        <v/>
      </c>
      <c r="F78" s="25"/>
      <c r="G78" s="25"/>
      <c r="H78" s="25" t="str">
        <f>IFERROR(IF(ISBLANK(G78),"",INDEX(Gen_Vessels!$A$3:$C$500,MATCH(G78,Gen_Vessels!$C$3:$C$500,0),1)),"")</f>
        <v/>
      </c>
      <c r="I78" s="25"/>
      <c r="J78" s="25"/>
      <c r="K78" s="25"/>
      <c r="M78" s="25"/>
      <c r="O78" s="25"/>
      <c r="Q78" s="25"/>
      <c r="R78" s="25"/>
      <c r="S78" s="25"/>
      <c r="T78" s="25"/>
      <c r="U78" s="25"/>
      <c r="V78" s="25"/>
      <c r="W78" s="25"/>
      <c r="X78" s="25"/>
    </row>
    <row r="79" spans="1:24" x14ac:dyDescent="0.25">
      <c r="A79" s="18" t="str">
        <f t="shared" si="3"/>
        <v/>
      </c>
      <c r="B79" s="25"/>
      <c r="C79" s="25"/>
      <c r="D79" s="25"/>
      <c r="E79" s="25" t="str">
        <f>IFERROR(IF(ISBLANK(D79),"",INDEX(Gen_Vessels!$A$3:$C$500,MATCH(D79,Gen_Vessels!$C$3:$C$500,0),1)),"")</f>
        <v/>
      </c>
      <c r="F79" s="25"/>
      <c r="G79" s="25"/>
      <c r="H79" s="25" t="str">
        <f>IFERROR(IF(ISBLANK(G79),"",INDEX(Gen_Vessels!$A$3:$C$500,MATCH(G79,Gen_Vessels!$C$3:$C$500,0),1)),"")</f>
        <v/>
      </c>
      <c r="I79" s="25"/>
      <c r="J79" s="25"/>
      <c r="K79" s="25"/>
      <c r="M79" s="25"/>
      <c r="O79" s="25"/>
      <c r="Q79" s="25"/>
      <c r="R79" s="25"/>
      <c r="S79" s="25"/>
      <c r="T79" s="25"/>
      <c r="U79" s="25"/>
      <c r="V79" s="25"/>
      <c r="W79" s="25"/>
      <c r="X79" s="25"/>
    </row>
    <row r="80" spans="1:24" x14ac:dyDescent="0.25">
      <c r="A80" s="18" t="str">
        <f t="shared" si="3"/>
        <v/>
      </c>
      <c r="B80" s="25"/>
      <c r="C80" s="25"/>
      <c r="D80" s="25"/>
      <c r="E80" s="25" t="str">
        <f>IFERROR(IF(ISBLANK(D80),"",INDEX(Gen_Vessels!$A$3:$C$500,MATCH(D80,Gen_Vessels!$C$3:$C$500,0),1)),"")</f>
        <v/>
      </c>
      <c r="F80" s="25"/>
      <c r="G80" s="25"/>
      <c r="H80" s="25" t="str">
        <f>IFERROR(IF(ISBLANK(G80),"",INDEX(Gen_Vessels!$A$3:$C$500,MATCH(G80,Gen_Vessels!$C$3:$C$500,0),1)),"")</f>
        <v/>
      </c>
      <c r="I80" s="25"/>
      <c r="J80" s="25"/>
      <c r="K80" s="25"/>
      <c r="M80" s="25"/>
      <c r="O80" s="25"/>
      <c r="Q80" s="25"/>
      <c r="R80" s="25"/>
      <c r="S80" s="25"/>
      <c r="T80" s="25"/>
      <c r="U80" s="25"/>
      <c r="V80" s="25"/>
      <c r="W80" s="25"/>
      <c r="X80" s="25"/>
    </row>
    <row r="81" spans="1:24" x14ac:dyDescent="0.25">
      <c r="A81" s="18" t="str">
        <f t="shared" si="3"/>
        <v/>
      </c>
      <c r="B81" s="25"/>
      <c r="C81" s="25"/>
      <c r="D81" s="25"/>
      <c r="E81" s="25" t="str">
        <f>IFERROR(IF(ISBLANK(D81),"",INDEX(Gen_Vessels!$A$3:$C$500,MATCH(D81,Gen_Vessels!$C$3:$C$500,0),1)),"")</f>
        <v/>
      </c>
      <c r="F81" s="25"/>
      <c r="G81" s="25"/>
      <c r="H81" s="25" t="str">
        <f>IFERROR(IF(ISBLANK(G81),"",INDEX(Gen_Vessels!$A$3:$C$500,MATCH(G81,Gen_Vessels!$C$3:$C$500,0),1)),"")</f>
        <v/>
      </c>
      <c r="I81" s="25"/>
      <c r="J81" s="25"/>
      <c r="K81" s="25"/>
      <c r="M81" s="25"/>
      <c r="O81" s="25"/>
      <c r="Q81" s="25"/>
      <c r="R81" s="25"/>
      <c r="S81" s="25"/>
      <c r="T81" s="25"/>
      <c r="U81" s="25"/>
      <c r="V81" s="25"/>
      <c r="W81" s="25"/>
      <c r="X81" s="25"/>
    </row>
    <row r="82" spans="1:24" x14ac:dyDescent="0.25">
      <c r="A82" s="18" t="str">
        <f t="shared" si="3"/>
        <v/>
      </c>
      <c r="B82" s="25"/>
      <c r="C82" s="25"/>
      <c r="D82" s="25"/>
      <c r="E82" s="25" t="str">
        <f>IFERROR(IF(ISBLANK(D82),"",INDEX(Gen_Vessels!$A$3:$C$500,MATCH(D82,Gen_Vessels!$C$3:$C$500,0),1)),"")</f>
        <v/>
      </c>
      <c r="F82" s="25"/>
      <c r="G82" s="25"/>
      <c r="H82" s="25" t="str">
        <f>IFERROR(IF(ISBLANK(G82),"",INDEX(Gen_Vessels!$A$3:$C$500,MATCH(G82,Gen_Vessels!$C$3:$C$500,0),1)),"")</f>
        <v/>
      </c>
      <c r="I82" s="25"/>
      <c r="J82" s="25"/>
      <c r="K82" s="25"/>
      <c r="M82" s="25"/>
      <c r="O82" s="25"/>
      <c r="Q82" s="25"/>
      <c r="R82" s="25"/>
      <c r="S82" s="25"/>
      <c r="T82" s="25"/>
      <c r="U82" s="25"/>
      <c r="V82" s="25"/>
      <c r="W82" s="25"/>
      <c r="X82" s="25"/>
    </row>
    <row r="83" spans="1:24" x14ac:dyDescent="0.25">
      <c r="A83" s="18" t="str">
        <f t="shared" si="3"/>
        <v/>
      </c>
      <c r="B83" s="25"/>
      <c r="C83" s="25"/>
      <c r="D83" s="25"/>
      <c r="E83" s="25" t="str">
        <f>IFERROR(IF(ISBLANK(D83),"",INDEX(Gen_Vessels!$A$3:$C$500,MATCH(D83,Gen_Vessels!$C$3:$C$500,0),1)),"")</f>
        <v/>
      </c>
      <c r="F83" s="25"/>
      <c r="G83" s="25"/>
      <c r="H83" s="25" t="str">
        <f>IFERROR(IF(ISBLANK(G83),"",INDEX(Gen_Vessels!$A$3:$C$500,MATCH(G83,Gen_Vessels!$C$3:$C$500,0),1)),"")</f>
        <v/>
      </c>
      <c r="I83" s="25"/>
      <c r="J83" s="25"/>
      <c r="K83" s="25"/>
      <c r="M83" s="25"/>
      <c r="O83" s="25"/>
      <c r="Q83" s="25"/>
      <c r="R83" s="25"/>
      <c r="S83" s="25"/>
      <c r="T83" s="25"/>
      <c r="U83" s="25"/>
      <c r="V83" s="25"/>
      <c r="W83" s="25"/>
      <c r="X83" s="25"/>
    </row>
    <row r="84" spans="1:24" x14ac:dyDescent="0.25">
      <c r="A84" s="18" t="str">
        <f t="shared" si="3"/>
        <v/>
      </c>
      <c r="B84" s="25"/>
      <c r="C84" s="25"/>
      <c r="D84" s="25"/>
      <c r="E84" s="25" t="str">
        <f>IFERROR(IF(ISBLANK(D84),"",INDEX(Gen_Vessels!$A$3:$C$500,MATCH(D84,Gen_Vessels!$C$3:$C$500,0),1)),"")</f>
        <v/>
      </c>
      <c r="F84" s="25"/>
      <c r="G84" s="25"/>
      <c r="H84" s="25" t="str">
        <f>IFERROR(IF(ISBLANK(G84),"",INDEX(Gen_Vessels!$A$3:$C$500,MATCH(G84,Gen_Vessels!$C$3:$C$500,0),1)),"")</f>
        <v/>
      </c>
      <c r="I84" s="25"/>
      <c r="J84" s="25"/>
      <c r="K84" s="25"/>
      <c r="M84" s="25"/>
      <c r="O84" s="25"/>
      <c r="Q84" s="25"/>
      <c r="R84" s="25"/>
      <c r="S84" s="25"/>
      <c r="T84" s="25"/>
      <c r="U84" s="25"/>
      <c r="V84" s="25"/>
      <c r="W84" s="25"/>
      <c r="X84" s="25"/>
    </row>
    <row r="85" spans="1:24" x14ac:dyDescent="0.25">
      <c r="A85" s="18" t="str">
        <f t="shared" si="3"/>
        <v/>
      </c>
      <c r="B85" s="25"/>
      <c r="C85" s="25"/>
      <c r="D85" s="25"/>
      <c r="E85" s="25" t="str">
        <f>IFERROR(IF(ISBLANK(D85),"",INDEX(Gen_Vessels!$A$3:$C$500,MATCH(D85,Gen_Vessels!$C$3:$C$500,0),1)),"")</f>
        <v/>
      </c>
      <c r="F85" s="25"/>
      <c r="G85" s="25"/>
      <c r="H85" s="25" t="str">
        <f>IFERROR(IF(ISBLANK(G85),"",INDEX(Gen_Vessels!$A$3:$C$500,MATCH(G85,Gen_Vessels!$C$3:$C$500,0),1)),"")</f>
        <v/>
      </c>
      <c r="I85" s="25"/>
      <c r="J85" s="25"/>
      <c r="K85" s="25"/>
      <c r="M85" s="25"/>
      <c r="O85" s="25"/>
      <c r="Q85" s="25"/>
      <c r="R85" s="25"/>
      <c r="S85" s="25"/>
      <c r="T85" s="25"/>
      <c r="U85" s="25"/>
      <c r="V85" s="25"/>
      <c r="W85" s="25"/>
      <c r="X85" s="25"/>
    </row>
    <row r="86" spans="1:24" x14ac:dyDescent="0.25">
      <c r="A86" s="18" t="str">
        <f t="shared" si="3"/>
        <v/>
      </c>
      <c r="B86" s="25"/>
      <c r="C86" s="25"/>
      <c r="D86" s="25"/>
      <c r="E86" s="25" t="str">
        <f>IFERROR(IF(ISBLANK(D86),"",INDEX(Gen_Vessels!$A$3:$C$500,MATCH(D86,Gen_Vessels!$C$3:$C$500,0),1)),"")</f>
        <v/>
      </c>
      <c r="F86" s="25"/>
      <c r="G86" s="25"/>
      <c r="H86" s="25" t="str">
        <f>IFERROR(IF(ISBLANK(G86),"",INDEX(Gen_Vessels!$A$3:$C$500,MATCH(G86,Gen_Vessels!$C$3:$C$500,0),1)),"")</f>
        <v/>
      </c>
      <c r="I86" s="25"/>
      <c r="J86" s="25"/>
      <c r="K86" s="25"/>
      <c r="M86" s="25"/>
      <c r="O86" s="25"/>
      <c r="Q86" s="25"/>
      <c r="R86" s="25"/>
      <c r="S86" s="25"/>
      <c r="T86" s="25"/>
      <c r="U86" s="25"/>
      <c r="V86" s="25"/>
      <c r="W86" s="25"/>
      <c r="X86" s="25"/>
    </row>
    <row r="87" spans="1:24" x14ac:dyDescent="0.25">
      <c r="A87" s="18" t="str">
        <f t="shared" si="3"/>
        <v/>
      </c>
      <c r="B87" s="25"/>
      <c r="C87" s="25"/>
      <c r="D87" s="25"/>
      <c r="E87" s="25" t="str">
        <f>IFERROR(IF(ISBLANK(D87),"",INDEX(Gen_Vessels!$A$3:$C$500,MATCH(D87,Gen_Vessels!$C$3:$C$500,0),1)),"")</f>
        <v/>
      </c>
      <c r="F87" s="25"/>
      <c r="G87" s="25"/>
      <c r="H87" s="25" t="str">
        <f>IFERROR(IF(ISBLANK(G87),"",INDEX(Gen_Vessels!$A$3:$C$500,MATCH(G87,Gen_Vessels!$C$3:$C$500,0),1)),"")</f>
        <v/>
      </c>
      <c r="I87" s="25"/>
      <c r="J87" s="25"/>
      <c r="K87" s="25"/>
      <c r="M87" s="25"/>
      <c r="O87" s="25"/>
      <c r="Q87" s="25"/>
      <c r="R87" s="25"/>
      <c r="S87" s="25"/>
      <c r="T87" s="25"/>
      <c r="U87" s="25"/>
      <c r="V87" s="25"/>
      <c r="W87" s="25"/>
      <c r="X87" s="25"/>
    </row>
    <row r="88" spans="1:24" x14ac:dyDescent="0.25">
      <c r="A88" s="18" t="str">
        <f t="shared" si="3"/>
        <v/>
      </c>
      <c r="B88" s="25"/>
      <c r="C88" s="25"/>
      <c r="D88" s="25"/>
      <c r="E88" s="25" t="str">
        <f>IFERROR(IF(ISBLANK(D88),"",INDEX(Gen_Vessels!$A$3:$C$500,MATCH(D88,Gen_Vessels!$C$3:$C$500,0),1)),"")</f>
        <v/>
      </c>
      <c r="F88" s="25"/>
      <c r="G88" s="25"/>
      <c r="H88" s="25" t="str">
        <f>IFERROR(IF(ISBLANK(G88),"",INDEX(Gen_Vessels!$A$3:$C$500,MATCH(G88,Gen_Vessels!$C$3:$C$500,0),1)),"")</f>
        <v/>
      </c>
      <c r="I88" s="25"/>
      <c r="J88" s="25"/>
      <c r="K88" s="25"/>
      <c r="M88" s="25"/>
      <c r="O88" s="25"/>
      <c r="Q88" s="25"/>
      <c r="R88" s="25"/>
      <c r="S88" s="25"/>
      <c r="T88" s="25"/>
      <c r="U88" s="25"/>
      <c r="V88" s="25"/>
      <c r="W88" s="25"/>
      <c r="X88" s="25"/>
    </row>
    <row r="89" spans="1:24" x14ac:dyDescent="0.25">
      <c r="A89" s="18" t="str">
        <f t="shared" si="3"/>
        <v/>
      </c>
      <c r="B89" s="25"/>
      <c r="C89" s="25"/>
      <c r="D89" s="25"/>
      <c r="E89" s="25" t="str">
        <f>IFERROR(IF(ISBLANK(D89),"",INDEX(Gen_Vessels!$A$3:$C$500,MATCH(D89,Gen_Vessels!$C$3:$C$500,0),1)),"")</f>
        <v/>
      </c>
      <c r="F89" s="25"/>
      <c r="G89" s="25"/>
      <c r="H89" s="25" t="str">
        <f>IFERROR(IF(ISBLANK(G89),"",INDEX(Gen_Vessels!$A$3:$C$500,MATCH(G89,Gen_Vessels!$C$3:$C$500,0),1)),"")</f>
        <v/>
      </c>
      <c r="I89" s="25"/>
      <c r="J89" s="25"/>
      <c r="K89" s="25"/>
      <c r="M89" s="25"/>
      <c r="O89" s="25"/>
      <c r="Q89" s="25"/>
      <c r="R89" s="25"/>
      <c r="S89" s="25"/>
      <c r="T89" s="25"/>
      <c r="U89" s="25"/>
      <c r="V89" s="25"/>
      <c r="W89" s="25"/>
      <c r="X89" s="25"/>
    </row>
    <row r="90" spans="1:24" x14ac:dyDescent="0.25">
      <c r="A90" s="18" t="str">
        <f t="shared" si="3"/>
        <v/>
      </c>
      <c r="B90" s="25"/>
      <c r="C90" s="25"/>
      <c r="D90" s="25"/>
      <c r="E90" s="25" t="str">
        <f>IFERROR(IF(ISBLANK(D90),"",INDEX(Gen_Vessels!$A$3:$C$500,MATCH(D90,Gen_Vessels!$C$3:$C$500,0),1)),"")</f>
        <v/>
      </c>
      <c r="F90" s="25"/>
      <c r="G90" s="25"/>
      <c r="H90" s="25" t="str">
        <f>IFERROR(IF(ISBLANK(G90),"",INDEX(Gen_Vessels!$A$3:$C$500,MATCH(G90,Gen_Vessels!$C$3:$C$500,0),1)),"")</f>
        <v/>
      </c>
      <c r="I90" s="25"/>
      <c r="J90" s="25"/>
      <c r="K90" s="25"/>
      <c r="M90" s="25"/>
      <c r="O90" s="25"/>
      <c r="Q90" s="25"/>
      <c r="R90" s="25"/>
      <c r="S90" s="25"/>
      <c r="T90" s="25"/>
      <c r="U90" s="25"/>
      <c r="V90" s="25"/>
      <c r="W90" s="25"/>
      <c r="X90" s="25"/>
    </row>
    <row r="91" spans="1:24" x14ac:dyDescent="0.25">
      <c r="A91" s="18" t="str">
        <f t="shared" si="3"/>
        <v/>
      </c>
      <c r="B91" s="25"/>
      <c r="C91" s="25"/>
      <c r="D91" s="25"/>
      <c r="E91" s="25" t="str">
        <f>IFERROR(IF(ISBLANK(D91),"",INDEX(Gen_Vessels!$A$3:$C$500,MATCH(D91,Gen_Vessels!$C$3:$C$500,0),1)),"")</f>
        <v/>
      </c>
      <c r="F91" s="25"/>
      <c r="G91" s="25"/>
      <c r="H91" s="25" t="str">
        <f>IFERROR(IF(ISBLANK(G91),"",INDEX(Gen_Vessels!$A$3:$C$500,MATCH(G91,Gen_Vessels!$C$3:$C$500,0),1)),"")</f>
        <v/>
      </c>
      <c r="I91" s="25"/>
      <c r="J91" s="25"/>
      <c r="K91" s="25"/>
      <c r="M91" s="25"/>
      <c r="O91" s="25"/>
      <c r="Q91" s="25"/>
      <c r="R91" s="25"/>
      <c r="S91" s="25"/>
      <c r="T91" s="25"/>
      <c r="U91" s="25"/>
      <c r="V91" s="25"/>
      <c r="W91" s="25"/>
      <c r="X91" s="25"/>
    </row>
    <row r="92" spans="1:24" x14ac:dyDescent="0.25">
      <c r="A92" s="18" t="str">
        <f t="shared" si="3"/>
        <v/>
      </c>
      <c r="B92" s="25"/>
      <c r="C92" s="25"/>
      <c r="D92" s="25"/>
      <c r="E92" s="25" t="str">
        <f>IFERROR(IF(ISBLANK(D92),"",INDEX(Gen_Vessels!$A$3:$C$500,MATCH(D92,Gen_Vessels!$C$3:$C$500,0),1)),"")</f>
        <v/>
      </c>
      <c r="F92" s="25"/>
      <c r="G92" s="25"/>
      <c r="H92" s="25" t="str">
        <f>IFERROR(IF(ISBLANK(G92),"",INDEX(Gen_Vessels!$A$3:$C$500,MATCH(G92,Gen_Vessels!$C$3:$C$500,0),1)),"")</f>
        <v/>
      </c>
      <c r="I92" s="25"/>
      <c r="J92" s="25"/>
      <c r="K92" s="25"/>
      <c r="M92" s="25"/>
      <c r="O92" s="25"/>
      <c r="Q92" s="25"/>
      <c r="R92" s="25"/>
      <c r="S92" s="25"/>
      <c r="T92" s="25"/>
      <c r="U92" s="25"/>
      <c r="V92" s="25"/>
      <c r="W92" s="25"/>
      <c r="X92" s="25"/>
    </row>
    <row r="93" spans="1:24" x14ac:dyDescent="0.25">
      <c r="A93" s="18" t="str">
        <f t="shared" si="3"/>
        <v/>
      </c>
      <c r="B93" s="25"/>
      <c r="C93" s="25"/>
      <c r="D93" s="25"/>
      <c r="E93" s="25" t="str">
        <f>IFERROR(IF(ISBLANK(D93),"",INDEX(Gen_Vessels!$A$3:$C$500,MATCH(D93,Gen_Vessels!$C$3:$C$500,0),1)),"")</f>
        <v/>
      </c>
      <c r="F93" s="25"/>
      <c r="G93" s="25"/>
      <c r="H93" s="25" t="str">
        <f>IFERROR(IF(ISBLANK(G93),"",INDEX(Gen_Vessels!$A$3:$C$500,MATCH(G93,Gen_Vessels!$C$3:$C$500,0),1)),"")</f>
        <v/>
      </c>
      <c r="I93" s="25"/>
      <c r="J93" s="25"/>
      <c r="K93" s="25"/>
      <c r="M93" s="25"/>
      <c r="O93" s="25"/>
      <c r="Q93" s="25"/>
      <c r="R93" s="25"/>
      <c r="S93" s="25"/>
      <c r="T93" s="25"/>
      <c r="U93" s="25"/>
      <c r="V93" s="25"/>
      <c r="W93" s="25"/>
      <c r="X93" s="25"/>
    </row>
    <row r="94" spans="1:24" x14ac:dyDescent="0.25">
      <c r="A94" s="18" t="str">
        <f t="shared" si="3"/>
        <v/>
      </c>
      <c r="B94" s="25"/>
      <c r="C94" s="25"/>
      <c r="D94" s="25"/>
      <c r="E94" s="25" t="str">
        <f>IFERROR(IF(ISBLANK(D94),"",INDEX(Gen_Vessels!$A$3:$C$500,MATCH(D94,Gen_Vessels!$C$3:$C$500,0),1)),"")</f>
        <v/>
      </c>
      <c r="F94" s="25"/>
      <c r="G94" s="25"/>
      <c r="H94" s="25" t="str">
        <f>IFERROR(IF(ISBLANK(G94),"",INDEX(Gen_Vessels!$A$3:$C$500,MATCH(G94,Gen_Vessels!$C$3:$C$500,0),1)),"")</f>
        <v/>
      </c>
      <c r="I94" s="25"/>
      <c r="J94" s="25"/>
      <c r="K94" s="25"/>
      <c r="M94" s="25"/>
      <c r="O94" s="25"/>
      <c r="Q94" s="25"/>
      <c r="R94" s="25"/>
      <c r="S94" s="25"/>
      <c r="T94" s="25"/>
      <c r="U94" s="25"/>
      <c r="V94" s="25"/>
      <c r="W94" s="25"/>
      <c r="X94" s="25"/>
    </row>
    <row r="95" spans="1:24" x14ac:dyDescent="0.25">
      <c r="A95" s="18" t="str">
        <f t="shared" si="3"/>
        <v/>
      </c>
      <c r="B95" s="25"/>
      <c r="C95" s="25"/>
      <c r="D95" s="25"/>
      <c r="E95" s="25" t="str">
        <f>IFERROR(IF(ISBLANK(D95),"",INDEX(Gen_Vessels!$A$3:$C$500,MATCH(D95,Gen_Vessels!$C$3:$C$500,0),1)),"")</f>
        <v/>
      </c>
      <c r="F95" s="25"/>
      <c r="G95" s="25"/>
      <c r="H95" s="25" t="str">
        <f>IFERROR(IF(ISBLANK(G95),"",INDEX(Gen_Vessels!$A$3:$C$500,MATCH(G95,Gen_Vessels!$C$3:$C$500,0),1)),"")</f>
        <v/>
      </c>
      <c r="I95" s="25"/>
      <c r="J95" s="25"/>
      <c r="K95" s="25"/>
      <c r="M95" s="25"/>
      <c r="O95" s="25"/>
      <c r="Q95" s="25"/>
      <c r="R95" s="25"/>
      <c r="S95" s="25"/>
      <c r="T95" s="25"/>
      <c r="U95" s="25"/>
      <c r="V95" s="25"/>
      <c r="W95" s="25"/>
      <c r="X95" s="25"/>
    </row>
    <row r="96" spans="1:24" x14ac:dyDescent="0.25">
      <c r="A96" s="18" t="str">
        <f t="shared" si="3"/>
        <v/>
      </c>
      <c r="B96" s="25"/>
      <c r="C96" s="25"/>
      <c r="D96" s="25"/>
      <c r="E96" s="25" t="str">
        <f>IFERROR(IF(ISBLANK(D96),"",INDEX(Gen_Vessels!$A$3:$C$500,MATCH(D96,Gen_Vessels!$C$3:$C$500,0),1)),"")</f>
        <v/>
      </c>
      <c r="F96" s="25"/>
      <c r="G96" s="25"/>
      <c r="H96" s="25" t="str">
        <f>IFERROR(IF(ISBLANK(G96),"",INDEX(Gen_Vessels!$A$3:$C$500,MATCH(G96,Gen_Vessels!$C$3:$C$500,0),1)),"")</f>
        <v/>
      </c>
      <c r="I96" s="25"/>
      <c r="J96" s="25"/>
      <c r="K96" s="25"/>
      <c r="M96" s="25"/>
      <c r="O96" s="25"/>
      <c r="Q96" s="25"/>
      <c r="R96" s="25"/>
      <c r="S96" s="25"/>
      <c r="T96" s="25"/>
      <c r="U96" s="25"/>
      <c r="V96" s="25"/>
      <c r="W96" s="25"/>
      <c r="X96" s="25"/>
    </row>
    <row r="97" spans="1:24" x14ac:dyDescent="0.25">
      <c r="A97" s="18" t="str">
        <f t="shared" si="3"/>
        <v/>
      </c>
      <c r="B97" s="25"/>
      <c r="C97" s="25"/>
      <c r="D97" s="25"/>
      <c r="E97" s="25" t="str">
        <f>IFERROR(IF(ISBLANK(D97),"",INDEX(Gen_Vessels!$A$3:$C$500,MATCH(D97,Gen_Vessels!$C$3:$C$500,0),1)),"")</f>
        <v/>
      </c>
      <c r="F97" s="25"/>
      <c r="G97" s="25"/>
      <c r="H97" s="25" t="str">
        <f>IFERROR(IF(ISBLANK(G97),"",INDEX(Gen_Vessels!$A$3:$C$500,MATCH(G97,Gen_Vessels!$C$3:$C$500,0),1)),"")</f>
        <v/>
      </c>
      <c r="I97" s="25"/>
      <c r="J97" s="25"/>
      <c r="K97" s="25"/>
      <c r="M97" s="25"/>
      <c r="O97" s="25"/>
      <c r="Q97" s="25"/>
      <c r="R97" s="25"/>
      <c r="S97" s="25"/>
      <c r="T97" s="25"/>
      <c r="U97" s="25"/>
      <c r="V97" s="25"/>
      <c r="W97" s="25"/>
      <c r="X97" s="25"/>
    </row>
    <row r="98" spans="1:24" x14ac:dyDescent="0.25">
      <c r="A98" s="18" t="str">
        <f t="shared" si="3"/>
        <v/>
      </c>
      <c r="B98" s="25"/>
      <c r="C98" s="25"/>
      <c r="D98" s="25"/>
      <c r="E98" s="25" t="str">
        <f>IFERROR(IF(ISBLANK(D98),"",INDEX(Gen_Vessels!$A$3:$C$500,MATCH(D98,Gen_Vessels!$C$3:$C$500,0),1)),"")</f>
        <v/>
      </c>
      <c r="F98" s="25"/>
      <c r="G98" s="25"/>
      <c r="H98" s="25" t="str">
        <f>IFERROR(IF(ISBLANK(G98),"",INDEX(Gen_Vessels!$A$3:$C$500,MATCH(G98,Gen_Vessels!$C$3:$C$500,0),1)),"")</f>
        <v/>
      </c>
      <c r="I98" s="25"/>
      <c r="J98" s="25"/>
      <c r="K98" s="25"/>
      <c r="M98" s="25"/>
      <c r="O98" s="25"/>
      <c r="Q98" s="25"/>
      <c r="R98" s="25"/>
      <c r="S98" s="25"/>
      <c r="T98" s="25"/>
      <c r="U98" s="25"/>
      <c r="V98" s="25"/>
      <c r="W98" s="25"/>
      <c r="X98" s="25"/>
    </row>
    <row r="99" spans="1:24" x14ac:dyDescent="0.25">
      <c r="A99" s="18" t="str">
        <f t="shared" si="3"/>
        <v/>
      </c>
      <c r="B99" s="25"/>
      <c r="C99" s="25"/>
      <c r="D99" s="25"/>
      <c r="E99" s="25" t="str">
        <f>IFERROR(IF(ISBLANK(D99),"",INDEX(Gen_Vessels!$A$3:$C$500,MATCH(D99,Gen_Vessels!$C$3:$C$500,0),1)),"")</f>
        <v/>
      </c>
      <c r="F99" s="25"/>
      <c r="G99" s="25"/>
      <c r="H99" s="25" t="str">
        <f>IFERROR(IF(ISBLANK(G99),"",INDEX(Gen_Vessels!$A$3:$C$500,MATCH(G99,Gen_Vessels!$C$3:$C$500,0),1)),"")</f>
        <v/>
      </c>
      <c r="I99" s="25"/>
      <c r="J99" s="25"/>
      <c r="K99" s="25"/>
      <c r="M99" s="25"/>
      <c r="O99" s="25"/>
      <c r="Q99" s="25"/>
      <c r="R99" s="25"/>
      <c r="S99" s="25"/>
      <c r="T99" s="25"/>
      <c r="U99" s="25"/>
      <c r="V99" s="25"/>
      <c r="W99" s="25"/>
      <c r="X99" s="25"/>
    </row>
    <row r="100" spans="1:24" x14ac:dyDescent="0.25">
      <c r="A100" s="18" t="str">
        <f t="shared" si="3"/>
        <v/>
      </c>
      <c r="B100" s="25"/>
      <c r="C100" s="25"/>
      <c r="D100" s="25"/>
      <c r="E100" s="25" t="str">
        <f>IFERROR(IF(ISBLANK(D100),"",INDEX(Gen_Vessels!$A$3:$C$500,MATCH(D100,Gen_Vessels!$C$3:$C$500,0),1)),"")</f>
        <v/>
      </c>
      <c r="F100" s="25"/>
      <c r="G100" s="25"/>
      <c r="H100" s="25" t="str">
        <f>IFERROR(IF(ISBLANK(G100),"",INDEX(Gen_Vessels!$A$3:$C$500,MATCH(G100,Gen_Vessels!$C$3:$C$500,0),1)),"")</f>
        <v/>
      </c>
      <c r="I100" s="25"/>
      <c r="J100" s="25"/>
      <c r="K100" s="25"/>
      <c r="M100" s="25"/>
      <c r="O100" s="25"/>
      <c r="Q100" s="25"/>
      <c r="R100" s="25"/>
      <c r="S100" s="25"/>
      <c r="T100" s="25"/>
      <c r="U100" s="25"/>
      <c r="V100" s="25"/>
      <c r="W100" s="25"/>
      <c r="X100" s="25"/>
    </row>
    <row r="101" spans="1:24" x14ac:dyDescent="0.25">
      <c r="A101" s="18" t="str">
        <f t="shared" si="3"/>
        <v/>
      </c>
      <c r="B101" s="25"/>
      <c r="C101" s="25"/>
      <c r="D101" s="25"/>
      <c r="E101" s="25" t="str">
        <f>IFERROR(IF(ISBLANK(D101),"",INDEX(Gen_Vessels!$A$3:$C$500,MATCH(D101,Gen_Vessels!$C$3:$C$500,0),1)),"")</f>
        <v/>
      </c>
      <c r="F101" s="25"/>
      <c r="G101" s="25"/>
      <c r="H101" s="25" t="str">
        <f>IFERROR(IF(ISBLANK(G101),"",INDEX(Gen_Vessels!$A$3:$C$500,MATCH(G101,Gen_Vessels!$C$3:$C$500,0),1)),"")</f>
        <v/>
      </c>
      <c r="I101" s="25"/>
      <c r="J101" s="25"/>
      <c r="K101" s="25"/>
      <c r="M101" s="25"/>
      <c r="O101" s="25"/>
      <c r="Q101" s="25"/>
      <c r="R101" s="25"/>
      <c r="S101" s="25"/>
      <c r="T101" s="25"/>
      <c r="U101" s="25"/>
      <c r="V101" s="25"/>
      <c r="W101" s="25"/>
      <c r="X101" s="25"/>
    </row>
    <row r="102" spans="1:24" x14ac:dyDescent="0.25">
      <c r="A102" s="18" t="str">
        <f t="shared" si="3"/>
        <v/>
      </c>
      <c r="B102" s="25"/>
      <c r="C102" s="25"/>
      <c r="D102" s="25"/>
      <c r="E102" s="25" t="str">
        <f>IFERROR(IF(ISBLANK(D102),"",INDEX(Gen_Vessels!$A$3:$C$500,MATCH(D102,Gen_Vessels!$C$3:$C$500,0),1)),"")</f>
        <v/>
      </c>
      <c r="F102" s="25"/>
      <c r="G102" s="25"/>
      <c r="H102" s="25" t="str">
        <f>IFERROR(IF(ISBLANK(G102),"",INDEX(Gen_Vessels!$A$3:$C$500,MATCH(G102,Gen_Vessels!$C$3:$C$500,0),1)),"")</f>
        <v/>
      </c>
      <c r="I102" s="25"/>
      <c r="J102" s="25"/>
      <c r="K102" s="25"/>
      <c r="M102" s="25"/>
      <c r="O102" s="25"/>
      <c r="Q102" s="25"/>
      <c r="R102" s="25"/>
      <c r="S102" s="25"/>
      <c r="T102" s="25"/>
      <c r="U102" s="25"/>
      <c r="V102" s="25"/>
      <c r="W102" s="25"/>
      <c r="X102" s="25"/>
    </row>
    <row r="103" spans="1:24" x14ac:dyDescent="0.25">
      <c r="A103" s="18" t="str">
        <f t="shared" si="3"/>
        <v/>
      </c>
      <c r="B103" s="25"/>
      <c r="C103" s="25"/>
      <c r="D103" s="25"/>
      <c r="E103" s="25" t="str">
        <f>IFERROR(IF(ISBLANK(D103),"",INDEX(Gen_Vessels!$A$3:$C$500,MATCH(D103,Gen_Vessels!$C$3:$C$500,0),1)),"")</f>
        <v/>
      </c>
      <c r="F103" s="25"/>
      <c r="G103" s="25"/>
      <c r="H103" s="25" t="str">
        <f>IFERROR(IF(ISBLANK(G103),"",INDEX(Gen_Vessels!$A$3:$C$500,MATCH(G103,Gen_Vessels!$C$3:$C$500,0),1)),"")</f>
        <v/>
      </c>
      <c r="I103" s="25"/>
      <c r="J103" s="25"/>
      <c r="K103" s="25"/>
      <c r="M103" s="25"/>
      <c r="O103" s="25"/>
      <c r="Q103" s="25"/>
      <c r="R103" s="25"/>
      <c r="S103" s="25"/>
      <c r="T103" s="25"/>
      <c r="U103" s="25"/>
      <c r="V103" s="25"/>
      <c r="W103" s="25"/>
      <c r="X103" s="25"/>
    </row>
    <row r="104" spans="1:24" x14ac:dyDescent="0.25">
      <c r="A104" s="18" t="str">
        <f t="shared" si="3"/>
        <v/>
      </c>
      <c r="B104" s="25"/>
      <c r="C104" s="25"/>
      <c r="D104" s="25"/>
      <c r="E104" s="25" t="str">
        <f>IFERROR(IF(ISBLANK(D104),"",INDEX(Gen_Vessels!$A$3:$C$500,MATCH(D104,Gen_Vessels!$C$3:$C$500,0),1)),"")</f>
        <v/>
      </c>
      <c r="F104" s="25"/>
      <c r="G104" s="25"/>
      <c r="H104" s="25" t="str">
        <f>IFERROR(IF(ISBLANK(G104),"",INDEX(Gen_Vessels!$A$3:$C$500,MATCH(G104,Gen_Vessels!$C$3:$C$500,0),1)),"")</f>
        <v/>
      </c>
      <c r="I104" s="25"/>
      <c r="J104" s="25"/>
      <c r="K104" s="25"/>
      <c r="M104" s="25"/>
      <c r="O104" s="25"/>
      <c r="Q104" s="25"/>
      <c r="R104" s="25"/>
      <c r="S104" s="25"/>
      <c r="T104" s="25"/>
      <c r="U104" s="25"/>
      <c r="V104" s="25"/>
      <c r="W104" s="25"/>
      <c r="X104" s="25"/>
    </row>
    <row r="105" spans="1:24" x14ac:dyDescent="0.25">
      <c r="A105" s="18" t="str">
        <f t="shared" si="3"/>
        <v/>
      </c>
      <c r="B105" s="25"/>
      <c r="C105" s="25"/>
      <c r="D105" s="25"/>
      <c r="E105" s="25" t="str">
        <f>IFERROR(IF(ISBLANK(D105),"",INDEX(Gen_Vessels!$A$3:$C$500,MATCH(D105,Gen_Vessels!$C$3:$C$500,0),1)),"")</f>
        <v/>
      </c>
      <c r="F105" s="25"/>
      <c r="G105" s="25"/>
      <c r="H105" s="25" t="str">
        <f>IFERROR(IF(ISBLANK(G105),"",INDEX(Gen_Vessels!$A$3:$C$500,MATCH(G105,Gen_Vessels!$C$3:$C$500,0),1)),"")</f>
        <v/>
      </c>
      <c r="I105" s="25"/>
      <c r="J105" s="25"/>
      <c r="K105" s="25"/>
      <c r="M105" s="25"/>
      <c r="O105" s="25"/>
      <c r="Q105" s="25"/>
      <c r="R105" s="25"/>
      <c r="S105" s="25"/>
      <c r="T105" s="25"/>
      <c r="U105" s="25"/>
      <c r="V105" s="25"/>
      <c r="W105" s="25"/>
      <c r="X105" s="25"/>
    </row>
    <row r="106" spans="1:24" x14ac:dyDescent="0.25">
      <c r="A106" s="18" t="str">
        <f t="shared" si="3"/>
        <v/>
      </c>
      <c r="B106" s="25"/>
      <c r="C106" s="25"/>
      <c r="D106" s="25"/>
      <c r="E106" s="25" t="str">
        <f>IFERROR(IF(ISBLANK(D106),"",INDEX(Gen_Vessels!$A$3:$C$500,MATCH(D106,Gen_Vessels!$C$3:$C$500,0),1)),"")</f>
        <v/>
      </c>
      <c r="F106" s="25"/>
      <c r="G106" s="25"/>
      <c r="H106" s="25" t="str">
        <f>IFERROR(IF(ISBLANK(G106),"",INDEX(Gen_Vessels!$A$3:$C$500,MATCH(G106,Gen_Vessels!$C$3:$C$500,0),1)),"")</f>
        <v/>
      </c>
      <c r="I106" s="25"/>
      <c r="J106" s="25"/>
      <c r="K106" s="25"/>
      <c r="M106" s="25"/>
      <c r="O106" s="25"/>
      <c r="Q106" s="25"/>
      <c r="R106" s="25"/>
      <c r="S106" s="25"/>
      <c r="T106" s="25"/>
      <c r="U106" s="25"/>
      <c r="V106" s="25"/>
      <c r="W106" s="25"/>
      <c r="X106" s="25"/>
    </row>
    <row r="107" spans="1:24" x14ac:dyDescent="0.25">
      <c r="A107" s="18" t="str">
        <f t="shared" si="3"/>
        <v/>
      </c>
      <c r="B107" s="25"/>
      <c r="C107" s="25"/>
      <c r="D107" s="25"/>
      <c r="E107" s="25" t="str">
        <f>IFERROR(IF(ISBLANK(D107),"",INDEX(Gen_Vessels!$A$3:$C$500,MATCH(D107,Gen_Vessels!$C$3:$C$500,0),1)),"")</f>
        <v/>
      </c>
      <c r="F107" s="25"/>
      <c r="G107" s="25"/>
      <c r="H107" s="25" t="str">
        <f>IFERROR(IF(ISBLANK(G107),"",INDEX(Gen_Vessels!$A$3:$C$500,MATCH(G107,Gen_Vessels!$C$3:$C$500,0),1)),"")</f>
        <v/>
      </c>
      <c r="I107" s="25"/>
      <c r="J107" s="25"/>
      <c r="K107" s="25"/>
      <c r="M107" s="25"/>
      <c r="O107" s="25"/>
      <c r="Q107" s="25"/>
      <c r="R107" s="25"/>
      <c r="S107" s="25"/>
      <c r="T107" s="25"/>
      <c r="U107" s="25"/>
      <c r="V107" s="25"/>
      <c r="W107" s="25"/>
      <c r="X107" s="25"/>
    </row>
    <row r="108" spans="1:24" x14ac:dyDescent="0.25">
      <c r="A108" s="18" t="str">
        <f t="shared" si="3"/>
        <v/>
      </c>
      <c r="B108" s="25"/>
      <c r="C108" s="25"/>
      <c r="D108" s="25"/>
      <c r="E108" s="25" t="str">
        <f>IFERROR(IF(ISBLANK(D108),"",INDEX(Gen_Vessels!$A$3:$C$500,MATCH(D108,Gen_Vessels!$C$3:$C$500,0),1)),"")</f>
        <v/>
      </c>
      <c r="F108" s="25"/>
      <c r="G108" s="25"/>
      <c r="H108" s="25" t="str">
        <f>IFERROR(IF(ISBLANK(G108),"",INDEX(Gen_Vessels!$A$3:$C$500,MATCH(G108,Gen_Vessels!$C$3:$C$500,0),1)),"")</f>
        <v/>
      </c>
      <c r="I108" s="25"/>
      <c r="J108" s="25"/>
      <c r="K108" s="25"/>
      <c r="M108" s="25"/>
      <c r="O108" s="25"/>
      <c r="Q108" s="25"/>
      <c r="R108" s="25"/>
      <c r="S108" s="25"/>
      <c r="T108" s="25"/>
      <c r="U108" s="25"/>
      <c r="V108" s="25"/>
      <c r="W108" s="25"/>
      <c r="X108" s="25"/>
    </row>
    <row r="109" spans="1:24" x14ac:dyDescent="0.25">
      <c r="A109" s="18" t="str">
        <f t="shared" si="3"/>
        <v/>
      </c>
      <c r="B109" s="25"/>
      <c r="C109" s="25"/>
      <c r="D109" s="25"/>
      <c r="E109" s="25" t="str">
        <f>IFERROR(IF(ISBLANK(D109),"",INDEX(Gen_Vessels!$A$3:$C$500,MATCH(D109,Gen_Vessels!$C$3:$C$500,0),1)),"")</f>
        <v/>
      </c>
      <c r="F109" s="25"/>
      <c r="G109" s="25"/>
      <c r="H109" s="25" t="str">
        <f>IFERROR(IF(ISBLANK(G109),"",INDEX(Gen_Vessels!$A$3:$C$500,MATCH(G109,Gen_Vessels!$C$3:$C$500,0),1)),"")</f>
        <v/>
      </c>
      <c r="I109" s="25"/>
      <c r="J109" s="25"/>
      <c r="K109" s="25"/>
      <c r="M109" s="25"/>
      <c r="O109" s="25"/>
      <c r="Q109" s="25"/>
      <c r="R109" s="25"/>
      <c r="S109" s="25"/>
      <c r="T109" s="25"/>
      <c r="U109" s="25"/>
      <c r="V109" s="25"/>
      <c r="W109" s="25"/>
      <c r="X109" s="25"/>
    </row>
    <row r="110" spans="1:24" x14ac:dyDescent="0.25">
      <c r="A110" s="18" t="str">
        <f t="shared" si="3"/>
        <v/>
      </c>
      <c r="B110" s="25"/>
      <c r="C110" s="25"/>
      <c r="D110" s="25"/>
      <c r="E110" s="25" t="str">
        <f>IFERROR(IF(ISBLANK(D110),"",INDEX(Gen_Vessels!$A$3:$C$500,MATCH(D110,Gen_Vessels!$C$3:$C$500,0),1)),"")</f>
        <v/>
      </c>
      <c r="F110" s="25"/>
      <c r="G110" s="25"/>
      <c r="H110" s="25" t="str">
        <f>IFERROR(IF(ISBLANK(G110),"",INDEX(Gen_Vessels!$A$3:$C$500,MATCH(G110,Gen_Vessels!$C$3:$C$500,0),1)),"")</f>
        <v/>
      </c>
      <c r="I110" s="25"/>
      <c r="J110" s="25"/>
      <c r="K110" s="25"/>
      <c r="M110" s="25"/>
      <c r="O110" s="25"/>
      <c r="Q110" s="25"/>
      <c r="R110" s="25"/>
      <c r="S110" s="25"/>
      <c r="T110" s="25"/>
      <c r="U110" s="25"/>
      <c r="V110" s="25"/>
      <c r="W110" s="25"/>
      <c r="X110" s="25"/>
    </row>
    <row r="111" spans="1:24" x14ac:dyDescent="0.25">
      <c r="A111" s="18" t="str">
        <f t="shared" si="3"/>
        <v/>
      </c>
      <c r="B111" s="25"/>
      <c r="C111" s="25"/>
      <c r="D111" s="25"/>
      <c r="E111" s="25" t="str">
        <f>IFERROR(IF(ISBLANK(D111),"",INDEX(Gen_Vessels!$A$3:$C$500,MATCH(D111,Gen_Vessels!$C$3:$C$500,0),1)),"")</f>
        <v/>
      </c>
      <c r="F111" s="25"/>
      <c r="G111" s="25"/>
      <c r="H111" s="25" t="str">
        <f>IFERROR(IF(ISBLANK(G111),"",INDEX(Gen_Vessels!$A$3:$C$500,MATCH(G111,Gen_Vessels!$C$3:$C$500,0),1)),"")</f>
        <v/>
      </c>
      <c r="I111" s="25"/>
      <c r="J111" s="25"/>
      <c r="K111" s="25"/>
      <c r="M111" s="25"/>
      <c r="O111" s="25"/>
      <c r="Q111" s="25"/>
      <c r="R111" s="25"/>
      <c r="S111" s="25"/>
      <c r="T111" s="25"/>
      <c r="U111" s="25"/>
      <c r="V111" s="25"/>
      <c r="W111" s="25"/>
      <c r="X111" s="25"/>
    </row>
    <row r="112" spans="1:24" x14ac:dyDescent="0.25">
      <c r="A112" s="18" t="str">
        <f t="shared" si="3"/>
        <v/>
      </c>
      <c r="B112" s="25"/>
      <c r="C112" s="25"/>
      <c r="D112" s="25"/>
      <c r="E112" s="25" t="str">
        <f>IFERROR(IF(ISBLANK(D112),"",INDEX(Gen_Vessels!$A$3:$C$500,MATCH(D112,Gen_Vessels!$C$3:$C$500,0),1)),"")</f>
        <v/>
      </c>
      <c r="F112" s="25"/>
      <c r="G112" s="25"/>
      <c r="H112" s="25" t="str">
        <f>IFERROR(IF(ISBLANK(G112),"",INDEX(Gen_Vessels!$A$3:$C$500,MATCH(G112,Gen_Vessels!$C$3:$C$500,0),1)),"")</f>
        <v/>
      </c>
      <c r="I112" s="25"/>
      <c r="J112" s="25"/>
      <c r="K112" s="25"/>
      <c r="M112" s="25"/>
      <c r="O112" s="25"/>
      <c r="Q112" s="25"/>
      <c r="R112" s="25"/>
      <c r="S112" s="25"/>
      <c r="T112" s="25"/>
      <c r="U112" s="25"/>
      <c r="V112" s="25"/>
      <c r="W112" s="25"/>
      <c r="X112" s="25"/>
    </row>
    <row r="113" spans="1:24" x14ac:dyDescent="0.25">
      <c r="A113" s="18" t="str">
        <f t="shared" si="3"/>
        <v/>
      </c>
      <c r="B113" s="25"/>
      <c r="C113" s="25"/>
      <c r="D113" s="25"/>
      <c r="E113" s="25" t="str">
        <f>IFERROR(IF(ISBLANK(D113),"",INDEX(Gen_Vessels!$A$3:$C$500,MATCH(D113,Gen_Vessels!$C$3:$C$500,0),1)),"")</f>
        <v/>
      </c>
      <c r="F113" s="25"/>
      <c r="G113" s="25"/>
      <c r="H113" s="25" t="str">
        <f>IFERROR(IF(ISBLANK(G113),"",INDEX(Gen_Vessels!$A$3:$C$500,MATCH(G113,Gen_Vessels!$C$3:$C$500,0),1)),"")</f>
        <v/>
      </c>
      <c r="I113" s="25"/>
      <c r="J113" s="25"/>
      <c r="K113" s="25"/>
      <c r="M113" s="25"/>
      <c r="O113" s="25"/>
      <c r="Q113" s="25"/>
      <c r="R113" s="25"/>
      <c r="S113" s="25"/>
      <c r="T113" s="25"/>
      <c r="U113" s="25"/>
      <c r="V113" s="25"/>
      <c r="W113" s="25"/>
      <c r="X113" s="25"/>
    </row>
    <row r="114" spans="1:24" x14ac:dyDescent="0.25">
      <c r="A114" s="18" t="str">
        <f t="shared" si="3"/>
        <v/>
      </c>
      <c r="B114" s="25"/>
      <c r="C114" s="25"/>
      <c r="D114" s="25"/>
      <c r="E114" s="25" t="str">
        <f>IFERROR(IF(ISBLANK(D114),"",INDEX(Gen_Vessels!$A$3:$C$500,MATCH(D114,Gen_Vessels!$C$3:$C$500,0),1)),"")</f>
        <v/>
      </c>
      <c r="F114" s="25"/>
      <c r="G114" s="25"/>
      <c r="H114" s="25" t="str">
        <f>IFERROR(IF(ISBLANK(G114),"",INDEX(Gen_Vessels!$A$3:$C$500,MATCH(G114,Gen_Vessels!$C$3:$C$500,0),1)),"")</f>
        <v/>
      </c>
      <c r="I114" s="25"/>
      <c r="J114" s="25"/>
      <c r="K114" s="25"/>
      <c r="M114" s="25"/>
      <c r="O114" s="25"/>
      <c r="Q114" s="25"/>
      <c r="R114" s="25"/>
      <c r="S114" s="25"/>
      <c r="T114" s="25"/>
      <c r="U114" s="25"/>
      <c r="V114" s="25"/>
      <c r="W114" s="25"/>
      <c r="X114" s="25"/>
    </row>
    <row r="115" spans="1:24" x14ac:dyDescent="0.25">
      <c r="A115" s="18" t="str">
        <f t="shared" si="3"/>
        <v/>
      </c>
      <c r="B115" s="25"/>
      <c r="C115" s="25"/>
      <c r="D115" s="25"/>
      <c r="E115" s="25" t="str">
        <f>IFERROR(IF(ISBLANK(D115),"",INDEX(Gen_Vessels!$A$3:$C$500,MATCH(D115,Gen_Vessels!$C$3:$C$500,0),1)),"")</f>
        <v/>
      </c>
      <c r="F115" s="25"/>
      <c r="G115" s="25"/>
      <c r="H115" s="25" t="str">
        <f>IFERROR(IF(ISBLANK(G115),"",INDEX(Gen_Vessels!$A$3:$C$500,MATCH(G115,Gen_Vessels!$C$3:$C$500,0),1)),"")</f>
        <v/>
      </c>
      <c r="I115" s="25"/>
      <c r="J115" s="25"/>
      <c r="K115" s="25"/>
      <c r="M115" s="25"/>
      <c r="O115" s="25"/>
      <c r="Q115" s="25"/>
      <c r="R115" s="25"/>
      <c r="S115" s="25"/>
      <c r="T115" s="25"/>
      <c r="U115" s="25"/>
      <c r="V115" s="25"/>
      <c r="W115" s="25"/>
      <c r="X115" s="25"/>
    </row>
    <row r="116" spans="1:24" x14ac:dyDescent="0.25">
      <c r="A116" s="18" t="str">
        <f t="shared" si="3"/>
        <v/>
      </c>
      <c r="B116" s="25"/>
      <c r="C116" s="25"/>
      <c r="D116" s="25"/>
      <c r="E116" s="25" t="str">
        <f>IFERROR(IF(ISBLANK(D116),"",INDEX(Gen_Vessels!$A$3:$C$500,MATCH(D116,Gen_Vessels!$C$3:$C$500,0),1)),"")</f>
        <v/>
      </c>
      <c r="F116" s="25"/>
      <c r="G116" s="25"/>
      <c r="H116" s="25" t="str">
        <f>IFERROR(IF(ISBLANK(G116),"",INDEX(Gen_Vessels!$A$3:$C$500,MATCH(G116,Gen_Vessels!$C$3:$C$500,0),1)),"")</f>
        <v/>
      </c>
      <c r="I116" s="25"/>
      <c r="J116" s="25"/>
      <c r="K116" s="25"/>
      <c r="M116" s="25"/>
      <c r="O116" s="25"/>
      <c r="Q116" s="25"/>
      <c r="R116" s="25"/>
      <c r="S116" s="25"/>
      <c r="T116" s="25"/>
      <c r="U116" s="25"/>
      <c r="V116" s="25"/>
      <c r="W116" s="25"/>
      <c r="X116" s="25"/>
    </row>
    <row r="117" spans="1:24" x14ac:dyDescent="0.25">
      <c r="A117" s="18" t="str">
        <f t="shared" si="3"/>
        <v/>
      </c>
      <c r="B117" s="25"/>
      <c r="C117" s="25"/>
      <c r="D117" s="25"/>
      <c r="E117" s="25" t="str">
        <f>IFERROR(IF(ISBLANK(D117),"",INDEX(Gen_Vessels!$A$3:$C$500,MATCH(D117,Gen_Vessels!$C$3:$C$500,0),1)),"")</f>
        <v/>
      </c>
      <c r="F117" s="25"/>
      <c r="G117" s="25"/>
      <c r="H117" s="25" t="str">
        <f>IFERROR(IF(ISBLANK(G117),"",INDEX(Gen_Vessels!$A$3:$C$500,MATCH(G117,Gen_Vessels!$C$3:$C$500,0),1)),"")</f>
        <v/>
      </c>
      <c r="I117" s="25"/>
      <c r="J117" s="25"/>
      <c r="K117" s="25"/>
      <c r="M117" s="25"/>
      <c r="O117" s="25"/>
      <c r="Q117" s="25"/>
      <c r="R117" s="25"/>
      <c r="S117" s="25"/>
      <c r="T117" s="25"/>
      <c r="U117" s="25"/>
      <c r="V117" s="25"/>
      <c r="W117" s="25"/>
      <c r="X117" s="25"/>
    </row>
    <row r="118" spans="1:24" x14ac:dyDescent="0.25">
      <c r="A118" s="18" t="str">
        <f t="shared" si="3"/>
        <v/>
      </c>
      <c r="B118" s="25"/>
      <c r="C118" s="25"/>
      <c r="D118" s="25"/>
      <c r="E118" s="25" t="str">
        <f>IFERROR(IF(ISBLANK(D118),"",INDEX(Gen_Vessels!$A$3:$C$500,MATCH(D118,Gen_Vessels!$C$3:$C$500,0),1)),"")</f>
        <v/>
      </c>
      <c r="F118" s="25"/>
      <c r="G118" s="25"/>
      <c r="H118" s="25" t="str">
        <f>IFERROR(IF(ISBLANK(G118),"",INDEX(Gen_Vessels!$A$3:$C$500,MATCH(G118,Gen_Vessels!$C$3:$C$500,0),1)),"")</f>
        <v/>
      </c>
      <c r="I118" s="25"/>
      <c r="J118" s="25"/>
      <c r="K118" s="25"/>
      <c r="M118" s="25"/>
      <c r="O118" s="25"/>
      <c r="Q118" s="25"/>
      <c r="R118" s="25"/>
      <c r="S118" s="25"/>
      <c r="T118" s="25"/>
      <c r="U118" s="25"/>
      <c r="V118" s="25"/>
      <c r="W118" s="25"/>
      <c r="X118" s="25"/>
    </row>
    <row r="119" spans="1:24" x14ac:dyDescent="0.25">
      <c r="A119" s="18" t="str">
        <f t="shared" si="3"/>
        <v/>
      </c>
      <c r="B119" s="25"/>
      <c r="C119" s="25"/>
      <c r="D119" s="25"/>
      <c r="E119" s="25" t="str">
        <f>IFERROR(IF(ISBLANK(D119),"",INDEX(Gen_Vessels!$A$3:$C$500,MATCH(D119,Gen_Vessels!$C$3:$C$500,0),1)),"")</f>
        <v/>
      </c>
      <c r="F119" s="25"/>
      <c r="G119" s="25"/>
      <c r="H119" s="25" t="str">
        <f>IFERROR(IF(ISBLANK(G119),"",INDEX(Gen_Vessels!$A$3:$C$500,MATCH(G119,Gen_Vessels!$C$3:$C$500,0),1)),"")</f>
        <v/>
      </c>
      <c r="I119" s="25"/>
      <c r="J119" s="25"/>
      <c r="K119" s="25"/>
      <c r="M119" s="25"/>
      <c r="O119" s="25"/>
      <c r="Q119" s="25"/>
      <c r="R119" s="25"/>
      <c r="S119" s="25"/>
      <c r="T119" s="25"/>
      <c r="U119" s="25"/>
      <c r="V119" s="25"/>
      <c r="W119" s="25"/>
      <c r="X119" s="25"/>
    </row>
    <row r="120" spans="1:24" x14ac:dyDescent="0.25">
      <c r="A120" s="18" t="str">
        <f t="shared" si="3"/>
        <v/>
      </c>
      <c r="B120" s="25"/>
      <c r="C120" s="25"/>
      <c r="D120" s="25"/>
      <c r="E120" s="25" t="str">
        <f>IFERROR(IF(ISBLANK(D120),"",INDEX(Gen_Vessels!$A$3:$C$500,MATCH(D120,Gen_Vessels!$C$3:$C$500,0),1)),"")</f>
        <v/>
      </c>
      <c r="F120" s="25"/>
      <c r="G120" s="25"/>
      <c r="H120" s="25" t="str">
        <f>IFERROR(IF(ISBLANK(G120),"",INDEX(Gen_Vessels!$A$3:$C$500,MATCH(G120,Gen_Vessels!$C$3:$C$500,0),1)),"")</f>
        <v/>
      </c>
      <c r="I120" s="25"/>
      <c r="J120" s="25"/>
      <c r="K120" s="25"/>
      <c r="M120" s="25"/>
      <c r="O120" s="25"/>
      <c r="Q120" s="25"/>
      <c r="R120" s="25"/>
      <c r="S120" s="25"/>
      <c r="T120" s="25"/>
      <c r="U120" s="25"/>
      <c r="V120" s="25"/>
      <c r="W120" s="25"/>
      <c r="X120" s="25"/>
    </row>
    <row r="121" spans="1:24" x14ac:dyDescent="0.25">
      <c r="A121" s="18" t="str">
        <f t="shared" si="3"/>
        <v/>
      </c>
      <c r="B121" s="25"/>
      <c r="C121" s="25"/>
      <c r="D121" s="25"/>
      <c r="E121" s="25" t="str">
        <f>IFERROR(IF(ISBLANK(D121),"",INDEX(Gen_Vessels!$A$3:$C$500,MATCH(D121,Gen_Vessels!$C$3:$C$500,0),1)),"")</f>
        <v/>
      </c>
      <c r="F121" s="25"/>
      <c r="G121" s="25"/>
      <c r="H121" s="25" t="str">
        <f>IFERROR(IF(ISBLANK(G121),"",INDEX(Gen_Vessels!$A$3:$C$500,MATCH(G121,Gen_Vessels!$C$3:$C$500,0),1)),"")</f>
        <v/>
      </c>
      <c r="I121" s="25"/>
      <c r="J121" s="25"/>
      <c r="K121" s="25"/>
      <c r="M121" s="25"/>
      <c r="O121" s="25"/>
      <c r="Q121" s="25"/>
      <c r="R121" s="25"/>
      <c r="S121" s="25"/>
      <c r="T121" s="25"/>
      <c r="U121" s="25"/>
      <c r="V121" s="25"/>
      <c r="W121" s="25"/>
      <c r="X121" s="25"/>
    </row>
    <row r="122" spans="1:24" x14ac:dyDescent="0.25">
      <c r="A122" s="18" t="str">
        <f t="shared" si="3"/>
        <v/>
      </c>
      <c r="B122" s="25"/>
      <c r="C122" s="25"/>
      <c r="D122" s="25"/>
      <c r="E122" s="25" t="str">
        <f>IFERROR(IF(ISBLANK(D122),"",INDEX(Gen_Vessels!$A$3:$C$500,MATCH(D122,Gen_Vessels!$C$3:$C$500,0),1)),"")</f>
        <v/>
      </c>
      <c r="F122" s="25"/>
      <c r="G122" s="25"/>
      <c r="H122" s="25" t="str">
        <f>IFERROR(IF(ISBLANK(G122),"",INDEX(Gen_Vessels!$A$3:$C$500,MATCH(G122,Gen_Vessels!$C$3:$C$500,0),1)),"")</f>
        <v/>
      </c>
      <c r="I122" s="25"/>
      <c r="J122" s="25"/>
      <c r="K122" s="25"/>
      <c r="M122" s="25"/>
      <c r="O122" s="25"/>
      <c r="Q122" s="25"/>
      <c r="R122" s="25"/>
      <c r="S122" s="25"/>
      <c r="T122" s="25"/>
      <c r="U122" s="25"/>
      <c r="V122" s="25"/>
      <c r="W122" s="25"/>
      <c r="X122" s="25"/>
    </row>
    <row r="123" spans="1:24" x14ac:dyDescent="0.25">
      <c r="A123" s="18" t="str">
        <f t="shared" si="3"/>
        <v/>
      </c>
      <c r="B123" s="25"/>
      <c r="C123" s="25"/>
      <c r="D123" s="25"/>
      <c r="E123" s="25" t="str">
        <f>IFERROR(IF(ISBLANK(D123),"",INDEX(Gen_Vessels!$A$3:$C$500,MATCH(D123,Gen_Vessels!$C$3:$C$500,0),1)),"")</f>
        <v/>
      </c>
      <c r="F123" s="25"/>
      <c r="G123" s="25"/>
      <c r="H123" s="25" t="str">
        <f>IFERROR(IF(ISBLANK(G123),"",INDEX(Gen_Vessels!$A$3:$C$500,MATCH(G123,Gen_Vessels!$C$3:$C$500,0),1)),"")</f>
        <v/>
      </c>
      <c r="I123" s="25"/>
      <c r="J123" s="25"/>
      <c r="K123" s="25"/>
      <c r="M123" s="25"/>
      <c r="O123" s="25"/>
      <c r="Q123" s="25"/>
      <c r="R123" s="25"/>
      <c r="S123" s="25"/>
      <c r="T123" s="25"/>
      <c r="U123" s="25"/>
      <c r="V123" s="25"/>
      <c r="W123" s="25"/>
      <c r="X123" s="25"/>
    </row>
    <row r="124" spans="1:24" x14ac:dyDescent="0.25">
      <c r="A124" s="18" t="str">
        <f t="shared" si="3"/>
        <v/>
      </c>
      <c r="B124" s="25"/>
      <c r="C124" s="25"/>
      <c r="D124" s="25"/>
      <c r="E124" s="25" t="str">
        <f>IFERROR(IF(ISBLANK(D124),"",INDEX(Gen_Vessels!$A$3:$C$500,MATCH(D124,Gen_Vessels!$C$3:$C$500,0),1)),"")</f>
        <v/>
      </c>
      <c r="F124" s="25"/>
      <c r="G124" s="25"/>
      <c r="H124" s="25" t="str">
        <f>IFERROR(IF(ISBLANK(G124),"",INDEX(Gen_Vessels!$A$3:$C$500,MATCH(G124,Gen_Vessels!$C$3:$C$500,0),1)),"")</f>
        <v/>
      </c>
      <c r="I124" s="25"/>
      <c r="J124" s="25"/>
      <c r="K124" s="25"/>
      <c r="M124" s="25"/>
      <c r="O124" s="25"/>
      <c r="Q124" s="25"/>
      <c r="R124" s="25"/>
      <c r="S124" s="25"/>
      <c r="T124" s="25"/>
      <c r="U124" s="25"/>
      <c r="V124" s="25"/>
      <c r="W124" s="25"/>
      <c r="X124" s="25"/>
    </row>
    <row r="125" spans="1:24" x14ac:dyDescent="0.25">
      <c r="A125" s="18" t="str">
        <f t="shared" si="3"/>
        <v/>
      </c>
      <c r="B125" s="25"/>
      <c r="C125" s="25"/>
      <c r="D125" s="25"/>
      <c r="E125" s="25" t="str">
        <f>IFERROR(IF(ISBLANK(D125),"",INDEX(Gen_Vessels!$A$3:$C$500,MATCH(D125,Gen_Vessels!$C$3:$C$500,0),1)),"")</f>
        <v/>
      </c>
      <c r="F125" s="25"/>
      <c r="G125" s="25"/>
      <c r="H125" s="25" t="str">
        <f>IFERROR(IF(ISBLANK(G125),"",INDEX(Gen_Vessels!$A$3:$C$500,MATCH(G125,Gen_Vessels!$C$3:$C$500,0),1)),"")</f>
        <v/>
      </c>
      <c r="I125" s="25"/>
      <c r="J125" s="25"/>
      <c r="K125" s="25"/>
      <c r="M125" s="25"/>
      <c r="O125" s="25"/>
      <c r="Q125" s="25"/>
      <c r="R125" s="25"/>
      <c r="S125" s="25"/>
      <c r="T125" s="25"/>
      <c r="U125" s="25"/>
      <c r="V125" s="25"/>
      <c r="W125" s="25"/>
      <c r="X125" s="25"/>
    </row>
    <row r="126" spans="1:24" x14ac:dyDescent="0.25">
      <c r="A126" s="18" t="str">
        <f t="shared" si="3"/>
        <v/>
      </c>
      <c r="B126" s="25"/>
      <c r="C126" s="25"/>
      <c r="D126" s="25"/>
      <c r="E126" s="25" t="str">
        <f>IFERROR(IF(ISBLANK(D126),"",INDEX(Gen_Vessels!$A$3:$C$500,MATCH(D126,Gen_Vessels!$C$3:$C$500,0),1)),"")</f>
        <v/>
      </c>
      <c r="F126" s="25"/>
      <c r="G126" s="25"/>
      <c r="H126" s="25" t="str">
        <f>IFERROR(IF(ISBLANK(G126),"",INDEX(Gen_Vessels!$A$3:$C$500,MATCH(G126,Gen_Vessels!$C$3:$C$500,0),1)),"")</f>
        <v/>
      </c>
      <c r="I126" s="25"/>
      <c r="J126" s="25"/>
      <c r="K126" s="25"/>
      <c r="M126" s="25"/>
      <c r="O126" s="25"/>
      <c r="Q126" s="25"/>
      <c r="R126" s="25"/>
      <c r="S126" s="25"/>
      <c r="T126" s="25"/>
      <c r="U126" s="25"/>
      <c r="V126" s="25"/>
      <c r="W126" s="25"/>
      <c r="X126" s="25"/>
    </row>
    <row r="127" spans="1:24" x14ac:dyDescent="0.25">
      <c r="A127" s="18" t="str">
        <f t="shared" si="3"/>
        <v/>
      </c>
      <c r="B127" s="25"/>
      <c r="C127" s="25"/>
      <c r="D127" s="25"/>
      <c r="E127" s="25" t="str">
        <f>IFERROR(IF(ISBLANK(D127),"",INDEX(Gen_Vessels!$A$3:$C$500,MATCH(D127,Gen_Vessels!$C$3:$C$500,0),1)),"")</f>
        <v/>
      </c>
      <c r="F127" s="25"/>
      <c r="G127" s="25"/>
      <c r="H127" s="25" t="str">
        <f>IFERROR(IF(ISBLANK(G127),"",INDEX(Gen_Vessels!$A$3:$C$500,MATCH(G127,Gen_Vessels!$C$3:$C$500,0),1)),"")</f>
        <v/>
      </c>
      <c r="I127" s="25"/>
      <c r="J127" s="25"/>
      <c r="K127" s="25"/>
      <c r="M127" s="25"/>
      <c r="O127" s="25"/>
      <c r="Q127" s="25"/>
      <c r="R127" s="25"/>
      <c r="S127" s="25"/>
      <c r="T127" s="25"/>
      <c r="U127" s="25"/>
      <c r="V127" s="25"/>
      <c r="W127" s="25"/>
      <c r="X127" s="25"/>
    </row>
    <row r="128" spans="1:24" x14ac:dyDescent="0.25">
      <c r="A128" s="18" t="str">
        <f t="shared" si="3"/>
        <v/>
      </c>
      <c r="B128" s="25"/>
      <c r="C128" s="25"/>
      <c r="D128" s="25"/>
      <c r="E128" s="25" t="str">
        <f>IFERROR(IF(ISBLANK(D128),"",INDEX(Gen_Vessels!$A$3:$C$500,MATCH(D128,Gen_Vessels!$C$3:$C$500,0),1)),"")</f>
        <v/>
      </c>
      <c r="F128" s="25"/>
      <c r="G128" s="25"/>
      <c r="H128" s="25" t="str">
        <f>IFERROR(IF(ISBLANK(G128),"",INDEX(Gen_Vessels!$A$3:$C$500,MATCH(G128,Gen_Vessels!$C$3:$C$500,0),1)),"")</f>
        <v/>
      </c>
      <c r="I128" s="25"/>
      <c r="J128" s="25"/>
      <c r="K128" s="25"/>
      <c r="M128" s="25"/>
      <c r="O128" s="25"/>
      <c r="Q128" s="25"/>
      <c r="R128" s="25"/>
      <c r="S128" s="25"/>
      <c r="T128" s="25"/>
      <c r="U128" s="25"/>
      <c r="V128" s="25"/>
      <c r="W128" s="25"/>
      <c r="X128" s="25"/>
    </row>
    <row r="129" spans="1:24" x14ac:dyDescent="0.25">
      <c r="A129" s="18" t="str">
        <f t="shared" si="3"/>
        <v/>
      </c>
      <c r="B129" s="25"/>
      <c r="C129" s="25"/>
      <c r="D129" s="25"/>
      <c r="E129" s="25" t="str">
        <f>IFERROR(IF(ISBLANK(D129),"",INDEX(Gen_Vessels!$A$3:$C$500,MATCH(D129,Gen_Vessels!$C$3:$C$500,0),1)),"")</f>
        <v/>
      </c>
      <c r="F129" s="25"/>
      <c r="G129" s="25"/>
      <c r="H129" s="25" t="str">
        <f>IFERROR(IF(ISBLANK(G129),"",INDEX(Gen_Vessels!$A$3:$C$500,MATCH(G129,Gen_Vessels!$C$3:$C$500,0),1)),"")</f>
        <v/>
      </c>
      <c r="I129" s="25"/>
      <c r="J129" s="25"/>
      <c r="K129" s="25"/>
      <c r="M129" s="25"/>
      <c r="O129" s="25"/>
      <c r="Q129" s="25"/>
      <c r="R129" s="25"/>
      <c r="S129" s="25"/>
      <c r="T129" s="25"/>
      <c r="U129" s="25"/>
      <c r="V129" s="25"/>
      <c r="W129" s="25"/>
      <c r="X129" s="25"/>
    </row>
    <row r="130" spans="1:24" x14ac:dyDescent="0.25">
      <c r="A130" s="18" t="str">
        <f t="shared" si="3"/>
        <v/>
      </c>
      <c r="B130" s="25"/>
      <c r="C130" s="25"/>
      <c r="D130" s="25"/>
      <c r="E130" s="25" t="str">
        <f>IFERROR(IF(ISBLANK(D130),"",INDEX(Gen_Vessels!$A$3:$C$500,MATCH(D130,Gen_Vessels!$C$3:$C$500,0),1)),"")</f>
        <v/>
      </c>
      <c r="F130" s="25"/>
      <c r="G130" s="25"/>
      <c r="H130" s="25" t="str">
        <f>IFERROR(IF(ISBLANK(G130),"",INDEX(Gen_Vessels!$A$3:$C$500,MATCH(G130,Gen_Vessels!$C$3:$C$500,0),1)),"")</f>
        <v/>
      </c>
      <c r="I130" s="25"/>
      <c r="J130" s="25"/>
      <c r="K130" s="25"/>
      <c r="M130" s="25"/>
      <c r="O130" s="25"/>
      <c r="Q130" s="25"/>
      <c r="R130" s="25"/>
      <c r="S130" s="25"/>
      <c r="T130" s="25"/>
      <c r="U130" s="25"/>
      <c r="V130" s="25"/>
      <c r="W130" s="25"/>
      <c r="X130" s="25"/>
    </row>
    <row r="131" spans="1:24" x14ac:dyDescent="0.25">
      <c r="A131" s="18" t="str">
        <f t="shared" si="3"/>
        <v/>
      </c>
      <c r="B131" s="25"/>
      <c r="C131" s="25"/>
      <c r="D131" s="25"/>
      <c r="E131" s="25" t="str">
        <f>IFERROR(IF(ISBLANK(D131),"",INDEX(Gen_Vessels!$A$3:$C$500,MATCH(D131,Gen_Vessels!$C$3:$C$500,0),1)),"")</f>
        <v/>
      </c>
      <c r="F131" s="25"/>
      <c r="G131" s="25"/>
      <c r="H131" s="25" t="str">
        <f>IFERROR(IF(ISBLANK(G131),"",INDEX(Gen_Vessels!$A$3:$C$500,MATCH(G131,Gen_Vessels!$C$3:$C$500,0),1)),"")</f>
        <v/>
      </c>
      <c r="I131" s="25"/>
      <c r="J131" s="25"/>
      <c r="K131" s="25"/>
      <c r="M131" s="25"/>
      <c r="O131" s="25"/>
      <c r="Q131" s="25"/>
      <c r="R131" s="25"/>
      <c r="S131" s="25"/>
      <c r="T131" s="25"/>
      <c r="U131" s="25"/>
      <c r="V131" s="25"/>
      <c r="W131" s="25"/>
      <c r="X131" s="25"/>
    </row>
    <row r="132" spans="1:24" x14ac:dyDescent="0.25">
      <c r="A132" s="18" t="str">
        <f t="shared" ref="A132:A195" si="4">IF(ISBLANK($B132)=FALSE,_xlfn.CONCAT($B132,"_tow"),"")</f>
        <v/>
      </c>
      <c r="B132" s="25"/>
      <c r="C132" s="25"/>
      <c r="D132" s="25"/>
      <c r="E132" s="25" t="str">
        <f>IFERROR(IF(ISBLANK(D132),"",INDEX(Gen_Vessels!$A$3:$C$500,MATCH(D132,Gen_Vessels!$C$3:$C$500,0),1)),"")</f>
        <v/>
      </c>
      <c r="F132" s="25"/>
      <c r="G132" s="25"/>
      <c r="H132" s="25" t="str">
        <f>IFERROR(IF(ISBLANK(G132),"",INDEX(Gen_Vessels!$A$3:$C$500,MATCH(G132,Gen_Vessels!$C$3:$C$500,0),1)),"")</f>
        <v/>
      </c>
      <c r="I132" s="25"/>
      <c r="J132" s="25"/>
      <c r="K132" s="25"/>
      <c r="M132" s="25"/>
      <c r="O132" s="25"/>
      <c r="Q132" s="25"/>
      <c r="R132" s="25"/>
      <c r="S132" s="25"/>
      <c r="T132" s="25"/>
      <c r="U132" s="25"/>
      <c r="V132" s="25"/>
      <c r="W132" s="25"/>
      <c r="X132" s="25"/>
    </row>
    <row r="133" spans="1:24" x14ac:dyDescent="0.25">
      <c r="A133" s="18" t="str">
        <f t="shared" si="4"/>
        <v/>
      </c>
      <c r="B133" s="25"/>
      <c r="C133" s="25"/>
      <c r="D133" s="25"/>
      <c r="E133" s="25" t="str">
        <f>IFERROR(IF(ISBLANK(D133),"",INDEX(Gen_Vessels!$A$3:$C$500,MATCH(D133,Gen_Vessels!$C$3:$C$500,0),1)),"")</f>
        <v/>
      </c>
      <c r="F133" s="25"/>
      <c r="G133" s="25"/>
      <c r="H133" s="25" t="str">
        <f>IFERROR(IF(ISBLANK(G133),"",INDEX(Gen_Vessels!$A$3:$C$500,MATCH(G133,Gen_Vessels!$C$3:$C$500,0),1)),"")</f>
        <v/>
      </c>
      <c r="I133" s="25"/>
      <c r="J133" s="25"/>
      <c r="K133" s="25"/>
      <c r="M133" s="25"/>
      <c r="O133" s="25"/>
      <c r="Q133" s="25"/>
      <c r="R133" s="25"/>
      <c r="S133" s="25"/>
      <c r="T133" s="25"/>
      <c r="U133" s="25"/>
      <c r="V133" s="25"/>
      <c r="W133" s="25"/>
      <c r="X133" s="25"/>
    </row>
    <row r="134" spans="1:24" x14ac:dyDescent="0.25">
      <c r="A134" s="18" t="str">
        <f t="shared" si="4"/>
        <v/>
      </c>
      <c r="B134" s="25"/>
      <c r="C134" s="25"/>
      <c r="D134" s="25"/>
      <c r="E134" s="25" t="str">
        <f>IFERROR(IF(ISBLANK(D134),"",INDEX(Gen_Vessels!$A$3:$C$500,MATCH(D134,Gen_Vessels!$C$3:$C$500,0),1)),"")</f>
        <v/>
      </c>
      <c r="F134" s="25"/>
      <c r="G134" s="25"/>
      <c r="H134" s="25" t="str">
        <f>IFERROR(IF(ISBLANK(G134),"",INDEX(Gen_Vessels!$A$3:$C$500,MATCH(G134,Gen_Vessels!$C$3:$C$500,0),1)),"")</f>
        <v/>
      </c>
      <c r="I134" s="25"/>
      <c r="J134" s="25"/>
      <c r="K134" s="25"/>
      <c r="M134" s="25"/>
      <c r="O134" s="25"/>
      <c r="Q134" s="25"/>
      <c r="R134" s="25"/>
      <c r="S134" s="25"/>
      <c r="T134" s="25"/>
      <c r="U134" s="25"/>
      <c r="V134" s="25"/>
      <c r="W134" s="25"/>
      <c r="X134" s="25"/>
    </row>
    <row r="135" spans="1:24" x14ac:dyDescent="0.25">
      <c r="A135" s="18" t="str">
        <f t="shared" si="4"/>
        <v/>
      </c>
      <c r="B135" s="25"/>
      <c r="C135" s="25"/>
      <c r="D135" s="25"/>
      <c r="E135" s="25" t="str">
        <f>IFERROR(IF(ISBLANK(D135),"",INDEX(Gen_Vessels!$A$3:$C$500,MATCH(D135,Gen_Vessels!$C$3:$C$500,0),1)),"")</f>
        <v/>
      </c>
      <c r="F135" s="25"/>
      <c r="G135" s="25"/>
      <c r="H135" s="25" t="str">
        <f>IFERROR(IF(ISBLANK(G135),"",INDEX(Gen_Vessels!$A$3:$C$500,MATCH(G135,Gen_Vessels!$C$3:$C$500,0),1)),"")</f>
        <v/>
      </c>
      <c r="I135" s="25"/>
      <c r="J135" s="25"/>
      <c r="K135" s="25"/>
      <c r="M135" s="25"/>
      <c r="O135" s="25"/>
      <c r="Q135" s="25"/>
      <c r="R135" s="25"/>
      <c r="S135" s="25"/>
      <c r="T135" s="25"/>
      <c r="U135" s="25"/>
      <c r="V135" s="25"/>
      <c r="W135" s="25"/>
      <c r="X135" s="25"/>
    </row>
    <row r="136" spans="1:24" x14ac:dyDescent="0.25">
      <c r="A136" s="18" t="str">
        <f t="shared" si="4"/>
        <v/>
      </c>
      <c r="B136" s="25"/>
      <c r="C136" s="25"/>
      <c r="D136" s="25"/>
      <c r="E136" s="25" t="str">
        <f>IFERROR(IF(ISBLANK(D136),"",INDEX(Gen_Vessels!$A$3:$C$500,MATCH(D136,Gen_Vessels!$C$3:$C$500,0),1)),"")</f>
        <v/>
      </c>
      <c r="F136" s="25"/>
      <c r="G136" s="25"/>
      <c r="H136" s="25" t="str">
        <f>IFERROR(IF(ISBLANK(G136),"",INDEX(Gen_Vessels!$A$3:$C$500,MATCH(G136,Gen_Vessels!$C$3:$C$500,0),1)),"")</f>
        <v/>
      </c>
      <c r="I136" s="25"/>
      <c r="J136" s="25"/>
      <c r="K136" s="25"/>
      <c r="M136" s="25"/>
      <c r="O136" s="25"/>
      <c r="Q136" s="25"/>
      <c r="R136" s="25"/>
      <c r="S136" s="25"/>
      <c r="T136" s="25"/>
      <c r="U136" s="25"/>
      <c r="V136" s="25"/>
      <c r="W136" s="25"/>
      <c r="X136" s="25"/>
    </row>
    <row r="137" spans="1:24" x14ac:dyDescent="0.25">
      <c r="A137" s="18" t="str">
        <f t="shared" si="4"/>
        <v/>
      </c>
      <c r="B137" s="25"/>
      <c r="C137" s="25"/>
      <c r="D137" s="25"/>
      <c r="E137" s="25" t="str">
        <f>IFERROR(IF(ISBLANK(D137),"",INDEX(Gen_Vessels!$A$3:$C$500,MATCH(D137,Gen_Vessels!$C$3:$C$500,0),1)),"")</f>
        <v/>
      </c>
      <c r="F137" s="25"/>
      <c r="G137" s="25"/>
      <c r="H137" s="25" t="str">
        <f>IFERROR(IF(ISBLANK(G137),"",INDEX(Gen_Vessels!$A$3:$C$500,MATCH(G137,Gen_Vessels!$C$3:$C$500,0),1)),"")</f>
        <v/>
      </c>
      <c r="I137" s="25"/>
      <c r="J137" s="25"/>
      <c r="K137" s="25"/>
      <c r="M137" s="25"/>
      <c r="O137" s="25"/>
      <c r="Q137" s="25"/>
      <c r="R137" s="25"/>
      <c r="S137" s="25"/>
      <c r="T137" s="25"/>
      <c r="U137" s="25"/>
      <c r="V137" s="25"/>
      <c r="W137" s="25"/>
      <c r="X137" s="25"/>
    </row>
    <row r="138" spans="1:24" x14ac:dyDescent="0.25">
      <c r="A138" s="18" t="str">
        <f t="shared" si="4"/>
        <v/>
      </c>
      <c r="B138" s="25"/>
      <c r="C138" s="25"/>
      <c r="D138" s="25"/>
      <c r="E138" s="25" t="str">
        <f>IFERROR(IF(ISBLANK(D138),"",INDEX(Gen_Vessels!$A$3:$C$500,MATCH(D138,Gen_Vessels!$C$3:$C$500,0),1)),"")</f>
        <v/>
      </c>
      <c r="F138" s="25"/>
      <c r="G138" s="25"/>
      <c r="H138" s="25" t="str">
        <f>IFERROR(IF(ISBLANK(G138),"",INDEX(Gen_Vessels!$A$3:$C$500,MATCH(G138,Gen_Vessels!$C$3:$C$500,0),1)),"")</f>
        <v/>
      </c>
      <c r="I138" s="25"/>
      <c r="J138" s="25"/>
      <c r="K138" s="25"/>
      <c r="M138" s="25"/>
      <c r="O138" s="25"/>
      <c r="Q138" s="25"/>
      <c r="R138" s="25"/>
      <c r="S138" s="25"/>
      <c r="T138" s="25"/>
      <c r="U138" s="25"/>
      <c r="V138" s="25"/>
      <c r="W138" s="25"/>
      <c r="X138" s="25"/>
    </row>
    <row r="139" spans="1:24" x14ac:dyDescent="0.25">
      <c r="A139" s="18" t="str">
        <f t="shared" si="4"/>
        <v/>
      </c>
      <c r="B139" s="25"/>
      <c r="C139" s="25"/>
      <c r="D139" s="25"/>
      <c r="E139" s="25" t="str">
        <f>IFERROR(IF(ISBLANK(D139),"",INDEX(Gen_Vessels!$A$3:$C$500,MATCH(D139,Gen_Vessels!$C$3:$C$500,0),1)),"")</f>
        <v/>
      </c>
      <c r="F139" s="25"/>
      <c r="G139" s="25"/>
      <c r="H139" s="25" t="str">
        <f>IFERROR(IF(ISBLANK(G139),"",INDEX(Gen_Vessels!$A$3:$C$500,MATCH(G139,Gen_Vessels!$C$3:$C$500,0),1)),"")</f>
        <v/>
      </c>
      <c r="I139" s="25"/>
      <c r="J139" s="25"/>
      <c r="K139" s="25"/>
      <c r="M139" s="25"/>
      <c r="O139" s="25"/>
      <c r="Q139" s="25"/>
      <c r="R139" s="25"/>
      <c r="S139" s="25"/>
      <c r="T139" s="25"/>
      <c r="U139" s="25"/>
      <c r="V139" s="25"/>
      <c r="W139" s="25"/>
      <c r="X139" s="25"/>
    </row>
    <row r="140" spans="1:24" x14ac:dyDescent="0.25">
      <c r="A140" s="18" t="str">
        <f t="shared" si="4"/>
        <v/>
      </c>
      <c r="B140" s="25"/>
      <c r="C140" s="25"/>
      <c r="D140" s="25"/>
      <c r="E140" s="25" t="str">
        <f>IFERROR(IF(ISBLANK(D140),"",INDEX(Gen_Vessels!$A$3:$C$500,MATCH(D140,Gen_Vessels!$C$3:$C$500,0),1)),"")</f>
        <v/>
      </c>
      <c r="F140" s="25"/>
      <c r="G140" s="25"/>
      <c r="H140" s="25" t="str">
        <f>IFERROR(IF(ISBLANK(G140),"",INDEX(Gen_Vessels!$A$3:$C$500,MATCH(G140,Gen_Vessels!$C$3:$C$500,0),1)),"")</f>
        <v/>
      </c>
      <c r="I140" s="25"/>
      <c r="J140" s="25"/>
      <c r="K140" s="25"/>
      <c r="M140" s="25"/>
      <c r="O140" s="25"/>
      <c r="Q140" s="25"/>
      <c r="R140" s="25"/>
      <c r="S140" s="25"/>
      <c r="T140" s="25"/>
      <c r="U140" s="25"/>
      <c r="V140" s="25"/>
      <c r="W140" s="25"/>
      <c r="X140" s="25"/>
    </row>
    <row r="141" spans="1:24" x14ac:dyDescent="0.25">
      <c r="A141" s="18" t="str">
        <f t="shared" si="4"/>
        <v/>
      </c>
      <c r="B141" s="25"/>
      <c r="C141" s="25"/>
      <c r="D141" s="25"/>
      <c r="E141" s="25" t="str">
        <f>IFERROR(IF(ISBLANK(D141),"",INDEX(Gen_Vessels!$A$3:$C$500,MATCH(D141,Gen_Vessels!$C$3:$C$500,0),1)),"")</f>
        <v/>
      </c>
      <c r="F141" s="25"/>
      <c r="G141" s="25"/>
      <c r="H141" s="25" t="str">
        <f>IFERROR(IF(ISBLANK(G141),"",INDEX(Gen_Vessels!$A$3:$C$500,MATCH(G141,Gen_Vessels!$C$3:$C$500,0),1)),"")</f>
        <v/>
      </c>
      <c r="I141" s="25"/>
      <c r="J141" s="25"/>
      <c r="K141" s="25"/>
      <c r="M141" s="25"/>
      <c r="O141" s="25"/>
      <c r="Q141" s="25"/>
      <c r="R141" s="25"/>
      <c r="S141" s="25"/>
      <c r="T141" s="25"/>
      <c r="U141" s="25"/>
      <c r="V141" s="25"/>
      <c r="W141" s="25"/>
      <c r="X141" s="25"/>
    </row>
    <row r="142" spans="1:24" x14ac:dyDescent="0.25">
      <c r="A142" s="18" t="str">
        <f t="shared" si="4"/>
        <v/>
      </c>
      <c r="B142" s="25"/>
      <c r="C142" s="25"/>
      <c r="D142" s="25"/>
      <c r="E142" s="25" t="str">
        <f>IFERROR(IF(ISBLANK(D142),"",INDEX(Gen_Vessels!$A$3:$C$500,MATCH(D142,Gen_Vessels!$C$3:$C$500,0),1)),"")</f>
        <v/>
      </c>
      <c r="F142" s="25"/>
      <c r="G142" s="25"/>
      <c r="H142" s="25" t="str">
        <f>IFERROR(IF(ISBLANK(G142),"",INDEX(Gen_Vessels!$A$3:$C$500,MATCH(G142,Gen_Vessels!$C$3:$C$500,0),1)),"")</f>
        <v/>
      </c>
      <c r="I142" s="25"/>
      <c r="J142" s="25"/>
      <c r="K142" s="25"/>
      <c r="M142" s="25"/>
      <c r="O142" s="25"/>
      <c r="Q142" s="25"/>
      <c r="R142" s="25"/>
      <c r="S142" s="25"/>
      <c r="T142" s="25"/>
      <c r="U142" s="25"/>
      <c r="V142" s="25"/>
      <c r="W142" s="25"/>
      <c r="X142" s="25"/>
    </row>
    <row r="143" spans="1:24" x14ac:dyDescent="0.25">
      <c r="A143" s="18" t="str">
        <f t="shared" si="4"/>
        <v/>
      </c>
      <c r="B143" s="25"/>
      <c r="C143" s="25"/>
      <c r="D143" s="25"/>
      <c r="E143" s="25" t="str">
        <f>IFERROR(IF(ISBLANK(D143),"",INDEX(Gen_Vessels!$A$3:$C$500,MATCH(D143,Gen_Vessels!$C$3:$C$500,0),1)),"")</f>
        <v/>
      </c>
      <c r="F143" s="25"/>
      <c r="G143" s="25"/>
      <c r="H143" s="25" t="str">
        <f>IFERROR(IF(ISBLANK(G143),"",INDEX(Gen_Vessels!$A$3:$C$500,MATCH(G143,Gen_Vessels!$C$3:$C$500,0),1)),"")</f>
        <v/>
      </c>
      <c r="I143" s="25"/>
      <c r="J143" s="25"/>
      <c r="K143" s="25"/>
      <c r="M143" s="25"/>
      <c r="O143" s="25"/>
      <c r="Q143" s="25"/>
      <c r="R143" s="25"/>
      <c r="S143" s="25"/>
      <c r="T143" s="25"/>
      <c r="U143" s="25"/>
      <c r="V143" s="25"/>
      <c r="W143" s="25"/>
      <c r="X143" s="25"/>
    </row>
    <row r="144" spans="1:24" x14ac:dyDescent="0.25">
      <c r="A144" s="18" t="str">
        <f t="shared" si="4"/>
        <v/>
      </c>
      <c r="B144" s="25"/>
      <c r="C144" s="25"/>
      <c r="D144" s="25"/>
      <c r="E144" s="25" t="str">
        <f>IFERROR(IF(ISBLANK(D144),"",INDEX(Gen_Vessels!$A$3:$C$500,MATCH(D144,Gen_Vessels!$C$3:$C$500,0),1)),"")</f>
        <v/>
      </c>
      <c r="F144" s="25"/>
      <c r="G144" s="25"/>
      <c r="H144" s="25" t="str">
        <f>IFERROR(IF(ISBLANK(G144),"",INDEX(Gen_Vessels!$A$3:$C$500,MATCH(G144,Gen_Vessels!$C$3:$C$500,0),1)),"")</f>
        <v/>
      </c>
      <c r="I144" s="25"/>
      <c r="J144" s="25"/>
      <c r="K144" s="25"/>
      <c r="M144" s="25"/>
      <c r="O144" s="25"/>
      <c r="Q144" s="25"/>
      <c r="R144" s="25"/>
      <c r="S144" s="25"/>
      <c r="T144" s="25"/>
      <c r="U144" s="25"/>
      <c r="V144" s="25"/>
      <c r="W144" s="25"/>
      <c r="X144" s="25"/>
    </row>
    <row r="145" spans="1:24" x14ac:dyDescent="0.25">
      <c r="A145" s="18" t="str">
        <f t="shared" si="4"/>
        <v/>
      </c>
      <c r="B145" s="25"/>
      <c r="C145" s="25"/>
      <c r="D145" s="25"/>
      <c r="E145" s="25" t="str">
        <f>IFERROR(IF(ISBLANK(D145),"",INDEX(Gen_Vessels!$A$3:$C$500,MATCH(D145,Gen_Vessels!$C$3:$C$500,0),1)),"")</f>
        <v/>
      </c>
      <c r="F145" s="25"/>
      <c r="G145" s="25"/>
      <c r="H145" s="25" t="str">
        <f>IFERROR(IF(ISBLANK(G145),"",INDEX(Gen_Vessels!$A$3:$C$500,MATCH(G145,Gen_Vessels!$C$3:$C$500,0),1)),"")</f>
        <v/>
      </c>
      <c r="I145" s="25"/>
      <c r="J145" s="25"/>
      <c r="K145" s="25"/>
      <c r="M145" s="25"/>
      <c r="O145" s="25"/>
      <c r="Q145" s="25"/>
      <c r="R145" s="25"/>
      <c r="S145" s="25"/>
      <c r="T145" s="25"/>
      <c r="U145" s="25"/>
      <c r="V145" s="25"/>
      <c r="W145" s="25"/>
      <c r="X145" s="25"/>
    </row>
    <row r="146" spans="1:24" x14ac:dyDescent="0.25">
      <c r="A146" s="18" t="str">
        <f t="shared" si="4"/>
        <v/>
      </c>
      <c r="B146" s="25"/>
      <c r="C146" s="25"/>
      <c r="D146" s="25"/>
      <c r="E146" s="25" t="str">
        <f>IFERROR(IF(ISBLANK(D146),"",INDEX(Gen_Vessels!$A$3:$C$500,MATCH(D146,Gen_Vessels!$C$3:$C$500,0),1)),"")</f>
        <v/>
      </c>
      <c r="F146" s="25"/>
      <c r="G146" s="25"/>
      <c r="H146" s="25" t="str">
        <f>IFERROR(IF(ISBLANK(G146),"",INDEX(Gen_Vessels!$A$3:$C$500,MATCH(G146,Gen_Vessels!$C$3:$C$500,0),1)),"")</f>
        <v/>
      </c>
      <c r="I146" s="25"/>
      <c r="J146" s="25"/>
      <c r="K146" s="25"/>
      <c r="M146" s="25"/>
      <c r="O146" s="25"/>
      <c r="Q146" s="25"/>
      <c r="R146" s="25"/>
      <c r="S146" s="25"/>
      <c r="T146" s="25"/>
      <c r="U146" s="25"/>
      <c r="V146" s="25"/>
      <c r="W146" s="25"/>
      <c r="X146" s="25"/>
    </row>
    <row r="147" spans="1:24" x14ac:dyDescent="0.25">
      <c r="A147" s="18" t="str">
        <f t="shared" si="4"/>
        <v/>
      </c>
      <c r="B147" s="25"/>
      <c r="C147" s="25"/>
      <c r="D147" s="25"/>
      <c r="E147" s="25" t="str">
        <f>IFERROR(IF(ISBLANK(D147),"",INDEX(Gen_Vessels!$A$3:$C$500,MATCH(D147,Gen_Vessels!$C$3:$C$500,0),1)),"")</f>
        <v/>
      </c>
      <c r="F147" s="25"/>
      <c r="G147" s="25"/>
      <c r="H147" s="25" t="str">
        <f>IFERROR(IF(ISBLANK(G147),"",INDEX(Gen_Vessels!$A$3:$C$500,MATCH(G147,Gen_Vessels!$C$3:$C$500,0),1)),"")</f>
        <v/>
      </c>
      <c r="I147" s="25"/>
      <c r="J147" s="25"/>
      <c r="K147" s="25"/>
      <c r="M147" s="25"/>
      <c r="O147" s="25"/>
      <c r="Q147" s="25"/>
      <c r="R147" s="25"/>
      <c r="S147" s="25"/>
      <c r="T147" s="25"/>
      <c r="U147" s="25"/>
      <c r="V147" s="25"/>
      <c r="W147" s="25"/>
      <c r="X147" s="25"/>
    </row>
    <row r="148" spans="1:24" x14ac:dyDescent="0.25">
      <c r="A148" s="18" t="str">
        <f t="shared" si="4"/>
        <v/>
      </c>
      <c r="B148" s="25"/>
      <c r="C148" s="25"/>
      <c r="D148" s="25"/>
      <c r="E148" s="25" t="str">
        <f>IFERROR(IF(ISBLANK(D148),"",INDEX(Gen_Vessels!$A$3:$C$500,MATCH(D148,Gen_Vessels!$C$3:$C$500,0),1)),"")</f>
        <v/>
      </c>
      <c r="F148" s="25"/>
      <c r="G148" s="25"/>
      <c r="H148" s="25" t="str">
        <f>IFERROR(IF(ISBLANK(G148),"",INDEX(Gen_Vessels!$A$3:$C$500,MATCH(G148,Gen_Vessels!$C$3:$C$500,0),1)),"")</f>
        <v/>
      </c>
      <c r="I148" s="25"/>
      <c r="J148" s="25"/>
      <c r="K148" s="25"/>
      <c r="M148" s="25"/>
      <c r="O148" s="25"/>
      <c r="Q148" s="25"/>
      <c r="R148" s="25"/>
      <c r="S148" s="25"/>
      <c r="T148" s="25"/>
      <c r="U148" s="25"/>
      <c r="V148" s="25"/>
      <c r="W148" s="25"/>
      <c r="X148" s="25"/>
    </row>
    <row r="149" spans="1:24" x14ac:dyDescent="0.25">
      <c r="A149" s="18" t="str">
        <f t="shared" si="4"/>
        <v/>
      </c>
      <c r="B149" s="25"/>
      <c r="C149" s="25"/>
      <c r="D149" s="25"/>
      <c r="E149" s="25" t="str">
        <f>IFERROR(IF(ISBLANK(D149),"",INDEX(Gen_Vessels!$A$3:$C$500,MATCH(D149,Gen_Vessels!$C$3:$C$500,0),1)),"")</f>
        <v/>
      </c>
      <c r="F149" s="25"/>
      <c r="G149" s="25"/>
      <c r="H149" s="25" t="str">
        <f>IFERROR(IF(ISBLANK(G149),"",INDEX(Gen_Vessels!$A$3:$C$500,MATCH(G149,Gen_Vessels!$C$3:$C$500,0),1)),"")</f>
        <v/>
      </c>
      <c r="I149" s="25"/>
      <c r="J149" s="25"/>
      <c r="K149" s="25"/>
      <c r="M149" s="25"/>
      <c r="O149" s="25"/>
      <c r="Q149" s="25"/>
      <c r="R149" s="25"/>
      <c r="S149" s="25"/>
      <c r="T149" s="25"/>
      <c r="U149" s="25"/>
      <c r="V149" s="25"/>
      <c r="W149" s="25"/>
      <c r="X149" s="25"/>
    </row>
    <row r="150" spans="1:24" x14ac:dyDescent="0.25">
      <c r="A150" s="18" t="str">
        <f t="shared" si="4"/>
        <v/>
      </c>
      <c r="B150" s="25"/>
      <c r="C150" s="25"/>
      <c r="D150" s="25"/>
      <c r="E150" s="25" t="str">
        <f>IFERROR(IF(ISBLANK(D150),"",INDEX(Gen_Vessels!$A$3:$C$500,MATCH(D150,Gen_Vessels!$C$3:$C$500,0),1)),"")</f>
        <v/>
      </c>
      <c r="F150" s="25"/>
      <c r="G150" s="25"/>
      <c r="H150" s="25" t="str">
        <f>IFERROR(IF(ISBLANK(G150),"",INDEX(Gen_Vessels!$A$3:$C$500,MATCH(G150,Gen_Vessels!$C$3:$C$500,0),1)),"")</f>
        <v/>
      </c>
      <c r="I150" s="25"/>
      <c r="J150" s="25"/>
      <c r="K150" s="25"/>
      <c r="M150" s="25"/>
      <c r="O150" s="25"/>
      <c r="Q150" s="25"/>
      <c r="R150" s="25"/>
      <c r="S150" s="25"/>
      <c r="T150" s="25"/>
      <c r="U150" s="25"/>
      <c r="V150" s="25"/>
      <c r="W150" s="25"/>
      <c r="X150" s="25"/>
    </row>
    <row r="151" spans="1:24" x14ac:dyDescent="0.25">
      <c r="A151" s="18" t="str">
        <f t="shared" si="4"/>
        <v/>
      </c>
      <c r="B151" s="25"/>
      <c r="C151" s="25"/>
      <c r="D151" s="25"/>
      <c r="E151" s="25" t="str">
        <f>IFERROR(IF(ISBLANK(D151),"",INDEX(Gen_Vessels!$A$3:$C$500,MATCH(D151,Gen_Vessels!$C$3:$C$500,0),1)),"")</f>
        <v/>
      </c>
      <c r="F151" s="25"/>
      <c r="G151" s="25"/>
      <c r="H151" s="25" t="str">
        <f>IFERROR(IF(ISBLANK(G151),"",INDEX(Gen_Vessels!$A$3:$C$500,MATCH(G151,Gen_Vessels!$C$3:$C$500,0),1)),"")</f>
        <v/>
      </c>
      <c r="I151" s="25"/>
      <c r="J151" s="25"/>
      <c r="K151" s="25"/>
      <c r="M151" s="25"/>
      <c r="O151" s="25"/>
      <c r="Q151" s="25"/>
      <c r="R151" s="25"/>
      <c r="S151" s="25"/>
      <c r="T151" s="25"/>
      <c r="U151" s="25"/>
      <c r="V151" s="25"/>
      <c r="W151" s="25"/>
      <c r="X151" s="25"/>
    </row>
    <row r="152" spans="1:24" x14ac:dyDescent="0.25">
      <c r="A152" s="18" t="str">
        <f t="shared" si="4"/>
        <v/>
      </c>
      <c r="B152" s="25"/>
      <c r="C152" s="25"/>
      <c r="D152" s="25"/>
      <c r="E152" s="25" t="str">
        <f>IFERROR(IF(ISBLANK(D152),"",INDEX(Gen_Vessels!$A$3:$C$500,MATCH(D152,Gen_Vessels!$C$3:$C$500,0),1)),"")</f>
        <v/>
      </c>
      <c r="F152" s="25"/>
      <c r="G152" s="25"/>
      <c r="H152" s="25" t="str">
        <f>IFERROR(IF(ISBLANK(G152),"",INDEX(Gen_Vessels!$A$3:$C$500,MATCH(G152,Gen_Vessels!$C$3:$C$500,0),1)),"")</f>
        <v/>
      </c>
      <c r="I152" s="25"/>
      <c r="J152" s="25"/>
      <c r="K152" s="25"/>
      <c r="M152" s="25"/>
      <c r="O152" s="25"/>
      <c r="Q152" s="25"/>
      <c r="R152" s="25"/>
      <c r="S152" s="25"/>
      <c r="T152" s="25"/>
      <c r="U152" s="25"/>
      <c r="V152" s="25"/>
      <c r="W152" s="25"/>
      <c r="X152" s="25"/>
    </row>
    <row r="153" spans="1:24" x14ac:dyDescent="0.25">
      <c r="A153" s="18" t="str">
        <f t="shared" si="4"/>
        <v/>
      </c>
      <c r="B153" s="25"/>
      <c r="C153" s="25"/>
      <c r="D153" s="25"/>
      <c r="E153" s="25" t="str">
        <f>IFERROR(IF(ISBLANK(D153),"",INDEX(Gen_Vessels!$A$3:$C$500,MATCH(D153,Gen_Vessels!$C$3:$C$500,0),1)),"")</f>
        <v/>
      </c>
      <c r="F153" s="25"/>
      <c r="G153" s="25"/>
      <c r="H153" s="25" t="str">
        <f>IFERROR(IF(ISBLANK(G153),"",INDEX(Gen_Vessels!$A$3:$C$500,MATCH(G153,Gen_Vessels!$C$3:$C$500,0),1)),"")</f>
        <v/>
      </c>
      <c r="I153" s="25"/>
      <c r="J153" s="25"/>
      <c r="K153" s="25"/>
      <c r="M153" s="25"/>
      <c r="O153" s="25"/>
      <c r="Q153" s="25"/>
      <c r="R153" s="25"/>
      <c r="S153" s="25"/>
      <c r="T153" s="25"/>
      <c r="U153" s="25"/>
      <c r="V153" s="25"/>
      <c r="W153" s="25"/>
      <c r="X153" s="25"/>
    </row>
    <row r="154" spans="1:24" x14ac:dyDescent="0.25">
      <c r="A154" s="18" t="str">
        <f t="shared" si="4"/>
        <v/>
      </c>
      <c r="B154" s="25"/>
      <c r="C154" s="25"/>
      <c r="D154" s="25"/>
      <c r="E154" s="25" t="str">
        <f>IFERROR(IF(ISBLANK(D154),"",INDEX(Gen_Vessels!$A$3:$C$500,MATCH(D154,Gen_Vessels!$C$3:$C$500,0),1)),"")</f>
        <v/>
      </c>
      <c r="F154" s="25"/>
      <c r="G154" s="25"/>
      <c r="H154" s="25" t="str">
        <f>IFERROR(IF(ISBLANK(G154),"",INDEX(Gen_Vessels!$A$3:$C$500,MATCH(G154,Gen_Vessels!$C$3:$C$500,0),1)),"")</f>
        <v/>
      </c>
      <c r="I154" s="25"/>
      <c r="J154" s="25"/>
      <c r="K154" s="25"/>
      <c r="M154" s="25"/>
      <c r="O154" s="25"/>
      <c r="Q154" s="25"/>
      <c r="R154" s="25"/>
      <c r="S154" s="25"/>
      <c r="T154" s="25"/>
      <c r="U154" s="25"/>
      <c r="V154" s="25"/>
      <c r="W154" s="25"/>
      <c r="X154" s="25"/>
    </row>
    <row r="155" spans="1:24" x14ac:dyDescent="0.25">
      <c r="A155" s="18" t="str">
        <f t="shared" si="4"/>
        <v/>
      </c>
      <c r="B155" s="25"/>
      <c r="C155" s="25"/>
      <c r="D155" s="25"/>
      <c r="E155" s="25" t="str">
        <f>IFERROR(IF(ISBLANK(D155),"",INDEX(Gen_Vessels!$A$3:$C$500,MATCH(D155,Gen_Vessels!$C$3:$C$500,0),1)),"")</f>
        <v/>
      </c>
      <c r="F155" s="25"/>
      <c r="G155" s="25"/>
      <c r="H155" s="25" t="str">
        <f>IFERROR(IF(ISBLANK(G155),"",INDEX(Gen_Vessels!$A$3:$C$500,MATCH(G155,Gen_Vessels!$C$3:$C$500,0),1)),"")</f>
        <v/>
      </c>
      <c r="I155" s="25"/>
      <c r="J155" s="25"/>
      <c r="K155" s="25"/>
      <c r="M155" s="25"/>
      <c r="O155" s="25"/>
      <c r="Q155" s="25"/>
      <c r="R155" s="25"/>
      <c r="S155" s="25"/>
      <c r="T155" s="25"/>
      <c r="U155" s="25"/>
      <c r="V155" s="25"/>
      <c r="W155" s="25"/>
      <c r="X155" s="25"/>
    </row>
    <row r="156" spans="1:24" x14ac:dyDescent="0.25">
      <c r="A156" s="18" t="str">
        <f t="shared" si="4"/>
        <v/>
      </c>
      <c r="B156" s="25"/>
      <c r="C156" s="25"/>
      <c r="D156" s="25"/>
      <c r="E156" s="25" t="str">
        <f>IFERROR(IF(ISBLANK(D156),"",INDEX(Gen_Vessels!$A$3:$C$500,MATCH(D156,Gen_Vessels!$C$3:$C$500,0),1)),"")</f>
        <v/>
      </c>
      <c r="F156" s="25"/>
      <c r="G156" s="25"/>
      <c r="H156" s="25" t="str">
        <f>IFERROR(IF(ISBLANK(G156),"",INDEX(Gen_Vessels!$A$3:$C$500,MATCH(G156,Gen_Vessels!$C$3:$C$500,0),1)),"")</f>
        <v/>
      </c>
      <c r="I156" s="25"/>
      <c r="J156" s="25"/>
      <c r="K156" s="25"/>
      <c r="M156" s="25"/>
      <c r="O156" s="25"/>
      <c r="Q156" s="25"/>
      <c r="R156" s="25"/>
      <c r="S156" s="25"/>
      <c r="T156" s="25"/>
      <c r="U156" s="25"/>
      <c r="V156" s="25"/>
      <c r="W156" s="25"/>
      <c r="X156" s="25"/>
    </row>
    <row r="157" spans="1:24" x14ac:dyDescent="0.25">
      <c r="A157" s="18" t="str">
        <f t="shared" si="4"/>
        <v/>
      </c>
      <c r="B157" s="25"/>
      <c r="C157" s="25"/>
      <c r="D157" s="25"/>
      <c r="E157" s="25" t="str">
        <f>IFERROR(IF(ISBLANK(D157),"",INDEX(Gen_Vessels!$A$3:$C$500,MATCH(D157,Gen_Vessels!$C$3:$C$500,0),1)),"")</f>
        <v/>
      </c>
      <c r="F157" s="25"/>
      <c r="G157" s="25"/>
      <c r="H157" s="25" t="str">
        <f>IFERROR(IF(ISBLANK(G157),"",INDEX(Gen_Vessels!$A$3:$C$500,MATCH(G157,Gen_Vessels!$C$3:$C$500,0),1)),"")</f>
        <v/>
      </c>
      <c r="I157" s="25"/>
      <c r="J157" s="25"/>
      <c r="K157" s="25"/>
      <c r="M157" s="25"/>
      <c r="O157" s="25"/>
      <c r="Q157" s="25"/>
      <c r="R157" s="25"/>
      <c r="S157" s="25"/>
      <c r="T157" s="25"/>
      <c r="U157" s="25"/>
      <c r="V157" s="25"/>
      <c r="W157" s="25"/>
      <c r="X157" s="25"/>
    </row>
    <row r="158" spans="1:24" x14ac:dyDescent="0.25">
      <c r="A158" s="18" t="str">
        <f t="shared" si="4"/>
        <v/>
      </c>
      <c r="B158" s="25"/>
      <c r="C158" s="25"/>
      <c r="D158" s="25"/>
      <c r="E158" s="25" t="str">
        <f>IFERROR(IF(ISBLANK(D158),"",INDEX(Gen_Vessels!$A$3:$C$500,MATCH(D158,Gen_Vessels!$C$3:$C$500,0),1)),"")</f>
        <v/>
      </c>
      <c r="F158" s="25"/>
      <c r="G158" s="25"/>
      <c r="H158" s="25" t="str">
        <f>IFERROR(IF(ISBLANK(G158),"",INDEX(Gen_Vessels!$A$3:$C$500,MATCH(G158,Gen_Vessels!$C$3:$C$500,0),1)),"")</f>
        <v/>
      </c>
      <c r="I158" s="25"/>
      <c r="J158" s="25"/>
      <c r="K158" s="25"/>
      <c r="M158" s="25"/>
      <c r="O158" s="25"/>
      <c r="Q158" s="25"/>
      <c r="R158" s="25"/>
      <c r="S158" s="25"/>
      <c r="T158" s="25"/>
      <c r="U158" s="25"/>
      <c r="V158" s="25"/>
      <c r="W158" s="25"/>
      <c r="X158" s="25"/>
    </row>
    <row r="159" spans="1:24" x14ac:dyDescent="0.25">
      <c r="A159" s="18" t="str">
        <f t="shared" si="4"/>
        <v/>
      </c>
      <c r="B159" s="25"/>
      <c r="C159" s="25"/>
      <c r="D159" s="25"/>
      <c r="E159" s="25" t="str">
        <f>IFERROR(IF(ISBLANK(D159),"",INDEX(Gen_Vessels!$A$3:$C$500,MATCH(D159,Gen_Vessels!$C$3:$C$500,0),1)),"")</f>
        <v/>
      </c>
      <c r="F159" s="25"/>
      <c r="G159" s="25"/>
      <c r="H159" s="25" t="str">
        <f>IFERROR(IF(ISBLANK(G159),"",INDEX(Gen_Vessels!$A$3:$C$500,MATCH(G159,Gen_Vessels!$C$3:$C$500,0),1)),"")</f>
        <v/>
      </c>
      <c r="I159" s="25"/>
      <c r="J159" s="25"/>
      <c r="K159" s="25"/>
      <c r="M159" s="25"/>
      <c r="O159" s="25"/>
      <c r="Q159" s="25"/>
      <c r="R159" s="25"/>
      <c r="S159" s="25"/>
      <c r="T159" s="25"/>
      <c r="U159" s="25"/>
      <c r="V159" s="25"/>
      <c r="W159" s="25"/>
      <c r="X159" s="25"/>
    </row>
    <row r="160" spans="1:24" x14ac:dyDescent="0.25">
      <c r="A160" s="18" t="str">
        <f t="shared" si="4"/>
        <v/>
      </c>
      <c r="B160" s="25"/>
      <c r="C160" s="25"/>
      <c r="D160" s="25"/>
      <c r="E160" s="25" t="str">
        <f>IFERROR(IF(ISBLANK(D160),"",INDEX(Gen_Vessels!$A$3:$C$500,MATCH(D160,Gen_Vessels!$C$3:$C$500,0),1)),"")</f>
        <v/>
      </c>
      <c r="F160" s="25"/>
      <c r="G160" s="25"/>
      <c r="H160" s="25" t="str">
        <f>IFERROR(IF(ISBLANK(G160),"",INDEX(Gen_Vessels!$A$3:$C$500,MATCH(G160,Gen_Vessels!$C$3:$C$500,0),1)),"")</f>
        <v/>
      </c>
      <c r="I160" s="25"/>
      <c r="J160" s="25"/>
      <c r="K160" s="25"/>
      <c r="M160" s="25"/>
      <c r="O160" s="25"/>
      <c r="Q160" s="25"/>
      <c r="R160" s="25"/>
      <c r="S160" s="25"/>
      <c r="T160" s="25"/>
      <c r="U160" s="25"/>
      <c r="V160" s="25"/>
      <c r="W160" s="25"/>
      <c r="X160" s="25"/>
    </row>
    <row r="161" spans="1:24" x14ac:dyDescent="0.25">
      <c r="A161" s="18" t="str">
        <f t="shared" si="4"/>
        <v/>
      </c>
      <c r="B161" s="25"/>
      <c r="C161" s="25"/>
      <c r="D161" s="25"/>
      <c r="E161" s="25" t="str">
        <f>IFERROR(IF(ISBLANK(D161),"",INDEX(Gen_Vessels!$A$3:$C$500,MATCH(D161,Gen_Vessels!$C$3:$C$500,0),1)),"")</f>
        <v/>
      </c>
      <c r="F161" s="25"/>
      <c r="G161" s="25"/>
      <c r="H161" s="25" t="str">
        <f>IFERROR(IF(ISBLANK(G161),"",INDEX(Gen_Vessels!$A$3:$C$500,MATCH(G161,Gen_Vessels!$C$3:$C$500,0),1)),"")</f>
        <v/>
      </c>
      <c r="I161" s="25"/>
      <c r="J161" s="25"/>
      <c r="K161" s="25"/>
      <c r="M161" s="25"/>
      <c r="O161" s="25"/>
      <c r="Q161" s="25"/>
      <c r="R161" s="25"/>
      <c r="S161" s="25"/>
      <c r="T161" s="25"/>
      <c r="U161" s="25"/>
      <c r="V161" s="25"/>
      <c r="W161" s="25"/>
      <c r="X161" s="25"/>
    </row>
    <row r="162" spans="1:24" x14ac:dyDescent="0.25">
      <c r="A162" s="18" t="str">
        <f t="shared" si="4"/>
        <v/>
      </c>
      <c r="B162" s="25"/>
      <c r="C162" s="25"/>
      <c r="D162" s="25"/>
      <c r="E162" s="25" t="str">
        <f>IFERROR(IF(ISBLANK(D162),"",INDEX(Gen_Vessels!$A$3:$C$500,MATCH(D162,Gen_Vessels!$C$3:$C$500,0),1)),"")</f>
        <v/>
      </c>
      <c r="F162" s="25"/>
      <c r="G162" s="25"/>
      <c r="H162" s="25" t="str">
        <f>IFERROR(IF(ISBLANK(G162),"",INDEX(Gen_Vessels!$A$3:$C$500,MATCH(G162,Gen_Vessels!$C$3:$C$500,0),1)),"")</f>
        <v/>
      </c>
      <c r="I162" s="25"/>
      <c r="J162" s="25"/>
      <c r="K162" s="25"/>
      <c r="M162" s="25"/>
      <c r="O162" s="25"/>
      <c r="Q162" s="25"/>
      <c r="R162" s="25"/>
      <c r="S162" s="25"/>
      <c r="T162" s="25"/>
      <c r="U162" s="25"/>
      <c r="V162" s="25"/>
      <c r="W162" s="25"/>
      <c r="X162" s="25"/>
    </row>
    <row r="163" spans="1:24" x14ac:dyDescent="0.25">
      <c r="A163" s="18" t="str">
        <f t="shared" si="4"/>
        <v/>
      </c>
      <c r="B163" s="25"/>
      <c r="C163" s="25"/>
      <c r="D163" s="25"/>
      <c r="E163" s="25" t="str">
        <f>IFERROR(IF(ISBLANK(D163),"",INDEX(Gen_Vessels!$A$3:$C$500,MATCH(D163,Gen_Vessels!$C$3:$C$500,0),1)),"")</f>
        <v/>
      </c>
      <c r="F163" s="25"/>
      <c r="G163" s="25"/>
      <c r="H163" s="25" t="str">
        <f>IFERROR(IF(ISBLANK(G163),"",INDEX(Gen_Vessels!$A$3:$C$500,MATCH(G163,Gen_Vessels!$C$3:$C$500,0),1)),"")</f>
        <v/>
      </c>
      <c r="I163" s="25"/>
      <c r="J163" s="25"/>
      <c r="K163" s="25"/>
      <c r="M163" s="25"/>
      <c r="O163" s="25"/>
      <c r="Q163" s="25"/>
      <c r="R163" s="25"/>
      <c r="S163" s="25"/>
      <c r="T163" s="25"/>
      <c r="U163" s="25"/>
      <c r="V163" s="25"/>
      <c r="W163" s="25"/>
      <c r="X163" s="25"/>
    </row>
    <row r="164" spans="1:24" x14ac:dyDescent="0.25">
      <c r="A164" s="18" t="str">
        <f t="shared" si="4"/>
        <v/>
      </c>
      <c r="B164" s="25"/>
      <c r="C164" s="25"/>
      <c r="D164" s="25"/>
      <c r="E164" s="25" t="str">
        <f>IFERROR(IF(ISBLANK(D164),"",INDEX(Gen_Vessels!$A$3:$C$500,MATCH(D164,Gen_Vessels!$C$3:$C$500,0),1)),"")</f>
        <v/>
      </c>
      <c r="F164" s="25"/>
      <c r="G164" s="25"/>
      <c r="H164" s="25" t="str">
        <f>IFERROR(IF(ISBLANK(G164),"",INDEX(Gen_Vessels!$A$3:$C$500,MATCH(G164,Gen_Vessels!$C$3:$C$500,0),1)),"")</f>
        <v/>
      </c>
      <c r="I164" s="25"/>
      <c r="J164" s="25"/>
      <c r="K164" s="25"/>
      <c r="M164" s="25"/>
      <c r="O164" s="25"/>
      <c r="Q164" s="25"/>
      <c r="R164" s="25"/>
      <c r="S164" s="25"/>
      <c r="T164" s="25"/>
      <c r="U164" s="25"/>
      <c r="V164" s="25"/>
      <c r="W164" s="25"/>
      <c r="X164" s="25"/>
    </row>
    <row r="165" spans="1:24" x14ac:dyDescent="0.25">
      <c r="A165" s="18" t="str">
        <f t="shared" si="4"/>
        <v/>
      </c>
      <c r="B165" s="25"/>
      <c r="C165" s="25"/>
      <c r="D165" s="25"/>
      <c r="E165" s="25" t="str">
        <f>IFERROR(IF(ISBLANK(D165),"",INDEX(Gen_Vessels!$A$3:$C$500,MATCH(D165,Gen_Vessels!$C$3:$C$500,0),1)),"")</f>
        <v/>
      </c>
      <c r="F165" s="25"/>
      <c r="G165" s="25"/>
      <c r="H165" s="25" t="str">
        <f>IFERROR(IF(ISBLANK(G165),"",INDEX(Gen_Vessels!$A$3:$C$500,MATCH(G165,Gen_Vessels!$C$3:$C$500,0),1)),"")</f>
        <v/>
      </c>
      <c r="I165" s="25"/>
      <c r="J165" s="25"/>
      <c r="K165" s="25"/>
      <c r="M165" s="25"/>
      <c r="O165" s="25"/>
      <c r="Q165" s="25"/>
      <c r="R165" s="25"/>
      <c r="S165" s="25"/>
      <c r="T165" s="25"/>
      <c r="U165" s="25"/>
      <c r="V165" s="25"/>
      <c r="W165" s="25"/>
      <c r="X165" s="25"/>
    </row>
    <row r="166" spans="1:24" x14ac:dyDescent="0.25">
      <c r="A166" s="18" t="str">
        <f t="shared" si="4"/>
        <v/>
      </c>
      <c r="B166" s="25"/>
      <c r="C166" s="25"/>
      <c r="D166" s="25"/>
      <c r="E166" s="25" t="str">
        <f>IFERROR(IF(ISBLANK(D166),"",INDEX(Gen_Vessels!$A$3:$C$500,MATCH(D166,Gen_Vessels!$C$3:$C$500,0),1)),"")</f>
        <v/>
      </c>
      <c r="F166" s="25"/>
      <c r="G166" s="25"/>
      <c r="H166" s="25" t="str">
        <f>IFERROR(IF(ISBLANK(G166),"",INDEX(Gen_Vessels!$A$3:$C$500,MATCH(G166,Gen_Vessels!$C$3:$C$500,0),1)),"")</f>
        <v/>
      </c>
      <c r="I166" s="25"/>
      <c r="J166" s="25"/>
      <c r="K166" s="25"/>
      <c r="M166" s="25"/>
      <c r="O166" s="25"/>
      <c r="Q166" s="25"/>
      <c r="R166" s="25"/>
      <c r="S166" s="25"/>
      <c r="T166" s="25"/>
      <c r="U166" s="25"/>
      <c r="V166" s="25"/>
      <c r="W166" s="25"/>
      <c r="X166" s="25"/>
    </row>
    <row r="167" spans="1:24" x14ac:dyDescent="0.25">
      <c r="A167" s="18" t="str">
        <f t="shared" si="4"/>
        <v/>
      </c>
      <c r="B167" s="25"/>
      <c r="C167" s="25"/>
      <c r="D167" s="25"/>
      <c r="E167" s="25" t="str">
        <f>IFERROR(IF(ISBLANK(D167),"",INDEX(Gen_Vessels!$A$3:$C$500,MATCH(D167,Gen_Vessels!$C$3:$C$500,0),1)),"")</f>
        <v/>
      </c>
      <c r="F167" s="25"/>
      <c r="G167" s="25"/>
      <c r="H167" s="25" t="str">
        <f>IFERROR(IF(ISBLANK(G167),"",INDEX(Gen_Vessels!$A$3:$C$500,MATCH(G167,Gen_Vessels!$C$3:$C$500,0),1)),"")</f>
        <v/>
      </c>
      <c r="I167" s="25"/>
      <c r="J167" s="25"/>
      <c r="K167" s="25"/>
      <c r="M167" s="25"/>
      <c r="O167" s="25"/>
      <c r="Q167" s="25"/>
      <c r="R167" s="25"/>
      <c r="S167" s="25"/>
      <c r="T167" s="25"/>
      <c r="U167" s="25"/>
      <c r="V167" s="25"/>
      <c r="W167" s="25"/>
      <c r="X167" s="25"/>
    </row>
    <row r="168" spans="1:24" x14ac:dyDescent="0.25">
      <c r="A168" s="18" t="str">
        <f t="shared" si="4"/>
        <v/>
      </c>
      <c r="B168" s="25"/>
      <c r="C168" s="25"/>
      <c r="D168" s="25"/>
      <c r="E168" s="25" t="str">
        <f>IFERROR(IF(ISBLANK(D168),"",INDEX(Gen_Vessels!$A$3:$C$500,MATCH(D168,Gen_Vessels!$C$3:$C$500,0),1)),"")</f>
        <v/>
      </c>
      <c r="F168" s="25"/>
      <c r="G168" s="25"/>
      <c r="H168" s="25" t="str">
        <f>IFERROR(IF(ISBLANK(G168),"",INDEX(Gen_Vessels!$A$3:$C$500,MATCH(G168,Gen_Vessels!$C$3:$C$500,0),1)),"")</f>
        <v/>
      </c>
      <c r="I168" s="25"/>
      <c r="J168" s="25"/>
      <c r="K168" s="25"/>
      <c r="M168" s="25"/>
      <c r="O168" s="25"/>
      <c r="Q168" s="25"/>
      <c r="R168" s="25"/>
      <c r="S168" s="25"/>
      <c r="T168" s="25"/>
      <c r="U168" s="25"/>
      <c r="V168" s="25"/>
      <c r="W168" s="25"/>
      <c r="X168" s="25"/>
    </row>
    <row r="169" spans="1:24" x14ac:dyDescent="0.25">
      <c r="A169" s="18" t="str">
        <f t="shared" si="4"/>
        <v/>
      </c>
      <c r="B169" s="25"/>
      <c r="C169" s="25"/>
      <c r="D169" s="25"/>
      <c r="E169" s="25" t="str">
        <f>IFERROR(IF(ISBLANK(D169),"",INDEX(Gen_Vessels!$A$3:$C$500,MATCH(D169,Gen_Vessels!$C$3:$C$500,0),1)),"")</f>
        <v/>
      </c>
      <c r="F169" s="25"/>
      <c r="G169" s="25"/>
      <c r="H169" s="25" t="str">
        <f>IFERROR(IF(ISBLANK(G169),"",INDEX(Gen_Vessels!$A$3:$C$500,MATCH(G169,Gen_Vessels!$C$3:$C$500,0),1)),"")</f>
        <v/>
      </c>
      <c r="I169" s="25"/>
      <c r="J169" s="25"/>
      <c r="K169" s="25"/>
      <c r="M169" s="25"/>
      <c r="O169" s="25"/>
      <c r="Q169" s="25"/>
      <c r="R169" s="25"/>
      <c r="S169" s="25"/>
      <c r="T169" s="25"/>
      <c r="U169" s="25"/>
      <c r="V169" s="25"/>
      <c r="W169" s="25"/>
      <c r="X169" s="25"/>
    </row>
    <row r="170" spans="1:24" x14ac:dyDescent="0.25">
      <c r="A170" s="18" t="str">
        <f t="shared" si="4"/>
        <v/>
      </c>
      <c r="B170" s="25"/>
      <c r="C170" s="25"/>
      <c r="D170" s="25"/>
      <c r="E170" s="25" t="str">
        <f>IFERROR(IF(ISBLANK(D170),"",INDEX(Gen_Vessels!$A$3:$C$500,MATCH(D170,Gen_Vessels!$C$3:$C$500,0),1)),"")</f>
        <v/>
      </c>
      <c r="F170" s="25"/>
      <c r="G170" s="25"/>
      <c r="H170" s="25" t="str">
        <f>IFERROR(IF(ISBLANK(G170),"",INDEX(Gen_Vessels!$A$3:$C$500,MATCH(G170,Gen_Vessels!$C$3:$C$500,0),1)),"")</f>
        <v/>
      </c>
      <c r="I170" s="25"/>
      <c r="J170" s="25"/>
      <c r="K170" s="25"/>
      <c r="M170" s="25"/>
      <c r="O170" s="25"/>
      <c r="Q170" s="25"/>
      <c r="R170" s="25"/>
      <c r="S170" s="25"/>
      <c r="T170" s="25"/>
      <c r="U170" s="25"/>
      <c r="V170" s="25"/>
      <c r="W170" s="25"/>
      <c r="X170" s="25"/>
    </row>
    <row r="171" spans="1:24" x14ac:dyDescent="0.25">
      <c r="A171" s="18" t="str">
        <f t="shared" si="4"/>
        <v/>
      </c>
      <c r="B171" s="25"/>
      <c r="C171" s="25"/>
      <c r="D171" s="25"/>
      <c r="E171" s="25" t="str">
        <f>IFERROR(IF(ISBLANK(D171),"",INDEX(Gen_Vessels!$A$3:$C$500,MATCH(D171,Gen_Vessels!$C$3:$C$500,0),1)),"")</f>
        <v/>
      </c>
      <c r="F171" s="25"/>
      <c r="G171" s="25"/>
      <c r="H171" s="25" t="str">
        <f>IFERROR(IF(ISBLANK(G171),"",INDEX(Gen_Vessels!$A$3:$C$500,MATCH(G171,Gen_Vessels!$C$3:$C$500,0),1)),"")</f>
        <v/>
      </c>
      <c r="I171" s="25"/>
      <c r="J171" s="25"/>
      <c r="K171" s="25"/>
      <c r="M171" s="25"/>
      <c r="O171" s="25"/>
      <c r="Q171" s="25"/>
      <c r="R171" s="25"/>
      <c r="S171" s="25"/>
      <c r="T171" s="25"/>
      <c r="U171" s="25"/>
      <c r="V171" s="25"/>
      <c r="W171" s="25"/>
      <c r="X171" s="25"/>
    </row>
    <row r="172" spans="1:24" x14ac:dyDescent="0.25">
      <c r="A172" s="18" t="str">
        <f t="shared" si="4"/>
        <v/>
      </c>
      <c r="B172" s="25"/>
      <c r="C172" s="25"/>
      <c r="D172" s="25"/>
      <c r="E172" s="25" t="str">
        <f>IFERROR(IF(ISBLANK(D172),"",INDEX(Gen_Vessels!$A$3:$C$500,MATCH(D172,Gen_Vessels!$C$3:$C$500,0),1)),"")</f>
        <v/>
      </c>
      <c r="F172" s="25"/>
      <c r="G172" s="25"/>
      <c r="H172" s="25" t="str">
        <f>IFERROR(IF(ISBLANK(G172),"",INDEX(Gen_Vessels!$A$3:$C$500,MATCH(G172,Gen_Vessels!$C$3:$C$500,0),1)),"")</f>
        <v/>
      </c>
      <c r="I172" s="25"/>
      <c r="J172" s="25"/>
      <c r="K172" s="25"/>
      <c r="M172" s="25"/>
      <c r="O172" s="25"/>
      <c r="Q172" s="25"/>
      <c r="R172" s="25"/>
      <c r="S172" s="25"/>
      <c r="T172" s="25"/>
      <c r="U172" s="25"/>
      <c r="V172" s="25"/>
      <c r="W172" s="25"/>
      <c r="X172" s="25"/>
    </row>
    <row r="173" spans="1:24" x14ac:dyDescent="0.25">
      <c r="A173" s="18" t="str">
        <f t="shared" si="4"/>
        <v/>
      </c>
      <c r="B173" s="25"/>
      <c r="C173" s="25"/>
      <c r="D173" s="25"/>
      <c r="E173" s="25" t="str">
        <f>IFERROR(IF(ISBLANK(D173),"",INDEX(Gen_Vessels!$A$3:$C$500,MATCH(D173,Gen_Vessels!$C$3:$C$500,0),1)),"")</f>
        <v/>
      </c>
      <c r="F173" s="25"/>
      <c r="G173" s="25"/>
      <c r="H173" s="25" t="str">
        <f>IFERROR(IF(ISBLANK(G173),"",INDEX(Gen_Vessels!$A$3:$C$500,MATCH(G173,Gen_Vessels!$C$3:$C$500,0),1)),"")</f>
        <v/>
      </c>
      <c r="I173" s="25"/>
      <c r="J173" s="25"/>
      <c r="K173" s="25"/>
      <c r="M173" s="25"/>
      <c r="O173" s="25"/>
      <c r="Q173" s="25"/>
      <c r="R173" s="25"/>
      <c r="S173" s="25"/>
      <c r="T173" s="25"/>
      <c r="U173" s="25"/>
      <c r="V173" s="25"/>
      <c r="W173" s="25"/>
      <c r="X173" s="25"/>
    </row>
    <row r="174" spans="1:24" x14ac:dyDescent="0.25">
      <c r="A174" s="18" t="str">
        <f t="shared" si="4"/>
        <v/>
      </c>
      <c r="B174" s="25"/>
      <c r="C174" s="25"/>
      <c r="D174" s="25"/>
      <c r="E174" s="25" t="str">
        <f>IFERROR(IF(ISBLANK(D174),"",INDEX(Gen_Vessels!$A$3:$C$500,MATCH(D174,Gen_Vessels!$C$3:$C$500,0),1)),"")</f>
        <v/>
      </c>
      <c r="F174" s="25"/>
      <c r="G174" s="25"/>
      <c r="H174" s="25" t="str">
        <f>IFERROR(IF(ISBLANK(G174),"",INDEX(Gen_Vessels!$A$3:$C$500,MATCH(G174,Gen_Vessels!$C$3:$C$500,0),1)),"")</f>
        <v/>
      </c>
      <c r="I174" s="25"/>
      <c r="J174" s="25"/>
      <c r="K174" s="25"/>
      <c r="M174" s="25"/>
      <c r="O174" s="25"/>
      <c r="Q174" s="25"/>
      <c r="R174" s="25"/>
      <c r="S174" s="25"/>
      <c r="T174" s="25"/>
      <c r="U174" s="25"/>
      <c r="V174" s="25"/>
      <c r="W174" s="25"/>
      <c r="X174" s="25"/>
    </row>
    <row r="175" spans="1:24" x14ac:dyDescent="0.25">
      <c r="A175" s="18" t="str">
        <f t="shared" si="4"/>
        <v/>
      </c>
      <c r="B175" s="25"/>
      <c r="C175" s="25"/>
      <c r="D175" s="25"/>
      <c r="E175" s="25" t="str">
        <f>IFERROR(IF(ISBLANK(D175),"",INDEX(Gen_Vessels!$A$3:$C$500,MATCH(D175,Gen_Vessels!$C$3:$C$500,0),1)),"")</f>
        <v/>
      </c>
      <c r="F175" s="25"/>
      <c r="G175" s="25"/>
      <c r="H175" s="25" t="str">
        <f>IFERROR(IF(ISBLANK(G175),"",INDEX(Gen_Vessels!$A$3:$C$500,MATCH(G175,Gen_Vessels!$C$3:$C$500,0),1)),"")</f>
        <v/>
      </c>
      <c r="I175" s="25"/>
      <c r="J175" s="25"/>
      <c r="K175" s="25"/>
      <c r="M175" s="25"/>
      <c r="O175" s="25"/>
      <c r="Q175" s="25"/>
      <c r="R175" s="25"/>
      <c r="S175" s="25"/>
      <c r="T175" s="25"/>
      <c r="U175" s="25"/>
      <c r="V175" s="25"/>
      <c r="W175" s="25"/>
      <c r="X175" s="25"/>
    </row>
    <row r="176" spans="1:24" x14ac:dyDescent="0.25">
      <c r="A176" s="18" t="str">
        <f t="shared" si="4"/>
        <v/>
      </c>
      <c r="B176" s="25"/>
      <c r="C176" s="25"/>
      <c r="D176" s="25"/>
      <c r="E176" s="25" t="str">
        <f>IFERROR(IF(ISBLANK(D176),"",INDEX(Gen_Vessels!$A$3:$C$500,MATCH(D176,Gen_Vessels!$C$3:$C$500,0),1)),"")</f>
        <v/>
      </c>
      <c r="F176" s="25"/>
      <c r="G176" s="25"/>
      <c r="H176" s="25" t="str">
        <f>IFERROR(IF(ISBLANK(G176),"",INDEX(Gen_Vessels!$A$3:$C$500,MATCH(G176,Gen_Vessels!$C$3:$C$500,0),1)),"")</f>
        <v/>
      </c>
      <c r="I176" s="25"/>
      <c r="J176" s="25"/>
      <c r="K176" s="25"/>
      <c r="M176" s="25"/>
      <c r="O176" s="25"/>
      <c r="Q176" s="25"/>
      <c r="R176" s="25"/>
      <c r="S176" s="25"/>
      <c r="T176" s="25"/>
      <c r="U176" s="25"/>
      <c r="V176" s="25"/>
      <c r="W176" s="25"/>
      <c r="X176" s="25"/>
    </row>
    <row r="177" spans="1:24" x14ac:dyDescent="0.25">
      <c r="A177" s="18" t="str">
        <f t="shared" si="4"/>
        <v/>
      </c>
      <c r="B177" s="25"/>
      <c r="C177" s="25"/>
      <c r="D177" s="25"/>
      <c r="E177" s="25" t="str">
        <f>IFERROR(IF(ISBLANK(D177),"",INDEX(Gen_Vessels!$A$3:$C$500,MATCH(D177,Gen_Vessels!$C$3:$C$500,0),1)),"")</f>
        <v/>
      </c>
      <c r="F177" s="25"/>
      <c r="G177" s="25"/>
      <c r="H177" s="25" t="str">
        <f>IFERROR(IF(ISBLANK(G177),"",INDEX(Gen_Vessels!$A$3:$C$500,MATCH(G177,Gen_Vessels!$C$3:$C$500,0),1)),"")</f>
        <v/>
      </c>
      <c r="I177" s="25"/>
      <c r="J177" s="25"/>
      <c r="K177" s="25"/>
      <c r="M177" s="25"/>
      <c r="O177" s="25"/>
      <c r="Q177" s="25"/>
      <c r="R177" s="25"/>
      <c r="S177" s="25"/>
      <c r="T177" s="25"/>
      <c r="U177" s="25"/>
      <c r="V177" s="25"/>
      <c r="W177" s="25"/>
      <c r="X177" s="25"/>
    </row>
    <row r="178" spans="1:24" x14ac:dyDescent="0.25">
      <c r="A178" s="18" t="str">
        <f t="shared" si="4"/>
        <v/>
      </c>
      <c r="B178" s="25"/>
      <c r="C178" s="25"/>
      <c r="D178" s="25"/>
      <c r="E178" s="25" t="str">
        <f>IFERROR(IF(ISBLANK(D178),"",INDEX(Gen_Vessels!$A$3:$C$500,MATCH(D178,Gen_Vessels!$C$3:$C$500,0),1)),"")</f>
        <v/>
      </c>
      <c r="F178" s="25"/>
      <c r="G178" s="25"/>
      <c r="H178" s="25" t="str">
        <f>IFERROR(IF(ISBLANK(G178),"",INDEX(Gen_Vessels!$A$3:$C$500,MATCH(G178,Gen_Vessels!$C$3:$C$500,0),1)),"")</f>
        <v/>
      </c>
      <c r="I178" s="25"/>
      <c r="J178" s="25"/>
      <c r="K178" s="25"/>
      <c r="M178" s="25"/>
      <c r="O178" s="25"/>
      <c r="Q178" s="25"/>
      <c r="R178" s="25"/>
      <c r="S178" s="25"/>
      <c r="T178" s="25"/>
      <c r="U178" s="25"/>
      <c r="V178" s="25"/>
      <c r="W178" s="25"/>
      <c r="X178" s="25"/>
    </row>
    <row r="179" spans="1:24" x14ac:dyDescent="0.25">
      <c r="A179" s="18" t="str">
        <f t="shared" si="4"/>
        <v/>
      </c>
      <c r="B179" s="25"/>
      <c r="C179" s="25"/>
      <c r="D179" s="25"/>
      <c r="E179" s="25" t="str">
        <f>IFERROR(IF(ISBLANK(D179),"",INDEX(Gen_Vessels!$A$3:$C$500,MATCH(D179,Gen_Vessels!$C$3:$C$500,0),1)),"")</f>
        <v/>
      </c>
      <c r="F179" s="25"/>
      <c r="G179" s="25"/>
      <c r="H179" s="25" t="str">
        <f>IFERROR(IF(ISBLANK(G179),"",INDEX(Gen_Vessels!$A$3:$C$500,MATCH(G179,Gen_Vessels!$C$3:$C$500,0),1)),"")</f>
        <v/>
      </c>
      <c r="I179" s="25"/>
      <c r="J179" s="25"/>
      <c r="K179" s="25"/>
      <c r="M179" s="25"/>
      <c r="O179" s="25"/>
      <c r="Q179" s="25"/>
      <c r="R179" s="25"/>
      <c r="S179" s="25"/>
      <c r="T179" s="25"/>
      <c r="U179" s="25"/>
      <c r="V179" s="25"/>
      <c r="W179" s="25"/>
      <c r="X179" s="25"/>
    </row>
    <row r="180" spans="1:24" x14ac:dyDescent="0.25">
      <c r="A180" s="18" t="str">
        <f t="shared" si="4"/>
        <v/>
      </c>
      <c r="B180" s="25"/>
      <c r="C180" s="25"/>
      <c r="D180" s="25"/>
      <c r="E180" s="25" t="str">
        <f>IFERROR(IF(ISBLANK(D180),"",INDEX(Gen_Vessels!$A$3:$C$500,MATCH(D180,Gen_Vessels!$C$3:$C$500,0),1)),"")</f>
        <v/>
      </c>
      <c r="F180" s="25"/>
      <c r="G180" s="25"/>
      <c r="H180" s="25" t="str">
        <f>IFERROR(IF(ISBLANK(G180),"",INDEX(Gen_Vessels!$A$3:$C$500,MATCH(G180,Gen_Vessels!$C$3:$C$500,0),1)),"")</f>
        <v/>
      </c>
      <c r="I180" s="25"/>
      <c r="J180" s="25"/>
      <c r="K180" s="25"/>
      <c r="M180" s="25"/>
      <c r="O180" s="25"/>
      <c r="Q180" s="25"/>
      <c r="R180" s="25"/>
      <c r="S180" s="25"/>
      <c r="T180" s="25"/>
      <c r="U180" s="25"/>
      <c r="V180" s="25"/>
      <c r="W180" s="25"/>
      <c r="X180" s="25"/>
    </row>
    <row r="181" spans="1:24" x14ac:dyDescent="0.25">
      <c r="A181" s="18" t="str">
        <f t="shared" si="4"/>
        <v/>
      </c>
      <c r="B181" s="25"/>
      <c r="C181" s="25"/>
      <c r="D181" s="25"/>
      <c r="E181" s="25" t="str">
        <f>IFERROR(IF(ISBLANK(D181),"",INDEX(Gen_Vessels!$A$3:$C$500,MATCH(D181,Gen_Vessels!$C$3:$C$500,0),1)),"")</f>
        <v/>
      </c>
      <c r="F181" s="25"/>
      <c r="G181" s="25"/>
      <c r="H181" s="25" t="str">
        <f>IFERROR(IF(ISBLANK(G181),"",INDEX(Gen_Vessels!$A$3:$C$500,MATCH(G181,Gen_Vessels!$C$3:$C$500,0),1)),"")</f>
        <v/>
      </c>
      <c r="I181" s="25"/>
      <c r="J181" s="25"/>
      <c r="K181" s="25"/>
      <c r="M181" s="25"/>
      <c r="O181" s="25"/>
      <c r="Q181" s="25"/>
      <c r="R181" s="25"/>
      <c r="S181" s="25"/>
      <c r="T181" s="25"/>
      <c r="U181" s="25"/>
      <c r="V181" s="25"/>
      <c r="W181" s="25"/>
      <c r="X181" s="25"/>
    </row>
    <row r="182" spans="1:24" x14ac:dyDescent="0.25">
      <c r="A182" s="18" t="str">
        <f t="shared" si="4"/>
        <v/>
      </c>
      <c r="B182" s="25"/>
      <c r="C182" s="25"/>
      <c r="D182" s="25"/>
      <c r="E182" s="25" t="str">
        <f>IFERROR(IF(ISBLANK(D182),"",INDEX(Gen_Vessels!$A$3:$C$500,MATCH(D182,Gen_Vessels!$C$3:$C$500,0),1)),"")</f>
        <v/>
      </c>
      <c r="F182" s="25"/>
      <c r="G182" s="25"/>
      <c r="H182" s="25" t="str">
        <f>IFERROR(IF(ISBLANK(G182),"",INDEX(Gen_Vessels!$A$3:$C$500,MATCH(G182,Gen_Vessels!$C$3:$C$500,0),1)),"")</f>
        <v/>
      </c>
      <c r="I182" s="25"/>
      <c r="J182" s="25"/>
      <c r="K182" s="25"/>
      <c r="M182" s="25"/>
      <c r="O182" s="25"/>
      <c r="Q182" s="25"/>
      <c r="R182" s="25"/>
      <c r="S182" s="25"/>
      <c r="T182" s="25"/>
      <c r="U182" s="25"/>
      <c r="V182" s="25"/>
      <c r="W182" s="25"/>
      <c r="X182" s="25"/>
    </row>
    <row r="183" spans="1:24" x14ac:dyDescent="0.25">
      <c r="A183" s="18" t="str">
        <f t="shared" si="4"/>
        <v/>
      </c>
      <c r="B183" s="25"/>
      <c r="C183" s="25"/>
      <c r="D183" s="25"/>
      <c r="E183" s="25" t="str">
        <f>IFERROR(IF(ISBLANK(D183),"",INDEX(Gen_Vessels!$A$3:$C$500,MATCH(D183,Gen_Vessels!$C$3:$C$500,0),1)),"")</f>
        <v/>
      </c>
      <c r="F183" s="25"/>
      <c r="G183" s="25"/>
      <c r="H183" s="25" t="str">
        <f>IFERROR(IF(ISBLANK(G183),"",INDEX(Gen_Vessels!$A$3:$C$500,MATCH(G183,Gen_Vessels!$C$3:$C$500,0),1)),"")</f>
        <v/>
      </c>
      <c r="I183" s="25"/>
      <c r="J183" s="25"/>
      <c r="K183" s="25"/>
      <c r="M183" s="25"/>
      <c r="O183" s="25"/>
      <c r="Q183" s="25"/>
      <c r="R183" s="25"/>
      <c r="S183" s="25"/>
      <c r="T183" s="25"/>
      <c r="U183" s="25"/>
      <c r="V183" s="25"/>
      <c r="W183" s="25"/>
      <c r="X183" s="25"/>
    </row>
    <row r="184" spans="1:24" x14ac:dyDescent="0.25">
      <c r="A184" s="18" t="str">
        <f t="shared" si="4"/>
        <v/>
      </c>
      <c r="B184" s="25"/>
      <c r="C184" s="25"/>
      <c r="D184" s="25"/>
      <c r="E184" s="25" t="str">
        <f>IFERROR(IF(ISBLANK(D184),"",INDEX(Gen_Vessels!$A$3:$C$500,MATCH(D184,Gen_Vessels!$C$3:$C$500,0),1)),"")</f>
        <v/>
      </c>
      <c r="F184" s="25"/>
      <c r="G184" s="25"/>
      <c r="H184" s="25" t="str">
        <f>IFERROR(IF(ISBLANK(G184),"",INDEX(Gen_Vessels!$A$3:$C$500,MATCH(G184,Gen_Vessels!$C$3:$C$500,0),1)),"")</f>
        <v/>
      </c>
      <c r="I184" s="25"/>
      <c r="J184" s="25"/>
      <c r="K184" s="25"/>
      <c r="M184" s="25"/>
      <c r="O184" s="25"/>
      <c r="Q184" s="25"/>
      <c r="R184" s="25"/>
      <c r="S184" s="25"/>
      <c r="T184" s="25"/>
      <c r="U184" s="25"/>
      <c r="V184" s="25"/>
      <c r="W184" s="25"/>
      <c r="X184" s="25"/>
    </row>
    <row r="185" spans="1:24" x14ac:dyDescent="0.25">
      <c r="A185" s="18" t="str">
        <f t="shared" si="4"/>
        <v/>
      </c>
      <c r="B185" s="25"/>
      <c r="C185" s="25"/>
      <c r="D185" s="25"/>
      <c r="E185" s="25" t="str">
        <f>IFERROR(IF(ISBLANK(D185),"",INDEX(Gen_Vessels!$A$3:$C$500,MATCH(D185,Gen_Vessels!$C$3:$C$500,0),1)),"")</f>
        <v/>
      </c>
      <c r="F185" s="25"/>
      <c r="G185" s="25"/>
      <c r="H185" s="25" t="str">
        <f>IFERROR(IF(ISBLANK(G185),"",INDEX(Gen_Vessels!$A$3:$C$500,MATCH(G185,Gen_Vessels!$C$3:$C$500,0),1)),"")</f>
        <v/>
      </c>
      <c r="I185" s="25"/>
      <c r="J185" s="25"/>
      <c r="K185" s="25"/>
      <c r="M185" s="25"/>
      <c r="O185" s="25"/>
      <c r="Q185" s="25"/>
      <c r="R185" s="25"/>
      <c r="S185" s="25"/>
      <c r="T185" s="25"/>
      <c r="U185" s="25"/>
      <c r="V185" s="25"/>
      <c r="W185" s="25"/>
      <c r="X185" s="25"/>
    </row>
    <row r="186" spans="1:24" x14ac:dyDescent="0.25">
      <c r="A186" s="18" t="str">
        <f t="shared" si="4"/>
        <v/>
      </c>
      <c r="B186" s="25"/>
      <c r="C186" s="25"/>
      <c r="D186" s="25"/>
      <c r="E186" s="25" t="str">
        <f>IFERROR(IF(ISBLANK(D186),"",INDEX(Gen_Vessels!$A$3:$C$500,MATCH(D186,Gen_Vessels!$C$3:$C$500,0),1)),"")</f>
        <v/>
      </c>
      <c r="F186" s="25"/>
      <c r="G186" s="25"/>
      <c r="H186" s="25" t="str">
        <f>IFERROR(IF(ISBLANK(G186),"",INDEX(Gen_Vessels!$A$3:$C$500,MATCH(G186,Gen_Vessels!$C$3:$C$500,0),1)),"")</f>
        <v/>
      </c>
      <c r="I186" s="25"/>
      <c r="J186" s="25"/>
      <c r="K186" s="25"/>
      <c r="M186" s="25"/>
      <c r="O186" s="25"/>
      <c r="Q186" s="25"/>
      <c r="R186" s="25"/>
      <c r="S186" s="25"/>
      <c r="T186" s="25"/>
      <c r="U186" s="25"/>
      <c r="V186" s="25"/>
      <c r="W186" s="25"/>
      <c r="X186" s="25"/>
    </row>
    <row r="187" spans="1:24" x14ac:dyDescent="0.25">
      <c r="A187" s="18" t="str">
        <f t="shared" si="4"/>
        <v/>
      </c>
      <c r="B187" s="25"/>
      <c r="C187" s="25"/>
      <c r="D187" s="25"/>
      <c r="E187" s="25" t="str">
        <f>IFERROR(IF(ISBLANK(D187),"",INDEX(Gen_Vessels!$A$3:$C$500,MATCH(D187,Gen_Vessels!$C$3:$C$500,0),1)),"")</f>
        <v/>
      </c>
      <c r="F187" s="25"/>
      <c r="G187" s="25"/>
      <c r="H187" s="25" t="str">
        <f>IFERROR(IF(ISBLANK(G187),"",INDEX(Gen_Vessels!$A$3:$C$500,MATCH(G187,Gen_Vessels!$C$3:$C$500,0),1)),"")</f>
        <v/>
      </c>
      <c r="I187" s="25"/>
      <c r="J187" s="25"/>
      <c r="K187" s="25"/>
      <c r="M187" s="25"/>
      <c r="O187" s="25"/>
      <c r="Q187" s="25"/>
      <c r="R187" s="25"/>
      <c r="S187" s="25"/>
      <c r="T187" s="25"/>
      <c r="U187" s="25"/>
      <c r="V187" s="25"/>
      <c r="W187" s="25"/>
      <c r="X187" s="25"/>
    </row>
    <row r="188" spans="1:24" x14ac:dyDescent="0.25">
      <c r="A188" s="18" t="str">
        <f t="shared" si="4"/>
        <v/>
      </c>
      <c r="B188" s="25"/>
      <c r="C188" s="25"/>
      <c r="D188" s="25"/>
      <c r="E188" s="25" t="str">
        <f>IFERROR(IF(ISBLANK(D188),"",INDEX(Gen_Vessels!$A$3:$C$500,MATCH(D188,Gen_Vessels!$C$3:$C$500,0),1)),"")</f>
        <v/>
      </c>
      <c r="F188" s="25"/>
      <c r="G188" s="25"/>
      <c r="H188" s="25" t="str">
        <f>IFERROR(IF(ISBLANK(G188),"",INDEX(Gen_Vessels!$A$3:$C$500,MATCH(G188,Gen_Vessels!$C$3:$C$500,0),1)),"")</f>
        <v/>
      </c>
      <c r="I188" s="25"/>
      <c r="J188" s="25"/>
      <c r="K188" s="25"/>
      <c r="M188" s="25"/>
      <c r="O188" s="25"/>
      <c r="Q188" s="25"/>
      <c r="R188" s="25"/>
      <c r="S188" s="25"/>
      <c r="T188" s="25"/>
      <c r="U188" s="25"/>
      <c r="V188" s="25"/>
      <c r="W188" s="25"/>
      <c r="X188" s="25"/>
    </row>
    <row r="189" spans="1:24" x14ac:dyDescent="0.25">
      <c r="A189" s="18" t="str">
        <f t="shared" si="4"/>
        <v/>
      </c>
      <c r="B189" s="25"/>
      <c r="C189" s="25"/>
      <c r="D189" s="25"/>
      <c r="E189" s="25" t="str">
        <f>IFERROR(IF(ISBLANK(D189),"",INDEX(Gen_Vessels!$A$3:$C$500,MATCH(D189,Gen_Vessels!$C$3:$C$500,0),1)),"")</f>
        <v/>
      </c>
      <c r="F189" s="25"/>
      <c r="G189" s="25"/>
      <c r="H189" s="25" t="str">
        <f>IFERROR(IF(ISBLANK(G189),"",INDEX(Gen_Vessels!$A$3:$C$500,MATCH(G189,Gen_Vessels!$C$3:$C$500,0),1)),"")</f>
        <v/>
      </c>
      <c r="I189" s="25"/>
      <c r="J189" s="25"/>
      <c r="K189" s="25"/>
      <c r="M189" s="25"/>
      <c r="O189" s="25"/>
      <c r="Q189" s="25"/>
      <c r="R189" s="25"/>
      <c r="S189" s="25"/>
      <c r="T189" s="25"/>
      <c r="U189" s="25"/>
      <c r="V189" s="25"/>
      <c r="W189" s="25"/>
      <c r="X189" s="25"/>
    </row>
    <row r="190" spans="1:24" x14ac:dyDescent="0.25">
      <c r="A190" s="18" t="str">
        <f t="shared" si="4"/>
        <v/>
      </c>
      <c r="B190" s="25"/>
      <c r="C190" s="25"/>
      <c r="D190" s="25"/>
      <c r="E190" s="25" t="str">
        <f>IFERROR(IF(ISBLANK(D190),"",INDEX(Gen_Vessels!$A$3:$C$500,MATCH(D190,Gen_Vessels!$C$3:$C$500,0),1)),"")</f>
        <v/>
      </c>
      <c r="F190" s="25"/>
      <c r="G190" s="25"/>
      <c r="H190" s="25" t="str">
        <f>IFERROR(IF(ISBLANK(G190),"",INDEX(Gen_Vessels!$A$3:$C$500,MATCH(G190,Gen_Vessels!$C$3:$C$500,0),1)),"")</f>
        <v/>
      </c>
      <c r="I190" s="25"/>
      <c r="J190" s="25"/>
      <c r="K190" s="25"/>
      <c r="M190" s="25"/>
      <c r="O190" s="25"/>
      <c r="Q190" s="25"/>
      <c r="R190" s="25"/>
      <c r="S190" s="25"/>
      <c r="T190" s="25"/>
      <c r="U190" s="25"/>
      <c r="V190" s="25"/>
      <c r="W190" s="25"/>
      <c r="X190" s="25"/>
    </row>
    <row r="191" spans="1:24" x14ac:dyDescent="0.25">
      <c r="A191" s="18" t="str">
        <f t="shared" si="4"/>
        <v/>
      </c>
      <c r="B191" s="25"/>
      <c r="C191" s="25"/>
      <c r="D191" s="25"/>
      <c r="E191" s="25" t="str">
        <f>IFERROR(IF(ISBLANK(D191),"",INDEX(Gen_Vessels!$A$3:$C$500,MATCH(D191,Gen_Vessels!$C$3:$C$500,0),1)),"")</f>
        <v/>
      </c>
      <c r="F191" s="25"/>
      <c r="G191" s="25"/>
      <c r="H191" s="25" t="str">
        <f>IFERROR(IF(ISBLANK(G191),"",INDEX(Gen_Vessels!$A$3:$C$500,MATCH(G191,Gen_Vessels!$C$3:$C$500,0),1)),"")</f>
        <v/>
      </c>
      <c r="I191" s="25"/>
      <c r="J191" s="25"/>
      <c r="K191" s="25"/>
      <c r="M191" s="25"/>
      <c r="O191" s="25"/>
      <c r="Q191" s="25"/>
      <c r="R191" s="25"/>
      <c r="S191" s="25"/>
      <c r="T191" s="25"/>
      <c r="U191" s="25"/>
      <c r="V191" s="25"/>
      <c r="W191" s="25"/>
      <c r="X191" s="25"/>
    </row>
    <row r="192" spans="1:24" x14ac:dyDescent="0.25">
      <c r="A192" s="18" t="str">
        <f t="shared" si="4"/>
        <v/>
      </c>
      <c r="B192" s="25"/>
      <c r="C192" s="25"/>
      <c r="D192" s="25"/>
      <c r="E192" s="25" t="str">
        <f>IFERROR(IF(ISBLANK(D192),"",INDEX(Gen_Vessels!$A$3:$C$500,MATCH(D192,Gen_Vessels!$C$3:$C$500,0),1)),"")</f>
        <v/>
      </c>
      <c r="F192" s="25"/>
      <c r="G192" s="25"/>
      <c r="H192" s="25" t="str">
        <f>IFERROR(IF(ISBLANK(G192),"",INDEX(Gen_Vessels!$A$3:$C$500,MATCH(G192,Gen_Vessels!$C$3:$C$500,0),1)),"")</f>
        <v/>
      </c>
      <c r="I192" s="25"/>
      <c r="J192" s="25"/>
      <c r="K192" s="25"/>
      <c r="M192" s="25"/>
      <c r="O192" s="25"/>
      <c r="Q192" s="25"/>
      <c r="R192" s="25"/>
      <c r="S192" s="25"/>
      <c r="T192" s="25"/>
      <c r="U192" s="25"/>
      <c r="V192" s="25"/>
      <c r="W192" s="25"/>
      <c r="X192" s="25"/>
    </row>
    <row r="193" spans="1:24" x14ac:dyDescent="0.25">
      <c r="A193" s="18" t="str">
        <f t="shared" si="4"/>
        <v/>
      </c>
      <c r="B193" s="25"/>
      <c r="C193" s="25"/>
      <c r="D193" s="25"/>
      <c r="E193" s="25" t="str">
        <f>IFERROR(IF(ISBLANK(D193),"",INDEX(Gen_Vessels!$A$3:$C$500,MATCH(D193,Gen_Vessels!$C$3:$C$500,0),1)),"")</f>
        <v/>
      </c>
      <c r="F193" s="25"/>
      <c r="G193" s="25"/>
      <c r="H193" s="25" t="str">
        <f>IFERROR(IF(ISBLANK(G193),"",INDEX(Gen_Vessels!$A$3:$C$500,MATCH(G193,Gen_Vessels!$C$3:$C$500,0),1)),"")</f>
        <v/>
      </c>
      <c r="I193" s="25"/>
      <c r="J193" s="25"/>
      <c r="K193" s="25"/>
      <c r="M193" s="25"/>
      <c r="O193" s="25"/>
      <c r="Q193" s="25"/>
      <c r="R193" s="25"/>
      <c r="S193" s="25"/>
      <c r="T193" s="25"/>
      <c r="U193" s="25"/>
      <c r="V193" s="25"/>
      <c r="W193" s="25"/>
      <c r="X193" s="25"/>
    </row>
    <row r="194" spans="1:24" x14ac:dyDescent="0.25">
      <c r="A194" s="18" t="str">
        <f t="shared" si="4"/>
        <v/>
      </c>
      <c r="B194" s="25"/>
      <c r="C194" s="25"/>
      <c r="D194" s="25"/>
      <c r="E194" s="25" t="str">
        <f>IFERROR(IF(ISBLANK(D194),"",INDEX(Gen_Vessels!$A$3:$C$500,MATCH(D194,Gen_Vessels!$C$3:$C$500,0),1)),"")</f>
        <v/>
      </c>
      <c r="F194" s="25"/>
      <c r="G194" s="25"/>
      <c r="H194" s="25" t="str">
        <f>IFERROR(IF(ISBLANK(G194),"",INDEX(Gen_Vessels!$A$3:$C$500,MATCH(G194,Gen_Vessels!$C$3:$C$500,0),1)),"")</f>
        <v/>
      </c>
      <c r="I194" s="25"/>
      <c r="J194" s="25"/>
      <c r="K194" s="25"/>
      <c r="M194" s="25"/>
      <c r="O194" s="25"/>
      <c r="Q194" s="25"/>
      <c r="R194" s="25"/>
      <c r="S194" s="25"/>
      <c r="T194" s="25"/>
      <c r="U194" s="25"/>
      <c r="V194" s="25"/>
      <c r="W194" s="25"/>
      <c r="X194" s="25"/>
    </row>
    <row r="195" spans="1:24" x14ac:dyDescent="0.25">
      <c r="A195" s="18" t="str">
        <f t="shared" si="4"/>
        <v/>
      </c>
      <c r="B195" s="25"/>
      <c r="C195" s="25"/>
      <c r="D195" s="25"/>
      <c r="E195" s="25" t="str">
        <f>IFERROR(IF(ISBLANK(D195),"",INDEX(Gen_Vessels!$A$3:$C$500,MATCH(D195,Gen_Vessels!$C$3:$C$500,0),1)),"")</f>
        <v/>
      </c>
      <c r="F195" s="25"/>
      <c r="G195" s="25"/>
      <c r="H195" s="25" t="str">
        <f>IFERROR(IF(ISBLANK(G195),"",INDEX(Gen_Vessels!$A$3:$C$500,MATCH(G195,Gen_Vessels!$C$3:$C$500,0),1)),"")</f>
        <v/>
      </c>
      <c r="I195" s="25"/>
      <c r="J195" s="25"/>
      <c r="K195" s="25"/>
      <c r="M195" s="25"/>
      <c r="O195" s="25"/>
      <c r="Q195" s="25"/>
      <c r="R195" s="25"/>
      <c r="S195" s="25"/>
      <c r="T195" s="25"/>
      <c r="U195" s="25"/>
      <c r="V195" s="25"/>
      <c r="W195" s="25"/>
      <c r="X195" s="25"/>
    </row>
    <row r="196" spans="1:24" x14ac:dyDescent="0.25">
      <c r="A196" s="18" t="str">
        <f t="shared" ref="A196:A259" si="5">IF(ISBLANK($B196)=FALSE,_xlfn.CONCAT($B196,"_tow"),"")</f>
        <v/>
      </c>
      <c r="B196" s="25"/>
      <c r="C196" s="25"/>
      <c r="D196" s="25"/>
      <c r="E196" s="25" t="str">
        <f>IFERROR(IF(ISBLANK(D196),"",INDEX(Gen_Vessels!$A$3:$C$500,MATCH(D196,Gen_Vessels!$C$3:$C$500,0),1)),"")</f>
        <v/>
      </c>
      <c r="F196" s="25"/>
      <c r="G196" s="25"/>
      <c r="H196" s="25" t="str">
        <f>IFERROR(IF(ISBLANK(G196),"",INDEX(Gen_Vessels!$A$3:$C$500,MATCH(G196,Gen_Vessels!$C$3:$C$500,0),1)),"")</f>
        <v/>
      </c>
      <c r="I196" s="25"/>
      <c r="J196" s="25"/>
      <c r="K196" s="25"/>
      <c r="M196" s="25"/>
      <c r="O196" s="25"/>
      <c r="Q196" s="25"/>
      <c r="R196" s="25"/>
      <c r="S196" s="25"/>
      <c r="T196" s="25"/>
      <c r="U196" s="25"/>
      <c r="V196" s="25"/>
      <c r="W196" s="25"/>
      <c r="X196" s="25"/>
    </row>
    <row r="197" spans="1:24" x14ac:dyDescent="0.25">
      <c r="A197" s="18" t="str">
        <f t="shared" si="5"/>
        <v/>
      </c>
      <c r="B197" s="25"/>
      <c r="C197" s="25"/>
      <c r="D197" s="25"/>
      <c r="E197" s="25" t="str">
        <f>IFERROR(IF(ISBLANK(D197),"",INDEX(Gen_Vessels!$A$3:$C$500,MATCH(D197,Gen_Vessels!$C$3:$C$500,0),1)),"")</f>
        <v/>
      </c>
      <c r="F197" s="25"/>
      <c r="G197" s="25"/>
      <c r="H197" s="25" t="str">
        <f>IFERROR(IF(ISBLANK(G197),"",INDEX(Gen_Vessels!$A$3:$C$500,MATCH(G197,Gen_Vessels!$C$3:$C$500,0),1)),"")</f>
        <v/>
      </c>
      <c r="I197" s="25"/>
      <c r="J197" s="25"/>
      <c r="K197" s="25"/>
      <c r="M197" s="25"/>
      <c r="O197" s="25"/>
      <c r="Q197" s="25"/>
      <c r="R197" s="25"/>
      <c r="S197" s="25"/>
      <c r="T197" s="25"/>
      <c r="U197" s="25"/>
      <c r="V197" s="25"/>
      <c r="W197" s="25"/>
      <c r="X197" s="25"/>
    </row>
    <row r="198" spans="1:24" x14ac:dyDescent="0.25">
      <c r="A198" s="18" t="str">
        <f t="shared" si="5"/>
        <v/>
      </c>
      <c r="B198" s="25"/>
      <c r="C198" s="25"/>
      <c r="D198" s="25"/>
      <c r="E198" s="25" t="str">
        <f>IFERROR(IF(ISBLANK(D198),"",INDEX(Gen_Vessels!$A$3:$C$500,MATCH(D198,Gen_Vessels!$C$3:$C$500,0),1)),"")</f>
        <v/>
      </c>
      <c r="F198" s="25"/>
      <c r="G198" s="25"/>
      <c r="H198" s="25" t="str">
        <f>IFERROR(IF(ISBLANK(G198),"",INDEX(Gen_Vessels!$A$3:$C$500,MATCH(G198,Gen_Vessels!$C$3:$C$500,0),1)),"")</f>
        <v/>
      </c>
      <c r="I198" s="25"/>
      <c r="J198" s="25"/>
      <c r="K198" s="25"/>
      <c r="M198" s="25"/>
      <c r="O198" s="25"/>
      <c r="Q198" s="25"/>
      <c r="R198" s="25"/>
      <c r="S198" s="25"/>
      <c r="T198" s="25"/>
      <c r="U198" s="25"/>
      <c r="V198" s="25"/>
      <c r="W198" s="25"/>
      <c r="X198" s="25"/>
    </row>
    <row r="199" spans="1:24" x14ac:dyDescent="0.25">
      <c r="A199" s="18" t="str">
        <f t="shared" si="5"/>
        <v/>
      </c>
      <c r="B199" s="25"/>
      <c r="C199" s="25"/>
      <c r="D199" s="25"/>
      <c r="E199" s="25" t="str">
        <f>IFERROR(IF(ISBLANK(D199),"",INDEX(Gen_Vessels!$A$3:$C$500,MATCH(D199,Gen_Vessels!$C$3:$C$500,0),1)),"")</f>
        <v/>
      </c>
      <c r="F199" s="25"/>
      <c r="G199" s="25"/>
      <c r="H199" s="25" t="str">
        <f>IFERROR(IF(ISBLANK(G199),"",INDEX(Gen_Vessels!$A$3:$C$500,MATCH(G199,Gen_Vessels!$C$3:$C$500,0),1)),"")</f>
        <v/>
      </c>
      <c r="I199" s="25"/>
      <c r="J199" s="25"/>
      <c r="K199" s="25"/>
      <c r="M199" s="25"/>
      <c r="O199" s="25"/>
      <c r="Q199" s="25"/>
      <c r="R199" s="25"/>
      <c r="S199" s="25"/>
      <c r="T199" s="25"/>
      <c r="U199" s="25"/>
      <c r="V199" s="25"/>
      <c r="W199" s="25"/>
      <c r="X199" s="25"/>
    </row>
    <row r="200" spans="1:24" x14ac:dyDescent="0.25">
      <c r="A200" s="18" t="str">
        <f t="shared" si="5"/>
        <v/>
      </c>
      <c r="B200" s="25"/>
      <c r="C200" s="25"/>
      <c r="D200" s="25"/>
      <c r="E200" s="25" t="str">
        <f>IFERROR(IF(ISBLANK(D200),"",INDEX(Gen_Vessels!$A$3:$C$500,MATCH(D200,Gen_Vessels!$C$3:$C$500,0),1)),"")</f>
        <v/>
      </c>
      <c r="F200" s="25"/>
      <c r="G200" s="25"/>
      <c r="H200" s="25" t="str">
        <f>IFERROR(IF(ISBLANK(G200),"",INDEX(Gen_Vessels!$A$3:$C$500,MATCH(G200,Gen_Vessels!$C$3:$C$500,0),1)),"")</f>
        <v/>
      </c>
      <c r="I200" s="25"/>
      <c r="J200" s="25"/>
      <c r="K200" s="25"/>
      <c r="M200" s="25"/>
      <c r="O200" s="25"/>
      <c r="Q200" s="25"/>
      <c r="R200" s="25"/>
      <c r="S200" s="25"/>
      <c r="T200" s="25"/>
      <c r="U200" s="25"/>
      <c r="V200" s="25"/>
      <c r="W200" s="25"/>
      <c r="X200" s="25"/>
    </row>
    <row r="201" spans="1:24" x14ac:dyDescent="0.25">
      <c r="A201" s="18" t="str">
        <f t="shared" si="5"/>
        <v/>
      </c>
      <c r="B201" s="25"/>
      <c r="C201" s="25"/>
      <c r="D201" s="25"/>
      <c r="E201" s="25" t="str">
        <f>IFERROR(IF(ISBLANK(D201),"",INDEX(Gen_Vessels!$A$3:$C$500,MATCH(D201,Gen_Vessels!$C$3:$C$500,0),1)),"")</f>
        <v/>
      </c>
      <c r="F201" s="25"/>
      <c r="G201" s="25"/>
      <c r="H201" s="25" t="str">
        <f>IFERROR(IF(ISBLANK(G201),"",INDEX(Gen_Vessels!$A$3:$C$500,MATCH(G201,Gen_Vessels!$C$3:$C$500,0),1)),"")</f>
        <v/>
      </c>
      <c r="I201" s="25"/>
      <c r="J201" s="25"/>
      <c r="K201" s="25"/>
      <c r="M201" s="25"/>
      <c r="O201" s="25"/>
      <c r="Q201" s="25"/>
      <c r="R201" s="25"/>
      <c r="S201" s="25"/>
      <c r="T201" s="25"/>
      <c r="U201" s="25"/>
      <c r="V201" s="25"/>
      <c r="W201" s="25"/>
      <c r="X201" s="25"/>
    </row>
    <row r="202" spans="1:24" x14ac:dyDescent="0.25">
      <c r="A202" s="18" t="str">
        <f t="shared" si="5"/>
        <v/>
      </c>
      <c r="B202" s="25"/>
      <c r="C202" s="25"/>
      <c r="D202" s="25"/>
      <c r="E202" s="25" t="str">
        <f>IFERROR(IF(ISBLANK(D202),"",INDEX(Gen_Vessels!$A$3:$C$500,MATCH(D202,Gen_Vessels!$C$3:$C$500,0),1)),"")</f>
        <v/>
      </c>
      <c r="F202" s="25"/>
      <c r="G202" s="25"/>
      <c r="H202" s="25" t="str">
        <f>IFERROR(IF(ISBLANK(G202),"",INDEX(Gen_Vessels!$A$3:$C$500,MATCH(G202,Gen_Vessels!$C$3:$C$500,0),1)),"")</f>
        <v/>
      </c>
      <c r="I202" s="25"/>
      <c r="J202" s="25"/>
      <c r="K202" s="25"/>
      <c r="M202" s="25"/>
      <c r="O202" s="25"/>
      <c r="Q202" s="25"/>
      <c r="R202" s="25"/>
      <c r="S202" s="25"/>
      <c r="T202" s="25"/>
      <c r="U202" s="25"/>
      <c r="V202" s="25"/>
      <c r="W202" s="25"/>
      <c r="X202" s="25"/>
    </row>
    <row r="203" spans="1:24" x14ac:dyDescent="0.25">
      <c r="A203" s="18" t="str">
        <f t="shared" si="5"/>
        <v/>
      </c>
      <c r="B203" s="25"/>
      <c r="C203" s="25"/>
      <c r="D203" s="25"/>
      <c r="E203" s="25" t="str">
        <f>IFERROR(IF(ISBLANK(D203),"",INDEX(Gen_Vessels!$A$3:$C$500,MATCH(D203,Gen_Vessels!$C$3:$C$500,0),1)),"")</f>
        <v/>
      </c>
      <c r="F203" s="25"/>
      <c r="G203" s="25"/>
      <c r="H203" s="25" t="str">
        <f>IFERROR(IF(ISBLANK(G203),"",INDEX(Gen_Vessels!$A$3:$C$500,MATCH(G203,Gen_Vessels!$C$3:$C$500,0),1)),"")</f>
        <v/>
      </c>
      <c r="I203" s="25"/>
      <c r="J203" s="25"/>
      <c r="K203" s="25"/>
      <c r="M203" s="25"/>
      <c r="O203" s="25"/>
      <c r="Q203" s="25"/>
      <c r="R203" s="25"/>
      <c r="S203" s="25"/>
      <c r="T203" s="25"/>
      <c r="U203" s="25"/>
      <c r="V203" s="25"/>
      <c r="W203" s="25"/>
      <c r="X203" s="25"/>
    </row>
    <row r="204" spans="1:24" x14ac:dyDescent="0.25">
      <c r="A204" s="18" t="str">
        <f t="shared" si="5"/>
        <v/>
      </c>
      <c r="B204" s="25"/>
      <c r="C204" s="25"/>
      <c r="D204" s="25"/>
      <c r="E204" s="25" t="str">
        <f>IFERROR(IF(ISBLANK(D204),"",INDEX(Gen_Vessels!$A$3:$C$500,MATCH(D204,Gen_Vessels!$C$3:$C$500,0),1)),"")</f>
        <v/>
      </c>
      <c r="F204" s="25"/>
      <c r="G204" s="25"/>
      <c r="H204" s="25" t="str">
        <f>IFERROR(IF(ISBLANK(G204),"",INDEX(Gen_Vessels!$A$3:$C$500,MATCH(G204,Gen_Vessels!$C$3:$C$500,0),1)),"")</f>
        <v/>
      </c>
      <c r="I204" s="25"/>
      <c r="J204" s="25"/>
      <c r="K204" s="25"/>
      <c r="M204" s="25"/>
      <c r="O204" s="25"/>
      <c r="Q204" s="25"/>
      <c r="R204" s="25"/>
      <c r="S204" s="25"/>
      <c r="T204" s="25"/>
      <c r="U204" s="25"/>
      <c r="V204" s="25"/>
      <c r="W204" s="25"/>
      <c r="X204" s="25"/>
    </row>
    <row r="205" spans="1:24" x14ac:dyDescent="0.25">
      <c r="A205" s="18" t="str">
        <f t="shared" si="5"/>
        <v/>
      </c>
      <c r="B205" s="25"/>
      <c r="C205" s="25"/>
      <c r="D205" s="25"/>
      <c r="E205" s="25" t="str">
        <f>IFERROR(IF(ISBLANK(D205),"",INDEX(Gen_Vessels!$A$3:$C$500,MATCH(D205,Gen_Vessels!$C$3:$C$500,0),1)),"")</f>
        <v/>
      </c>
      <c r="F205" s="25"/>
      <c r="G205" s="25"/>
      <c r="H205" s="25" t="str">
        <f>IFERROR(IF(ISBLANK(G205),"",INDEX(Gen_Vessels!$A$3:$C$500,MATCH(G205,Gen_Vessels!$C$3:$C$500,0),1)),"")</f>
        <v/>
      </c>
      <c r="I205" s="25"/>
      <c r="J205" s="25"/>
      <c r="K205" s="25"/>
      <c r="M205" s="25"/>
      <c r="O205" s="25"/>
      <c r="Q205" s="25"/>
      <c r="R205" s="25"/>
      <c r="S205" s="25"/>
      <c r="T205" s="25"/>
      <c r="U205" s="25"/>
      <c r="V205" s="25"/>
      <c r="W205" s="25"/>
      <c r="X205" s="25"/>
    </row>
    <row r="206" spans="1:24" x14ac:dyDescent="0.25">
      <c r="A206" s="18" t="str">
        <f t="shared" si="5"/>
        <v/>
      </c>
      <c r="B206" s="25"/>
      <c r="C206" s="25"/>
      <c r="D206" s="25"/>
      <c r="E206" s="25" t="str">
        <f>IFERROR(IF(ISBLANK(D206),"",INDEX(Gen_Vessels!$A$3:$C$500,MATCH(D206,Gen_Vessels!$C$3:$C$500,0),1)),"")</f>
        <v/>
      </c>
      <c r="F206" s="25"/>
      <c r="G206" s="25"/>
      <c r="H206" s="25" t="str">
        <f>IFERROR(IF(ISBLANK(G206),"",INDEX(Gen_Vessels!$A$3:$C$500,MATCH(G206,Gen_Vessels!$C$3:$C$500,0),1)),"")</f>
        <v/>
      </c>
      <c r="I206" s="25"/>
      <c r="J206" s="25"/>
      <c r="K206" s="25"/>
      <c r="M206" s="25"/>
      <c r="O206" s="25"/>
      <c r="Q206" s="25"/>
      <c r="R206" s="25"/>
      <c r="S206" s="25"/>
      <c r="T206" s="25"/>
      <c r="U206" s="25"/>
      <c r="V206" s="25"/>
      <c r="W206" s="25"/>
      <c r="X206" s="25"/>
    </row>
    <row r="207" spans="1:24" x14ac:dyDescent="0.25">
      <c r="A207" s="18" t="str">
        <f t="shared" si="5"/>
        <v/>
      </c>
      <c r="B207" s="25"/>
      <c r="C207" s="25"/>
      <c r="D207" s="25"/>
      <c r="E207" s="25" t="str">
        <f>IFERROR(IF(ISBLANK(D207),"",INDEX(Gen_Vessels!$A$3:$C$500,MATCH(D207,Gen_Vessels!$C$3:$C$500,0),1)),"")</f>
        <v/>
      </c>
      <c r="F207" s="25"/>
      <c r="G207" s="25"/>
      <c r="H207" s="25" t="str">
        <f>IFERROR(IF(ISBLANK(G207),"",INDEX(Gen_Vessels!$A$3:$C$500,MATCH(G207,Gen_Vessels!$C$3:$C$500,0),1)),"")</f>
        <v/>
      </c>
      <c r="I207" s="25"/>
      <c r="J207" s="25"/>
      <c r="K207" s="25"/>
      <c r="M207" s="25"/>
      <c r="O207" s="25"/>
      <c r="Q207" s="25"/>
      <c r="R207" s="25"/>
      <c r="S207" s="25"/>
      <c r="T207" s="25"/>
      <c r="U207" s="25"/>
      <c r="V207" s="25"/>
      <c r="W207" s="25"/>
      <c r="X207" s="25"/>
    </row>
    <row r="208" spans="1:24" x14ac:dyDescent="0.25">
      <c r="A208" s="18" t="str">
        <f t="shared" si="5"/>
        <v/>
      </c>
      <c r="B208" s="25"/>
      <c r="C208" s="25"/>
      <c r="D208" s="25"/>
      <c r="E208" s="25" t="str">
        <f>IFERROR(IF(ISBLANK(D208),"",INDEX(Gen_Vessels!$A$3:$C$500,MATCH(D208,Gen_Vessels!$C$3:$C$500,0),1)),"")</f>
        <v/>
      </c>
      <c r="F208" s="25"/>
      <c r="G208" s="25"/>
      <c r="H208" s="25" t="str">
        <f>IFERROR(IF(ISBLANK(G208),"",INDEX(Gen_Vessels!$A$3:$C$500,MATCH(G208,Gen_Vessels!$C$3:$C$500,0),1)),"")</f>
        <v/>
      </c>
      <c r="I208" s="25"/>
      <c r="J208" s="25"/>
      <c r="K208" s="25"/>
      <c r="M208" s="25"/>
      <c r="O208" s="25"/>
      <c r="Q208" s="25"/>
      <c r="R208" s="25"/>
      <c r="S208" s="25"/>
      <c r="T208" s="25"/>
      <c r="U208" s="25"/>
      <c r="V208" s="25"/>
      <c r="W208" s="25"/>
      <c r="X208" s="25"/>
    </row>
    <row r="209" spans="1:24" x14ac:dyDescent="0.25">
      <c r="A209" s="18" t="str">
        <f t="shared" si="5"/>
        <v/>
      </c>
      <c r="B209" s="25"/>
      <c r="C209" s="25"/>
      <c r="D209" s="25"/>
      <c r="E209" s="25" t="str">
        <f>IFERROR(IF(ISBLANK(D209),"",INDEX(Gen_Vessels!$A$3:$C$500,MATCH(D209,Gen_Vessels!$C$3:$C$500,0),1)),"")</f>
        <v/>
      </c>
      <c r="F209" s="25"/>
      <c r="G209" s="25"/>
      <c r="H209" s="25" t="str">
        <f>IFERROR(IF(ISBLANK(G209),"",INDEX(Gen_Vessels!$A$3:$C$500,MATCH(G209,Gen_Vessels!$C$3:$C$500,0),1)),"")</f>
        <v/>
      </c>
      <c r="I209" s="25"/>
      <c r="J209" s="25"/>
      <c r="K209" s="25"/>
      <c r="M209" s="25"/>
      <c r="O209" s="25"/>
      <c r="Q209" s="25"/>
      <c r="R209" s="25"/>
      <c r="S209" s="25"/>
      <c r="T209" s="25"/>
      <c r="U209" s="25"/>
      <c r="V209" s="25"/>
      <c r="W209" s="25"/>
      <c r="X209" s="25"/>
    </row>
    <row r="210" spans="1:24" x14ac:dyDescent="0.25">
      <c r="A210" s="18" t="str">
        <f t="shared" si="5"/>
        <v/>
      </c>
      <c r="B210" s="25"/>
      <c r="C210" s="25"/>
      <c r="D210" s="25"/>
      <c r="E210" s="25" t="str">
        <f>IFERROR(IF(ISBLANK(D210),"",INDEX(Gen_Vessels!$A$3:$C$500,MATCH(D210,Gen_Vessels!$C$3:$C$500,0),1)),"")</f>
        <v/>
      </c>
      <c r="F210" s="25"/>
      <c r="G210" s="25"/>
      <c r="H210" s="25" t="str">
        <f>IFERROR(IF(ISBLANK(G210),"",INDEX(Gen_Vessels!$A$3:$C$500,MATCH(G210,Gen_Vessels!$C$3:$C$500,0),1)),"")</f>
        <v/>
      </c>
      <c r="I210" s="25"/>
      <c r="J210" s="25"/>
      <c r="K210" s="25"/>
      <c r="M210" s="25"/>
      <c r="O210" s="25"/>
      <c r="Q210" s="25"/>
      <c r="R210" s="25"/>
      <c r="S210" s="25"/>
      <c r="T210" s="25"/>
      <c r="U210" s="25"/>
      <c r="V210" s="25"/>
      <c r="W210" s="25"/>
      <c r="X210" s="25"/>
    </row>
    <row r="211" spans="1:24" x14ac:dyDescent="0.25">
      <c r="A211" s="18" t="str">
        <f t="shared" si="5"/>
        <v/>
      </c>
      <c r="B211" s="25"/>
      <c r="C211" s="25"/>
      <c r="D211" s="25"/>
      <c r="E211" s="25" t="str">
        <f>IFERROR(IF(ISBLANK(D211),"",INDEX(Gen_Vessels!$A$3:$C$500,MATCH(D211,Gen_Vessels!$C$3:$C$500,0),1)),"")</f>
        <v/>
      </c>
      <c r="F211" s="25"/>
      <c r="G211" s="25"/>
      <c r="H211" s="25" t="str">
        <f>IFERROR(IF(ISBLANK(G211),"",INDEX(Gen_Vessels!$A$3:$C$500,MATCH(G211,Gen_Vessels!$C$3:$C$500,0),1)),"")</f>
        <v/>
      </c>
      <c r="I211" s="25"/>
      <c r="J211" s="25"/>
      <c r="K211" s="25"/>
      <c r="M211" s="25"/>
      <c r="O211" s="25"/>
      <c r="Q211" s="25"/>
      <c r="R211" s="25"/>
      <c r="S211" s="25"/>
      <c r="T211" s="25"/>
      <c r="U211" s="25"/>
      <c r="V211" s="25"/>
      <c r="W211" s="25"/>
      <c r="X211" s="25"/>
    </row>
    <row r="212" spans="1:24" x14ac:dyDescent="0.25">
      <c r="A212" s="18" t="str">
        <f t="shared" si="5"/>
        <v/>
      </c>
      <c r="B212" s="25"/>
      <c r="C212" s="25"/>
      <c r="D212" s="25"/>
      <c r="E212" s="25" t="str">
        <f>IFERROR(IF(ISBLANK(D212),"",INDEX(Gen_Vessels!$A$3:$C$500,MATCH(D212,Gen_Vessels!$C$3:$C$500,0),1)),"")</f>
        <v/>
      </c>
      <c r="F212" s="25"/>
      <c r="G212" s="25"/>
      <c r="H212" s="25" t="str">
        <f>IFERROR(IF(ISBLANK(G212),"",INDEX(Gen_Vessels!$A$3:$C$500,MATCH(G212,Gen_Vessels!$C$3:$C$500,0),1)),"")</f>
        <v/>
      </c>
      <c r="I212" s="25"/>
      <c r="J212" s="25"/>
      <c r="K212" s="25"/>
      <c r="M212" s="25"/>
      <c r="O212" s="25"/>
      <c r="Q212" s="25"/>
      <c r="R212" s="25"/>
      <c r="S212" s="25"/>
      <c r="T212" s="25"/>
      <c r="U212" s="25"/>
      <c r="V212" s="25"/>
      <c r="W212" s="25"/>
      <c r="X212" s="25"/>
    </row>
    <row r="213" spans="1:24" x14ac:dyDescent="0.25">
      <c r="A213" s="18" t="str">
        <f t="shared" si="5"/>
        <v/>
      </c>
      <c r="B213" s="25"/>
      <c r="C213" s="25"/>
      <c r="D213" s="25"/>
      <c r="E213" s="25" t="str">
        <f>IFERROR(IF(ISBLANK(D213),"",INDEX(Gen_Vessels!$A$3:$C$500,MATCH(D213,Gen_Vessels!$C$3:$C$500,0),1)),"")</f>
        <v/>
      </c>
      <c r="F213" s="25"/>
      <c r="G213" s="25"/>
      <c r="H213" s="25" t="str">
        <f>IFERROR(IF(ISBLANK(G213),"",INDEX(Gen_Vessels!$A$3:$C$500,MATCH(G213,Gen_Vessels!$C$3:$C$500,0),1)),"")</f>
        <v/>
      </c>
      <c r="I213" s="25"/>
      <c r="J213" s="25"/>
      <c r="K213" s="25"/>
      <c r="M213" s="25"/>
      <c r="O213" s="25"/>
      <c r="Q213" s="25"/>
      <c r="R213" s="25"/>
      <c r="S213" s="25"/>
      <c r="T213" s="25"/>
      <c r="U213" s="25"/>
      <c r="V213" s="25"/>
      <c r="W213" s="25"/>
      <c r="X213" s="25"/>
    </row>
    <row r="214" spans="1:24" x14ac:dyDescent="0.25">
      <c r="A214" s="18" t="str">
        <f t="shared" si="5"/>
        <v/>
      </c>
      <c r="B214" s="25"/>
      <c r="C214" s="25"/>
      <c r="D214" s="25"/>
      <c r="E214" s="25" t="str">
        <f>IFERROR(IF(ISBLANK(D214),"",INDEX(Gen_Vessels!$A$3:$C$500,MATCH(D214,Gen_Vessels!$C$3:$C$500,0),1)),"")</f>
        <v/>
      </c>
      <c r="F214" s="25"/>
      <c r="G214" s="25"/>
      <c r="H214" s="25" t="str">
        <f>IFERROR(IF(ISBLANK(G214),"",INDEX(Gen_Vessels!$A$3:$C$500,MATCH(G214,Gen_Vessels!$C$3:$C$500,0),1)),"")</f>
        <v/>
      </c>
      <c r="I214" s="25"/>
      <c r="J214" s="25"/>
      <c r="K214" s="25"/>
      <c r="M214" s="25"/>
      <c r="O214" s="25"/>
      <c r="Q214" s="25"/>
      <c r="R214" s="25"/>
      <c r="S214" s="25"/>
      <c r="T214" s="25"/>
      <c r="U214" s="25"/>
      <c r="V214" s="25"/>
      <c r="W214" s="25"/>
      <c r="X214" s="25"/>
    </row>
    <row r="215" spans="1:24" x14ac:dyDescent="0.25">
      <c r="A215" s="18" t="str">
        <f t="shared" si="5"/>
        <v/>
      </c>
      <c r="B215" s="25"/>
      <c r="C215" s="25"/>
      <c r="D215" s="25"/>
      <c r="E215" s="25" t="str">
        <f>IFERROR(IF(ISBLANK(D215),"",INDEX(Gen_Vessels!$A$3:$C$500,MATCH(D215,Gen_Vessels!$C$3:$C$500,0),1)),"")</f>
        <v/>
      </c>
      <c r="F215" s="25"/>
      <c r="G215" s="25"/>
      <c r="H215" s="25" t="str">
        <f>IFERROR(IF(ISBLANK(G215),"",INDEX(Gen_Vessels!$A$3:$C$500,MATCH(G215,Gen_Vessels!$C$3:$C$500,0),1)),"")</f>
        <v/>
      </c>
      <c r="I215" s="25"/>
      <c r="J215" s="25"/>
      <c r="K215" s="25"/>
      <c r="M215" s="25"/>
      <c r="O215" s="25"/>
      <c r="Q215" s="25"/>
      <c r="R215" s="25"/>
      <c r="S215" s="25"/>
      <c r="T215" s="25"/>
      <c r="U215" s="25"/>
      <c r="V215" s="25"/>
      <c r="W215" s="25"/>
      <c r="X215" s="25"/>
    </row>
    <row r="216" spans="1:24" x14ac:dyDescent="0.25">
      <c r="A216" s="18" t="str">
        <f t="shared" si="5"/>
        <v/>
      </c>
      <c r="B216" s="25"/>
      <c r="C216" s="25"/>
      <c r="D216" s="25"/>
      <c r="E216" s="25" t="str">
        <f>IFERROR(IF(ISBLANK(D216),"",INDEX(Gen_Vessels!$A$3:$C$500,MATCH(D216,Gen_Vessels!$C$3:$C$500,0),1)),"")</f>
        <v/>
      </c>
      <c r="F216" s="25"/>
      <c r="G216" s="25"/>
      <c r="H216" s="25" t="str">
        <f>IFERROR(IF(ISBLANK(G216),"",INDEX(Gen_Vessels!$A$3:$C$500,MATCH(G216,Gen_Vessels!$C$3:$C$500,0),1)),"")</f>
        <v/>
      </c>
      <c r="I216" s="25"/>
      <c r="J216" s="25"/>
      <c r="K216" s="25"/>
      <c r="M216" s="25"/>
      <c r="O216" s="25"/>
      <c r="Q216" s="25"/>
      <c r="R216" s="25"/>
      <c r="S216" s="25"/>
      <c r="T216" s="25"/>
      <c r="U216" s="25"/>
      <c r="V216" s="25"/>
      <c r="W216" s="25"/>
      <c r="X216" s="25"/>
    </row>
    <row r="217" spans="1:24" x14ac:dyDescent="0.25">
      <c r="A217" s="18" t="str">
        <f t="shared" si="5"/>
        <v/>
      </c>
      <c r="B217" s="25"/>
      <c r="C217" s="25"/>
      <c r="D217" s="25"/>
      <c r="E217" s="25" t="str">
        <f>IFERROR(IF(ISBLANK(D217),"",INDEX(Gen_Vessels!$A$3:$C$500,MATCH(D217,Gen_Vessels!$C$3:$C$500,0),1)),"")</f>
        <v/>
      </c>
      <c r="F217" s="25"/>
      <c r="G217" s="25"/>
      <c r="H217" s="25" t="str">
        <f>IFERROR(IF(ISBLANK(G217),"",INDEX(Gen_Vessels!$A$3:$C$500,MATCH(G217,Gen_Vessels!$C$3:$C$500,0),1)),"")</f>
        <v/>
      </c>
      <c r="I217" s="25"/>
      <c r="J217" s="25"/>
      <c r="K217" s="25"/>
      <c r="M217" s="25"/>
      <c r="O217" s="25"/>
      <c r="Q217" s="25"/>
      <c r="R217" s="25"/>
      <c r="S217" s="25"/>
      <c r="T217" s="25"/>
      <c r="U217" s="25"/>
      <c r="V217" s="25"/>
      <c r="W217" s="25"/>
      <c r="X217" s="25"/>
    </row>
    <row r="218" spans="1:24" x14ac:dyDescent="0.25">
      <c r="A218" s="18" t="str">
        <f t="shared" si="5"/>
        <v/>
      </c>
      <c r="B218" s="25"/>
      <c r="C218" s="25"/>
      <c r="D218" s="25"/>
      <c r="E218" s="25" t="str">
        <f>IFERROR(IF(ISBLANK(D218),"",INDEX(Gen_Vessels!$A$3:$C$500,MATCH(D218,Gen_Vessels!$C$3:$C$500,0),1)),"")</f>
        <v/>
      </c>
      <c r="F218" s="25"/>
      <c r="G218" s="25"/>
      <c r="H218" s="25" t="str">
        <f>IFERROR(IF(ISBLANK(G218),"",INDEX(Gen_Vessels!$A$3:$C$500,MATCH(G218,Gen_Vessels!$C$3:$C$500,0),1)),"")</f>
        <v/>
      </c>
      <c r="I218" s="25"/>
      <c r="J218" s="25"/>
      <c r="K218" s="25"/>
      <c r="M218" s="25"/>
      <c r="O218" s="25"/>
      <c r="Q218" s="25"/>
      <c r="R218" s="25"/>
      <c r="S218" s="25"/>
      <c r="T218" s="25"/>
      <c r="U218" s="25"/>
      <c r="V218" s="25"/>
      <c r="W218" s="25"/>
      <c r="X218" s="25"/>
    </row>
    <row r="219" spans="1:24" x14ac:dyDescent="0.25">
      <c r="A219" s="18" t="str">
        <f t="shared" si="5"/>
        <v/>
      </c>
      <c r="B219" s="25"/>
      <c r="C219" s="25"/>
      <c r="D219" s="25"/>
      <c r="E219" s="25" t="str">
        <f>IFERROR(IF(ISBLANK(D219),"",INDEX(Gen_Vessels!$A$3:$C$500,MATCH(D219,Gen_Vessels!$C$3:$C$500,0),1)),"")</f>
        <v/>
      </c>
      <c r="F219" s="25"/>
      <c r="G219" s="25"/>
      <c r="H219" s="25" t="str">
        <f>IFERROR(IF(ISBLANK(G219),"",INDEX(Gen_Vessels!$A$3:$C$500,MATCH(G219,Gen_Vessels!$C$3:$C$500,0),1)),"")</f>
        <v/>
      </c>
      <c r="I219" s="25"/>
      <c r="J219" s="25"/>
      <c r="K219" s="25"/>
      <c r="M219" s="25"/>
      <c r="O219" s="25"/>
      <c r="Q219" s="25"/>
      <c r="R219" s="25"/>
      <c r="S219" s="25"/>
      <c r="T219" s="25"/>
      <c r="U219" s="25"/>
      <c r="V219" s="25"/>
      <c r="W219" s="25"/>
      <c r="X219" s="25"/>
    </row>
    <row r="220" spans="1:24" x14ac:dyDescent="0.25">
      <c r="A220" s="18" t="str">
        <f t="shared" si="5"/>
        <v/>
      </c>
      <c r="B220" s="25"/>
      <c r="C220" s="25"/>
      <c r="D220" s="25"/>
      <c r="E220" s="25" t="str">
        <f>IFERROR(IF(ISBLANK(D220),"",INDEX(Gen_Vessels!$A$3:$C$500,MATCH(D220,Gen_Vessels!$C$3:$C$500,0),1)),"")</f>
        <v/>
      </c>
      <c r="F220" s="25"/>
      <c r="G220" s="25"/>
      <c r="H220" s="25" t="str">
        <f>IFERROR(IF(ISBLANK(G220),"",INDEX(Gen_Vessels!$A$3:$C$500,MATCH(G220,Gen_Vessels!$C$3:$C$500,0),1)),"")</f>
        <v/>
      </c>
      <c r="I220" s="25"/>
      <c r="J220" s="25"/>
      <c r="K220" s="25"/>
      <c r="M220" s="25"/>
      <c r="O220" s="25"/>
      <c r="Q220" s="25"/>
      <c r="R220" s="25"/>
      <c r="S220" s="25"/>
      <c r="T220" s="25"/>
      <c r="U220" s="25"/>
      <c r="V220" s="25"/>
      <c r="W220" s="25"/>
      <c r="X220" s="25"/>
    </row>
    <row r="221" spans="1:24" x14ac:dyDescent="0.25">
      <c r="A221" s="18" t="str">
        <f t="shared" si="5"/>
        <v/>
      </c>
      <c r="B221" s="25"/>
      <c r="C221" s="25"/>
      <c r="D221" s="25"/>
      <c r="E221" s="25" t="str">
        <f>IFERROR(IF(ISBLANK(D221),"",INDEX(Gen_Vessels!$A$3:$C$500,MATCH(D221,Gen_Vessels!$C$3:$C$500,0),1)),"")</f>
        <v/>
      </c>
      <c r="F221" s="25"/>
      <c r="G221" s="25"/>
      <c r="H221" s="25" t="str">
        <f>IFERROR(IF(ISBLANK(G221),"",INDEX(Gen_Vessels!$A$3:$C$500,MATCH(G221,Gen_Vessels!$C$3:$C$500,0),1)),"")</f>
        <v/>
      </c>
      <c r="I221" s="25"/>
      <c r="J221" s="25"/>
      <c r="K221" s="25"/>
      <c r="M221" s="25"/>
      <c r="O221" s="25"/>
      <c r="Q221" s="25"/>
      <c r="R221" s="25"/>
      <c r="S221" s="25"/>
      <c r="T221" s="25"/>
      <c r="U221" s="25"/>
      <c r="V221" s="25"/>
      <c r="W221" s="25"/>
      <c r="X221" s="25"/>
    </row>
    <row r="222" spans="1:24" x14ac:dyDescent="0.25">
      <c r="A222" s="18" t="str">
        <f t="shared" si="5"/>
        <v/>
      </c>
      <c r="B222" s="25"/>
      <c r="C222" s="25"/>
      <c r="D222" s="25"/>
      <c r="E222" s="25" t="str">
        <f>IFERROR(IF(ISBLANK(D222),"",INDEX(Gen_Vessels!$A$3:$C$500,MATCH(D222,Gen_Vessels!$C$3:$C$500,0),1)),"")</f>
        <v/>
      </c>
      <c r="F222" s="25"/>
      <c r="G222" s="25"/>
      <c r="H222" s="25" t="str">
        <f>IFERROR(IF(ISBLANK(G222),"",INDEX(Gen_Vessels!$A$3:$C$500,MATCH(G222,Gen_Vessels!$C$3:$C$500,0),1)),"")</f>
        <v/>
      </c>
      <c r="I222" s="25"/>
      <c r="J222" s="25"/>
      <c r="K222" s="25"/>
      <c r="M222" s="25"/>
      <c r="O222" s="25"/>
      <c r="Q222" s="25"/>
      <c r="R222" s="25"/>
      <c r="S222" s="25"/>
      <c r="T222" s="25"/>
      <c r="U222" s="25"/>
      <c r="V222" s="25"/>
      <c r="W222" s="25"/>
      <c r="X222" s="25"/>
    </row>
    <row r="223" spans="1:24" x14ac:dyDescent="0.25">
      <c r="A223" s="18" t="str">
        <f t="shared" si="5"/>
        <v/>
      </c>
      <c r="B223" s="25"/>
      <c r="C223" s="25"/>
      <c r="D223" s="25"/>
      <c r="E223" s="25" t="str">
        <f>IFERROR(IF(ISBLANK(D223),"",INDEX(Gen_Vessels!$A$3:$C$500,MATCH(D223,Gen_Vessels!$C$3:$C$500,0),1)),"")</f>
        <v/>
      </c>
      <c r="F223" s="25"/>
      <c r="G223" s="25"/>
      <c r="H223" s="25" t="str">
        <f>IFERROR(IF(ISBLANK(G223),"",INDEX(Gen_Vessels!$A$3:$C$500,MATCH(G223,Gen_Vessels!$C$3:$C$500,0),1)),"")</f>
        <v/>
      </c>
      <c r="I223" s="25"/>
      <c r="J223" s="25"/>
      <c r="K223" s="25"/>
      <c r="M223" s="25"/>
      <c r="O223" s="25"/>
      <c r="Q223" s="25"/>
      <c r="R223" s="25"/>
      <c r="S223" s="25"/>
      <c r="T223" s="25"/>
      <c r="U223" s="25"/>
      <c r="V223" s="25"/>
      <c r="W223" s="25"/>
      <c r="X223" s="25"/>
    </row>
    <row r="224" spans="1:24" x14ac:dyDescent="0.25">
      <c r="A224" s="18" t="str">
        <f t="shared" si="5"/>
        <v/>
      </c>
      <c r="B224" s="25"/>
      <c r="C224" s="25"/>
      <c r="D224" s="25"/>
      <c r="E224" s="25" t="str">
        <f>IFERROR(IF(ISBLANK(D224),"",INDEX(Gen_Vessels!$A$3:$C$500,MATCH(D224,Gen_Vessels!$C$3:$C$500,0),1)),"")</f>
        <v/>
      </c>
      <c r="F224" s="25"/>
      <c r="G224" s="25"/>
      <c r="H224" s="25" t="str">
        <f>IFERROR(IF(ISBLANK(G224),"",INDEX(Gen_Vessels!$A$3:$C$500,MATCH(G224,Gen_Vessels!$C$3:$C$500,0),1)),"")</f>
        <v/>
      </c>
      <c r="I224" s="25"/>
      <c r="J224" s="25"/>
      <c r="K224" s="25"/>
      <c r="M224" s="25"/>
      <c r="O224" s="25"/>
      <c r="Q224" s="25"/>
      <c r="R224" s="25"/>
      <c r="S224" s="25"/>
      <c r="T224" s="25"/>
      <c r="U224" s="25"/>
      <c r="V224" s="25"/>
      <c r="W224" s="25"/>
      <c r="X224" s="25"/>
    </row>
    <row r="225" spans="1:24" x14ac:dyDescent="0.25">
      <c r="A225" s="18" t="str">
        <f t="shared" si="5"/>
        <v/>
      </c>
      <c r="B225" s="25"/>
      <c r="C225" s="25"/>
      <c r="D225" s="25"/>
      <c r="E225" s="25" t="str">
        <f>IFERROR(IF(ISBLANK(D225),"",INDEX(Gen_Vessels!$A$3:$C$500,MATCH(D225,Gen_Vessels!$C$3:$C$500,0),1)),"")</f>
        <v/>
      </c>
      <c r="F225" s="25"/>
      <c r="G225" s="25"/>
      <c r="H225" s="25" t="str">
        <f>IFERROR(IF(ISBLANK(G225),"",INDEX(Gen_Vessels!$A$3:$C$500,MATCH(G225,Gen_Vessels!$C$3:$C$500,0),1)),"")</f>
        <v/>
      </c>
      <c r="I225" s="25"/>
      <c r="J225" s="25"/>
      <c r="K225" s="25"/>
      <c r="M225" s="25"/>
      <c r="O225" s="25"/>
      <c r="Q225" s="25"/>
      <c r="R225" s="25"/>
      <c r="S225" s="25"/>
      <c r="T225" s="25"/>
      <c r="U225" s="25"/>
      <c r="V225" s="25"/>
      <c r="W225" s="25"/>
      <c r="X225" s="25"/>
    </row>
    <row r="226" spans="1:24" x14ac:dyDescent="0.25">
      <c r="A226" s="18" t="str">
        <f t="shared" si="5"/>
        <v/>
      </c>
      <c r="B226" s="25"/>
      <c r="C226" s="25"/>
      <c r="D226" s="25"/>
      <c r="E226" s="25" t="str">
        <f>IFERROR(IF(ISBLANK(D226),"",INDEX(Gen_Vessels!$A$3:$C$500,MATCH(D226,Gen_Vessels!$C$3:$C$500,0),1)),"")</f>
        <v/>
      </c>
      <c r="F226" s="25"/>
      <c r="G226" s="25"/>
      <c r="H226" s="25" t="str">
        <f>IFERROR(IF(ISBLANK(G226),"",INDEX(Gen_Vessels!$A$3:$C$500,MATCH(G226,Gen_Vessels!$C$3:$C$500,0),1)),"")</f>
        <v/>
      </c>
      <c r="I226" s="25"/>
      <c r="J226" s="25"/>
      <c r="K226" s="25"/>
      <c r="M226" s="25"/>
      <c r="O226" s="25"/>
      <c r="Q226" s="25"/>
      <c r="R226" s="25"/>
      <c r="S226" s="25"/>
      <c r="T226" s="25"/>
      <c r="U226" s="25"/>
      <c r="V226" s="25"/>
      <c r="W226" s="25"/>
      <c r="X226" s="25"/>
    </row>
    <row r="227" spans="1:24" x14ac:dyDescent="0.25">
      <c r="A227" s="18" t="str">
        <f t="shared" si="5"/>
        <v/>
      </c>
      <c r="B227" s="25"/>
      <c r="C227" s="25"/>
      <c r="D227" s="25"/>
      <c r="E227" s="25" t="str">
        <f>IFERROR(IF(ISBLANK(D227),"",INDEX(Gen_Vessels!$A$3:$C$500,MATCH(D227,Gen_Vessels!$C$3:$C$500,0),1)),"")</f>
        <v/>
      </c>
      <c r="F227" s="25"/>
      <c r="G227" s="25"/>
      <c r="H227" s="25" t="str">
        <f>IFERROR(IF(ISBLANK(G227),"",INDEX(Gen_Vessels!$A$3:$C$500,MATCH(G227,Gen_Vessels!$C$3:$C$500,0),1)),"")</f>
        <v/>
      </c>
      <c r="I227" s="25"/>
      <c r="J227" s="25"/>
      <c r="K227" s="25"/>
      <c r="M227" s="25"/>
      <c r="O227" s="25"/>
      <c r="Q227" s="25"/>
      <c r="R227" s="25"/>
      <c r="S227" s="25"/>
      <c r="T227" s="25"/>
      <c r="U227" s="25"/>
      <c r="V227" s="25"/>
      <c r="W227" s="25"/>
      <c r="X227" s="25"/>
    </row>
    <row r="228" spans="1:24" x14ac:dyDescent="0.25">
      <c r="A228" s="18" t="str">
        <f t="shared" si="5"/>
        <v/>
      </c>
      <c r="B228" s="25"/>
      <c r="C228" s="25"/>
      <c r="D228" s="25"/>
      <c r="E228" s="25" t="str">
        <f>IFERROR(IF(ISBLANK(D228),"",INDEX(Gen_Vessels!$A$3:$C$500,MATCH(D228,Gen_Vessels!$C$3:$C$500,0),1)),"")</f>
        <v/>
      </c>
      <c r="F228" s="25"/>
      <c r="G228" s="25"/>
      <c r="H228" s="25" t="str">
        <f>IFERROR(IF(ISBLANK(G228),"",INDEX(Gen_Vessels!$A$3:$C$500,MATCH(G228,Gen_Vessels!$C$3:$C$500,0),1)),"")</f>
        <v/>
      </c>
      <c r="I228" s="25"/>
      <c r="J228" s="25"/>
      <c r="K228" s="25"/>
      <c r="M228" s="25"/>
      <c r="O228" s="25"/>
      <c r="Q228" s="25"/>
      <c r="R228" s="25"/>
      <c r="S228" s="25"/>
      <c r="T228" s="25"/>
      <c r="U228" s="25"/>
      <c r="V228" s="25"/>
      <c r="W228" s="25"/>
      <c r="X228" s="25"/>
    </row>
    <row r="229" spans="1:24" x14ac:dyDescent="0.25">
      <c r="A229" s="18" t="str">
        <f t="shared" si="5"/>
        <v/>
      </c>
      <c r="B229" s="25"/>
      <c r="C229" s="25"/>
      <c r="D229" s="25"/>
      <c r="E229" s="25" t="str">
        <f>IFERROR(IF(ISBLANK(D229),"",INDEX(Gen_Vessels!$A$3:$C$500,MATCH(D229,Gen_Vessels!$C$3:$C$500,0),1)),"")</f>
        <v/>
      </c>
      <c r="F229" s="25"/>
      <c r="G229" s="25"/>
      <c r="H229" s="25" t="str">
        <f>IFERROR(IF(ISBLANK(G229),"",INDEX(Gen_Vessels!$A$3:$C$500,MATCH(G229,Gen_Vessels!$C$3:$C$500,0),1)),"")</f>
        <v/>
      </c>
      <c r="I229" s="25"/>
      <c r="J229" s="25"/>
      <c r="K229" s="25"/>
      <c r="M229" s="25"/>
      <c r="O229" s="25"/>
      <c r="Q229" s="25"/>
      <c r="R229" s="25"/>
      <c r="S229" s="25"/>
      <c r="T229" s="25"/>
      <c r="U229" s="25"/>
      <c r="V229" s="25"/>
      <c r="W229" s="25"/>
      <c r="X229" s="25"/>
    </row>
    <row r="230" spans="1:24" x14ac:dyDescent="0.25">
      <c r="A230" s="18" t="str">
        <f t="shared" si="5"/>
        <v/>
      </c>
      <c r="B230" s="25"/>
      <c r="C230" s="25"/>
      <c r="D230" s="25"/>
      <c r="E230" s="25" t="str">
        <f>IFERROR(IF(ISBLANK(D230),"",INDEX(Gen_Vessels!$A$3:$C$500,MATCH(D230,Gen_Vessels!$C$3:$C$500,0),1)),"")</f>
        <v/>
      </c>
      <c r="F230" s="25"/>
      <c r="G230" s="25"/>
      <c r="H230" s="25" t="str">
        <f>IFERROR(IF(ISBLANK(G230),"",INDEX(Gen_Vessels!$A$3:$C$500,MATCH(G230,Gen_Vessels!$C$3:$C$500,0),1)),"")</f>
        <v/>
      </c>
      <c r="I230" s="25"/>
      <c r="J230" s="25"/>
      <c r="K230" s="25"/>
      <c r="M230" s="25"/>
      <c r="O230" s="25"/>
      <c r="Q230" s="25"/>
      <c r="R230" s="25"/>
      <c r="S230" s="25"/>
      <c r="T230" s="25"/>
      <c r="U230" s="25"/>
      <c r="V230" s="25"/>
      <c r="W230" s="25"/>
      <c r="X230" s="25"/>
    </row>
    <row r="231" spans="1:24" x14ac:dyDescent="0.25">
      <c r="A231" s="18" t="str">
        <f t="shared" si="5"/>
        <v/>
      </c>
      <c r="B231" s="25"/>
      <c r="C231" s="25"/>
      <c r="D231" s="25"/>
      <c r="E231" s="25" t="str">
        <f>IFERROR(IF(ISBLANK(D231),"",INDEX(Gen_Vessels!$A$3:$C$500,MATCH(D231,Gen_Vessels!$C$3:$C$500,0),1)),"")</f>
        <v/>
      </c>
      <c r="F231" s="25"/>
      <c r="G231" s="25"/>
      <c r="H231" s="25" t="str">
        <f>IFERROR(IF(ISBLANK(G231),"",INDEX(Gen_Vessels!$A$3:$C$500,MATCH(G231,Gen_Vessels!$C$3:$C$500,0),1)),"")</f>
        <v/>
      </c>
      <c r="I231" s="25"/>
      <c r="J231" s="25"/>
      <c r="K231" s="25"/>
      <c r="M231" s="25"/>
      <c r="O231" s="25"/>
      <c r="Q231" s="25"/>
      <c r="R231" s="25"/>
      <c r="S231" s="25"/>
      <c r="T231" s="25"/>
      <c r="U231" s="25"/>
      <c r="V231" s="25"/>
      <c r="W231" s="25"/>
      <c r="X231" s="25"/>
    </row>
    <row r="232" spans="1:24" x14ac:dyDescent="0.25">
      <c r="A232" s="18" t="str">
        <f t="shared" si="5"/>
        <v/>
      </c>
      <c r="B232" s="25"/>
      <c r="C232" s="25"/>
      <c r="D232" s="25"/>
      <c r="E232" s="25" t="str">
        <f>IFERROR(IF(ISBLANK(D232),"",INDEX(Gen_Vessels!$A$3:$C$500,MATCH(D232,Gen_Vessels!$C$3:$C$500,0),1)),"")</f>
        <v/>
      </c>
      <c r="F232" s="25"/>
      <c r="G232" s="25"/>
      <c r="H232" s="25" t="str">
        <f>IFERROR(IF(ISBLANK(G232),"",INDEX(Gen_Vessels!$A$3:$C$500,MATCH(G232,Gen_Vessels!$C$3:$C$500,0),1)),"")</f>
        <v/>
      </c>
      <c r="I232" s="25"/>
      <c r="J232" s="25"/>
      <c r="K232" s="25"/>
      <c r="M232" s="25"/>
      <c r="O232" s="25"/>
      <c r="Q232" s="25"/>
      <c r="R232" s="25"/>
      <c r="S232" s="25"/>
      <c r="T232" s="25"/>
      <c r="U232" s="25"/>
      <c r="V232" s="25"/>
      <c r="W232" s="25"/>
      <c r="X232" s="25"/>
    </row>
    <row r="233" spans="1:24" x14ac:dyDescent="0.25">
      <c r="A233" s="18" t="str">
        <f t="shared" si="5"/>
        <v/>
      </c>
      <c r="B233" s="25"/>
      <c r="C233" s="25"/>
      <c r="D233" s="25"/>
      <c r="E233" s="25" t="str">
        <f>IFERROR(IF(ISBLANK(D233),"",INDEX(Gen_Vessels!$A$3:$C$500,MATCH(D233,Gen_Vessels!$C$3:$C$500,0),1)),"")</f>
        <v/>
      </c>
      <c r="F233" s="25"/>
      <c r="G233" s="25"/>
      <c r="H233" s="25" t="str">
        <f>IFERROR(IF(ISBLANK(G233),"",INDEX(Gen_Vessels!$A$3:$C$500,MATCH(G233,Gen_Vessels!$C$3:$C$500,0),1)),"")</f>
        <v/>
      </c>
      <c r="I233" s="25"/>
      <c r="J233" s="25"/>
      <c r="K233" s="25"/>
      <c r="M233" s="25"/>
      <c r="O233" s="25"/>
      <c r="Q233" s="25"/>
      <c r="R233" s="25"/>
      <c r="S233" s="25"/>
      <c r="T233" s="25"/>
      <c r="U233" s="25"/>
      <c r="V233" s="25"/>
      <c r="W233" s="25"/>
      <c r="X233" s="25"/>
    </row>
    <row r="234" spans="1:24" x14ac:dyDescent="0.25">
      <c r="A234" s="18" t="str">
        <f t="shared" si="5"/>
        <v/>
      </c>
      <c r="B234" s="25"/>
      <c r="C234" s="25"/>
      <c r="D234" s="25"/>
      <c r="E234" s="25" t="str">
        <f>IFERROR(IF(ISBLANK(D234),"",INDEX(Gen_Vessels!$A$3:$C$500,MATCH(D234,Gen_Vessels!$C$3:$C$500,0),1)),"")</f>
        <v/>
      </c>
      <c r="F234" s="25"/>
      <c r="G234" s="25"/>
      <c r="H234" s="25" t="str">
        <f>IFERROR(IF(ISBLANK(G234),"",INDEX(Gen_Vessels!$A$3:$C$500,MATCH(G234,Gen_Vessels!$C$3:$C$500,0),1)),"")</f>
        <v/>
      </c>
      <c r="I234" s="25"/>
      <c r="J234" s="25"/>
      <c r="K234" s="25"/>
      <c r="M234" s="25"/>
      <c r="O234" s="25"/>
      <c r="Q234" s="25"/>
      <c r="R234" s="25"/>
      <c r="S234" s="25"/>
      <c r="T234" s="25"/>
      <c r="U234" s="25"/>
      <c r="V234" s="25"/>
      <c r="W234" s="25"/>
      <c r="X234" s="25"/>
    </row>
    <row r="235" spans="1:24" x14ac:dyDescent="0.25">
      <c r="A235" s="18" t="str">
        <f t="shared" si="5"/>
        <v/>
      </c>
      <c r="B235" s="25"/>
      <c r="C235" s="25"/>
      <c r="D235" s="25"/>
      <c r="E235" s="25" t="str">
        <f>IFERROR(IF(ISBLANK(D235),"",INDEX(Gen_Vessels!$A$3:$C$500,MATCH(D235,Gen_Vessels!$C$3:$C$500,0),1)),"")</f>
        <v/>
      </c>
      <c r="F235" s="25"/>
      <c r="G235" s="25"/>
      <c r="H235" s="25" t="str">
        <f>IFERROR(IF(ISBLANK(G235),"",INDEX(Gen_Vessels!$A$3:$C$500,MATCH(G235,Gen_Vessels!$C$3:$C$500,0),1)),"")</f>
        <v/>
      </c>
      <c r="I235" s="25"/>
      <c r="J235" s="25"/>
      <c r="K235" s="25"/>
      <c r="M235" s="25"/>
      <c r="O235" s="25"/>
      <c r="Q235" s="25"/>
      <c r="R235" s="25"/>
      <c r="S235" s="25"/>
      <c r="T235" s="25"/>
      <c r="U235" s="25"/>
      <c r="V235" s="25"/>
      <c r="W235" s="25"/>
      <c r="X235" s="25"/>
    </row>
    <row r="236" spans="1:24" x14ac:dyDescent="0.25">
      <c r="A236" s="18" t="str">
        <f t="shared" si="5"/>
        <v/>
      </c>
      <c r="B236" s="25"/>
      <c r="C236" s="25"/>
      <c r="D236" s="25"/>
      <c r="E236" s="25" t="str">
        <f>IFERROR(IF(ISBLANK(D236),"",INDEX(Gen_Vessels!$A$3:$C$500,MATCH(D236,Gen_Vessels!$C$3:$C$500,0),1)),"")</f>
        <v/>
      </c>
      <c r="F236" s="25"/>
      <c r="G236" s="25"/>
      <c r="H236" s="25" t="str">
        <f>IFERROR(IF(ISBLANK(G236),"",INDEX(Gen_Vessels!$A$3:$C$500,MATCH(G236,Gen_Vessels!$C$3:$C$500,0),1)),"")</f>
        <v/>
      </c>
      <c r="I236" s="25"/>
      <c r="J236" s="25"/>
      <c r="K236" s="25"/>
      <c r="M236" s="25"/>
      <c r="O236" s="25"/>
      <c r="Q236" s="25"/>
      <c r="R236" s="25"/>
      <c r="S236" s="25"/>
      <c r="T236" s="25"/>
      <c r="U236" s="25"/>
      <c r="V236" s="25"/>
      <c r="W236" s="25"/>
      <c r="X236" s="25"/>
    </row>
    <row r="237" spans="1:24" x14ac:dyDescent="0.25">
      <c r="A237" s="18" t="str">
        <f t="shared" si="5"/>
        <v/>
      </c>
      <c r="B237" s="25"/>
      <c r="C237" s="25"/>
      <c r="D237" s="25"/>
      <c r="E237" s="25" t="str">
        <f>IFERROR(IF(ISBLANK(D237),"",INDEX(Gen_Vessels!$A$3:$C$500,MATCH(D237,Gen_Vessels!$C$3:$C$500,0),1)),"")</f>
        <v/>
      </c>
      <c r="F237" s="25"/>
      <c r="G237" s="25"/>
      <c r="H237" s="25" t="str">
        <f>IFERROR(IF(ISBLANK(G237),"",INDEX(Gen_Vessels!$A$3:$C$500,MATCH(G237,Gen_Vessels!$C$3:$C$500,0),1)),"")</f>
        <v/>
      </c>
      <c r="I237" s="25"/>
      <c r="J237" s="25"/>
      <c r="K237" s="25"/>
      <c r="M237" s="25"/>
      <c r="O237" s="25"/>
      <c r="Q237" s="25"/>
      <c r="R237" s="25"/>
      <c r="S237" s="25"/>
      <c r="T237" s="25"/>
      <c r="U237" s="25"/>
      <c r="V237" s="25"/>
      <c r="W237" s="25"/>
      <c r="X237" s="25"/>
    </row>
    <row r="238" spans="1:24" x14ac:dyDescent="0.25">
      <c r="A238" s="18" t="str">
        <f t="shared" si="5"/>
        <v/>
      </c>
      <c r="B238" s="25"/>
      <c r="C238" s="25"/>
      <c r="D238" s="25"/>
      <c r="E238" s="25" t="str">
        <f>IFERROR(IF(ISBLANK(D238),"",INDEX(Gen_Vessels!$A$3:$C$500,MATCH(D238,Gen_Vessels!$C$3:$C$500,0),1)),"")</f>
        <v/>
      </c>
      <c r="F238" s="25"/>
      <c r="G238" s="25"/>
      <c r="H238" s="25" t="str">
        <f>IFERROR(IF(ISBLANK(G238),"",INDEX(Gen_Vessels!$A$3:$C$500,MATCH(G238,Gen_Vessels!$C$3:$C$500,0),1)),"")</f>
        <v/>
      </c>
      <c r="I238" s="25"/>
      <c r="J238" s="25"/>
      <c r="K238" s="25"/>
      <c r="M238" s="25"/>
      <c r="O238" s="25"/>
      <c r="Q238" s="25"/>
      <c r="R238" s="25"/>
      <c r="S238" s="25"/>
      <c r="T238" s="25"/>
      <c r="U238" s="25"/>
      <c r="V238" s="25"/>
      <c r="W238" s="25"/>
      <c r="X238" s="25"/>
    </row>
    <row r="239" spans="1:24" x14ac:dyDescent="0.25">
      <c r="A239" s="18" t="str">
        <f t="shared" si="5"/>
        <v/>
      </c>
      <c r="B239" s="25"/>
      <c r="C239" s="25"/>
      <c r="D239" s="25"/>
      <c r="E239" s="25" t="str">
        <f>IFERROR(IF(ISBLANK(D239),"",INDEX(Gen_Vessels!$A$3:$C$500,MATCH(D239,Gen_Vessels!$C$3:$C$500,0),1)),"")</f>
        <v/>
      </c>
      <c r="F239" s="25"/>
      <c r="G239" s="25"/>
      <c r="H239" s="25" t="str">
        <f>IFERROR(IF(ISBLANK(G239),"",INDEX(Gen_Vessels!$A$3:$C$500,MATCH(G239,Gen_Vessels!$C$3:$C$500,0),1)),"")</f>
        <v/>
      </c>
      <c r="I239" s="25"/>
      <c r="J239" s="25"/>
      <c r="K239" s="25"/>
      <c r="M239" s="25"/>
      <c r="O239" s="25"/>
      <c r="Q239" s="25"/>
      <c r="R239" s="25"/>
      <c r="S239" s="25"/>
      <c r="T239" s="25"/>
      <c r="U239" s="25"/>
      <c r="V239" s="25"/>
      <c r="W239" s="25"/>
      <c r="X239" s="25"/>
    </row>
    <row r="240" spans="1:24" x14ac:dyDescent="0.25">
      <c r="A240" s="18" t="str">
        <f t="shared" si="5"/>
        <v/>
      </c>
      <c r="B240" s="25"/>
      <c r="C240" s="25"/>
      <c r="D240" s="25"/>
      <c r="E240" s="25" t="str">
        <f>IFERROR(IF(ISBLANK(D240),"",INDEX(Gen_Vessels!$A$3:$C$500,MATCH(D240,Gen_Vessels!$C$3:$C$500,0),1)),"")</f>
        <v/>
      </c>
      <c r="F240" s="25"/>
      <c r="G240" s="25"/>
      <c r="H240" s="25" t="str">
        <f>IFERROR(IF(ISBLANK(G240),"",INDEX(Gen_Vessels!$A$3:$C$500,MATCH(G240,Gen_Vessels!$C$3:$C$500,0),1)),"")</f>
        <v/>
      </c>
      <c r="I240" s="25"/>
      <c r="J240" s="25"/>
      <c r="K240" s="25"/>
      <c r="M240" s="25"/>
      <c r="O240" s="25"/>
      <c r="Q240" s="25"/>
      <c r="R240" s="25"/>
      <c r="S240" s="25"/>
      <c r="T240" s="25"/>
      <c r="U240" s="25"/>
      <c r="V240" s="25"/>
      <c r="W240" s="25"/>
      <c r="X240" s="25"/>
    </row>
    <row r="241" spans="1:24" x14ac:dyDescent="0.25">
      <c r="A241" s="18" t="str">
        <f t="shared" si="5"/>
        <v/>
      </c>
      <c r="B241" s="25"/>
      <c r="C241" s="25"/>
      <c r="D241" s="25"/>
      <c r="E241" s="25" t="str">
        <f>IFERROR(IF(ISBLANK(D241),"",INDEX(Gen_Vessels!$A$3:$C$500,MATCH(D241,Gen_Vessels!$C$3:$C$500,0),1)),"")</f>
        <v/>
      </c>
      <c r="F241" s="25"/>
      <c r="G241" s="25"/>
      <c r="H241" s="25" t="str">
        <f>IFERROR(IF(ISBLANK(G241),"",INDEX(Gen_Vessels!$A$3:$C$500,MATCH(G241,Gen_Vessels!$C$3:$C$500,0),1)),"")</f>
        <v/>
      </c>
      <c r="I241" s="25"/>
      <c r="J241" s="25"/>
      <c r="K241" s="25"/>
      <c r="M241" s="25"/>
      <c r="O241" s="25"/>
      <c r="Q241" s="25"/>
      <c r="R241" s="25"/>
      <c r="S241" s="25"/>
      <c r="T241" s="25"/>
      <c r="U241" s="25"/>
      <c r="V241" s="25"/>
      <c r="W241" s="25"/>
      <c r="X241" s="25"/>
    </row>
    <row r="242" spans="1:24" x14ac:dyDescent="0.25">
      <c r="A242" s="18" t="str">
        <f t="shared" si="5"/>
        <v/>
      </c>
      <c r="B242" s="25"/>
      <c r="C242" s="25"/>
      <c r="D242" s="25"/>
      <c r="E242" s="25" t="str">
        <f>IFERROR(IF(ISBLANK(D242),"",INDEX(Gen_Vessels!$A$3:$C$500,MATCH(D242,Gen_Vessels!$C$3:$C$500,0),1)),"")</f>
        <v/>
      </c>
      <c r="F242" s="25"/>
      <c r="G242" s="25"/>
      <c r="H242" s="25" t="str">
        <f>IFERROR(IF(ISBLANK(G242),"",INDEX(Gen_Vessels!$A$3:$C$500,MATCH(G242,Gen_Vessels!$C$3:$C$500,0),1)),"")</f>
        <v/>
      </c>
      <c r="I242" s="25"/>
      <c r="J242" s="25"/>
      <c r="K242" s="25"/>
      <c r="M242" s="25"/>
      <c r="O242" s="25"/>
      <c r="Q242" s="25"/>
      <c r="R242" s="25"/>
      <c r="S242" s="25"/>
      <c r="T242" s="25"/>
      <c r="U242" s="25"/>
      <c r="V242" s="25"/>
      <c r="W242" s="25"/>
      <c r="X242" s="25"/>
    </row>
    <row r="243" spans="1:24" x14ac:dyDescent="0.25">
      <c r="A243" s="18" t="str">
        <f t="shared" si="5"/>
        <v/>
      </c>
      <c r="B243" s="25"/>
      <c r="C243" s="25"/>
      <c r="D243" s="25"/>
      <c r="E243" s="25" t="str">
        <f>IFERROR(IF(ISBLANK(D243),"",INDEX(Gen_Vessels!$A$3:$C$500,MATCH(D243,Gen_Vessels!$C$3:$C$500,0),1)),"")</f>
        <v/>
      </c>
      <c r="F243" s="25"/>
      <c r="G243" s="25"/>
      <c r="H243" s="25" t="str">
        <f>IFERROR(IF(ISBLANK(G243),"",INDEX(Gen_Vessels!$A$3:$C$500,MATCH(G243,Gen_Vessels!$C$3:$C$500,0),1)),"")</f>
        <v/>
      </c>
      <c r="I243" s="25"/>
      <c r="J243" s="25"/>
      <c r="K243" s="25"/>
      <c r="M243" s="25"/>
      <c r="O243" s="25"/>
      <c r="Q243" s="25"/>
      <c r="R243" s="25"/>
      <c r="S243" s="25"/>
      <c r="T243" s="25"/>
      <c r="U243" s="25"/>
      <c r="V243" s="25"/>
      <c r="W243" s="25"/>
      <c r="X243" s="25"/>
    </row>
    <row r="244" spans="1:24" x14ac:dyDescent="0.25">
      <c r="A244" s="18" t="str">
        <f t="shared" si="5"/>
        <v/>
      </c>
      <c r="B244" s="25"/>
      <c r="C244" s="25"/>
      <c r="D244" s="25"/>
      <c r="E244" s="25" t="str">
        <f>IFERROR(IF(ISBLANK(D244),"",INDEX(Gen_Vessels!$A$3:$C$500,MATCH(D244,Gen_Vessels!$C$3:$C$500,0),1)),"")</f>
        <v/>
      </c>
      <c r="F244" s="25"/>
      <c r="G244" s="25"/>
      <c r="H244" s="25" t="str">
        <f>IFERROR(IF(ISBLANK(G244),"",INDEX(Gen_Vessels!$A$3:$C$500,MATCH(G244,Gen_Vessels!$C$3:$C$500,0),1)),"")</f>
        <v/>
      </c>
      <c r="I244" s="25"/>
      <c r="J244" s="25"/>
      <c r="K244" s="25"/>
      <c r="M244" s="25"/>
      <c r="O244" s="25"/>
      <c r="Q244" s="25"/>
      <c r="R244" s="25"/>
      <c r="S244" s="25"/>
      <c r="T244" s="25"/>
      <c r="U244" s="25"/>
      <c r="V244" s="25"/>
      <c r="W244" s="25"/>
      <c r="X244" s="25"/>
    </row>
    <row r="245" spans="1:24" x14ac:dyDescent="0.25">
      <c r="A245" s="18" t="str">
        <f t="shared" si="5"/>
        <v/>
      </c>
      <c r="B245" s="25"/>
      <c r="C245" s="25"/>
      <c r="D245" s="25"/>
      <c r="E245" s="25" t="str">
        <f>IFERROR(IF(ISBLANK(D245),"",INDEX(Gen_Vessels!$A$3:$C$500,MATCH(D245,Gen_Vessels!$C$3:$C$500,0),1)),"")</f>
        <v/>
      </c>
      <c r="F245" s="25"/>
      <c r="G245" s="25"/>
      <c r="H245" s="25" t="str">
        <f>IFERROR(IF(ISBLANK(G245),"",INDEX(Gen_Vessels!$A$3:$C$500,MATCH(G245,Gen_Vessels!$C$3:$C$500,0),1)),"")</f>
        <v/>
      </c>
      <c r="I245" s="25"/>
      <c r="J245" s="25"/>
      <c r="K245" s="25"/>
      <c r="M245" s="25"/>
      <c r="O245" s="25"/>
      <c r="Q245" s="25"/>
      <c r="R245" s="25"/>
      <c r="S245" s="25"/>
      <c r="T245" s="25"/>
      <c r="U245" s="25"/>
      <c r="V245" s="25"/>
      <c r="W245" s="25"/>
      <c r="X245" s="25"/>
    </row>
    <row r="246" spans="1:24" x14ac:dyDescent="0.25">
      <c r="A246" s="18" t="str">
        <f t="shared" si="5"/>
        <v/>
      </c>
      <c r="B246" s="25"/>
      <c r="C246" s="25"/>
      <c r="D246" s="25"/>
      <c r="E246" s="25" t="str">
        <f>IFERROR(IF(ISBLANK(D246),"",INDEX(Gen_Vessels!$A$3:$C$500,MATCH(D246,Gen_Vessels!$C$3:$C$500,0),1)),"")</f>
        <v/>
      </c>
      <c r="F246" s="25"/>
      <c r="G246" s="25"/>
      <c r="H246" s="25" t="str">
        <f>IFERROR(IF(ISBLANK(G246),"",INDEX(Gen_Vessels!$A$3:$C$500,MATCH(G246,Gen_Vessels!$C$3:$C$500,0),1)),"")</f>
        <v/>
      </c>
      <c r="I246" s="25"/>
      <c r="J246" s="25"/>
      <c r="K246" s="25"/>
      <c r="M246" s="25"/>
      <c r="O246" s="25"/>
      <c r="Q246" s="25"/>
      <c r="R246" s="25"/>
      <c r="S246" s="25"/>
      <c r="T246" s="25"/>
      <c r="U246" s="25"/>
      <c r="V246" s="25"/>
      <c r="W246" s="25"/>
      <c r="X246" s="25"/>
    </row>
    <row r="247" spans="1:24" x14ac:dyDescent="0.25">
      <c r="A247" s="18" t="str">
        <f t="shared" si="5"/>
        <v/>
      </c>
      <c r="B247" s="25"/>
      <c r="C247" s="25"/>
      <c r="D247" s="25"/>
      <c r="E247" s="25" t="str">
        <f>IFERROR(IF(ISBLANK(D247),"",INDEX(Gen_Vessels!$A$3:$C$500,MATCH(D247,Gen_Vessels!$C$3:$C$500,0),1)),"")</f>
        <v/>
      </c>
      <c r="F247" s="25"/>
      <c r="G247" s="25"/>
      <c r="H247" s="25" t="str">
        <f>IFERROR(IF(ISBLANK(G247),"",INDEX(Gen_Vessels!$A$3:$C$500,MATCH(G247,Gen_Vessels!$C$3:$C$500,0),1)),"")</f>
        <v/>
      </c>
      <c r="I247" s="25"/>
      <c r="J247" s="25"/>
      <c r="K247" s="25"/>
      <c r="M247" s="25"/>
      <c r="O247" s="25"/>
      <c r="Q247" s="25"/>
      <c r="R247" s="25"/>
      <c r="S247" s="25"/>
      <c r="T247" s="25"/>
      <c r="U247" s="25"/>
      <c r="V247" s="25"/>
      <c r="W247" s="25"/>
      <c r="X247" s="25"/>
    </row>
    <row r="248" spans="1:24" x14ac:dyDescent="0.25">
      <c r="A248" s="18" t="str">
        <f t="shared" si="5"/>
        <v/>
      </c>
      <c r="B248" s="25"/>
      <c r="C248" s="25"/>
      <c r="D248" s="25"/>
      <c r="E248" s="25" t="str">
        <f>IFERROR(IF(ISBLANK(D248),"",INDEX(Gen_Vessels!$A$3:$C$500,MATCH(D248,Gen_Vessels!$C$3:$C$500,0),1)),"")</f>
        <v/>
      </c>
      <c r="F248" s="25"/>
      <c r="G248" s="25"/>
      <c r="H248" s="25" t="str">
        <f>IFERROR(IF(ISBLANK(G248),"",INDEX(Gen_Vessels!$A$3:$C$500,MATCH(G248,Gen_Vessels!$C$3:$C$500,0),1)),"")</f>
        <v/>
      </c>
      <c r="I248" s="25"/>
      <c r="J248" s="25"/>
      <c r="K248" s="25"/>
      <c r="M248" s="25"/>
      <c r="O248" s="25"/>
      <c r="Q248" s="25"/>
      <c r="R248" s="25"/>
      <c r="S248" s="25"/>
      <c r="T248" s="25"/>
      <c r="U248" s="25"/>
      <c r="V248" s="25"/>
      <c r="W248" s="25"/>
      <c r="X248" s="25"/>
    </row>
    <row r="249" spans="1:24" x14ac:dyDescent="0.25">
      <c r="A249" s="18" t="str">
        <f t="shared" si="5"/>
        <v/>
      </c>
      <c r="B249" s="25"/>
      <c r="C249" s="25"/>
      <c r="D249" s="25"/>
      <c r="E249" s="25" t="str">
        <f>IFERROR(IF(ISBLANK(D249),"",INDEX(Gen_Vessels!$A$3:$C$500,MATCH(D249,Gen_Vessels!$C$3:$C$500,0),1)),"")</f>
        <v/>
      </c>
      <c r="F249" s="25"/>
      <c r="G249" s="25"/>
      <c r="H249" s="25" t="str">
        <f>IFERROR(IF(ISBLANK(G249),"",INDEX(Gen_Vessels!$A$3:$C$500,MATCH(G249,Gen_Vessels!$C$3:$C$500,0),1)),"")</f>
        <v/>
      </c>
      <c r="I249" s="25"/>
      <c r="J249" s="25"/>
      <c r="K249" s="25"/>
      <c r="M249" s="25"/>
      <c r="O249" s="25"/>
      <c r="Q249" s="25"/>
      <c r="R249" s="25"/>
      <c r="S249" s="25"/>
      <c r="T249" s="25"/>
      <c r="U249" s="25"/>
      <c r="V249" s="25"/>
      <c r="W249" s="25"/>
      <c r="X249" s="25"/>
    </row>
    <row r="250" spans="1:24" x14ac:dyDescent="0.25">
      <c r="A250" s="18" t="str">
        <f t="shared" si="5"/>
        <v/>
      </c>
      <c r="B250" s="25"/>
      <c r="C250" s="25"/>
      <c r="D250" s="25"/>
      <c r="E250" s="25" t="str">
        <f>IFERROR(IF(ISBLANK(D250),"",INDEX(Gen_Vessels!$A$3:$C$500,MATCH(D250,Gen_Vessels!$C$3:$C$500,0),1)),"")</f>
        <v/>
      </c>
      <c r="F250" s="25"/>
      <c r="G250" s="25"/>
      <c r="H250" s="25" t="str">
        <f>IFERROR(IF(ISBLANK(G250),"",INDEX(Gen_Vessels!$A$3:$C$500,MATCH(G250,Gen_Vessels!$C$3:$C$500,0),1)),"")</f>
        <v/>
      </c>
      <c r="I250" s="25"/>
      <c r="J250" s="25"/>
      <c r="K250" s="25"/>
      <c r="M250" s="25"/>
      <c r="O250" s="25"/>
      <c r="Q250" s="25"/>
      <c r="R250" s="25"/>
      <c r="S250" s="25"/>
      <c r="T250" s="25"/>
      <c r="U250" s="25"/>
      <c r="V250" s="25"/>
      <c r="W250" s="25"/>
      <c r="X250" s="25"/>
    </row>
    <row r="251" spans="1:24" x14ac:dyDescent="0.25">
      <c r="A251" s="18" t="str">
        <f t="shared" si="5"/>
        <v/>
      </c>
      <c r="B251" s="25"/>
      <c r="C251" s="25"/>
      <c r="D251" s="25"/>
      <c r="E251" s="25" t="str">
        <f>IFERROR(IF(ISBLANK(D251),"",INDEX(Gen_Vessels!$A$3:$C$500,MATCH(D251,Gen_Vessels!$C$3:$C$500,0),1)),"")</f>
        <v/>
      </c>
      <c r="F251" s="25"/>
      <c r="G251" s="25"/>
      <c r="H251" s="25" t="str">
        <f>IFERROR(IF(ISBLANK(G251),"",INDEX(Gen_Vessels!$A$3:$C$500,MATCH(G251,Gen_Vessels!$C$3:$C$500,0),1)),"")</f>
        <v/>
      </c>
      <c r="I251" s="25"/>
      <c r="J251" s="25"/>
      <c r="K251" s="25"/>
      <c r="M251" s="25"/>
      <c r="O251" s="25"/>
      <c r="Q251" s="25"/>
      <c r="R251" s="25"/>
      <c r="S251" s="25"/>
      <c r="T251" s="25"/>
      <c r="U251" s="25"/>
      <c r="V251" s="25"/>
      <c r="W251" s="25"/>
      <c r="X251" s="25"/>
    </row>
    <row r="252" spans="1:24" x14ac:dyDescent="0.25">
      <c r="A252" s="18" t="str">
        <f t="shared" si="5"/>
        <v/>
      </c>
      <c r="B252" s="25"/>
      <c r="C252" s="25"/>
      <c r="D252" s="25"/>
      <c r="E252" s="25" t="str">
        <f>IFERROR(IF(ISBLANK(D252),"",INDEX(Gen_Vessels!$A$3:$C$500,MATCH(D252,Gen_Vessels!$C$3:$C$500,0),1)),"")</f>
        <v/>
      </c>
      <c r="F252" s="25"/>
      <c r="G252" s="25"/>
      <c r="H252" s="25" t="str">
        <f>IFERROR(IF(ISBLANK(G252),"",INDEX(Gen_Vessels!$A$3:$C$500,MATCH(G252,Gen_Vessels!$C$3:$C$500,0),1)),"")</f>
        <v/>
      </c>
      <c r="I252" s="25"/>
      <c r="J252" s="25"/>
      <c r="K252" s="25"/>
      <c r="M252" s="25"/>
      <c r="O252" s="25"/>
      <c r="Q252" s="25"/>
      <c r="R252" s="25"/>
      <c r="S252" s="25"/>
      <c r="T252" s="25"/>
      <c r="U252" s="25"/>
      <c r="V252" s="25"/>
      <c r="W252" s="25"/>
      <c r="X252" s="25"/>
    </row>
    <row r="253" spans="1:24" x14ac:dyDescent="0.25">
      <c r="A253" s="18" t="str">
        <f t="shared" si="5"/>
        <v/>
      </c>
      <c r="B253" s="25"/>
      <c r="C253" s="25"/>
      <c r="D253" s="25"/>
      <c r="E253" s="25" t="str">
        <f>IFERROR(IF(ISBLANK(D253),"",INDEX(Gen_Vessels!$A$3:$C$500,MATCH(D253,Gen_Vessels!$C$3:$C$500,0),1)),"")</f>
        <v/>
      </c>
      <c r="F253" s="25"/>
      <c r="G253" s="25"/>
      <c r="H253" s="25" t="str">
        <f>IFERROR(IF(ISBLANK(G253),"",INDEX(Gen_Vessels!$A$3:$C$500,MATCH(G253,Gen_Vessels!$C$3:$C$500,0),1)),"")</f>
        <v/>
      </c>
      <c r="I253" s="25"/>
      <c r="J253" s="25"/>
      <c r="K253" s="25"/>
      <c r="M253" s="25"/>
      <c r="O253" s="25"/>
      <c r="Q253" s="25"/>
      <c r="R253" s="25"/>
      <c r="S253" s="25"/>
      <c r="T253" s="25"/>
      <c r="U253" s="25"/>
      <c r="V253" s="25"/>
      <c r="W253" s="25"/>
      <c r="X253" s="25"/>
    </row>
    <row r="254" spans="1:24" x14ac:dyDescent="0.25">
      <c r="A254" s="18" t="str">
        <f t="shared" si="5"/>
        <v/>
      </c>
      <c r="B254" s="25"/>
      <c r="C254" s="25"/>
      <c r="D254" s="25"/>
      <c r="E254" s="25" t="str">
        <f>IFERROR(IF(ISBLANK(D254),"",INDEX(Gen_Vessels!$A$3:$C$500,MATCH(D254,Gen_Vessels!$C$3:$C$500,0),1)),"")</f>
        <v/>
      </c>
      <c r="F254" s="25"/>
      <c r="G254" s="25"/>
      <c r="H254" s="25" t="str">
        <f>IFERROR(IF(ISBLANK(G254),"",INDEX(Gen_Vessels!$A$3:$C$500,MATCH(G254,Gen_Vessels!$C$3:$C$500,0),1)),"")</f>
        <v/>
      </c>
      <c r="I254" s="25"/>
      <c r="J254" s="25"/>
      <c r="K254" s="25"/>
      <c r="M254" s="25"/>
      <c r="O254" s="25"/>
      <c r="Q254" s="25"/>
      <c r="R254" s="25"/>
      <c r="S254" s="25"/>
      <c r="T254" s="25"/>
      <c r="U254" s="25"/>
      <c r="V254" s="25"/>
      <c r="W254" s="25"/>
      <c r="X254" s="25"/>
    </row>
    <row r="255" spans="1:24" x14ac:dyDescent="0.25">
      <c r="A255" s="18" t="str">
        <f t="shared" si="5"/>
        <v/>
      </c>
      <c r="B255" s="25"/>
      <c r="C255" s="25"/>
      <c r="D255" s="25"/>
      <c r="E255" s="25" t="str">
        <f>IFERROR(IF(ISBLANK(D255),"",INDEX(Gen_Vessels!$A$3:$C$500,MATCH(D255,Gen_Vessels!$C$3:$C$500,0),1)),"")</f>
        <v/>
      </c>
      <c r="F255" s="25"/>
      <c r="G255" s="25"/>
      <c r="H255" s="25" t="str">
        <f>IFERROR(IF(ISBLANK(G255),"",INDEX(Gen_Vessels!$A$3:$C$500,MATCH(G255,Gen_Vessels!$C$3:$C$500,0),1)),"")</f>
        <v/>
      </c>
      <c r="I255" s="25"/>
      <c r="J255" s="25"/>
      <c r="K255" s="25"/>
      <c r="M255" s="25"/>
      <c r="O255" s="25"/>
      <c r="Q255" s="25"/>
      <c r="R255" s="25"/>
      <c r="S255" s="25"/>
      <c r="T255" s="25"/>
      <c r="U255" s="25"/>
      <c r="V255" s="25"/>
      <c r="W255" s="25"/>
      <c r="X255" s="25"/>
    </row>
    <row r="256" spans="1:24" x14ac:dyDescent="0.25">
      <c r="A256" s="18" t="str">
        <f t="shared" si="5"/>
        <v/>
      </c>
      <c r="B256" s="25"/>
      <c r="C256" s="25"/>
      <c r="D256" s="25"/>
      <c r="E256" s="25" t="str">
        <f>IFERROR(IF(ISBLANK(D256),"",INDEX(Gen_Vessels!$A$3:$C$500,MATCH(D256,Gen_Vessels!$C$3:$C$500,0),1)),"")</f>
        <v/>
      </c>
      <c r="F256" s="25"/>
      <c r="G256" s="25"/>
      <c r="H256" s="25" t="str">
        <f>IFERROR(IF(ISBLANK(G256),"",INDEX(Gen_Vessels!$A$3:$C$500,MATCH(G256,Gen_Vessels!$C$3:$C$500,0),1)),"")</f>
        <v/>
      </c>
      <c r="I256" s="25"/>
      <c r="J256" s="25"/>
      <c r="K256" s="25"/>
      <c r="M256" s="25"/>
      <c r="O256" s="25"/>
      <c r="Q256" s="25"/>
      <c r="R256" s="25"/>
      <c r="S256" s="25"/>
      <c r="T256" s="25"/>
      <c r="U256" s="25"/>
      <c r="V256" s="25"/>
      <c r="W256" s="25"/>
      <c r="X256" s="25"/>
    </row>
    <row r="257" spans="1:24" x14ac:dyDescent="0.25">
      <c r="A257" s="18" t="str">
        <f t="shared" si="5"/>
        <v/>
      </c>
      <c r="B257" s="25"/>
      <c r="C257" s="25"/>
      <c r="D257" s="25"/>
      <c r="E257" s="25" t="str">
        <f>IFERROR(IF(ISBLANK(D257),"",INDEX(Gen_Vessels!$A$3:$C$500,MATCH(D257,Gen_Vessels!$C$3:$C$500,0),1)),"")</f>
        <v/>
      </c>
      <c r="F257" s="25"/>
      <c r="G257" s="25"/>
      <c r="H257" s="25" t="str">
        <f>IFERROR(IF(ISBLANK(G257),"",INDEX(Gen_Vessels!$A$3:$C$500,MATCH(G257,Gen_Vessels!$C$3:$C$500,0),1)),"")</f>
        <v/>
      </c>
      <c r="I257" s="25"/>
      <c r="J257" s="25"/>
      <c r="K257" s="25"/>
      <c r="M257" s="25"/>
      <c r="O257" s="25"/>
      <c r="Q257" s="25"/>
      <c r="R257" s="25"/>
      <c r="S257" s="25"/>
      <c r="T257" s="25"/>
      <c r="U257" s="25"/>
      <c r="V257" s="25"/>
      <c r="W257" s="25"/>
      <c r="X257" s="25"/>
    </row>
    <row r="258" spans="1:24" x14ac:dyDescent="0.25">
      <c r="A258" s="18" t="str">
        <f t="shared" si="5"/>
        <v/>
      </c>
      <c r="B258" s="25"/>
      <c r="C258" s="25"/>
      <c r="D258" s="25"/>
      <c r="E258" s="25" t="str">
        <f>IFERROR(IF(ISBLANK(D258),"",INDEX(Gen_Vessels!$A$3:$C$500,MATCH(D258,Gen_Vessels!$C$3:$C$500,0),1)),"")</f>
        <v/>
      </c>
      <c r="F258" s="25"/>
      <c r="G258" s="25"/>
      <c r="H258" s="25" t="str">
        <f>IFERROR(IF(ISBLANK(G258),"",INDEX(Gen_Vessels!$A$3:$C$500,MATCH(G258,Gen_Vessels!$C$3:$C$500,0),1)),"")</f>
        <v/>
      </c>
      <c r="I258" s="25"/>
      <c r="J258" s="25"/>
      <c r="K258" s="25"/>
      <c r="M258" s="25"/>
      <c r="O258" s="25"/>
      <c r="Q258" s="25"/>
      <c r="R258" s="25"/>
      <c r="S258" s="25"/>
      <c r="T258" s="25"/>
      <c r="U258" s="25"/>
      <c r="V258" s="25"/>
      <c r="W258" s="25"/>
      <c r="X258" s="25"/>
    </row>
    <row r="259" spans="1:24" x14ac:dyDescent="0.25">
      <c r="A259" s="18" t="str">
        <f t="shared" si="5"/>
        <v/>
      </c>
      <c r="B259" s="25"/>
      <c r="C259" s="25"/>
      <c r="D259" s="25"/>
      <c r="E259" s="25" t="str">
        <f>IFERROR(IF(ISBLANK(D259),"",INDEX(Gen_Vessels!$A$3:$C$500,MATCH(D259,Gen_Vessels!$C$3:$C$500,0),1)),"")</f>
        <v/>
      </c>
      <c r="F259" s="25"/>
      <c r="G259" s="25"/>
      <c r="H259" s="25" t="str">
        <f>IFERROR(IF(ISBLANK(G259),"",INDEX(Gen_Vessels!$A$3:$C$500,MATCH(G259,Gen_Vessels!$C$3:$C$500,0),1)),"")</f>
        <v/>
      </c>
      <c r="I259" s="25"/>
      <c r="J259" s="25"/>
      <c r="K259" s="25"/>
      <c r="M259" s="25"/>
      <c r="O259" s="25"/>
      <c r="Q259" s="25"/>
      <c r="R259" s="25"/>
      <c r="S259" s="25"/>
      <c r="T259" s="25"/>
      <c r="U259" s="25"/>
      <c r="V259" s="25"/>
      <c r="W259" s="25"/>
      <c r="X259" s="25"/>
    </row>
    <row r="260" spans="1:24" x14ac:dyDescent="0.25">
      <c r="A260" s="18" t="str">
        <f t="shared" ref="A260:A323" si="6">IF(ISBLANK($B260)=FALSE,_xlfn.CONCAT($B260,"_tow"),"")</f>
        <v/>
      </c>
      <c r="B260" s="25"/>
      <c r="C260" s="25"/>
      <c r="D260" s="25"/>
      <c r="E260" s="25" t="str">
        <f>IFERROR(IF(ISBLANK(D260),"",INDEX(Gen_Vessels!$A$3:$C$500,MATCH(D260,Gen_Vessels!$C$3:$C$500,0),1)),"")</f>
        <v/>
      </c>
      <c r="F260" s="25"/>
      <c r="G260" s="25"/>
      <c r="H260" s="25" t="str">
        <f>IFERROR(IF(ISBLANK(G260),"",INDEX(Gen_Vessels!$A$3:$C$500,MATCH(G260,Gen_Vessels!$C$3:$C$500,0),1)),"")</f>
        <v/>
      </c>
      <c r="I260" s="25"/>
      <c r="J260" s="25"/>
      <c r="K260" s="25"/>
      <c r="M260" s="25"/>
      <c r="O260" s="25"/>
      <c r="Q260" s="25"/>
      <c r="R260" s="25"/>
      <c r="S260" s="25"/>
      <c r="T260" s="25"/>
      <c r="U260" s="25"/>
      <c r="V260" s="25"/>
      <c r="W260" s="25"/>
      <c r="X260" s="25"/>
    </row>
    <row r="261" spans="1:24" x14ac:dyDescent="0.25">
      <c r="A261" s="18" t="str">
        <f t="shared" si="6"/>
        <v/>
      </c>
      <c r="B261" s="25"/>
      <c r="C261" s="25"/>
      <c r="D261" s="25"/>
      <c r="E261" s="25" t="str">
        <f>IFERROR(IF(ISBLANK(D261),"",INDEX(Gen_Vessels!$A$3:$C$500,MATCH(D261,Gen_Vessels!$C$3:$C$500,0),1)),"")</f>
        <v/>
      </c>
      <c r="F261" s="25"/>
      <c r="G261" s="25"/>
      <c r="H261" s="25" t="str">
        <f>IFERROR(IF(ISBLANK(G261),"",INDEX(Gen_Vessels!$A$3:$C$500,MATCH(G261,Gen_Vessels!$C$3:$C$500,0),1)),"")</f>
        <v/>
      </c>
      <c r="I261" s="25"/>
      <c r="J261" s="25"/>
      <c r="K261" s="25"/>
      <c r="M261" s="25"/>
      <c r="O261" s="25"/>
      <c r="Q261" s="25"/>
      <c r="R261" s="25"/>
      <c r="S261" s="25"/>
      <c r="T261" s="25"/>
      <c r="U261" s="25"/>
      <c r="V261" s="25"/>
      <c r="W261" s="25"/>
      <c r="X261" s="25"/>
    </row>
    <row r="262" spans="1:24" x14ac:dyDescent="0.25">
      <c r="A262" s="18" t="str">
        <f t="shared" si="6"/>
        <v/>
      </c>
      <c r="B262" s="25"/>
      <c r="C262" s="25"/>
      <c r="D262" s="25"/>
      <c r="E262" s="25" t="str">
        <f>IFERROR(IF(ISBLANK(D262),"",INDEX(Gen_Vessels!$A$3:$C$500,MATCH(D262,Gen_Vessels!$C$3:$C$500,0),1)),"")</f>
        <v/>
      </c>
      <c r="F262" s="25"/>
      <c r="G262" s="25"/>
      <c r="H262" s="25" t="str">
        <f>IFERROR(IF(ISBLANK(G262),"",INDEX(Gen_Vessels!$A$3:$C$500,MATCH(G262,Gen_Vessels!$C$3:$C$500,0),1)),"")</f>
        <v/>
      </c>
      <c r="I262" s="25"/>
      <c r="J262" s="25"/>
      <c r="K262" s="25"/>
      <c r="M262" s="25"/>
      <c r="O262" s="25"/>
      <c r="Q262" s="25"/>
      <c r="R262" s="25"/>
      <c r="S262" s="25"/>
      <c r="T262" s="25"/>
      <c r="U262" s="25"/>
      <c r="V262" s="25"/>
      <c r="W262" s="25"/>
      <c r="X262" s="25"/>
    </row>
    <row r="263" spans="1:24" x14ac:dyDescent="0.25">
      <c r="A263" s="18" t="str">
        <f t="shared" si="6"/>
        <v/>
      </c>
      <c r="B263" s="25"/>
      <c r="C263" s="25"/>
      <c r="D263" s="25"/>
      <c r="E263" s="25" t="str">
        <f>IFERROR(IF(ISBLANK(D263),"",INDEX(Gen_Vessels!$A$3:$C$500,MATCH(D263,Gen_Vessels!$C$3:$C$500,0),1)),"")</f>
        <v/>
      </c>
      <c r="F263" s="25"/>
      <c r="G263" s="25"/>
      <c r="H263" s="25" t="str">
        <f>IFERROR(IF(ISBLANK(G263),"",INDEX(Gen_Vessels!$A$3:$C$500,MATCH(G263,Gen_Vessels!$C$3:$C$500,0),1)),"")</f>
        <v/>
      </c>
      <c r="I263" s="25"/>
      <c r="J263" s="25"/>
      <c r="K263" s="25"/>
      <c r="M263" s="25"/>
      <c r="O263" s="25"/>
      <c r="Q263" s="25"/>
      <c r="R263" s="25"/>
      <c r="S263" s="25"/>
      <c r="T263" s="25"/>
      <c r="U263" s="25"/>
      <c r="V263" s="25"/>
      <c r="W263" s="25"/>
      <c r="X263" s="25"/>
    </row>
    <row r="264" spans="1:24" x14ac:dyDescent="0.25">
      <c r="A264" s="18" t="str">
        <f t="shared" si="6"/>
        <v/>
      </c>
      <c r="B264" s="25"/>
      <c r="C264" s="25"/>
      <c r="D264" s="25"/>
      <c r="E264" s="25" t="str">
        <f>IFERROR(IF(ISBLANK(D264),"",INDEX(Gen_Vessels!$A$3:$C$500,MATCH(D264,Gen_Vessels!$C$3:$C$500,0),1)),"")</f>
        <v/>
      </c>
      <c r="F264" s="25"/>
      <c r="G264" s="25"/>
      <c r="H264" s="25" t="str">
        <f>IFERROR(IF(ISBLANK(G264),"",INDEX(Gen_Vessels!$A$3:$C$500,MATCH(G264,Gen_Vessels!$C$3:$C$500,0),1)),"")</f>
        <v/>
      </c>
      <c r="I264" s="25"/>
      <c r="J264" s="25"/>
      <c r="K264" s="25"/>
      <c r="M264" s="25"/>
      <c r="O264" s="25"/>
      <c r="Q264" s="25"/>
      <c r="R264" s="25"/>
      <c r="S264" s="25"/>
      <c r="T264" s="25"/>
      <c r="U264" s="25"/>
      <c r="V264" s="25"/>
      <c r="W264" s="25"/>
      <c r="X264" s="25"/>
    </row>
    <row r="265" spans="1:24" x14ac:dyDescent="0.25">
      <c r="A265" s="18" t="str">
        <f t="shared" si="6"/>
        <v/>
      </c>
      <c r="B265" s="25"/>
      <c r="C265" s="25"/>
      <c r="D265" s="25"/>
      <c r="E265" s="25" t="str">
        <f>IFERROR(IF(ISBLANK(D265),"",INDEX(Gen_Vessels!$A$3:$C$500,MATCH(D265,Gen_Vessels!$C$3:$C$500,0),1)),"")</f>
        <v/>
      </c>
      <c r="F265" s="25"/>
      <c r="G265" s="25"/>
      <c r="H265" s="25" t="str">
        <f>IFERROR(IF(ISBLANK(G265),"",INDEX(Gen_Vessels!$A$3:$C$500,MATCH(G265,Gen_Vessels!$C$3:$C$500,0),1)),"")</f>
        <v/>
      </c>
      <c r="I265" s="25"/>
      <c r="J265" s="25"/>
      <c r="K265" s="25"/>
      <c r="M265" s="25"/>
      <c r="O265" s="25"/>
      <c r="Q265" s="25"/>
      <c r="R265" s="25"/>
      <c r="S265" s="25"/>
      <c r="T265" s="25"/>
      <c r="U265" s="25"/>
      <c r="V265" s="25"/>
      <c r="W265" s="25"/>
      <c r="X265" s="25"/>
    </row>
    <row r="266" spans="1:24" x14ac:dyDescent="0.25">
      <c r="A266" s="18" t="str">
        <f t="shared" si="6"/>
        <v/>
      </c>
      <c r="B266" s="25"/>
      <c r="C266" s="25"/>
      <c r="D266" s="25"/>
      <c r="E266" s="25" t="str">
        <f>IFERROR(IF(ISBLANK(D266),"",INDEX(Gen_Vessels!$A$3:$C$500,MATCH(D266,Gen_Vessels!$C$3:$C$500,0),1)),"")</f>
        <v/>
      </c>
      <c r="F266" s="25"/>
      <c r="G266" s="25"/>
      <c r="H266" s="25" t="str">
        <f>IFERROR(IF(ISBLANK(G266),"",INDEX(Gen_Vessels!$A$3:$C$500,MATCH(G266,Gen_Vessels!$C$3:$C$500,0),1)),"")</f>
        <v/>
      </c>
      <c r="I266" s="25"/>
      <c r="J266" s="25"/>
      <c r="K266" s="25"/>
      <c r="M266" s="25"/>
      <c r="O266" s="25"/>
      <c r="Q266" s="25"/>
      <c r="R266" s="25"/>
      <c r="S266" s="25"/>
      <c r="T266" s="25"/>
      <c r="U266" s="25"/>
      <c r="V266" s="25"/>
      <c r="W266" s="25"/>
      <c r="X266" s="25"/>
    </row>
    <row r="267" spans="1:24" x14ac:dyDescent="0.25">
      <c r="A267" s="18" t="str">
        <f t="shared" si="6"/>
        <v/>
      </c>
      <c r="B267" s="25"/>
      <c r="C267" s="25"/>
      <c r="D267" s="25"/>
      <c r="E267" s="25" t="str">
        <f>IFERROR(IF(ISBLANK(D267),"",INDEX(Gen_Vessels!$A$3:$C$500,MATCH(D267,Gen_Vessels!$C$3:$C$500,0),1)),"")</f>
        <v/>
      </c>
      <c r="F267" s="25"/>
      <c r="G267" s="25"/>
      <c r="H267" s="25" t="str">
        <f>IFERROR(IF(ISBLANK(G267),"",INDEX(Gen_Vessels!$A$3:$C$500,MATCH(G267,Gen_Vessels!$C$3:$C$500,0),1)),"")</f>
        <v/>
      </c>
      <c r="I267" s="25"/>
      <c r="J267" s="25"/>
      <c r="K267" s="25"/>
      <c r="M267" s="25"/>
      <c r="O267" s="25"/>
      <c r="Q267" s="25"/>
      <c r="R267" s="25"/>
      <c r="S267" s="25"/>
      <c r="T267" s="25"/>
      <c r="U267" s="25"/>
      <c r="V267" s="25"/>
      <c r="W267" s="25"/>
      <c r="X267" s="25"/>
    </row>
    <row r="268" spans="1:24" x14ac:dyDescent="0.25">
      <c r="A268" s="18" t="str">
        <f t="shared" si="6"/>
        <v/>
      </c>
      <c r="B268" s="25"/>
      <c r="C268" s="25"/>
      <c r="D268" s="25"/>
      <c r="E268" s="25" t="str">
        <f>IFERROR(IF(ISBLANK(D268),"",INDEX(Gen_Vessels!$A$3:$C$500,MATCH(D268,Gen_Vessels!$C$3:$C$500,0),1)),"")</f>
        <v/>
      </c>
      <c r="F268" s="25"/>
      <c r="G268" s="25"/>
      <c r="H268" s="25" t="str">
        <f>IFERROR(IF(ISBLANK(G268),"",INDEX(Gen_Vessels!$A$3:$C$500,MATCH(G268,Gen_Vessels!$C$3:$C$500,0),1)),"")</f>
        <v/>
      </c>
      <c r="I268" s="25"/>
      <c r="J268" s="25"/>
      <c r="K268" s="25"/>
      <c r="M268" s="25"/>
      <c r="O268" s="25"/>
      <c r="Q268" s="25"/>
      <c r="R268" s="25"/>
      <c r="S268" s="25"/>
      <c r="T268" s="25"/>
      <c r="U268" s="25"/>
      <c r="V268" s="25"/>
      <c r="W268" s="25"/>
      <c r="X268" s="25"/>
    </row>
    <row r="269" spans="1:24" x14ac:dyDescent="0.25">
      <c r="A269" s="18" t="str">
        <f t="shared" si="6"/>
        <v/>
      </c>
      <c r="B269" s="25"/>
      <c r="C269" s="25"/>
      <c r="D269" s="25"/>
      <c r="E269" s="25" t="str">
        <f>IFERROR(IF(ISBLANK(D269),"",INDEX(Gen_Vessels!$A$3:$C$500,MATCH(D269,Gen_Vessels!$C$3:$C$500,0),1)),"")</f>
        <v/>
      </c>
      <c r="F269" s="25"/>
      <c r="G269" s="25"/>
      <c r="H269" s="25" t="str">
        <f>IFERROR(IF(ISBLANK(G269),"",INDEX(Gen_Vessels!$A$3:$C$500,MATCH(G269,Gen_Vessels!$C$3:$C$500,0),1)),"")</f>
        <v/>
      </c>
      <c r="I269" s="25"/>
      <c r="J269" s="25"/>
      <c r="K269" s="25"/>
      <c r="M269" s="25"/>
      <c r="O269" s="25"/>
      <c r="Q269" s="25"/>
      <c r="R269" s="25"/>
      <c r="S269" s="25"/>
      <c r="T269" s="25"/>
      <c r="U269" s="25"/>
      <c r="V269" s="25"/>
      <c r="W269" s="25"/>
      <c r="X269" s="25"/>
    </row>
    <row r="270" spans="1:24" x14ac:dyDescent="0.25">
      <c r="A270" s="18" t="str">
        <f t="shared" si="6"/>
        <v/>
      </c>
      <c r="B270" s="25"/>
      <c r="C270" s="25"/>
      <c r="D270" s="25"/>
      <c r="E270" s="25" t="str">
        <f>IFERROR(IF(ISBLANK(D270),"",INDEX(Gen_Vessels!$A$3:$C$500,MATCH(D270,Gen_Vessels!$C$3:$C$500,0),1)),"")</f>
        <v/>
      </c>
      <c r="F270" s="25"/>
      <c r="G270" s="25"/>
      <c r="H270" s="25" t="str">
        <f>IFERROR(IF(ISBLANK(G270),"",INDEX(Gen_Vessels!$A$3:$C$500,MATCH(G270,Gen_Vessels!$C$3:$C$500,0),1)),"")</f>
        <v/>
      </c>
      <c r="I270" s="25"/>
      <c r="J270" s="25"/>
      <c r="K270" s="25"/>
      <c r="M270" s="25"/>
      <c r="O270" s="25"/>
      <c r="Q270" s="25"/>
      <c r="R270" s="25"/>
      <c r="S270" s="25"/>
      <c r="T270" s="25"/>
      <c r="U270" s="25"/>
      <c r="V270" s="25"/>
      <c r="W270" s="25"/>
      <c r="X270" s="25"/>
    </row>
    <row r="271" spans="1:24" x14ac:dyDescent="0.25">
      <c r="A271" s="18" t="str">
        <f t="shared" si="6"/>
        <v/>
      </c>
      <c r="B271" s="25"/>
      <c r="C271" s="25"/>
      <c r="D271" s="25"/>
      <c r="E271" s="25" t="str">
        <f>IFERROR(IF(ISBLANK(D271),"",INDEX(Gen_Vessels!$A$3:$C$500,MATCH(D271,Gen_Vessels!$C$3:$C$500,0),1)),"")</f>
        <v/>
      </c>
      <c r="F271" s="25"/>
      <c r="G271" s="25"/>
      <c r="H271" s="25" t="str">
        <f>IFERROR(IF(ISBLANK(G271),"",INDEX(Gen_Vessels!$A$3:$C$500,MATCH(G271,Gen_Vessels!$C$3:$C$500,0),1)),"")</f>
        <v/>
      </c>
      <c r="I271" s="25"/>
      <c r="J271" s="25"/>
      <c r="K271" s="25"/>
      <c r="M271" s="25"/>
      <c r="O271" s="25"/>
      <c r="Q271" s="25"/>
      <c r="R271" s="25"/>
      <c r="S271" s="25"/>
      <c r="T271" s="25"/>
      <c r="U271" s="25"/>
      <c r="V271" s="25"/>
      <c r="W271" s="25"/>
      <c r="X271" s="25"/>
    </row>
    <row r="272" spans="1:24" x14ac:dyDescent="0.25">
      <c r="A272" s="18" t="str">
        <f t="shared" si="6"/>
        <v/>
      </c>
      <c r="B272" s="25"/>
      <c r="C272" s="25"/>
      <c r="D272" s="25"/>
      <c r="E272" s="25" t="str">
        <f>IFERROR(IF(ISBLANK(D272),"",INDEX(Gen_Vessels!$A$3:$C$500,MATCH(D272,Gen_Vessels!$C$3:$C$500,0),1)),"")</f>
        <v/>
      </c>
      <c r="F272" s="25"/>
      <c r="G272" s="25"/>
      <c r="H272" s="25" t="str">
        <f>IFERROR(IF(ISBLANK(G272),"",INDEX(Gen_Vessels!$A$3:$C$500,MATCH(G272,Gen_Vessels!$C$3:$C$500,0),1)),"")</f>
        <v/>
      </c>
      <c r="I272" s="25"/>
      <c r="J272" s="25"/>
      <c r="K272" s="25"/>
      <c r="M272" s="25"/>
      <c r="O272" s="25"/>
      <c r="Q272" s="25"/>
      <c r="R272" s="25"/>
      <c r="S272" s="25"/>
      <c r="T272" s="25"/>
      <c r="U272" s="25"/>
      <c r="V272" s="25"/>
      <c r="W272" s="25"/>
      <c r="X272" s="25"/>
    </row>
    <row r="273" spans="1:24" x14ac:dyDescent="0.25">
      <c r="A273" s="18" t="str">
        <f t="shared" si="6"/>
        <v/>
      </c>
      <c r="B273" s="25"/>
      <c r="C273" s="25"/>
      <c r="D273" s="25"/>
      <c r="E273" s="25" t="str">
        <f>IFERROR(IF(ISBLANK(D273),"",INDEX(Gen_Vessels!$A$3:$C$500,MATCH(D273,Gen_Vessels!$C$3:$C$500,0),1)),"")</f>
        <v/>
      </c>
      <c r="F273" s="25"/>
      <c r="G273" s="25"/>
      <c r="H273" s="25" t="str">
        <f>IFERROR(IF(ISBLANK(G273),"",INDEX(Gen_Vessels!$A$3:$C$500,MATCH(G273,Gen_Vessels!$C$3:$C$500,0),1)),"")</f>
        <v/>
      </c>
      <c r="I273" s="25"/>
      <c r="J273" s="25"/>
      <c r="K273" s="25"/>
      <c r="M273" s="25"/>
      <c r="O273" s="25"/>
      <c r="Q273" s="25"/>
      <c r="R273" s="25"/>
      <c r="S273" s="25"/>
      <c r="T273" s="25"/>
      <c r="U273" s="25"/>
      <c r="V273" s="25"/>
      <c r="W273" s="25"/>
      <c r="X273" s="25"/>
    </row>
    <row r="274" spans="1:24" x14ac:dyDescent="0.25">
      <c r="A274" s="18" t="str">
        <f t="shared" si="6"/>
        <v/>
      </c>
      <c r="B274" s="25"/>
      <c r="C274" s="25"/>
      <c r="D274" s="25"/>
      <c r="E274" s="25" t="str">
        <f>IFERROR(IF(ISBLANK(D274),"",INDEX(Gen_Vessels!$A$3:$C$500,MATCH(D274,Gen_Vessels!$C$3:$C$500,0),1)),"")</f>
        <v/>
      </c>
      <c r="F274" s="25"/>
      <c r="G274" s="25"/>
      <c r="H274" s="25" t="str">
        <f>IFERROR(IF(ISBLANK(G274),"",INDEX(Gen_Vessels!$A$3:$C$500,MATCH(G274,Gen_Vessels!$C$3:$C$500,0),1)),"")</f>
        <v/>
      </c>
      <c r="I274" s="25"/>
      <c r="J274" s="25"/>
      <c r="K274" s="25"/>
      <c r="M274" s="25"/>
      <c r="O274" s="25"/>
      <c r="Q274" s="25"/>
      <c r="R274" s="25"/>
      <c r="S274" s="25"/>
      <c r="T274" s="25"/>
      <c r="U274" s="25"/>
      <c r="V274" s="25"/>
      <c r="W274" s="25"/>
      <c r="X274" s="25"/>
    </row>
    <row r="275" spans="1:24" x14ac:dyDescent="0.25">
      <c r="A275" s="18" t="str">
        <f t="shared" si="6"/>
        <v/>
      </c>
      <c r="B275" s="25"/>
      <c r="C275" s="25"/>
      <c r="D275" s="25"/>
      <c r="E275" s="25" t="str">
        <f>IFERROR(IF(ISBLANK(D275),"",INDEX(Gen_Vessels!$A$3:$C$500,MATCH(D275,Gen_Vessels!$C$3:$C$500,0),1)),"")</f>
        <v/>
      </c>
      <c r="F275" s="25"/>
      <c r="G275" s="25"/>
      <c r="H275" s="25" t="str">
        <f>IFERROR(IF(ISBLANK(G275),"",INDEX(Gen_Vessels!$A$3:$C$500,MATCH(G275,Gen_Vessels!$C$3:$C$500,0),1)),"")</f>
        <v/>
      </c>
      <c r="I275" s="25"/>
      <c r="J275" s="25"/>
      <c r="K275" s="25"/>
      <c r="M275" s="25"/>
      <c r="O275" s="25"/>
      <c r="Q275" s="25"/>
      <c r="R275" s="25"/>
      <c r="S275" s="25"/>
      <c r="T275" s="25"/>
      <c r="U275" s="25"/>
      <c r="V275" s="25"/>
      <c r="W275" s="25"/>
      <c r="X275" s="25"/>
    </row>
    <row r="276" spans="1:24" x14ac:dyDescent="0.25">
      <c r="A276" s="18" t="str">
        <f t="shared" si="6"/>
        <v/>
      </c>
      <c r="B276" s="25"/>
      <c r="C276" s="25"/>
      <c r="D276" s="25"/>
      <c r="E276" s="25" t="str">
        <f>IFERROR(IF(ISBLANK(D276),"",INDEX(Gen_Vessels!$A$3:$C$500,MATCH(D276,Gen_Vessels!$C$3:$C$500,0),1)),"")</f>
        <v/>
      </c>
      <c r="F276" s="25"/>
      <c r="G276" s="25"/>
      <c r="H276" s="25" t="str">
        <f>IFERROR(IF(ISBLANK(G276),"",INDEX(Gen_Vessels!$A$3:$C$500,MATCH(G276,Gen_Vessels!$C$3:$C$500,0),1)),"")</f>
        <v/>
      </c>
      <c r="I276" s="25"/>
      <c r="J276" s="25"/>
      <c r="K276" s="25"/>
      <c r="M276" s="25"/>
      <c r="O276" s="25"/>
      <c r="Q276" s="25"/>
      <c r="R276" s="25"/>
      <c r="S276" s="25"/>
      <c r="T276" s="25"/>
      <c r="U276" s="25"/>
      <c r="V276" s="25"/>
      <c r="W276" s="25"/>
      <c r="X276" s="25"/>
    </row>
    <row r="277" spans="1:24" x14ac:dyDescent="0.25">
      <c r="A277" s="18" t="str">
        <f t="shared" si="6"/>
        <v/>
      </c>
      <c r="B277" s="25"/>
      <c r="C277" s="25"/>
      <c r="D277" s="25"/>
      <c r="E277" s="25" t="str">
        <f>IFERROR(IF(ISBLANK(D277),"",INDEX(Gen_Vessels!$A$3:$C$500,MATCH(D277,Gen_Vessels!$C$3:$C$500,0),1)),"")</f>
        <v/>
      </c>
      <c r="F277" s="25"/>
      <c r="G277" s="25"/>
      <c r="H277" s="25" t="str">
        <f>IFERROR(IF(ISBLANK(G277),"",INDEX(Gen_Vessels!$A$3:$C$500,MATCH(G277,Gen_Vessels!$C$3:$C$500,0),1)),"")</f>
        <v/>
      </c>
      <c r="I277" s="25"/>
      <c r="J277" s="25"/>
      <c r="K277" s="25"/>
      <c r="M277" s="25"/>
      <c r="O277" s="25"/>
      <c r="Q277" s="25"/>
      <c r="R277" s="25"/>
      <c r="S277" s="25"/>
      <c r="T277" s="25"/>
      <c r="U277" s="25"/>
      <c r="V277" s="25"/>
      <c r="W277" s="25"/>
      <c r="X277" s="25"/>
    </row>
    <row r="278" spans="1:24" x14ac:dyDescent="0.25">
      <c r="A278" s="18" t="str">
        <f t="shared" si="6"/>
        <v/>
      </c>
      <c r="B278" s="25"/>
      <c r="C278" s="25"/>
      <c r="D278" s="25"/>
      <c r="E278" s="25" t="str">
        <f>IFERROR(IF(ISBLANK(D278),"",INDEX(Gen_Vessels!$A$3:$C$500,MATCH(D278,Gen_Vessels!$C$3:$C$500,0),1)),"")</f>
        <v/>
      </c>
      <c r="F278" s="25"/>
      <c r="G278" s="25"/>
      <c r="H278" s="25" t="str">
        <f>IFERROR(IF(ISBLANK(G278),"",INDEX(Gen_Vessels!$A$3:$C$500,MATCH(G278,Gen_Vessels!$C$3:$C$500,0),1)),"")</f>
        <v/>
      </c>
      <c r="I278" s="25"/>
      <c r="J278" s="25"/>
      <c r="K278" s="25"/>
      <c r="M278" s="25"/>
      <c r="O278" s="25"/>
      <c r="Q278" s="25"/>
      <c r="R278" s="25"/>
      <c r="S278" s="25"/>
      <c r="T278" s="25"/>
      <c r="U278" s="25"/>
      <c r="V278" s="25"/>
      <c r="W278" s="25"/>
      <c r="X278" s="25"/>
    </row>
    <row r="279" spans="1:24" x14ac:dyDescent="0.25">
      <c r="A279" s="18" t="str">
        <f t="shared" si="6"/>
        <v/>
      </c>
      <c r="B279" s="25"/>
      <c r="C279" s="25"/>
      <c r="D279" s="25"/>
      <c r="E279" s="25" t="str">
        <f>IFERROR(IF(ISBLANK(D279),"",INDEX(Gen_Vessels!$A$3:$C$500,MATCH(D279,Gen_Vessels!$C$3:$C$500,0),1)),"")</f>
        <v/>
      </c>
      <c r="F279" s="25"/>
      <c r="G279" s="25"/>
      <c r="H279" s="25" t="str">
        <f>IFERROR(IF(ISBLANK(G279),"",INDEX(Gen_Vessels!$A$3:$C$500,MATCH(G279,Gen_Vessels!$C$3:$C$500,0),1)),"")</f>
        <v/>
      </c>
      <c r="I279" s="25"/>
      <c r="J279" s="25"/>
      <c r="K279" s="25"/>
      <c r="M279" s="25"/>
      <c r="O279" s="25"/>
      <c r="Q279" s="25"/>
      <c r="R279" s="25"/>
      <c r="S279" s="25"/>
      <c r="T279" s="25"/>
      <c r="U279" s="25"/>
      <c r="V279" s="25"/>
      <c r="W279" s="25"/>
      <c r="X279" s="25"/>
    </row>
    <row r="280" spans="1:24" x14ac:dyDescent="0.25">
      <c r="A280" s="18" t="str">
        <f t="shared" si="6"/>
        <v/>
      </c>
      <c r="B280" s="25"/>
      <c r="C280" s="25"/>
      <c r="D280" s="25"/>
      <c r="E280" s="25" t="str">
        <f>IFERROR(IF(ISBLANK(D280),"",INDEX(Gen_Vessels!$A$3:$C$500,MATCH(D280,Gen_Vessels!$C$3:$C$500,0),1)),"")</f>
        <v/>
      </c>
      <c r="F280" s="25"/>
      <c r="G280" s="25"/>
      <c r="H280" s="25" t="str">
        <f>IFERROR(IF(ISBLANK(G280),"",INDEX(Gen_Vessels!$A$3:$C$500,MATCH(G280,Gen_Vessels!$C$3:$C$500,0),1)),"")</f>
        <v/>
      </c>
      <c r="I280" s="25"/>
      <c r="J280" s="25"/>
      <c r="K280" s="25"/>
      <c r="M280" s="25"/>
      <c r="O280" s="25"/>
      <c r="Q280" s="25"/>
      <c r="R280" s="25"/>
      <c r="S280" s="25"/>
      <c r="T280" s="25"/>
      <c r="U280" s="25"/>
      <c r="V280" s="25"/>
      <c r="W280" s="25"/>
      <c r="X280" s="25"/>
    </row>
    <row r="281" spans="1:24" x14ac:dyDescent="0.25">
      <c r="A281" s="18" t="str">
        <f t="shared" si="6"/>
        <v/>
      </c>
      <c r="B281" s="25"/>
      <c r="C281" s="25"/>
      <c r="D281" s="25"/>
      <c r="E281" s="25" t="str">
        <f>IFERROR(IF(ISBLANK(D281),"",INDEX(Gen_Vessels!$A$3:$C$500,MATCH(D281,Gen_Vessels!$C$3:$C$500,0),1)),"")</f>
        <v/>
      </c>
      <c r="F281" s="25"/>
      <c r="G281" s="25"/>
      <c r="H281" s="25" t="str">
        <f>IFERROR(IF(ISBLANK(G281),"",INDEX(Gen_Vessels!$A$3:$C$500,MATCH(G281,Gen_Vessels!$C$3:$C$500,0),1)),"")</f>
        <v/>
      </c>
      <c r="I281" s="25"/>
      <c r="J281" s="25"/>
      <c r="K281" s="25"/>
      <c r="M281" s="25"/>
      <c r="O281" s="25"/>
      <c r="Q281" s="25"/>
      <c r="R281" s="25"/>
      <c r="S281" s="25"/>
      <c r="T281" s="25"/>
      <c r="U281" s="25"/>
      <c r="V281" s="25"/>
      <c r="W281" s="25"/>
      <c r="X281" s="25"/>
    </row>
    <row r="282" spans="1:24" x14ac:dyDescent="0.25">
      <c r="A282" s="18" t="str">
        <f t="shared" si="6"/>
        <v/>
      </c>
      <c r="B282" s="25"/>
      <c r="C282" s="25"/>
      <c r="D282" s="25"/>
      <c r="E282" s="25" t="str">
        <f>IFERROR(IF(ISBLANK(D282),"",INDEX(Gen_Vessels!$A$3:$C$500,MATCH(D282,Gen_Vessels!$C$3:$C$500,0),1)),"")</f>
        <v/>
      </c>
      <c r="F282" s="25"/>
      <c r="G282" s="25"/>
      <c r="H282" s="25" t="str">
        <f>IFERROR(IF(ISBLANK(G282),"",INDEX(Gen_Vessels!$A$3:$C$500,MATCH(G282,Gen_Vessels!$C$3:$C$500,0),1)),"")</f>
        <v/>
      </c>
      <c r="I282" s="25"/>
      <c r="J282" s="25"/>
      <c r="K282" s="25"/>
      <c r="M282" s="25"/>
      <c r="O282" s="25"/>
      <c r="Q282" s="25"/>
      <c r="R282" s="25"/>
      <c r="S282" s="25"/>
      <c r="T282" s="25"/>
      <c r="U282" s="25"/>
      <c r="V282" s="25"/>
      <c r="W282" s="25"/>
      <c r="X282" s="25"/>
    </row>
    <row r="283" spans="1:24" x14ac:dyDescent="0.25">
      <c r="A283" s="18" t="str">
        <f t="shared" si="6"/>
        <v/>
      </c>
      <c r="B283" s="25"/>
      <c r="C283" s="25"/>
      <c r="D283" s="25"/>
      <c r="E283" s="25" t="str">
        <f>IFERROR(IF(ISBLANK(D283),"",INDEX(Gen_Vessels!$A$3:$C$500,MATCH(D283,Gen_Vessels!$C$3:$C$500,0),1)),"")</f>
        <v/>
      </c>
      <c r="F283" s="25"/>
      <c r="G283" s="25"/>
      <c r="H283" s="25" t="str">
        <f>IFERROR(IF(ISBLANK(G283),"",INDEX(Gen_Vessels!$A$3:$C$500,MATCH(G283,Gen_Vessels!$C$3:$C$500,0),1)),"")</f>
        <v/>
      </c>
      <c r="I283" s="25"/>
      <c r="J283" s="25"/>
      <c r="K283" s="25"/>
      <c r="M283" s="25"/>
      <c r="O283" s="25"/>
      <c r="Q283" s="25"/>
      <c r="R283" s="25"/>
      <c r="S283" s="25"/>
      <c r="T283" s="25"/>
      <c r="U283" s="25"/>
      <c r="V283" s="25"/>
      <c r="W283" s="25"/>
      <c r="X283" s="25"/>
    </row>
    <row r="284" spans="1:24" x14ac:dyDescent="0.25">
      <c r="A284" s="18" t="str">
        <f t="shared" si="6"/>
        <v/>
      </c>
      <c r="B284" s="25"/>
      <c r="C284" s="25"/>
      <c r="D284" s="25"/>
      <c r="E284" s="25" t="str">
        <f>IFERROR(IF(ISBLANK(D284),"",INDEX(Gen_Vessels!$A$3:$C$500,MATCH(D284,Gen_Vessels!$C$3:$C$500,0),1)),"")</f>
        <v/>
      </c>
      <c r="F284" s="25"/>
      <c r="G284" s="25"/>
      <c r="H284" s="25" t="str">
        <f>IFERROR(IF(ISBLANK(G284),"",INDEX(Gen_Vessels!$A$3:$C$500,MATCH(G284,Gen_Vessels!$C$3:$C$500,0),1)),"")</f>
        <v/>
      </c>
      <c r="I284" s="25"/>
      <c r="J284" s="25"/>
      <c r="K284" s="25"/>
      <c r="M284" s="25"/>
      <c r="O284" s="25"/>
      <c r="Q284" s="25"/>
      <c r="R284" s="25"/>
      <c r="S284" s="25"/>
      <c r="T284" s="25"/>
      <c r="U284" s="25"/>
      <c r="V284" s="25"/>
      <c r="W284" s="25"/>
      <c r="X284" s="25"/>
    </row>
    <row r="285" spans="1:24" x14ac:dyDescent="0.25">
      <c r="A285" s="18" t="str">
        <f t="shared" si="6"/>
        <v/>
      </c>
      <c r="B285" s="25"/>
      <c r="C285" s="25"/>
      <c r="D285" s="25"/>
      <c r="E285" s="25" t="str">
        <f>IFERROR(IF(ISBLANK(D285),"",INDEX(Gen_Vessels!$A$3:$C$500,MATCH(D285,Gen_Vessels!$C$3:$C$500,0),1)),"")</f>
        <v/>
      </c>
      <c r="F285" s="25"/>
      <c r="G285" s="25"/>
      <c r="H285" s="25" t="str">
        <f>IFERROR(IF(ISBLANK(G285),"",INDEX(Gen_Vessels!$A$3:$C$500,MATCH(G285,Gen_Vessels!$C$3:$C$500,0),1)),"")</f>
        <v/>
      </c>
      <c r="I285" s="25"/>
      <c r="J285" s="25"/>
      <c r="K285" s="25"/>
      <c r="M285" s="25"/>
      <c r="O285" s="25"/>
      <c r="Q285" s="25"/>
      <c r="R285" s="25"/>
      <c r="S285" s="25"/>
      <c r="T285" s="25"/>
      <c r="U285" s="25"/>
      <c r="V285" s="25"/>
      <c r="W285" s="25"/>
      <c r="X285" s="25"/>
    </row>
    <row r="286" spans="1:24" x14ac:dyDescent="0.25">
      <c r="A286" s="18" t="str">
        <f t="shared" si="6"/>
        <v/>
      </c>
      <c r="B286" s="25"/>
      <c r="C286" s="25"/>
      <c r="D286" s="25"/>
      <c r="E286" s="25" t="str">
        <f>IFERROR(IF(ISBLANK(D286),"",INDEX(Gen_Vessels!$A$3:$C$500,MATCH(D286,Gen_Vessels!$C$3:$C$500,0),1)),"")</f>
        <v/>
      </c>
      <c r="F286" s="25"/>
      <c r="G286" s="25"/>
      <c r="H286" s="25" t="str">
        <f>IFERROR(IF(ISBLANK(G286),"",INDEX(Gen_Vessels!$A$3:$C$500,MATCH(G286,Gen_Vessels!$C$3:$C$500,0),1)),"")</f>
        <v/>
      </c>
      <c r="I286" s="25"/>
      <c r="J286" s="25"/>
      <c r="K286" s="25"/>
      <c r="M286" s="25"/>
      <c r="O286" s="25"/>
      <c r="Q286" s="25"/>
      <c r="R286" s="25"/>
      <c r="S286" s="25"/>
      <c r="T286" s="25"/>
      <c r="U286" s="25"/>
      <c r="V286" s="25"/>
      <c r="W286" s="25"/>
      <c r="X286" s="25"/>
    </row>
    <row r="287" spans="1:24" x14ac:dyDescent="0.25">
      <c r="A287" s="18" t="str">
        <f t="shared" si="6"/>
        <v/>
      </c>
      <c r="B287" s="25"/>
      <c r="C287" s="25"/>
      <c r="D287" s="25"/>
      <c r="E287" s="25" t="str">
        <f>IFERROR(IF(ISBLANK(D287),"",INDEX(Gen_Vessels!$A$3:$C$500,MATCH(D287,Gen_Vessels!$C$3:$C$500,0),1)),"")</f>
        <v/>
      </c>
      <c r="F287" s="25"/>
      <c r="G287" s="25"/>
      <c r="H287" s="25" t="str">
        <f>IFERROR(IF(ISBLANK(G287),"",INDEX(Gen_Vessels!$A$3:$C$500,MATCH(G287,Gen_Vessels!$C$3:$C$500,0),1)),"")</f>
        <v/>
      </c>
      <c r="I287" s="25"/>
      <c r="J287" s="25"/>
      <c r="K287" s="25"/>
      <c r="M287" s="25"/>
      <c r="O287" s="25"/>
      <c r="Q287" s="25"/>
      <c r="R287" s="25"/>
      <c r="S287" s="25"/>
      <c r="T287" s="25"/>
      <c r="U287" s="25"/>
      <c r="V287" s="25"/>
      <c r="W287" s="25"/>
      <c r="X287" s="25"/>
    </row>
    <row r="288" spans="1:24" x14ac:dyDescent="0.25">
      <c r="A288" s="18" t="str">
        <f t="shared" si="6"/>
        <v/>
      </c>
      <c r="B288" s="25"/>
      <c r="C288" s="25"/>
      <c r="D288" s="25"/>
      <c r="E288" s="25" t="str">
        <f>IFERROR(IF(ISBLANK(D288),"",INDEX(Gen_Vessels!$A$3:$C$500,MATCH(D288,Gen_Vessels!$C$3:$C$500,0),1)),"")</f>
        <v/>
      </c>
      <c r="F288" s="25"/>
      <c r="G288" s="25"/>
      <c r="H288" s="25" t="str">
        <f>IFERROR(IF(ISBLANK(G288),"",INDEX(Gen_Vessels!$A$3:$C$500,MATCH(G288,Gen_Vessels!$C$3:$C$500,0),1)),"")</f>
        <v/>
      </c>
      <c r="I288" s="25"/>
      <c r="J288" s="25"/>
      <c r="K288" s="25"/>
      <c r="M288" s="25"/>
      <c r="O288" s="25"/>
      <c r="Q288" s="25"/>
      <c r="R288" s="25"/>
      <c r="S288" s="25"/>
      <c r="T288" s="25"/>
      <c r="U288" s="25"/>
      <c r="V288" s="25"/>
      <c r="W288" s="25"/>
      <c r="X288" s="25"/>
    </row>
    <row r="289" spans="1:24" x14ac:dyDescent="0.25">
      <c r="A289" s="18" t="str">
        <f t="shared" si="6"/>
        <v/>
      </c>
      <c r="B289" s="25"/>
      <c r="C289" s="25"/>
      <c r="D289" s="25"/>
      <c r="E289" s="25" t="str">
        <f>IFERROR(IF(ISBLANK(D289),"",INDEX(Gen_Vessels!$A$3:$C$500,MATCH(D289,Gen_Vessels!$C$3:$C$500,0),1)),"")</f>
        <v/>
      </c>
      <c r="F289" s="25"/>
      <c r="G289" s="25"/>
      <c r="H289" s="25" t="str">
        <f>IFERROR(IF(ISBLANK(G289),"",INDEX(Gen_Vessels!$A$3:$C$500,MATCH(G289,Gen_Vessels!$C$3:$C$500,0),1)),"")</f>
        <v/>
      </c>
      <c r="I289" s="25"/>
      <c r="J289" s="25"/>
      <c r="K289" s="25"/>
      <c r="M289" s="25"/>
      <c r="O289" s="25"/>
      <c r="Q289" s="25"/>
      <c r="R289" s="25"/>
      <c r="S289" s="25"/>
      <c r="T289" s="25"/>
      <c r="U289" s="25"/>
      <c r="V289" s="25"/>
      <c r="W289" s="25"/>
      <c r="X289" s="25"/>
    </row>
    <row r="290" spans="1:24" x14ac:dyDescent="0.25">
      <c r="A290" s="18" t="str">
        <f t="shared" si="6"/>
        <v/>
      </c>
      <c r="B290" s="25"/>
      <c r="C290" s="25"/>
      <c r="D290" s="25"/>
      <c r="E290" s="25" t="str">
        <f>IFERROR(IF(ISBLANK(D290),"",INDEX(Gen_Vessels!$A$3:$C$500,MATCH(D290,Gen_Vessels!$C$3:$C$500,0),1)),"")</f>
        <v/>
      </c>
      <c r="F290" s="25"/>
      <c r="G290" s="25"/>
      <c r="H290" s="25" t="str">
        <f>IFERROR(IF(ISBLANK(G290),"",INDEX(Gen_Vessels!$A$3:$C$500,MATCH(G290,Gen_Vessels!$C$3:$C$500,0),1)),"")</f>
        <v/>
      </c>
      <c r="I290" s="25"/>
      <c r="J290" s="25"/>
      <c r="K290" s="25"/>
      <c r="M290" s="25"/>
      <c r="O290" s="25"/>
      <c r="Q290" s="25"/>
      <c r="R290" s="25"/>
      <c r="S290" s="25"/>
      <c r="T290" s="25"/>
      <c r="U290" s="25"/>
      <c r="V290" s="25"/>
      <c r="W290" s="25"/>
      <c r="X290" s="25"/>
    </row>
    <row r="291" spans="1:24" x14ac:dyDescent="0.25">
      <c r="A291" s="18" t="str">
        <f t="shared" si="6"/>
        <v/>
      </c>
      <c r="B291" s="25"/>
      <c r="C291" s="25"/>
      <c r="D291" s="25"/>
      <c r="E291" s="25" t="str">
        <f>IFERROR(IF(ISBLANK(D291),"",INDEX(Gen_Vessels!$A$3:$C$500,MATCH(D291,Gen_Vessels!$C$3:$C$500,0),1)),"")</f>
        <v/>
      </c>
      <c r="F291" s="25"/>
      <c r="G291" s="25"/>
      <c r="H291" s="25" t="str">
        <f>IFERROR(IF(ISBLANK(G291),"",INDEX(Gen_Vessels!$A$3:$C$500,MATCH(G291,Gen_Vessels!$C$3:$C$500,0),1)),"")</f>
        <v/>
      </c>
      <c r="I291" s="25"/>
      <c r="J291" s="25"/>
      <c r="K291" s="25"/>
      <c r="M291" s="25"/>
      <c r="O291" s="25"/>
      <c r="Q291" s="25"/>
      <c r="R291" s="25"/>
      <c r="S291" s="25"/>
      <c r="T291" s="25"/>
      <c r="U291" s="25"/>
      <c r="V291" s="25"/>
      <c r="W291" s="25"/>
      <c r="X291" s="25"/>
    </row>
    <row r="292" spans="1:24" x14ac:dyDescent="0.25">
      <c r="A292" s="18" t="str">
        <f t="shared" si="6"/>
        <v/>
      </c>
      <c r="B292" s="25"/>
      <c r="C292" s="25"/>
      <c r="D292" s="25"/>
      <c r="E292" s="25" t="str">
        <f>IFERROR(IF(ISBLANK(D292),"",INDEX(Gen_Vessels!$A$3:$C$500,MATCH(D292,Gen_Vessels!$C$3:$C$500,0),1)),"")</f>
        <v/>
      </c>
      <c r="F292" s="25"/>
      <c r="G292" s="25"/>
      <c r="H292" s="25" t="str">
        <f>IFERROR(IF(ISBLANK(G292),"",INDEX(Gen_Vessels!$A$3:$C$500,MATCH(G292,Gen_Vessels!$C$3:$C$500,0),1)),"")</f>
        <v/>
      </c>
      <c r="I292" s="25"/>
      <c r="J292" s="25"/>
      <c r="K292" s="25"/>
      <c r="M292" s="25"/>
      <c r="O292" s="25"/>
      <c r="Q292" s="25"/>
      <c r="R292" s="25"/>
      <c r="S292" s="25"/>
      <c r="T292" s="25"/>
      <c r="U292" s="25"/>
      <c r="V292" s="25"/>
      <c r="W292" s="25"/>
      <c r="X292" s="25"/>
    </row>
    <row r="293" spans="1:24" x14ac:dyDescent="0.25">
      <c r="A293" s="18" t="str">
        <f t="shared" si="6"/>
        <v/>
      </c>
      <c r="B293" s="25"/>
      <c r="C293" s="25"/>
      <c r="D293" s="25"/>
      <c r="E293" s="25" t="str">
        <f>IFERROR(IF(ISBLANK(D293),"",INDEX(Gen_Vessels!$A$3:$C$500,MATCH(D293,Gen_Vessels!$C$3:$C$500,0),1)),"")</f>
        <v/>
      </c>
      <c r="F293" s="25"/>
      <c r="G293" s="25"/>
      <c r="H293" s="25" t="str">
        <f>IFERROR(IF(ISBLANK(G293),"",INDEX(Gen_Vessels!$A$3:$C$500,MATCH(G293,Gen_Vessels!$C$3:$C$500,0),1)),"")</f>
        <v/>
      </c>
      <c r="I293" s="25"/>
      <c r="J293" s="25"/>
      <c r="K293" s="25"/>
      <c r="M293" s="25"/>
      <c r="O293" s="25"/>
      <c r="Q293" s="25"/>
      <c r="R293" s="25"/>
      <c r="S293" s="25"/>
      <c r="T293" s="25"/>
      <c r="U293" s="25"/>
      <c r="V293" s="25"/>
      <c r="W293" s="25"/>
      <c r="X293" s="25"/>
    </row>
    <row r="294" spans="1:24" x14ac:dyDescent="0.25">
      <c r="A294" s="18" t="str">
        <f t="shared" si="6"/>
        <v/>
      </c>
      <c r="B294" s="25"/>
      <c r="C294" s="25"/>
      <c r="D294" s="25"/>
      <c r="E294" s="25" t="str">
        <f>IFERROR(IF(ISBLANK(D294),"",INDEX(Gen_Vessels!$A$3:$C$500,MATCH(D294,Gen_Vessels!$C$3:$C$500,0),1)),"")</f>
        <v/>
      </c>
      <c r="F294" s="25"/>
      <c r="G294" s="25"/>
      <c r="H294" s="25" t="str">
        <f>IFERROR(IF(ISBLANK(G294),"",INDEX(Gen_Vessels!$A$3:$C$500,MATCH(G294,Gen_Vessels!$C$3:$C$500,0),1)),"")</f>
        <v/>
      </c>
      <c r="I294" s="25"/>
      <c r="J294" s="25"/>
      <c r="K294" s="25"/>
      <c r="M294" s="25"/>
      <c r="O294" s="25"/>
      <c r="Q294" s="25"/>
      <c r="R294" s="25"/>
      <c r="S294" s="25"/>
      <c r="T294" s="25"/>
      <c r="U294" s="25"/>
      <c r="V294" s="25"/>
      <c r="W294" s="25"/>
      <c r="X294" s="25"/>
    </row>
    <row r="295" spans="1:24" x14ac:dyDescent="0.25">
      <c r="A295" s="18" t="str">
        <f t="shared" si="6"/>
        <v/>
      </c>
      <c r="B295" s="25"/>
      <c r="C295" s="25"/>
      <c r="D295" s="25"/>
      <c r="E295" s="25" t="str">
        <f>IFERROR(IF(ISBLANK(D295),"",INDEX(Gen_Vessels!$A$3:$C$500,MATCH(D295,Gen_Vessels!$C$3:$C$500,0),1)),"")</f>
        <v/>
      </c>
      <c r="F295" s="25"/>
      <c r="G295" s="25"/>
      <c r="H295" s="25" t="str">
        <f>IFERROR(IF(ISBLANK(G295),"",INDEX(Gen_Vessels!$A$3:$C$500,MATCH(G295,Gen_Vessels!$C$3:$C$500,0),1)),"")</f>
        <v/>
      </c>
      <c r="I295" s="25"/>
      <c r="J295" s="25"/>
      <c r="K295" s="25"/>
      <c r="M295" s="25"/>
      <c r="O295" s="25"/>
      <c r="Q295" s="25"/>
      <c r="R295" s="25"/>
      <c r="S295" s="25"/>
      <c r="T295" s="25"/>
      <c r="U295" s="25"/>
      <c r="V295" s="25"/>
      <c r="W295" s="25"/>
      <c r="X295" s="25"/>
    </row>
    <row r="296" spans="1:24" x14ac:dyDescent="0.25">
      <c r="A296" s="18" t="str">
        <f t="shared" si="6"/>
        <v/>
      </c>
      <c r="B296" s="25"/>
      <c r="C296" s="25"/>
      <c r="D296" s="25"/>
      <c r="E296" s="25" t="str">
        <f>IFERROR(IF(ISBLANK(D296),"",INDEX(Gen_Vessels!$A$3:$C$500,MATCH(D296,Gen_Vessels!$C$3:$C$500,0),1)),"")</f>
        <v/>
      </c>
      <c r="F296" s="25"/>
      <c r="G296" s="25"/>
      <c r="H296" s="25" t="str">
        <f>IFERROR(IF(ISBLANK(G296),"",INDEX(Gen_Vessels!$A$3:$C$500,MATCH(G296,Gen_Vessels!$C$3:$C$500,0),1)),"")</f>
        <v/>
      </c>
      <c r="I296" s="25"/>
      <c r="J296" s="25"/>
      <c r="K296" s="25"/>
      <c r="M296" s="25"/>
      <c r="O296" s="25"/>
      <c r="Q296" s="25"/>
      <c r="R296" s="25"/>
      <c r="S296" s="25"/>
      <c r="T296" s="25"/>
      <c r="U296" s="25"/>
      <c r="V296" s="25"/>
      <c r="W296" s="25"/>
      <c r="X296" s="25"/>
    </row>
    <row r="297" spans="1:24" x14ac:dyDescent="0.25">
      <c r="A297" s="18" t="str">
        <f t="shared" si="6"/>
        <v/>
      </c>
      <c r="B297" s="25"/>
      <c r="C297" s="25"/>
      <c r="D297" s="25"/>
      <c r="E297" s="25" t="str">
        <f>IFERROR(IF(ISBLANK(D297),"",INDEX(Gen_Vessels!$A$3:$C$500,MATCH(D297,Gen_Vessels!$C$3:$C$500,0),1)),"")</f>
        <v/>
      </c>
      <c r="F297" s="25"/>
      <c r="G297" s="25"/>
      <c r="H297" s="25" t="str">
        <f>IFERROR(IF(ISBLANK(G297),"",INDEX(Gen_Vessels!$A$3:$C$500,MATCH(G297,Gen_Vessels!$C$3:$C$500,0),1)),"")</f>
        <v/>
      </c>
      <c r="I297" s="25"/>
      <c r="J297" s="25"/>
      <c r="K297" s="25"/>
      <c r="M297" s="25"/>
      <c r="O297" s="25"/>
      <c r="Q297" s="25"/>
      <c r="R297" s="25"/>
      <c r="S297" s="25"/>
      <c r="T297" s="25"/>
      <c r="U297" s="25"/>
      <c r="V297" s="25"/>
      <c r="W297" s="25"/>
      <c r="X297" s="25"/>
    </row>
    <row r="298" spans="1:24" x14ac:dyDescent="0.25">
      <c r="A298" s="18" t="str">
        <f t="shared" si="6"/>
        <v/>
      </c>
      <c r="B298" s="25"/>
      <c r="C298" s="25"/>
      <c r="D298" s="25"/>
      <c r="E298" s="25" t="str">
        <f>IFERROR(IF(ISBLANK(D298),"",INDEX(Gen_Vessels!$A$3:$C$500,MATCH(D298,Gen_Vessels!$C$3:$C$500,0),1)),"")</f>
        <v/>
      </c>
      <c r="F298" s="25"/>
      <c r="G298" s="25"/>
      <c r="H298" s="25" t="str">
        <f>IFERROR(IF(ISBLANK(G298),"",INDEX(Gen_Vessels!$A$3:$C$500,MATCH(G298,Gen_Vessels!$C$3:$C$500,0),1)),"")</f>
        <v/>
      </c>
      <c r="I298" s="25"/>
      <c r="J298" s="25"/>
      <c r="K298" s="25"/>
      <c r="M298" s="25"/>
      <c r="O298" s="25"/>
      <c r="Q298" s="25"/>
      <c r="R298" s="25"/>
      <c r="S298" s="25"/>
      <c r="T298" s="25"/>
      <c r="U298" s="25"/>
      <c r="V298" s="25"/>
      <c r="W298" s="25"/>
      <c r="X298" s="25"/>
    </row>
    <row r="299" spans="1:24" x14ac:dyDescent="0.25">
      <c r="A299" s="18" t="str">
        <f t="shared" si="6"/>
        <v/>
      </c>
      <c r="B299" s="25"/>
      <c r="C299" s="25"/>
      <c r="D299" s="25"/>
      <c r="E299" s="25" t="str">
        <f>IFERROR(IF(ISBLANK(D299),"",INDEX(Gen_Vessels!$A$3:$C$500,MATCH(D299,Gen_Vessels!$C$3:$C$500,0),1)),"")</f>
        <v/>
      </c>
      <c r="F299" s="25"/>
      <c r="G299" s="25"/>
      <c r="H299" s="25" t="str">
        <f>IFERROR(IF(ISBLANK(G299),"",INDEX(Gen_Vessels!$A$3:$C$500,MATCH(G299,Gen_Vessels!$C$3:$C$500,0),1)),"")</f>
        <v/>
      </c>
      <c r="I299" s="25"/>
      <c r="J299" s="25"/>
      <c r="K299" s="25"/>
      <c r="M299" s="25"/>
      <c r="O299" s="25"/>
      <c r="Q299" s="25"/>
      <c r="R299" s="25"/>
      <c r="S299" s="25"/>
      <c r="T299" s="25"/>
      <c r="U299" s="25"/>
      <c r="V299" s="25"/>
      <c r="W299" s="25"/>
      <c r="X299" s="25"/>
    </row>
    <row r="300" spans="1:24" x14ac:dyDescent="0.25">
      <c r="A300" s="18" t="str">
        <f t="shared" si="6"/>
        <v/>
      </c>
      <c r="B300" s="25"/>
      <c r="C300" s="25"/>
      <c r="D300" s="25"/>
      <c r="E300" s="25" t="str">
        <f>IFERROR(IF(ISBLANK(D300),"",INDEX(Gen_Vessels!$A$3:$C$500,MATCH(D300,Gen_Vessels!$C$3:$C$500,0),1)),"")</f>
        <v/>
      </c>
      <c r="F300" s="25"/>
      <c r="G300" s="25"/>
      <c r="H300" s="25" t="str">
        <f>IFERROR(IF(ISBLANK(G300),"",INDEX(Gen_Vessels!$A$3:$C$500,MATCH(G300,Gen_Vessels!$C$3:$C$500,0),1)),"")</f>
        <v/>
      </c>
      <c r="I300" s="25"/>
      <c r="J300" s="25"/>
      <c r="K300" s="25"/>
      <c r="M300" s="25"/>
      <c r="O300" s="25"/>
      <c r="Q300" s="25"/>
      <c r="R300" s="25"/>
      <c r="S300" s="25"/>
      <c r="T300" s="25"/>
      <c r="U300" s="25"/>
      <c r="V300" s="25"/>
      <c r="W300" s="25"/>
      <c r="X300" s="25"/>
    </row>
    <row r="301" spans="1:24" x14ac:dyDescent="0.25">
      <c r="A301" s="18" t="str">
        <f t="shared" si="6"/>
        <v/>
      </c>
      <c r="B301" s="25"/>
      <c r="C301" s="25"/>
      <c r="D301" s="25"/>
      <c r="E301" s="25" t="str">
        <f>IFERROR(IF(ISBLANK(D301),"",INDEX(Gen_Vessels!$A$3:$C$500,MATCH(D301,Gen_Vessels!$C$3:$C$500,0),1)),"")</f>
        <v/>
      </c>
      <c r="F301" s="25"/>
      <c r="G301" s="25"/>
      <c r="H301" s="25" t="str">
        <f>IFERROR(IF(ISBLANK(G301),"",INDEX(Gen_Vessels!$A$3:$C$500,MATCH(G301,Gen_Vessels!$C$3:$C$500,0),1)),"")</f>
        <v/>
      </c>
      <c r="I301" s="25"/>
      <c r="J301" s="25"/>
      <c r="K301" s="25"/>
      <c r="M301" s="25"/>
      <c r="O301" s="25"/>
      <c r="Q301" s="25"/>
      <c r="R301" s="25"/>
      <c r="S301" s="25"/>
      <c r="T301" s="25"/>
      <c r="U301" s="25"/>
      <c r="V301" s="25"/>
      <c r="W301" s="25"/>
      <c r="X301" s="25"/>
    </row>
    <row r="302" spans="1:24" x14ac:dyDescent="0.25">
      <c r="A302" s="18" t="str">
        <f t="shared" si="6"/>
        <v/>
      </c>
      <c r="B302" s="25"/>
      <c r="C302" s="25"/>
      <c r="D302" s="25"/>
      <c r="E302" s="25" t="str">
        <f>IFERROR(IF(ISBLANK(D302),"",INDEX(Gen_Vessels!$A$3:$C$500,MATCH(D302,Gen_Vessels!$C$3:$C$500,0),1)),"")</f>
        <v/>
      </c>
      <c r="F302" s="25"/>
      <c r="G302" s="25"/>
      <c r="H302" s="25" t="str">
        <f>IFERROR(IF(ISBLANK(G302),"",INDEX(Gen_Vessels!$A$3:$C$500,MATCH(G302,Gen_Vessels!$C$3:$C$500,0),1)),"")</f>
        <v/>
      </c>
      <c r="I302" s="25"/>
      <c r="J302" s="25"/>
      <c r="K302" s="25"/>
      <c r="M302" s="25"/>
      <c r="O302" s="25"/>
      <c r="Q302" s="25"/>
      <c r="R302" s="25"/>
      <c r="S302" s="25"/>
      <c r="T302" s="25"/>
      <c r="U302" s="25"/>
      <c r="V302" s="25"/>
      <c r="W302" s="25"/>
      <c r="X302" s="25"/>
    </row>
    <row r="303" spans="1:24" x14ac:dyDescent="0.25">
      <c r="A303" s="18" t="str">
        <f t="shared" si="6"/>
        <v/>
      </c>
      <c r="B303" s="25"/>
      <c r="C303" s="25"/>
      <c r="D303" s="25"/>
      <c r="E303" s="25" t="str">
        <f>IFERROR(IF(ISBLANK(D303),"",INDEX(Gen_Vessels!$A$3:$C$500,MATCH(D303,Gen_Vessels!$C$3:$C$500,0),1)),"")</f>
        <v/>
      </c>
      <c r="F303" s="25"/>
      <c r="G303" s="25"/>
      <c r="H303" s="25" t="str">
        <f>IFERROR(IF(ISBLANK(G303),"",INDEX(Gen_Vessels!$A$3:$C$500,MATCH(G303,Gen_Vessels!$C$3:$C$500,0),1)),"")</f>
        <v/>
      </c>
      <c r="I303" s="25"/>
      <c r="J303" s="25"/>
      <c r="K303" s="25"/>
      <c r="M303" s="25"/>
      <c r="O303" s="25"/>
      <c r="Q303" s="25"/>
      <c r="R303" s="25"/>
      <c r="S303" s="25"/>
      <c r="T303" s="25"/>
      <c r="U303" s="25"/>
      <c r="V303" s="25"/>
      <c r="W303" s="25"/>
      <c r="X303" s="25"/>
    </row>
    <row r="304" spans="1:24" x14ac:dyDescent="0.25">
      <c r="A304" s="18" t="str">
        <f t="shared" si="6"/>
        <v/>
      </c>
      <c r="B304" s="25"/>
      <c r="C304" s="25"/>
      <c r="D304" s="25"/>
      <c r="E304" s="25" t="str">
        <f>IFERROR(IF(ISBLANK(D304),"",INDEX(Gen_Vessels!$A$3:$C$500,MATCH(D304,Gen_Vessels!$C$3:$C$500,0),1)),"")</f>
        <v/>
      </c>
      <c r="F304" s="25"/>
      <c r="G304" s="25"/>
      <c r="H304" s="25" t="str">
        <f>IFERROR(IF(ISBLANK(G304),"",INDEX(Gen_Vessels!$A$3:$C$500,MATCH(G304,Gen_Vessels!$C$3:$C$500,0),1)),"")</f>
        <v/>
      </c>
      <c r="I304" s="25"/>
      <c r="J304" s="25"/>
      <c r="K304" s="25"/>
      <c r="M304" s="25"/>
      <c r="O304" s="25"/>
      <c r="Q304" s="25"/>
      <c r="R304" s="25"/>
      <c r="S304" s="25"/>
      <c r="T304" s="25"/>
      <c r="U304" s="25"/>
      <c r="V304" s="25"/>
      <c r="W304" s="25"/>
      <c r="X304" s="25"/>
    </row>
    <row r="305" spans="1:24" x14ac:dyDescent="0.25">
      <c r="A305" s="18" t="str">
        <f t="shared" si="6"/>
        <v/>
      </c>
      <c r="B305" s="25"/>
      <c r="C305" s="25"/>
      <c r="D305" s="25"/>
      <c r="E305" s="25" t="str">
        <f>IFERROR(IF(ISBLANK(D305),"",INDEX(Gen_Vessels!$A$3:$C$500,MATCH(D305,Gen_Vessels!$C$3:$C$500,0),1)),"")</f>
        <v/>
      </c>
      <c r="F305" s="25"/>
      <c r="G305" s="25"/>
      <c r="H305" s="25" t="str">
        <f>IFERROR(IF(ISBLANK(G305),"",INDEX(Gen_Vessels!$A$3:$C$500,MATCH(G305,Gen_Vessels!$C$3:$C$500,0),1)),"")</f>
        <v/>
      </c>
      <c r="I305" s="25"/>
      <c r="J305" s="25"/>
      <c r="K305" s="25"/>
      <c r="M305" s="25"/>
      <c r="O305" s="25"/>
      <c r="Q305" s="25"/>
      <c r="R305" s="25"/>
      <c r="S305" s="25"/>
      <c r="T305" s="25"/>
      <c r="U305" s="25"/>
      <c r="V305" s="25"/>
      <c r="W305" s="25"/>
      <c r="X305" s="25"/>
    </row>
    <row r="306" spans="1:24" x14ac:dyDescent="0.25">
      <c r="A306" s="18" t="str">
        <f t="shared" si="6"/>
        <v/>
      </c>
      <c r="B306" s="25"/>
      <c r="C306" s="25"/>
      <c r="D306" s="25"/>
      <c r="E306" s="25" t="str">
        <f>IFERROR(IF(ISBLANK(D306),"",INDEX(Gen_Vessels!$A$3:$C$500,MATCH(D306,Gen_Vessels!$C$3:$C$500,0),1)),"")</f>
        <v/>
      </c>
      <c r="F306" s="25"/>
      <c r="G306" s="25"/>
      <c r="H306" s="25" t="str">
        <f>IFERROR(IF(ISBLANK(G306),"",INDEX(Gen_Vessels!$A$3:$C$500,MATCH(G306,Gen_Vessels!$C$3:$C$500,0),1)),"")</f>
        <v/>
      </c>
      <c r="I306" s="25"/>
      <c r="J306" s="25"/>
      <c r="K306" s="25"/>
      <c r="M306" s="25"/>
      <c r="O306" s="25"/>
      <c r="Q306" s="25"/>
      <c r="R306" s="25"/>
      <c r="S306" s="25"/>
      <c r="T306" s="25"/>
      <c r="U306" s="25"/>
      <c r="V306" s="25"/>
      <c r="W306" s="25"/>
      <c r="X306" s="25"/>
    </row>
    <row r="307" spans="1:24" x14ac:dyDescent="0.25">
      <c r="A307" s="18" t="str">
        <f t="shared" si="6"/>
        <v/>
      </c>
      <c r="B307" s="25"/>
      <c r="C307" s="25"/>
      <c r="D307" s="25"/>
      <c r="E307" s="25" t="str">
        <f>IFERROR(IF(ISBLANK(D307),"",INDEX(Gen_Vessels!$A$3:$C$500,MATCH(D307,Gen_Vessels!$C$3:$C$500,0),1)),"")</f>
        <v/>
      </c>
      <c r="F307" s="25"/>
      <c r="G307" s="25"/>
      <c r="H307" s="25" t="str">
        <f>IFERROR(IF(ISBLANK(G307),"",INDEX(Gen_Vessels!$A$3:$C$500,MATCH(G307,Gen_Vessels!$C$3:$C$500,0),1)),"")</f>
        <v/>
      </c>
      <c r="I307" s="25"/>
      <c r="J307" s="25"/>
      <c r="K307" s="25"/>
      <c r="M307" s="25"/>
      <c r="O307" s="25"/>
      <c r="Q307" s="25"/>
      <c r="R307" s="25"/>
      <c r="S307" s="25"/>
      <c r="T307" s="25"/>
      <c r="U307" s="25"/>
      <c r="V307" s="25"/>
      <c r="W307" s="25"/>
      <c r="X307" s="25"/>
    </row>
    <row r="308" spans="1:24" x14ac:dyDescent="0.25">
      <c r="A308" s="18" t="str">
        <f t="shared" si="6"/>
        <v/>
      </c>
      <c r="B308" s="25"/>
      <c r="C308" s="25"/>
      <c r="D308" s="25"/>
      <c r="E308" s="25" t="str">
        <f>IFERROR(IF(ISBLANK(D308),"",INDEX(Gen_Vessels!$A$3:$C$500,MATCH(D308,Gen_Vessels!$C$3:$C$500,0),1)),"")</f>
        <v/>
      </c>
      <c r="F308" s="25"/>
      <c r="G308" s="25"/>
      <c r="H308" s="25" t="str">
        <f>IFERROR(IF(ISBLANK(G308),"",INDEX(Gen_Vessels!$A$3:$C$500,MATCH(G308,Gen_Vessels!$C$3:$C$500,0),1)),"")</f>
        <v/>
      </c>
      <c r="I308" s="25"/>
      <c r="J308" s="25"/>
      <c r="K308" s="25"/>
      <c r="M308" s="25"/>
      <c r="O308" s="25"/>
      <c r="Q308" s="25"/>
      <c r="R308" s="25"/>
      <c r="S308" s="25"/>
      <c r="T308" s="25"/>
      <c r="U308" s="25"/>
      <c r="V308" s="25"/>
      <c r="W308" s="25"/>
      <c r="X308" s="25"/>
    </row>
    <row r="309" spans="1:24" x14ac:dyDescent="0.25">
      <c r="A309" s="18" t="str">
        <f t="shared" si="6"/>
        <v/>
      </c>
      <c r="B309" s="25"/>
      <c r="C309" s="25"/>
      <c r="D309" s="25"/>
      <c r="E309" s="25" t="str">
        <f>IFERROR(IF(ISBLANK(D309),"",INDEX(Gen_Vessels!$A$3:$C$500,MATCH(D309,Gen_Vessels!$C$3:$C$500,0),1)),"")</f>
        <v/>
      </c>
      <c r="F309" s="25"/>
      <c r="G309" s="25"/>
      <c r="H309" s="25" t="str">
        <f>IFERROR(IF(ISBLANK(G309),"",INDEX(Gen_Vessels!$A$3:$C$500,MATCH(G309,Gen_Vessels!$C$3:$C$500,0),1)),"")</f>
        <v/>
      </c>
      <c r="I309" s="25"/>
      <c r="J309" s="25"/>
      <c r="K309" s="25"/>
      <c r="M309" s="25"/>
      <c r="O309" s="25"/>
      <c r="Q309" s="25"/>
      <c r="R309" s="25"/>
      <c r="S309" s="25"/>
      <c r="T309" s="25"/>
      <c r="U309" s="25"/>
      <c r="V309" s="25"/>
      <c r="W309" s="25"/>
      <c r="X309" s="25"/>
    </row>
    <row r="310" spans="1:24" x14ac:dyDescent="0.25">
      <c r="A310" s="18" t="str">
        <f t="shared" si="6"/>
        <v/>
      </c>
      <c r="B310" s="25"/>
      <c r="C310" s="25"/>
      <c r="D310" s="25"/>
      <c r="E310" s="25" t="str">
        <f>IFERROR(IF(ISBLANK(D310),"",INDEX(Gen_Vessels!$A$3:$C$500,MATCH(D310,Gen_Vessels!$C$3:$C$500,0),1)),"")</f>
        <v/>
      </c>
      <c r="F310" s="25"/>
      <c r="G310" s="25"/>
      <c r="H310" s="25" t="str">
        <f>IFERROR(IF(ISBLANK(G310),"",INDEX(Gen_Vessels!$A$3:$C$500,MATCH(G310,Gen_Vessels!$C$3:$C$500,0),1)),"")</f>
        <v/>
      </c>
      <c r="I310" s="25"/>
      <c r="J310" s="25"/>
      <c r="K310" s="25"/>
      <c r="M310" s="25"/>
      <c r="O310" s="25"/>
      <c r="Q310" s="25"/>
      <c r="R310" s="25"/>
      <c r="S310" s="25"/>
      <c r="T310" s="25"/>
      <c r="U310" s="25"/>
      <c r="V310" s="25"/>
      <c r="W310" s="25"/>
      <c r="X310" s="25"/>
    </row>
    <row r="311" spans="1:24" x14ac:dyDescent="0.25">
      <c r="A311" s="18" t="str">
        <f t="shared" si="6"/>
        <v/>
      </c>
      <c r="B311" s="25"/>
      <c r="C311" s="25"/>
      <c r="D311" s="25"/>
      <c r="E311" s="25" t="str">
        <f>IFERROR(IF(ISBLANK(D311),"",INDEX(Gen_Vessels!$A$3:$C$500,MATCH(D311,Gen_Vessels!$C$3:$C$500,0),1)),"")</f>
        <v/>
      </c>
      <c r="F311" s="25"/>
      <c r="G311" s="25"/>
      <c r="H311" s="25" t="str">
        <f>IFERROR(IF(ISBLANK(G311),"",INDEX(Gen_Vessels!$A$3:$C$500,MATCH(G311,Gen_Vessels!$C$3:$C$500,0),1)),"")</f>
        <v/>
      </c>
      <c r="I311" s="25"/>
      <c r="J311" s="25"/>
      <c r="K311" s="25"/>
      <c r="M311" s="25"/>
      <c r="O311" s="25"/>
      <c r="Q311" s="25"/>
      <c r="R311" s="25"/>
      <c r="S311" s="25"/>
      <c r="T311" s="25"/>
      <c r="U311" s="25"/>
      <c r="V311" s="25"/>
      <c r="W311" s="25"/>
      <c r="X311" s="25"/>
    </row>
    <row r="312" spans="1:24" x14ac:dyDescent="0.25">
      <c r="A312" s="18" t="str">
        <f t="shared" si="6"/>
        <v/>
      </c>
      <c r="B312" s="25"/>
      <c r="C312" s="25"/>
      <c r="D312" s="25"/>
      <c r="E312" s="25" t="str">
        <f>IFERROR(IF(ISBLANK(D312),"",INDEX(Gen_Vessels!$A$3:$C$500,MATCH(D312,Gen_Vessels!$C$3:$C$500,0),1)),"")</f>
        <v/>
      </c>
      <c r="F312" s="25"/>
      <c r="G312" s="25"/>
      <c r="H312" s="25" t="str">
        <f>IFERROR(IF(ISBLANK(G312),"",INDEX(Gen_Vessels!$A$3:$C$500,MATCH(G312,Gen_Vessels!$C$3:$C$500,0),1)),"")</f>
        <v/>
      </c>
      <c r="I312" s="25"/>
      <c r="J312" s="25"/>
      <c r="K312" s="25"/>
      <c r="M312" s="25"/>
      <c r="O312" s="25"/>
      <c r="Q312" s="25"/>
      <c r="R312" s="25"/>
      <c r="S312" s="25"/>
      <c r="T312" s="25"/>
      <c r="U312" s="25"/>
      <c r="V312" s="25"/>
      <c r="W312" s="25"/>
      <c r="X312" s="25"/>
    </row>
    <row r="313" spans="1:24" x14ac:dyDescent="0.25">
      <c r="A313" s="18" t="str">
        <f t="shared" si="6"/>
        <v/>
      </c>
      <c r="B313" s="25"/>
      <c r="C313" s="25"/>
      <c r="D313" s="25"/>
      <c r="E313" s="25" t="str">
        <f>IFERROR(IF(ISBLANK(D313),"",INDEX(Gen_Vessels!$A$3:$C$500,MATCH(D313,Gen_Vessels!$C$3:$C$500,0),1)),"")</f>
        <v/>
      </c>
      <c r="F313" s="25"/>
      <c r="G313" s="25"/>
      <c r="H313" s="25" t="str">
        <f>IFERROR(IF(ISBLANK(G313),"",INDEX(Gen_Vessels!$A$3:$C$500,MATCH(G313,Gen_Vessels!$C$3:$C$500,0),1)),"")</f>
        <v/>
      </c>
      <c r="I313" s="25"/>
      <c r="J313" s="25"/>
      <c r="K313" s="25"/>
      <c r="M313" s="25"/>
      <c r="O313" s="25"/>
      <c r="Q313" s="25"/>
      <c r="R313" s="25"/>
      <c r="S313" s="25"/>
      <c r="T313" s="25"/>
      <c r="U313" s="25"/>
      <c r="V313" s="25"/>
      <c r="W313" s="25"/>
      <c r="X313" s="25"/>
    </row>
    <row r="314" spans="1:24" x14ac:dyDescent="0.25">
      <c r="A314" s="18" t="str">
        <f t="shared" si="6"/>
        <v/>
      </c>
      <c r="B314" s="25"/>
      <c r="C314" s="25"/>
      <c r="D314" s="25"/>
      <c r="E314" s="25" t="str">
        <f>IFERROR(IF(ISBLANK(D314),"",INDEX(Gen_Vessels!$A$3:$C$500,MATCH(D314,Gen_Vessels!$C$3:$C$500,0),1)),"")</f>
        <v/>
      </c>
      <c r="F314" s="25"/>
      <c r="G314" s="25"/>
      <c r="H314" s="25" t="str">
        <f>IFERROR(IF(ISBLANK(G314),"",INDEX(Gen_Vessels!$A$3:$C$500,MATCH(G314,Gen_Vessels!$C$3:$C$500,0),1)),"")</f>
        <v/>
      </c>
      <c r="I314" s="25"/>
      <c r="J314" s="25"/>
      <c r="K314" s="25"/>
      <c r="M314" s="25"/>
      <c r="O314" s="25"/>
      <c r="Q314" s="25"/>
      <c r="R314" s="25"/>
      <c r="S314" s="25"/>
      <c r="T314" s="25"/>
      <c r="U314" s="25"/>
      <c r="V314" s="25"/>
      <c r="W314" s="25"/>
      <c r="X314" s="25"/>
    </row>
    <row r="315" spans="1:24" x14ac:dyDescent="0.25">
      <c r="A315" s="18" t="str">
        <f t="shared" si="6"/>
        <v/>
      </c>
      <c r="B315" s="25"/>
      <c r="C315" s="25"/>
      <c r="D315" s="25"/>
      <c r="E315" s="25" t="str">
        <f>IFERROR(IF(ISBLANK(D315),"",INDEX(Gen_Vessels!$A$3:$C$500,MATCH(D315,Gen_Vessels!$C$3:$C$500,0),1)),"")</f>
        <v/>
      </c>
      <c r="F315" s="25"/>
      <c r="G315" s="25"/>
      <c r="H315" s="25" t="str">
        <f>IFERROR(IF(ISBLANK(G315),"",INDEX(Gen_Vessels!$A$3:$C$500,MATCH(G315,Gen_Vessels!$C$3:$C$500,0),1)),"")</f>
        <v/>
      </c>
      <c r="I315" s="25"/>
      <c r="J315" s="25"/>
      <c r="K315" s="25"/>
      <c r="M315" s="25"/>
      <c r="O315" s="25"/>
      <c r="Q315" s="25"/>
      <c r="R315" s="25"/>
      <c r="S315" s="25"/>
      <c r="T315" s="25"/>
      <c r="U315" s="25"/>
      <c r="V315" s="25"/>
      <c r="W315" s="25"/>
      <c r="X315" s="25"/>
    </row>
    <row r="316" spans="1:24" x14ac:dyDescent="0.25">
      <c r="A316" s="18" t="str">
        <f t="shared" si="6"/>
        <v/>
      </c>
      <c r="B316" s="25"/>
      <c r="C316" s="25"/>
      <c r="D316" s="25"/>
      <c r="E316" s="25" t="str">
        <f>IFERROR(IF(ISBLANK(D316),"",INDEX(Gen_Vessels!$A$3:$C$500,MATCH(D316,Gen_Vessels!$C$3:$C$500,0),1)),"")</f>
        <v/>
      </c>
      <c r="F316" s="25"/>
      <c r="G316" s="25"/>
      <c r="H316" s="25" t="str">
        <f>IFERROR(IF(ISBLANK(G316),"",INDEX(Gen_Vessels!$A$3:$C$500,MATCH(G316,Gen_Vessels!$C$3:$C$500,0),1)),"")</f>
        <v/>
      </c>
      <c r="I316" s="25"/>
      <c r="J316" s="25"/>
      <c r="K316" s="25"/>
      <c r="M316" s="25"/>
      <c r="O316" s="25"/>
      <c r="Q316" s="25"/>
      <c r="R316" s="25"/>
      <c r="S316" s="25"/>
      <c r="T316" s="25"/>
      <c r="U316" s="25"/>
      <c r="V316" s="25"/>
      <c r="W316" s="25"/>
      <c r="X316" s="25"/>
    </row>
    <row r="317" spans="1:24" x14ac:dyDescent="0.25">
      <c r="A317" s="18" t="str">
        <f t="shared" si="6"/>
        <v/>
      </c>
      <c r="B317" s="25"/>
      <c r="C317" s="25"/>
      <c r="D317" s="25"/>
      <c r="E317" s="25" t="str">
        <f>IFERROR(IF(ISBLANK(D317),"",INDEX(Gen_Vessels!$A$3:$C$500,MATCH(D317,Gen_Vessels!$C$3:$C$500,0),1)),"")</f>
        <v/>
      </c>
      <c r="F317" s="25"/>
      <c r="G317" s="25"/>
      <c r="H317" s="25" t="str">
        <f>IFERROR(IF(ISBLANK(G317),"",INDEX(Gen_Vessels!$A$3:$C$500,MATCH(G317,Gen_Vessels!$C$3:$C$500,0),1)),"")</f>
        <v/>
      </c>
      <c r="I317" s="25"/>
      <c r="J317" s="25"/>
      <c r="K317" s="25"/>
      <c r="M317" s="25"/>
      <c r="O317" s="25"/>
      <c r="Q317" s="25"/>
      <c r="R317" s="25"/>
      <c r="S317" s="25"/>
      <c r="T317" s="25"/>
      <c r="U317" s="25"/>
      <c r="V317" s="25"/>
      <c r="W317" s="25"/>
      <c r="X317" s="25"/>
    </row>
    <row r="318" spans="1:24" x14ac:dyDescent="0.25">
      <c r="A318" s="18" t="str">
        <f t="shared" si="6"/>
        <v/>
      </c>
      <c r="B318" s="25"/>
      <c r="C318" s="25"/>
      <c r="D318" s="25"/>
      <c r="E318" s="25" t="str">
        <f>IFERROR(IF(ISBLANK(D318),"",INDEX(Gen_Vessels!$A$3:$C$500,MATCH(D318,Gen_Vessels!$C$3:$C$500,0),1)),"")</f>
        <v/>
      </c>
      <c r="F318" s="25"/>
      <c r="G318" s="25"/>
      <c r="H318" s="25" t="str">
        <f>IFERROR(IF(ISBLANK(G318),"",INDEX(Gen_Vessels!$A$3:$C$500,MATCH(G318,Gen_Vessels!$C$3:$C$500,0),1)),"")</f>
        <v/>
      </c>
      <c r="I318" s="25"/>
      <c r="J318" s="25"/>
      <c r="K318" s="25"/>
      <c r="M318" s="25"/>
      <c r="O318" s="25"/>
      <c r="Q318" s="25"/>
      <c r="R318" s="25"/>
      <c r="S318" s="25"/>
      <c r="T318" s="25"/>
      <c r="U318" s="25"/>
      <c r="V318" s="25"/>
      <c r="W318" s="25"/>
      <c r="X318" s="25"/>
    </row>
    <row r="319" spans="1:24" x14ac:dyDescent="0.25">
      <c r="A319" s="18" t="str">
        <f t="shared" si="6"/>
        <v/>
      </c>
      <c r="B319" s="25"/>
      <c r="C319" s="25"/>
      <c r="D319" s="25"/>
      <c r="E319" s="25" t="str">
        <f>IFERROR(IF(ISBLANK(D319),"",INDEX(Gen_Vessels!$A$3:$C$500,MATCH(D319,Gen_Vessels!$C$3:$C$500,0),1)),"")</f>
        <v/>
      </c>
      <c r="F319" s="25"/>
      <c r="G319" s="25"/>
      <c r="H319" s="25" t="str">
        <f>IFERROR(IF(ISBLANK(G319),"",INDEX(Gen_Vessels!$A$3:$C$500,MATCH(G319,Gen_Vessels!$C$3:$C$500,0),1)),"")</f>
        <v/>
      </c>
      <c r="I319" s="25"/>
      <c r="J319" s="25"/>
      <c r="K319" s="25"/>
      <c r="M319" s="25"/>
      <c r="O319" s="25"/>
      <c r="Q319" s="25"/>
      <c r="R319" s="25"/>
      <c r="S319" s="25"/>
      <c r="T319" s="25"/>
      <c r="U319" s="25"/>
      <c r="V319" s="25"/>
      <c r="W319" s="25"/>
      <c r="X319" s="25"/>
    </row>
    <row r="320" spans="1:24" x14ac:dyDescent="0.25">
      <c r="A320" s="18" t="str">
        <f t="shared" si="6"/>
        <v/>
      </c>
      <c r="B320" s="25"/>
      <c r="C320" s="25"/>
      <c r="D320" s="25"/>
      <c r="E320" s="25" t="str">
        <f>IFERROR(IF(ISBLANK(D320),"",INDEX(Gen_Vessels!$A$3:$C$500,MATCH(D320,Gen_Vessels!$C$3:$C$500,0),1)),"")</f>
        <v/>
      </c>
      <c r="F320" s="25"/>
      <c r="G320" s="25"/>
      <c r="H320" s="25" t="str">
        <f>IFERROR(IF(ISBLANK(G320),"",INDEX(Gen_Vessels!$A$3:$C$500,MATCH(G320,Gen_Vessels!$C$3:$C$500,0),1)),"")</f>
        <v/>
      </c>
      <c r="I320" s="25"/>
      <c r="J320" s="25"/>
      <c r="K320" s="25"/>
      <c r="M320" s="25"/>
      <c r="O320" s="25"/>
      <c r="Q320" s="25"/>
      <c r="R320" s="25"/>
      <c r="S320" s="25"/>
      <c r="T320" s="25"/>
      <c r="U320" s="25"/>
      <c r="V320" s="25"/>
      <c r="W320" s="25"/>
      <c r="X320" s="25"/>
    </row>
    <row r="321" spans="1:24" x14ac:dyDescent="0.25">
      <c r="A321" s="18" t="str">
        <f t="shared" si="6"/>
        <v/>
      </c>
      <c r="B321" s="25"/>
      <c r="C321" s="25"/>
      <c r="D321" s="25"/>
      <c r="E321" s="25" t="str">
        <f>IFERROR(IF(ISBLANK(D321),"",INDEX(Gen_Vessels!$A$3:$C$500,MATCH(D321,Gen_Vessels!$C$3:$C$500,0),1)),"")</f>
        <v/>
      </c>
      <c r="F321" s="25"/>
      <c r="G321" s="25"/>
      <c r="H321" s="25" t="str">
        <f>IFERROR(IF(ISBLANK(G321),"",INDEX(Gen_Vessels!$A$3:$C$500,MATCH(G321,Gen_Vessels!$C$3:$C$500,0),1)),"")</f>
        <v/>
      </c>
      <c r="I321" s="25"/>
      <c r="J321" s="25"/>
      <c r="K321" s="25"/>
      <c r="M321" s="25"/>
      <c r="O321" s="25"/>
      <c r="Q321" s="25"/>
      <c r="R321" s="25"/>
      <c r="S321" s="25"/>
      <c r="T321" s="25"/>
      <c r="U321" s="25"/>
      <c r="V321" s="25"/>
      <c r="W321" s="25"/>
      <c r="X321" s="25"/>
    </row>
    <row r="322" spans="1:24" x14ac:dyDescent="0.25">
      <c r="A322" s="18" t="str">
        <f t="shared" si="6"/>
        <v/>
      </c>
      <c r="B322" s="25"/>
      <c r="C322" s="25"/>
      <c r="D322" s="25"/>
      <c r="E322" s="25" t="str">
        <f>IFERROR(IF(ISBLANK(D322),"",INDEX(Gen_Vessels!$A$3:$C$500,MATCH(D322,Gen_Vessels!$C$3:$C$500,0),1)),"")</f>
        <v/>
      </c>
      <c r="F322" s="25"/>
      <c r="G322" s="25"/>
      <c r="H322" s="25" t="str">
        <f>IFERROR(IF(ISBLANK(G322),"",INDEX(Gen_Vessels!$A$3:$C$500,MATCH(G322,Gen_Vessels!$C$3:$C$500,0),1)),"")</f>
        <v/>
      </c>
      <c r="I322" s="25"/>
      <c r="J322" s="25"/>
      <c r="K322" s="25"/>
      <c r="M322" s="25"/>
      <c r="O322" s="25"/>
      <c r="Q322" s="25"/>
      <c r="R322" s="25"/>
      <c r="S322" s="25"/>
      <c r="T322" s="25"/>
      <c r="U322" s="25"/>
      <c r="V322" s="25"/>
      <c r="W322" s="25"/>
      <c r="X322" s="25"/>
    </row>
    <row r="323" spans="1:24" x14ac:dyDescent="0.25">
      <c r="A323" s="18" t="str">
        <f t="shared" si="6"/>
        <v/>
      </c>
      <c r="B323" s="25"/>
      <c r="C323" s="25"/>
      <c r="D323" s="25"/>
      <c r="E323" s="25" t="str">
        <f>IFERROR(IF(ISBLANK(D323),"",INDEX(Gen_Vessels!$A$3:$C$500,MATCH(D323,Gen_Vessels!$C$3:$C$500,0),1)),"")</f>
        <v/>
      </c>
      <c r="F323" s="25"/>
      <c r="G323" s="25"/>
      <c r="H323" s="25" t="str">
        <f>IFERROR(IF(ISBLANK(G323),"",INDEX(Gen_Vessels!$A$3:$C$500,MATCH(G323,Gen_Vessels!$C$3:$C$500,0),1)),"")</f>
        <v/>
      </c>
      <c r="I323" s="25"/>
      <c r="J323" s="25"/>
      <c r="K323" s="25"/>
      <c r="M323" s="25"/>
      <c r="O323" s="25"/>
      <c r="Q323" s="25"/>
      <c r="R323" s="25"/>
      <c r="S323" s="25"/>
      <c r="T323" s="25"/>
      <c r="U323" s="25"/>
      <c r="V323" s="25"/>
      <c r="W323" s="25"/>
      <c r="X323" s="25"/>
    </row>
    <row r="324" spans="1:24" x14ac:dyDescent="0.25">
      <c r="A324" s="18" t="str">
        <f t="shared" ref="A324:A387" si="7">IF(ISBLANK($B324)=FALSE,_xlfn.CONCAT($B324,"_tow"),"")</f>
        <v/>
      </c>
      <c r="B324" s="25"/>
      <c r="C324" s="25"/>
      <c r="D324" s="25"/>
      <c r="E324" s="25" t="str">
        <f>IFERROR(IF(ISBLANK(D324),"",INDEX(Gen_Vessels!$A$3:$C$500,MATCH(D324,Gen_Vessels!$C$3:$C$500,0),1)),"")</f>
        <v/>
      </c>
      <c r="F324" s="25"/>
      <c r="G324" s="25"/>
      <c r="H324" s="25" t="str">
        <f>IFERROR(IF(ISBLANK(G324),"",INDEX(Gen_Vessels!$A$3:$C$500,MATCH(G324,Gen_Vessels!$C$3:$C$500,0),1)),"")</f>
        <v/>
      </c>
      <c r="I324" s="25"/>
      <c r="J324" s="25"/>
      <c r="K324" s="25"/>
      <c r="M324" s="25"/>
      <c r="O324" s="25"/>
      <c r="Q324" s="25"/>
      <c r="R324" s="25"/>
      <c r="S324" s="25"/>
      <c r="T324" s="25"/>
      <c r="U324" s="25"/>
      <c r="V324" s="25"/>
      <c r="W324" s="25"/>
      <c r="X324" s="25"/>
    </row>
    <row r="325" spans="1:24" x14ac:dyDescent="0.25">
      <c r="A325" s="18" t="str">
        <f t="shared" si="7"/>
        <v/>
      </c>
      <c r="B325" s="25"/>
      <c r="C325" s="25"/>
      <c r="D325" s="25"/>
      <c r="E325" s="25" t="str">
        <f>IFERROR(IF(ISBLANK(D325),"",INDEX(Gen_Vessels!$A$3:$C$500,MATCH(D325,Gen_Vessels!$C$3:$C$500,0),1)),"")</f>
        <v/>
      </c>
      <c r="F325" s="25"/>
      <c r="G325" s="25"/>
      <c r="H325" s="25" t="str">
        <f>IFERROR(IF(ISBLANK(G325),"",INDEX(Gen_Vessels!$A$3:$C$500,MATCH(G325,Gen_Vessels!$C$3:$C$500,0),1)),"")</f>
        <v/>
      </c>
      <c r="I325" s="25"/>
      <c r="J325" s="25"/>
      <c r="K325" s="25"/>
      <c r="M325" s="25"/>
      <c r="O325" s="25"/>
      <c r="Q325" s="25"/>
      <c r="R325" s="25"/>
      <c r="S325" s="25"/>
      <c r="T325" s="25"/>
      <c r="U325" s="25"/>
      <c r="V325" s="25"/>
      <c r="W325" s="25"/>
      <c r="X325" s="25"/>
    </row>
    <row r="326" spans="1:24" x14ac:dyDescent="0.25">
      <c r="A326" s="18" t="str">
        <f t="shared" si="7"/>
        <v/>
      </c>
      <c r="B326" s="25"/>
      <c r="C326" s="25"/>
      <c r="D326" s="25"/>
      <c r="E326" s="25" t="str">
        <f>IFERROR(IF(ISBLANK(D326),"",INDEX(Gen_Vessels!$A$3:$C$500,MATCH(D326,Gen_Vessels!$C$3:$C$500,0),1)),"")</f>
        <v/>
      </c>
      <c r="F326" s="25"/>
      <c r="G326" s="25"/>
      <c r="H326" s="25" t="str">
        <f>IFERROR(IF(ISBLANK(G326),"",INDEX(Gen_Vessels!$A$3:$C$500,MATCH(G326,Gen_Vessels!$C$3:$C$500,0),1)),"")</f>
        <v/>
      </c>
      <c r="I326" s="25"/>
      <c r="J326" s="25"/>
      <c r="K326" s="25"/>
      <c r="M326" s="25"/>
      <c r="O326" s="25"/>
      <c r="Q326" s="25"/>
      <c r="R326" s="25"/>
      <c r="S326" s="25"/>
      <c r="T326" s="25"/>
      <c r="U326" s="25"/>
      <c r="V326" s="25"/>
      <c r="W326" s="25"/>
      <c r="X326" s="25"/>
    </row>
    <row r="327" spans="1:24" x14ac:dyDescent="0.25">
      <c r="A327" s="18" t="str">
        <f t="shared" si="7"/>
        <v/>
      </c>
      <c r="B327" s="25"/>
      <c r="C327" s="25"/>
      <c r="D327" s="25"/>
      <c r="E327" s="25" t="str">
        <f>IFERROR(IF(ISBLANK(D327),"",INDEX(Gen_Vessels!$A$3:$C$500,MATCH(D327,Gen_Vessels!$C$3:$C$500,0),1)),"")</f>
        <v/>
      </c>
      <c r="F327" s="25"/>
      <c r="G327" s="25"/>
      <c r="H327" s="25" t="str">
        <f>IFERROR(IF(ISBLANK(G327),"",INDEX(Gen_Vessels!$A$3:$C$500,MATCH(G327,Gen_Vessels!$C$3:$C$500,0),1)),"")</f>
        <v/>
      </c>
      <c r="I327" s="25"/>
      <c r="J327" s="25"/>
      <c r="K327" s="25"/>
      <c r="M327" s="25"/>
      <c r="O327" s="25"/>
      <c r="Q327" s="25"/>
      <c r="R327" s="25"/>
      <c r="S327" s="25"/>
      <c r="T327" s="25"/>
      <c r="U327" s="25"/>
      <c r="V327" s="25"/>
      <c r="W327" s="25"/>
      <c r="X327" s="25"/>
    </row>
    <row r="328" spans="1:24" x14ac:dyDescent="0.25">
      <c r="A328" s="18" t="str">
        <f t="shared" si="7"/>
        <v/>
      </c>
      <c r="B328" s="25"/>
      <c r="C328" s="25"/>
      <c r="D328" s="25"/>
      <c r="E328" s="25" t="str">
        <f>IFERROR(IF(ISBLANK(D328),"",INDEX(Gen_Vessels!$A$3:$C$500,MATCH(D328,Gen_Vessels!$C$3:$C$500,0),1)),"")</f>
        <v/>
      </c>
      <c r="F328" s="25"/>
      <c r="G328" s="25"/>
      <c r="H328" s="25" t="str">
        <f>IFERROR(IF(ISBLANK(G328),"",INDEX(Gen_Vessels!$A$3:$C$500,MATCH(G328,Gen_Vessels!$C$3:$C$500,0),1)),"")</f>
        <v/>
      </c>
      <c r="I328" s="25"/>
      <c r="J328" s="25"/>
      <c r="K328" s="25"/>
      <c r="M328" s="25"/>
      <c r="O328" s="25"/>
      <c r="Q328" s="25"/>
      <c r="R328" s="25"/>
      <c r="S328" s="25"/>
      <c r="T328" s="25"/>
      <c r="U328" s="25"/>
      <c r="V328" s="25"/>
      <c r="W328" s="25"/>
      <c r="X328" s="25"/>
    </row>
    <row r="329" spans="1:24" x14ac:dyDescent="0.25">
      <c r="A329" s="18" t="str">
        <f t="shared" si="7"/>
        <v/>
      </c>
      <c r="B329" s="25"/>
      <c r="C329" s="25"/>
      <c r="D329" s="25"/>
      <c r="E329" s="25" t="str">
        <f>IFERROR(IF(ISBLANK(D329),"",INDEX(Gen_Vessels!$A$3:$C$500,MATCH(D329,Gen_Vessels!$C$3:$C$500,0),1)),"")</f>
        <v/>
      </c>
      <c r="F329" s="25"/>
      <c r="G329" s="25"/>
      <c r="H329" s="25" t="str">
        <f>IFERROR(IF(ISBLANK(G329),"",INDEX(Gen_Vessels!$A$3:$C$500,MATCH(G329,Gen_Vessels!$C$3:$C$500,0),1)),"")</f>
        <v/>
      </c>
      <c r="I329" s="25"/>
      <c r="J329" s="25"/>
      <c r="K329" s="25"/>
      <c r="M329" s="25"/>
      <c r="O329" s="25"/>
      <c r="Q329" s="25"/>
      <c r="R329" s="25"/>
      <c r="S329" s="25"/>
      <c r="T329" s="25"/>
      <c r="U329" s="25"/>
      <c r="V329" s="25"/>
      <c r="W329" s="25"/>
      <c r="X329" s="25"/>
    </row>
    <row r="330" spans="1:24" x14ac:dyDescent="0.25">
      <c r="A330" s="18" t="str">
        <f t="shared" si="7"/>
        <v/>
      </c>
      <c r="B330" s="25"/>
      <c r="C330" s="25"/>
      <c r="D330" s="25"/>
      <c r="E330" s="25" t="str">
        <f>IFERROR(IF(ISBLANK(D330),"",INDEX(Gen_Vessels!$A$3:$C$500,MATCH(D330,Gen_Vessels!$C$3:$C$500,0),1)),"")</f>
        <v/>
      </c>
      <c r="F330" s="25"/>
      <c r="G330" s="25"/>
      <c r="H330" s="25" t="str">
        <f>IFERROR(IF(ISBLANK(G330),"",INDEX(Gen_Vessels!$A$3:$C$500,MATCH(G330,Gen_Vessels!$C$3:$C$500,0),1)),"")</f>
        <v/>
      </c>
      <c r="I330" s="25"/>
      <c r="J330" s="25"/>
      <c r="K330" s="25"/>
      <c r="M330" s="25"/>
      <c r="O330" s="25"/>
      <c r="Q330" s="25"/>
      <c r="R330" s="25"/>
      <c r="S330" s="25"/>
      <c r="T330" s="25"/>
      <c r="U330" s="25"/>
      <c r="V330" s="25"/>
      <c r="W330" s="25"/>
      <c r="X330" s="25"/>
    </row>
    <row r="331" spans="1:24" x14ac:dyDescent="0.25">
      <c r="A331" s="18" t="str">
        <f t="shared" si="7"/>
        <v/>
      </c>
      <c r="B331" s="25"/>
      <c r="C331" s="25"/>
      <c r="D331" s="25"/>
      <c r="E331" s="25" t="str">
        <f>IFERROR(IF(ISBLANK(D331),"",INDEX(Gen_Vessels!$A$3:$C$500,MATCH(D331,Gen_Vessels!$C$3:$C$500,0),1)),"")</f>
        <v/>
      </c>
      <c r="F331" s="25"/>
      <c r="G331" s="25"/>
      <c r="H331" s="25" t="str">
        <f>IFERROR(IF(ISBLANK(G331),"",INDEX(Gen_Vessels!$A$3:$C$500,MATCH(G331,Gen_Vessels!$C$3:$C$500,0),1)),"")</f>
        <v/>
      </c>
      <c r="I331" s="25"/>
      <c r="J331" s="25"/>
      <c r="K331" s="25"/>
      <c r="M331" s="25"/>
      <c r="O331" s="25"/>
      <c r="Q331" s="25"/>
      <c r="R331" s="25"/>
      <c r="S331" s="25"/>
      <c r="T331" s="25"/>
      <c r="U331" s="25"/>
      <c r="V331" s="25"/>
      <c r="W331" s="25"/>
      <c r="X331" s="25"/>
    </row>
    <row r="332" spans="1:24" x14ac:dyDescent="0.25">
      <c r="A332" s="18" t="str">
        <f t="shared" si="7"/>
        <v/>
      </c>
      <c r="B332" s="25"/>
      <c r="C332" s="25"/>
      <c r="D332" s="25"/>
      <c r="E332" s="25" t="str">
        <f>IFERROR(IF(ISBLANK(D332),"",INDEX(Gen_Vessels!$A$3:$C$500,MATCH(D332,Gen_Vessels!$C$3:$C$500,0),1)),"")</f>
        <v/>
      </c>
      <c r="F332" s="25"/>
      <c r="G332" s="25"/>
      <c r="H332" s="25" t="str">
        <f>IFERROR(IF(ISBLANK(G332),"",INDEX(Gen_Vessels!$A$3:$C$500,MATCH(G332,Gen_Vessels!$C$3:$C$500,0),1)),"")</f>
        <v/>
      </c>
      <c r="I332" s="25"/>
      <c r="J332" s="25"/>
      <c r="K332" s="25"/>
      <c r="M332" s="25"/>
      <c r="O332" s="25"/>
      <c r="Q332" s="25"/>
      <c r="R332" s="25"/>
      <c r="S332" s="25"/>
      <c r="T332" s="25"/>
      <c r="U332" s="25"/>
      <c r="V332" s="25"/>
      <c r="W332" s="25"/>
      <c r="X332" s="25"/>
    </row>
    <row r="333" spans="1:24" x14ac:dyDescent="0.25">
      <c r="A333" s="18" t="str">
        <f t="shared" si="7"/>
        <v/>
      </c>
      <c r="B333" s="25"/>
      <c r="C333" s="25"/>
      <c r="D333" s="25"/>
      <c r="E333" s="25" t="str">
        <f>IFERROR(IF(ISBLANK(D333),"",INDEX(Gen_Vessels!$A$3:$C$500,MATCH(D333,Gen_Vessels!$C$3:$C$500,0),1)),"")</f>
        <v/>
      </c>
      <c r="F333" s="25"/>
      <c r="G333" s="25"/>
      <c r="H333" s="25" t="str">
        <f>IFERROR(IF(ISBLANK(G333),"",INDEX(Gen_Vessels!$A$3:$C$500,MATCH(G333,Gen_Vessels!$C$3:$C$500,0),1)),"")</f>
        <v/>
      </c>
      <c r="I333" s="25"/>
      <c r="J333" s="25"/>
      <c r="K333" s="25"/>
      <c r="M333" s="25"/>
      <c r="O333" s="25"/>
      <c r="Q333" s="25"/>
      <c r="R333" s="25"/>
      <c r="S333" s="25"/>
      <c r="T333" s="25"/>
      <c r="U333" s="25"/>
      <c r="V333" s="25"/>
      <c r="W333" s="25"/>
      <c r="X333" s="25"/>
    </row>
    <row r="334" spans="1:24" x14ac:dyDescent="0.25">
      <c r="A334" s="18" t="str">
        <f t="shared" si="7"/>
        <v/>
      </c>
      <c r="B334" s="25"/>
      <c r="C334" s="25"/>
      <c r="D334" s="25"/>
      <c r="E334" s="25" t="str">
        <f>IFERROR(IF(ISBLANK(D334),"",INDEX(Gen_Vessels!$A$3:$C$500,MATCH(D334,Gen_Vessels!$C$3:$C$500,0),1)),"")</f>
        <v/>
      </c>
      <c r="F334" s="25"/>
      <c r="G334" s="25"/>
      <c r="H334" s="25" t="str">
        <f>IFERROR(IF(ISBLANK(G334),"",INDEX(Gen_Vessels!$A$3:$C$500,MATCH(G334,Gen_Vessels!$C$3:$C$500,0),1)),"")</f>
        <v/>
      </c>
      <c r="I334" s="25"/>
      <c r="J334" s="25"/>
      <c r="K334" s="25"/>
      <c r="M334" s="25"/>
      <c r="O334" s="25"/>
      <c r="Q334" s="25"/>
      <c r="R334" s="25"/>
      <c r="S334" s="25"/>
      <c r="T334" s="25"/>
      <c r="U334" s="25"/>
      <c r="V334" s="25"/>
      <c r="W334" s="25"/>
      <c r="X334" s="25"/>
    </row>
    <row r="335" spans="1:24" x14ac:dyDescent="0.25">
      <c r="A335" s="18" t="str">
        <f t="shared" si="7"/>
        <v/>
      </c>
      <c r="B335" s="25"/>
      <c r="C335" s="25"/>
      <c r="D335" s="25"/>
      <c r="E335" s="25" t="str">
        <f>IFERROR(IF(ISBLANK(D335),"",INDEX(Gen_Vessels!$A$3:$C$500,MATCH(D335,Gen_Vessels!$C$3:$C$500,0),1)),"")</f>
        <v/>
      </c>
      <c r="F335" s="25"/>
      <c r="G335" s="25"/>
      <c r="H335" s="25" t="str">
        <f>IFERROR(IF(ISBLANK(G335),"",INDEX(Gen_Vessels!$A$3:$C$500,MATCH(G335,Gen_Vessels!$C$3:$C$500,0),1)),"")</f>
        <v/>
      </c>
      <c r="I335" s="25"/>
      <c r="J335" s="25"/>
      <c r="K335" s="25"/>
      <c r="M335" s="25"/>
      <c r="O335" s="25"/>
      <c r="Q335" s="25"/>
      <c r="R335" s="25"/>
      <c r="S335" s="25"/>
      <c r="T335" s="25"/>
      <c r="U335" s="25"/>
      <c r="V335" s="25"/>
      <c r="W335" s="25"/>
      <c r="X335" s="25"/>
    </row>
    <row r="336" spans="1:24" x14ac:dyDescent="0.25">
      <c r="A336" s="18" t="str">
        <f t="shared" si="7"/>
        <v/>
      </c>
      <c r="B336" s="25"/>
      <c r="C336" s="25"/>
      <c r="D336" s="25"/>
      <c r="E336" s="25" t="str">
        <f>IFERROR(IF(ISBLANK(D336),"",INDEX(Gen_Vessels!$A$3:$C$500,MATCH(D336,Gen_Vessels!$C$3:$C$500,0),1)),"")</f>
        <v/>
      </c>
      <c r="F336" s="25"/>
      <c r="G336" s="25"/>
      <c r="H336" s="25" t="str">
        <f>IFERROR(IF(ISBLANK(G336),"",INDEX(Gen_Vessels!$A$3:$C$500,MATCH(G336,Gen_Vessels!$C$3:$C$500,0),1)),"")</f>
        <v/>
      </c>
      <c r="I336" s="25"/>
      <c r="J336" s="25"/>
      <c r="K336" s="25"/>
      <c r="M336" s="25"/>
      <c r="O336" s="25"/>
      <c r="Q336" s="25"/>
      <c r="R336" s="25"/>
      <c r="S336" s="25"/>
      <c r="T336" s="25"/>
      <c r="U336" s="25"/>
      <c r="V336" s="25"/>
      <c r="W336" s="25"/>
      <c r="X336" s="25"/>
    </row>
    <row r="337" spans="1:24" x14ac:dyDescent="0.25">
      <c r="A337" s="18" t="str">
        <f t="shared" si="7"/>
        <v/>
      </c>
      <c r="B337" s="25"/>
      <c r="C337" s="25"/>
      <c r="D337" s="25"/>
      <c r="E337" s="25" t="str">
        <f>IFERROR(IF(ISBLANK(D337),"",INDEX(Gen_Vessels!$A$3:$C$500,MATCH(D337,Gen_Vessels!$C$3:$C$500,0),1)),"")</f>
        <v/>
      </c>
      <c r="F337" s="25"/>
      <c r="G337" s="25"/>
      <c r="H337" s="25" t="str">
        <f>IFERROR(IF(ISBLANK(G337),"",INDEX(Gen_Vessels!$A$3:$C$500,MATCH(G337,Gen_Vessels!$C$3:$C$500,0),1)),"")</f>
        <v/>
      </c>
      <c r="I337" s="25"/>
      <c r="J337" s="25"/>
      <c r="K337" s="25"/>
      <c r="M337" s="25"/>
      <c r="O337" s="25"/>
      <c r="Q337" s="25"/>
      <c r="R337" s="25"/>
      <c r="S337" s="25"/>
      <c r="T337" s="25"/>
      <c r="U337" s="25"/>
      <c r="V337" s="25"/>
      <c r="W337" s="25"/>
      <c r="X337" s="25"/>
    </row>
    <row r="338" spans="1:24" x14ac:dyDescent="0.25">
      <c r="A338" s="18" t="str">
        <f t="shared" si="7"/>
        <v/>
      </c>
      <c r="B338" s="25"/>
      <c r="C338" s="25"/>
      <c r="D338" s="25"/>
      <c r="E338" s="25" t="str">
        <f>IFERROR(IF(ISBLANK(D338),"",INDEX(Gen_Vessels!$A$3:$C$500,MATCH(D338,Gen_Vessels!$C$3:$C$500,0),1)),"")</f>
        <v/>
      </c>
      <c r="F338" s="25"/>
      <c r="G338" s="25"/>
      <c r="H338" s="25" t="str">
        <f>IFERROR(IF(ISBLANK(G338),"",INDEX(Gen_Vessels!$A$3:$C$500,MATCH(G338,Gen_Vessels!$C$3:$C$500,0),1)),"")</f>
        <v/>
      </c>
      <c r="I338" s="25"/>
      <c r="J338" s="25"/>
      <c r="K338" s="25"/>
      <c r="M338" s="25"/>
      <c r="O338" s="25"/>
      <c r="Q338" s="25"/>
      <c r="R338" s="25"/>
      <c r="S338" s="25"/>
      <c r="T338" s="25"/>
      <c r="U338" s="25"/>
      <c r="V338" s="25"/>
      <c r="W338" s="25"/>
      <c r="X338" s="25"/>
    </row>
    <row r="339" spans="1:24" x14ac:dyDescent="0.25">
      <c r="A339" s="18" t="str">
        <f t="shared" si="7"/>
        <v/>
      </c>
      <c r="B339" s="25"/>
      <c r="C339" s="25"/>
      <c r="D339" s="25"/>
      <c r="E339" s="25" t="str">
        <f>IFERROR(IF(ISBLANK(D339),"",INDEX(Gen_Vessels!$A$3:$C$500,MATCH(D339,Gen_Vessels!$C$3:$C$500,0),1)),"")</f>
        <v/>
      </c>
      <c r="F339" s="25"/>
      <c r="G339" s="25"/>
      <c r="H339" s="25" t="str">
        <f>IFERROR(IF(ISBLANK(G339),"",INDEX(Gen_Vessels!$A$3:$C$500,MATCH(G339,Gen_Vessels!$C$3:$C$500,0),1)),"")</f>
        <v/>
      </c>
      <c r="I339" s="25"/>
      <c r="J339" s="25"/>
      <c r="K339" s="25"/>
      <c r="M339" s="25"/>
      <c r="O339" s="25"/>
      <c r="Q339" s="25"/>
      <c r="R339" s="25"/>
      <c r="S339" s="25"/>
      <c r="T339" s="25"/>
      <c r="U339" s="25"/>
      <c r="V339" s="25"/>
      <c r="W339" s="25"/>
      <c r="X339" s="25"/>
    </row>
    <row r="340" spans="1:24" x14ac:dyDescent="0.25">
      <c r="A340" s="18" t="str">
        <f t="shared" si="7"/>
        <v/>
      </c>
      <c r="B340" s="25"/>
      <c r="C340" s="25"/>
      <c r="D340" s="25"/>
      <c r="E340" s="25" t="str">
        <f>IFERROR(IF(ISBLANK(D340),"",INDEX(Gen_Vessels!$A$3:$C$500,MATCH(D340,Gen_Vessels!$C$3:$C$500,0),1)),"")</f>
        <v/>
      </c>
      <c r="F340" s="25"/>
      <c r="G340" s="25"/>
      <c r="H340" s="25" t="str">
        <f>IFERROR(IF(ISBLANK(G340),"",INDEX(Gen_Vessels!$A$3:$C$500,MATCH(G340,Gen_Vessels!$C$3:$C$500,0),1)),"")</f>
        <v/>
      </c>
      <c r="I340" s="25"/>
      <c r="J340" s="25"/>
      <c r="K340" s="25"/>
      <c r="M340" s="25"/>
      <c r="O340" s="25"/>
      <c r="Q340" s="25"/>
      <c r="R340" s="25"/>
      <c r="S340" s="25"/>
      <c r="T340" s="25"/>
      <c r="U340" s="25"/>
      <c r="V340" s="25"/>
      <c r="W340" s="25"/>
      <c r="X340" s="25"/>
    </row>
    <row r="341" spans="1:24" x14ac:dyDescent="0.25">
      <c r="A341" s="18" t="str">
        <f t="shared" si="7"/>
        <v/>
      </c>
      <c r="B341" s="25"/>
      <c r="C341" s="25"/>
      <c r="D341" s="25"/>
      <c r="E341" s="25" t="str">
        <f>IFERROR(IF(ISBLANK(D341),"",INDEX(Gen_Vessels!$A$3:$C$500,MATCH(D341,Gen_Vessels!$C$3:$C$500,0),1)),"")</f>
        <v/>
      </c>
      <c r="F341" s="25"/>
      <c r="G341" s="25"/>
      <c r="H341" s="25" t="str">
        <f>IFERROR(IF(ISBLANK(G341),"",INDEX(Gen_Vessels!$A$3:$C$500,MATCH(G341,Gen_Vessels!$C$3:$C$500,0),1)),"")</f>
        <v/>
      </c>
      <c r="I341" s="25"/>
      <c r="J341" s="25"/>
      <c r="K341" s="25"/>
      <c r="M341" s="25"/>
      <c r="O341" s="25"/>
      <c r="Q341" s="25"/>
      <c r="R341" s="25"/>
      <c r="S341" s="25"/>
      <c r="T341" s="25"/>
      <c r="U341" s="25"/>
      <c r="V341" s="25"/>
      <c r="W341" s="25"/>
      <c r="X341" s="25"/>
    </row>
    <row r="342" spans="1:24" x14ac:dyDescent="0.25">
      <c r="A342" s="18" t="str">
        <f t="shared" si="7"/>
        <v/>
      </c>
      <c r="B342" s="25"/>
      <c r="C342" s="25"/>
      <c r="D342" s="25"/>
      <c r="E342" s="25" t="str">
        <f>IFERROR(IF(ISBLANK(D342),"",INDEX(Gen_Vessels!$A$3:$C$500,MATCH(D342,Gen_Vessels!$C$3:$C$500,0),1)),"")</f>
        <v/>
      </c>
      <c r="F342" s="25"/>
      <c r="G342" s="25"/>
      <c r="H342" s="25" t="str">
        <f>IFERROR(IF(ISBLANK(G342),"",INDEX(Gen_Vessels!$A$3:$C$500,MATCH(G342,Gen_Vessels!$C$3:$C$500,0),1)),"")</f>
        <v/>
      </c>
      <c r="I342" s="25"/>
      <c r="J342" s="25"/>
      <c r="K342" s="25"/>
      <c r="M342" s="25"/>
      <c r="O342" s="25"/>
      <c r="Q342" s="25"/>
      <c r="R342" s="25"/>
      <c r="S342" s="25"/>
      <c r="T342" s="25"/>
      <c r="U342" s="25"/>
      <c r="V342" s="25"/>
      <c r="W342" s="25"/>
      <c r="X342" s="25"/>
    </row>
    <row r="343" spans="1:24" x14ac:dyDescent="0.25">
      <c r="A343" s="18" t="str">
        <f t="shared" si="7"/>
        <v/>
      </c>
      <c r="B343" s="25"/>
      <c r="C343" s="25"/>
      <c r="D343" s="25"/>
      <c r="E343" s="25" t="str">
        <f>IFERROR(IF(ISBLANK(D343),"",INDEX(Gen_Vessels!$A$3:$C$500,MATCH(D343,Gen_Vessels!$C$3:$C$500,0),1)),"")</f>
        <v/>
      </c>
      <c r="F343" s="25"/>
      <c r="G343" s="25"/>
      <c r="H343" s="25" t="str">
        <f>IFERROR(IF(ISBLANK(G343),"",INDEX(Gen_Vessels!$A$3:$C$500,MATCH(G343,Gen_Vessels!$C$3:$C$500,0),1)),"")</f>
        <v/>
      </c>
      <c r="I343" s="25"/>
      <c r="J343" s="25"/>
      <c r="K343" s="25"/>
      <c r="M343" s="25"/>
      <c r="O343" s="25"/>
      <c r="Q343" s="25"/>
      <c r="R343" s="25"/>
      <c r="S343" s="25"/>
      <c r="T343" s="25"/>
      <c r="U343" s="25"/>
      <c r="V343" s="25"/>
      <c r="W343" s="25"/>
      <c r="X343" s="25"/>
    </row>
    <row r="344" spans="1:24" x14ac:dyDescent="0.25">
      <c r="A344" s="18" t="str">
        <f t="shared" si="7"/>
        <v/>
      </c>
      <c r="B344" s="25"/>
      <c r="C344" s="25"/>
      <c r="D344" s="25"/>
      <c r="E344" s="25" t="str">
        <f>IFERROR(IF(ISBLANK(D344),"",INDEX(Gen_Vessels!$A$3:$C$500,MATCH(D344,Gen_Vessels!$C$3:$C$500,0),1)),"")</f>
        <v/>
      </c>
      <c r="F344" s="25"/>
      <c r="G344" s="25"/>
      <c r="H344" s="25" t="str">
        <f>IFERROR(IF(ISBLANK(G344),"",INDEX(Gen_Vessels!$A$3:$C$500,MATCH(G344,Gen_Vessels!$C$3:$C$500,0),1)),"")</f>
        <v/>
      </c>
      <c r="I344" s="25"/>
      <c r="J344" s="25"/>
      <c r="K344" s="25"/>
      <c r="M344" s="25"/>
      <c r="O344" s="25"/>
      <c r="Q344" s="25"/>
      <c r="R344" s="25"/>
      <c r="S344" s="25"/>
      <c r="T344" s="25"/>
      <c r="U344" s="25"/>
      <c r="V344" s="25"/>
      <c r="W344" s="25"/>
      <c r="X344" s="25"/>
    </row>
    <row r="345" spans="1:24" x14ac:dyDescent="0.25">
      <c r="A345" s="18" t="str">
        <f t="shared" si="7"/>
        <v/>
      </c>
      <c r="B345" s="25"/>
      <c r="C345" s="25"/>
      <c r="D345" s="25"/>
      <c r="E345" s="25" t="str">
        <f>IFERROR(IF(ISBLANK(D345),"",INDEX(Gen_Vessels!$A$3:$C$500,MATCH(D345,Gen_Vessels!$C$3:$C$500,0),1)),"")</f>
        <v/>
      </c>
      <c r="F345" s="25"/>
      <c r="G345" s="25"/>
      <c r="H345" s="25" t="str">
        <f>IFERROR(IF(ISBLANK(G345),"",INDEX(Gen_Vessels!$A$3:$C$500,MATCH(G345,Gen_Vessels!$C$3:$C$500,0),1)),"")</f>
        <v/>
      </c>
      <c r="I345" s="25"/>
      <c r="J345" s="25"/>
      <c r="K345" s="25"/>
      <c r="M345" s="25"/>
      <c r="O345" s="25"/>
      <c r="Q345" s="25"/>
      <c r="R345" s="25"/>
      <c r="S345" s="25"/>
      <c r="T345" s="25"/>
      <c r="U345" s="25"/>
      <c r="V345" s="25"/>
      <c r="W345" s="25"/>
      <c r="X345" s="25"/>
    </row>
    <row r="346" spans="1:24" x14ac:dyDescent="0.25">
      <c r="A346" s="18" t="str">
        <f t="shared" si="7"/>
        <v/>
      </c>
      <c r="B346" s="25"/>
      <c r="C346" s="25"/>
      <c r="D346" s="25"/>
      <c r="E346" s="25" t="str">
        <f>IFERROR(IF(ISBLANK(D346),"",INDEX(Gen_Vessels!$A$3:$C$500,MATCH(D346,Gen_Vessels!$C$3:$C$500,0),1)),"")</f>
        <v/>
      </c>
      <c r="F346" s="25"/>
      <c r="G346" s="25"/>
      <c r="H346" s="25" t="str">
        <f>IFERROR(IF(ISBLANK(G346),"",INDEX(Gen_Vessels!$A$3:$C$500,MATCH(G346,Gen_Vessels!$C$3:$C$500,0),1)),"")</f>
        <v/>
      </c>
      <c r="I346" s="25"/>
      <c r="J346" s="25"/>
      <c r="K346" s="25"/>
      <c r="M346" s="25"/>
      <c r="O346" s="25"/>
      <c r="Q346" s="25"/>
      <c r="R346" s="25"/>
      <c r="S346" s="25"/>
      <c r="T346" s="25"/>
      <c r="U346" s="25"/>
      <c r="V346" s="25"/>
      <c r="W346" s="25"/>
      <c r="X346" s="25"/>
    </row>
    <row r="347" spans="1:24" x14ac:dyDescent="0.25">
      <c r="A347" s="18" t="str">
        <f t="shared" si="7"/>
        <v/>
      </c>
      <c r="B347" s="25"/>
      <c r="C347" s="25"/>
      <c r="D347" s="25"/>
      <c r="E347" s="25" t="str">
        <f>IFERROR(IF(ISBLANK(D347),"",INDEX(Gen_Vessels!$A$3:$C$500,MATCH(D347,Gen_Vessels!$C$3:$C$500,0),1)),"")</f>
        <v/>
      </c>
      <c r="F347" s="25"/>
      <c r="G347" s="25"/>
      <c r="H347" s="25" t="str">
        <f>IFERROR(IF(ISBLANK(G347),"",INDEX(Gen_Vessels!$A$3:$C$500,MATCH(G347,Gen_Vessels!$C$3:$C$500,0),1)),"")</f>
        <v/>
      </c>
      <c r="I347" s="25"/>
      <c r="J347" s="25"/>
      <c r="K347" s="25"/>
      <c r="M347" s="25"/>
      <c r="O347" s="25"/>
      <c r="Q347" s="25"/>
      <c r="R347" s="25"/>
      <c r="S347" s="25"/>
      <c r="T347" s="25"/>
      <c r="U347" s="25"/>
      <c r="V347" s="25"/>
      <c r="W347" s="25"/>
      <c r="X347" s="25"/>
    </row>
    <row r="348" spans="1:24" x14ac:dyDescent="0.25">
      <c r="A348" s="18" t="str">
        <f t="shared" si="7"/>
        <v/>
      </c>
      <c r="B348" s="25"/>
      <c r="C348" s="25"/>
      <c r="D348" s="25"/>
      <c r="E348" s="25" t="str">
        <f>IFERROR(IF(ISBLANK(D348),"",INDEX(Gen_Vessels!$A$3:$C$500,MATCH(D348,Gen_Vessels!$C$3:$C$500,0),1)),"")</f>
        <v/>
      </c>
      <c r="F348" s="25"/>
      <c r="G348" s="25"/>
      <c r="H348" s="25" t="str">
        <f>IFERROR(IF(ISBLANK(G348),"",INDEX(Gen_Vessels!$A$3:$C$500,MATCH(G348,Gen_Vessels!$C$3:$C$500,0),1)),"")</f>
        <v/>
      </c>
      <c r="I348" s="25"/>
      <c r="J348" s="25"/>
      <c r="K348" s="25"/>
      <c r="M348" s="25"/>
      <c r="O348" s="25"/>
      <c r="Q348" s="25"/>
      <c r="R348" s="25"/>
      <c r="S348" s="25"/>
      <c r="T348" s="25"/>
      <c r="U348" s="25"/>
      <c r="V348" s="25"/>
      <c r="W348" s="25"/>
      <c r="X348" s="25"/>
    </row>
    <row r="349" spans="1:24" x14ac:dyDescent="0.25">
      <c r="A349" s="18" t="str">
        <f t="shared" si="7"/>
        <v/>
      </c>
      <c r="B349" s="25"/>
      <c r="C349" s="25"/>
      <c r="D349" s="25"/>
      <c r="E349" s="25" t="str">
        <f>IFERROR(IF(ISBLANK(D349),"",INDEX(Gen_Vessels!$A$3:$C$500,MATCH(D349,Gen_Vessels!$C$3:$C$500,0),1)),"")</f>
        <v/>
      </c>
      <c r="F349" s="25"/>
      <c r="G349" s="25"/>
      <c r="H349" s="25" t="str">
        <f>IFERROR(IF(ISBLANK(G349),"",INDEX(Gen_Vessels!$A$3:$C$500,MATCH(G349,Gen_Vessels!$C$3:$C$500,0),1)),"")</f>
        <v/>
      </c>
      <c r="I349" s="25"/>
      <c r="J349" s="25"/>
      <c r="K349" s="25"/>
      <c r="M349" s="25"/>
      <c r="O349" s="25"/>
      <c r="Q349" s="25"/>
      <c r="R349" s="25"/>
      <c r="S349" s="25"/>
      <c r="T349" s="25"/>
      <c r="U349" s="25"/>
      <c r="V349" s="25"/>
      <c r="W349" s="25"/>
      <c r="X349" s="25"/>
    </row>
    <row r="350" spans="1:24" x14ac:dyDescent="0.25">
      <c r="A350" s="18" t="str">
        <f t="shared" si="7"/>
        <v/>
      </c>
      <c r="B350" s="25"/>
      <c r="C350" s="25"/>
      <c r="D350" s="25"/>
      <c r="E350" s="25" t="str">
        <f>IFERROR(IF(ISBLANK(D350),"",INDEX(Gen_Vessels!$A$3:$C$500,MATCH(D350,Gen_Vessels!$C$3:$C$500,0),1)),"")</f>
        <v/>
      </c>
      <c r="F350" s="25"/>
      <c r="G350" s="25"/>
      <c r="H350" s="25" t="str">
        <f>IFERROR(IF(ISBLANK(G350),"",INDEX(Gen_Vessels!$A$3:$C$500,MATCH(G350,Gen_Vessels!$C$3:$C$500,0),1)),"")</f>
        <v/>
      </c>
      <c r="I350" s="25"/>
      <c r="J350" s="25"/>
      <c r="K350" s="25"/>
      <c r="M350" s="25"/>
      <c r="O350" s="25"/>
      <c r="Q350" s="25"/>
      <c r="R350" s="25"/>
      <c r="S350" s="25"/>
      <c r="T350" s="25"/>
      <c r="U350" s="25"/>
      <c r="V350" s="25"/>
      <c r="W350" s="25"/>
      <c r="X350" s="25"/>
    </row>
    <row r="351" spans="1:24" x14ac:dyDescent="0.25">
      <c r="A351" s="18" t="str">
        <f t="shared" si="7"/>
        <v/>
      </c>
      <c r="B351" s="25"/>
      <c r="C351" s="25"/>
      <c r="D351" s="25"/>
      <c r="E351" s="25" t="str">
        <f>IFERROR(IF(ISBLANK(D351),"",INDEX(Gen_Vessels!$A$3:$C$500,MATCH(D351,Gen_Vessels!$C$3:$C$500,0),1)),"")</f>
        <v/>
      </c>
      <c r="F351" s="25"/>
      <c r="G351" s="25"/>
      <c r="H351" s="25" t="str">
        <f>IFERROR(IF(ISBLANK(G351),"",INDEX(Gen_Vessels!$A$3:$C$500,MATCH(G351,Gen_Vessels!$C$3:$C$500,0),1)),"")</f>
        <v/>
      </c>
      <c r="I351" s="25"/>
      <c r="J351" s="25"/>
      <c r="K351" s="25"/>
      <c r="M351" s="25"/>
      <c r="O351" s="25"/>
      <c r="Q351" s="25"/>
      <c r="R351" s="25"/>
      <c r="S351" s="25"/>
      <c r="T351" s="25"/>
      <c r="U351" s="25"/>
      <c r="V351" s="25"/>
      <c r="W351" s="25"/>
      <c r="X351" s="25"/>
    </row>
    <row r="352" spans="1:24" x14ac:dyDescent="0.25">
      <c r="A352" s="18" t="str">
        <f t="shared" si="7"/>
        <v/>
      </c>
      <c r="B352" s="25"/>
      <c r="C352" s="25"/>
      <c r="D352" s="25"/>
      <c r="E352" s="25" t="str">
        <f>IFERROR(IF(ISBLANK(D352),"",INDEX(Gen_Vessels!$A$3:$C$500,MATCH(D352,Gen_Vessels!$C$3:$C$500,0),1)),"")</f>
        <v/>
      </c>
      <c r="F352" s="25"/>
      <c r="G352" s="25"/>
      <c r="H352" s="25" t="str">
        <f>IFERROR(IF(ISBLANK(G352),"",INDEX(Gen_Vessels!$A$3:$C$500,MATCH(G352,Gen_Vessels!$C$3:$C$500,0),1)),"")</f>
        <v/>
      </c>
      <c r="I352" s="25"/>
      <c r="J352" s="25"/>
      <c r="K352" s="25"/>
      <c r="M352" s="25"/>
      <c r="O352" s="25"/>
      <c r="Q352" s="25"/>
      <c r="R352" s="25"/>
      <c r="S352" s="25"/>
      <c r="T352" s="25"/>
      <c r="U352" s="25"/>
      <c r="V352" s="25"/>
      <c r="W352" s="25"/>
      <c r="X352" s="25"/>
    </row>
    <row r="353" spans="1:24" x14ac:dyDescent="0.25">
      <c r="A353" s="18" t="str">
        <f t="shared" si="7"/>
        <v/>
      </c>
      <c r="B353" s="25"/>
      <c r="C353" s="25"/>
      <c r="D353" s="25"/>
      <c r="E353" s="25" t="str">
        <f>IFERROR(IF(ISBLANK(D353),"",INDEX(Gen_Vessels!$A$3:$C$500,MATCH(D353,Gen_Vessels!$C$3:$C$500,0),1)),"")</f>
        <v/>
      </c>
      <c r="F353" s="25"/>
      <c r="G353" s="25"/>
      <c r="H353" s="25" t="str">
        <f>IFERROR(IF(ISBLANK(G353),"",INDEX(Gen_Vessels!$A$3:$C$500,MATCH(G353,Gen_Vessels!$C$3:$C$500,0),1)),"")</f>
        <v/>
      </c>
      <c r="I353" s="25"/>
      <c r="J353" s="25"/>
      <c r="K353" s="25"/>
      <c r="M353" s="25"/>
      <c r="O353" s="25"/>
      <c r="Q353" s="25"/>
      <c r="R353" s="25"/>
      <c r="S353" s="25"/>
      <c r="T353" s="25"/>
      <c r="U353" s="25"/>
      <c r="V353" s="25"/>
      <c r="W353" s="25"/>
      <c r="X353" s="25"/>
    </row>
    <row r="354" spans="1:24" x14ac:dyDescent="0.25">
      <c r="A354" s="18" t="str">
        <f t="shared" si="7"/>
        <v/>
      </c>
      <c r="B354" s="25"/>
      <c r="C354" s="25"/>
      <c r="D354" s="25"/>
      <c r="E354" s="25" t="str">
        <f>IFERROR(IF(ISBLANK(D354),"",INDEX(Gen_Vessels!$A$3:$C$500,MATCH(D354,Gen_Vessels!$C$3:$C$500,0),1)),"")</f>
        <v/>
      </c>
      <c r="F354" s="25"/>
      <c r="G354" s="25"/>
      <c r="H354" s="25" t="str">
        <f>IFERROR(IF(ISBLANK(G354),"",INDEX(Gen_Vessels!$A$3:$C$500,MATCH(G354,Gen_Vessels!$C$3:$C$500,0),1)),"")</f>
        <v/>
      </c>
      <c r="I354" s="25"/>
      <c r="J354" s="25"/>
      <c r="K354" s="25"/>
      <c r="M354" s="25"/>
      <c r="O354" s="25"/>
      <c r="Q354" s="25"/>
      <c r="R354" s="25"/>
      <c r="S354" s="25"/>
      <c r="T354" s="25"/>
      <c r="U354" s="25"/>
      <c r="V354" s="25"/>
      <c r="W354" s="25"/>
      <c r="X354" s="25"/>
    </row>
    <row r="355" spans="1:24" x14ac:dyDescent="0.25">
      <c r="A355" s="18" t="str">
        <f t="shared" si="7"/>
        <v/>
      </c>
      <c r="B355" s="25"/>
      <c r="C355" s="25"/>
      <c r="D355" s="25"/>
      <c r="E355" s="25" t="str">
        <f>IFERROR(IF(ISBLANK(D355),"",INDEX(Gen_Vessels!$A$3:$C$500,MATCH(D355,Gen_Vessels!$C$3:$C$500,0),1)),"")</f>
        <v/>
      </c>
      <c r="F355" s="25"/>
      <c r="G355" s="25"/>
      <c r="H355" s="25" t="str">
        <f>IFERROR(IF(ISBLANK(G355),"",INDEX(Gen_Vessels!$A$3:$C$500,MATCH(G355,Gen_Vessels!$C$3:$C$500,0),1)),"")</f>
        <v/>
      </c>
      <c r="I355" s="25"/>
      <c r="J355" s="25"/>
      <c r="K355" s="25"/>
      <c r="M355" s="25"/>
      <c r="O355" s="25"/>
      <c r="Q355" s="25"/>
      <c r="R355" s="25"/>
      <c r="S355" s="25"/>
      <c r="T355" s="25"/>
      <c r="U355" s="25"/>
      <c r="V355" s="25"/>
      <c r="W355" s="25"/>
      <c r="X355" s="25"/>
    </row>
    <row r="356" spans="1:24" x14ac:dyDescent="0.25">
      <c r="A356" s="18" t="str">
        <f t="shared" si="7"/>
        <v/>
      </c>
      <c r="B356" s="25"/>
      <c r="C356" s="25"/>
      <c r="D356" s="25"/>
      <c r="E356" s="25" t="str">
        <f>IFERROR(IF(ISBLANK(D356),"",INDEX(Gen_Vessels!$A$3:$C$500,MATCH(D356,Gen_Vessels!$C$3:$C$500,0),1)),"")</f>
        <v/>
      </c>
      <c r="F356" s="25"/>
      <c r="G356" s="25"/>
      <c r="H356" s="25" t="str">
        <f>IFERROR(IF(ISBLANK(G356),"",INDEX(Gen_Vessels!$A$3:$C$500,MATCH(G356,Gen_Vessels!$C$3:$C$500,0),1)),"")</f>
        <v/>
      </c>
      <c r="I356" s="25"/>
      <c r="J356" s="25"/>
      <c r="K356" s="25"/>
      <c r="M356" s="25"/>
      <c r="O356" s="25"/>
      <c r="Q356" s="25"/>
      <c r="R356" s="25"/>
      <c r="S356" s="25"/>
      <c r="T356" s="25"/>
      <c r="U356" s="25"/>
      <c r="V356" s="25"/>
      <c r="W356" s="25"/>
      <c r="X356" s="25"/>
    </row>
    <row r="357" spans="1:24" x14ac:dyDescent="0.25">
      <c r="A357" s="18" t="str">
        <f t="shared" si="7"/>
        <v/>
      </c>
      <c r="B357" s="25"/>
      <c r="C357" s="25"/>
      <c r="D357" s="25"/>
      <c r="E357" s="25" t="str">
        <f>IFERROR(IF(ISBLANK(D357),"",INDEX(Gen_Vessels!$A$3:$C$500,MATCH(D357,Gen_Vessels!$C$3:$C$500,0),1)),"")</f>
        <v/>
      </c>
      <c r="F357" s="25"/>
      <c r="G357" s="25"/>
      <c r="H357" s="25" t="str">
        <f>IFERROR(IF(ISBLANK(G357),"",INDEX(Gen_Vessels!$A$3:$C$500,MATCH(G357,Gen_Vessels!$C$3:$C$500,0),1)),"")</f>
        <v/>
      </c>
      <c r="I357" s="25"/>
      <c r="J357" s="25"/>
      <c r="K357" s="25"/>
      <c r="M357" s="25"/>
      <c r="O357" s="25"/>
      <c r="Q357" s="25"/>
      <c r="R357" s="25"/>
      <c r="S357" s="25"/>
      <c r="T357" s="25"/>
      <c r="U357" s="25"/>
      <c r="V357" s="25"/>
      <c r="W357" s="25"/>
      <c r="X357" s="25"/>
    </row>
    <row r="358" spans="1:24" x14ac:dyDescent="0.25">
      <c r="A358" s="18" t="str">
        <f t="shared" si="7"/>
        <v/>
      </c>
      <c r="B358" s="25"/>
      <c r="C358" s="25"/>
      <c r="D358" s="25"/>
      <c r="E358" s="25" t="str">
        <f>IFERROR(IF(ISBLANK(D358),"",INDEX(Gen_Vessels!$A$3:$C$500,MATCH(D358,Gen_Vessels!$C$3:$C$500,0),1)),"")</f>
        <v/>
      </c>
      <c r="F358" s="25"/>
      <c r="G358" s="25"/>
      <c r="H358" s="25" t="str">
        <f>IFERROR(IF(ISBLANK(G358),"",INDEX(Gen_Vessels!$A$3:$C$500,MATCH(G358,Gen_Vessels!$C$3:$C$500,0),1)),"")</f>
        <v/>
      </c>
      <c r="I358" s="25"/>
      <c r="J358" s="25"/>
      <c r="K358" s="25"/>
      <c r="M358" s="25"/>
      <c r="O358" s="25"/>
      <c r="Q358" s="25"/>
      <c r="R358" s="25"/>
      <c r="S358" s="25"/>
      <c r="T358" s="25"/>
      <c r="U358" s="25"/>
      <c r="V358" s="25"/>
      <c r="W358" s="25"/>
      <c r="X358" s="25"/>
    </row>
    <row r="359" spans="1:24" x14ac:dyDescent="0.25">
      <c r="A359" s="18" t="str">
        <f t="shared" si="7"/>
        <v/>
      </c>
      <c r="B359" s="25"/>
      <c r="C359" s="25"/>
      <c r="D359" s="25"/>
      <c r="E359" s="25" t="str">
        <f>IFERROR(IF(ISBLANK(D359),"",INDEX(Gen_Vessels!$A$3:$C$500,MATCH(D359,Gen_Vessels!$C$3:$C$500,0),1)),"")</f>
        <v/>
      </c>
      <c r="F359" s="25"/>
      <c r="G359" s="25"/>
      <c r="H359" s="25" t="str">
        <f>IFERROR(IF(ISBLANK(G359),"",INDEX(Gen_Vessels!$A$3:$C$500,MATCH(G359,Gen_Vessels!$C$3:$C$500,0),1)),"")</f>
        <v/>
      </c>
      <c r="I359" s="25"/>
      <c r="J359" s="25"/>
      <c r="K359" s="25"/>
      <c r="M359" s="25"/>
      <c r="O359" s="25"/>
      <c r="Q359" s="25"/>
      <c r="R359" s="25"/>
      <c r="S359" s="25"/>
      <c r="T359" s="25"/>
      <c r="U359" s="25"/>
      <c r="V359" s="25"/>
      <c r="W359" s="25"/>
      <c r="X359" s="25"/>
    </row>
    <row r="360" spans="1:24" x14ac:dyDescent="0.25">
      <c r="A360" s="18" t="str">
        <f t="shared" si="7"/>
        <v/>
      </c>
      <c r="B360" s="25"/>
      <c r="C360" s="25"/>
      <c r="D360" s="25"/>
      <c r="E360" s="25" t="str">
        <f>IFERROR(IF(ISBLANK(D360),"",INDEX(Gen_Vessels!$A$3:$C$500,MATCH(D360,Gen_Vessels!$C$3:$C$500,0),1)),"")</f>
        <v/>
      </c>
      <c r="F360" s="25"/>
      <c r="G360" s="25"/>
      <c r="H360" s="25" t="str">
        <f>IFERROR(IF(ISBLANK(G360),"",INDEX(Gen_Vessels!$A$3:$C$500,MATCH(G360,Gen_Vessels!$C$3:$C$500,0),1)),"")</f>
        <v/>
      </c>
      <c r="I360" s="25"/>
      <c r="J360" s="25"/>
      <c r="K360" s="25"/>
      <c r="M360" s="25"/>
      <c r="O360" s="25"/>
      <c r="Q360" s="25"/>
      <c r="R360" s="25"/>
      <c r="S360" s="25"/>
      <c r="T360" s="25"/>
      <c r="U360" s="25"/>
      <c r="V360" s="25"/>
      <c r="W360" s="25"/>
      <c r="X360" s="25"/>
    </row>
    <row r="361" spans="1:24" x14ac:dyDescent="0.25">
      <c r="A361" s="18" t="str">
        <f t="shared" si="7"/>
        <v/>
      </c>
      <c r="B361" s="25"/>
      <c r="C361" s="25"/>
      <c r="D361" s="25"/>
      <c r="E361" s="25" t="str">
        <f>IFERROR(IF(ISBLANK(D361),"",INDEX(Gen_Vessels!$A$3:$C$500,MATCH(D361,Gen_Vessels!$C$3:$C$500,0),1)),"")</f>
        <v/>
      </c>
      <c r="F361" s="25"/>
      <c r="G361" s="25"/>
      <c r="H361" s="25" t="str">
        <f>IFERROR(IF(ISBLANK(G361),"",INDEX(Gen_Vessels!$A$3:$C$500,MATCH(G361,Gen_Vessels!$C$3:$C$500,0),1)),"")</f>
        <v/>
      </c>
      <c r="I361" s="25"/>
      <c r="J361" s="25"/>
      <c r="K361" s="25"/>
      <c r="M361" s="25"/>
      <c r="O361" s="25"/>
      <c r="Q361" s="25"/>
      <c r="R361" s="25"/>
      <c r="S361" s="25"/>
      <c r="T361" s="25"/>
      <c r="U361" s="25"/>
      <c r="V361" s="25"/>
      <c r="W361" s="25"/>
      <c r="X361" s="25"/>
    </row>
    <row r="362" spans="1:24" x14ac:dyDescent="0.25">
      <c r="A362" s="18" t="str">
        <f t="shared" si="7"/>
        <v/>
      </c>
      <c r="B362" s="25"/>
      <c r="C362" s="25"/>
      <c r="D362" s="25"/>
      <c r="E362" s="25" t="str">
        <f>IFERROR(IF(ISBLANK(D362),"",INDEX(Gen_Vessels!$A$3:$C$500,MATCH(D362,Gen_Vessels!$C$3:$C$500,0),1)),"")</f>
        <v/>
      </c>
      <c r="F362" s="25"/>
      <c r="G362" s="25"/>
      <c r="H362" s="25" t="str">
        <f>IFERROR(IF(ISBLANK(G362),"",INDEX(Gen_Vessels!$A$3:$C$500,MATCH(G362,Gen_Vessels!$C$3:$C$500,0),1)),"")</f>
        <v/>
      </c>
      <c r="I362" s="25"/>
      <c r="J362" s="25"/>
      <c r="K362" s="25"/>
      <c r="M362" s="25"/>
      <c r="O362" s="25"/>
      <c r="Q362" s="25"/>
      <c r="R362" s="25"/>
      <c r="S362" s="25"/>
      <c r="T362" s="25"/>
      <c r="U362" s="25"/>
      <c r="V362" s="25"/>
      <c r="W362" s="25"/>
      <c r="X362" s="25"/>
    </row>
    <row r="363" spans="1:24" x14ac:dyDescent="0.25">
      <c r="A363" s="18" t="str">
        <f t="shared" si="7"/>
        <v/>
      </c>
      <c r="B363" s="25"/>
      <c r="C363" s="25"/>
      <c r="D363" s="25"/>
      <c r="E363" s="25" t="str">
        <f>IFERROR(IF(ISBLANK(D363),"",INDEX(Gen_Vessels!$A$3:$C$500,MATCH(D363,Gen_Vessels!$C$3:$C$500,0),1)),"")</f>
        <v/>
      </c>
      <c r="F363" s="25"/>
      <c r="G363" s="25"/>
      <c r="H363" s="25" t="str">
        <f>IFERROR(IF(ISBLANK(G363),"",INDEX(Gen_Vessels!$A$3:$C$500,MATCH(G363,Gen_Vessels!$C$3:$C$500,0),1)),"")</f>
        <v/>
      </c>
      <c r="I363" s="25"/>
      <c r="J363" s="25"/>
      <c r="K363" s="25"/>
      <c r="M363" s="25"/>
      <c r="O363" s="25"/>
      <c r="Q363" s="25"/>
      <c r="R363" s="25"/>
      <c r="S363" s="25"/>
      <c r="T363" s="25"/>
      <c r="U363" s="25"/>
      <c r="V363" s="25"/>
      <c r="W363" s="25"/>
      <c r="X363" s="25"/>
    </row>
    <row r="364" spans="1:24" x14ac:dyDescent="0.25">
      <c r="A364" s="18" t="str">
        <f t="shared" si="7"/>
        <v/>
      </c>
      <c r="B364" s="25"/>
      <c r="C364" s="25"/>
      <c r="D364" s="25"/>
      <c r="E364" s="25" t="str">
        <f>IFERROR(IF(ISBLANK(D364),"",INDEX(Gen_Vessels!$A$3:$C$500,MATCH(D364,Gen_Vessels!$C$3:$C$500,0),1)),"")</f>
        <v/>
      </c>
      <c r="F364" s="25"/>
      <c r="G364" s="25"/>
      <c r="H364" s="25" t="str">
        <f>IFERROR(IF(ISBLANK(G364),"",INDEX(Gen_Vessels!$A$3:$C$500,MATCH(G364,Gen_Vessels!$C$3:$C$500,0),1)),"")</f>
        <v/>
      </c>
      <c r="I364" s="25"/>
      <c r="J364" s="25"/>
      <c r="K364" s="25"/>
      <c r="M364" s="25"/>
      <c r="O364" s="25"/>
      <c r="Q364" s="25"/>
      <c r="R364" s="25"/>
      <c r="S364" s="25"/>
      <c r="T364" s="25"/>
      <c r="U364" s="25"/>
      <c r="V364" s="25"/>
      <c r="W364" s="25"/>
      <c r="X364" s="25"/>
    </row>
    <row r="365" spans="1:24" x14ac:dyDescent="0.25">
      <c r="A365" s="18" t="str">
        <f t="shared" si="7"/>
        <v/>
      </c>
      <c r="B365" s="25"/>
      <c r="C365" s="25"/>
      <c r="D365" s="25"/>
      <c r="E365" s="25" t="str">
        <f>IFERROR(IF(ISBLANK(D365),"",INDEX(Gen_Vessels!$A$3:$C$500,MATCH(D365,Gen_Vessels!$C$3:$C$500,0),1)),"")</f>
        <v/>
      </c>
      <c r="F365" s="25"/>
      <c r="G365" s="25"/>
      <c r="H365" s="25" t="str">
        <f>IFERROR(IF(ISBLANK(G365),"",INDEX(Gen_Vessels!$A$3:$C$500,MATCH(G365,Gen_Vessels!$C$3:$C$500,0),1)),"")</f>
        <v/>
      </c>
      <c r="I365" s="25"/>
      <c r="J365" s="25"/>
      <c r="K365" s="25"/>
      <c r="M365" s="25"/>
      <c r="O365" s="25"/>
      <c r="Q365" s="25"/>
      <c r="R365" s="25"/>
      <c r="S365" s="25"/>
      <c r="T365" s="25"/>
      <c r="U365" s="25"/>
      <c r="V365" s="25"/>
      <c r="W365" s="25"/>
      <c r="X365" s="25"/>
    </row>
    <row r="366" spans="1:24" x14ac:dyDescent="0.25">
      <c r="A366" s="18" t="str">
        <f t="shared" si="7"/>
        <v/>
      </c>
      <c r="B366" s="25"/>
      <c r="C366" s="25"/>
      <c r="D366" s="25"/>
      <c r="E366" s="25" t="str">
        <f>IFERROR(IF(ISBLANK(D366),"",INDEX(Gen_Vessels!$A$3:$C$500,MATCH(D366,Gen_Vessels!$C$3:$C$500,0),1)),"")</f>
        <v/>
      </c>
      <c r="F366" s="25"/>
      <c r="G366" s="25"/>
      <c r="H366" s="25" t="str">
        <f>IFERROR(IF(ISBLANK(G366),"",INDEX(Gen_Vessels!$A$3:$C$500,MATCH(G366,Gen_Vessels!$C$3:$C$500,0),1)),"")</f>
        <v/>
      </c>
      <c r="I366" s="25"/>
      <c r="J366" s="25"/>
      <c r="K366" s="25"/>
      <c r="M366" s="25"/>
      <c r="O366" s="25"/>
      <c r="Q366" s="25"/>
      <c r="R366" s="25"/>
      <c r="S366" s="25"/>
      <c r="T366" s="25"/>
      <c r="U366" s="25"/>
      <c r="V366" s="25"/>
      <c r="W366" s="25"/>
      <c r="X366" s="25"/>
    </row>
    <row r="367" spans="1:24" x14ac:dyDescent="0.25">
      <c r="A367" s="18" t="str">
        <f t="shared" si="7"/>
        <v/>
      </c>
      <c r="B367" s="25"/>
      <c r="C367" s="25"/>
      <c r="D367" s="25"/>
      <c r="E367" s="25" t="str">
        <f>IFERROR(IF(ISBLANK(D367),"",INDEX(Gen_Vessels!$A$3:$C$500,MATCH(D367,Gen_Vessels!$C$3:$C$500,0),1)),"")</f>
        <v/>
      </c>
      <c r="F367" s="25"/>
      <c r="G367" s="25"/>
      <c r="H367" s="25" t="str">
        <f>IFERROR(IF(ISBLANK(G367),"",INDEX(Gen_Vessels!$A$3:$C$500,MATCH(G367,Gen_Vessels!$C$3:$C$500,0),1)),"")</f>
        <v/>
      </c>
      <c r="I367" s="25"/>
      <c r="J367" s="25"/>
      <c r="K367" s="25"/>
      <c r="M367" s="25"/>
      <c r="O367" s="25"/>
      <c r="Q367" s="25"/>
      <c r="R367" s="25"/>
      <c r="S367" s="25"/>
      <c r="T367" s="25"/>
      <c r="U367" s="25"/>
      <c r="V367" s="25"/>
      <c r="W367" s="25"/>
      <c r="X367" s="25"/>
    </row>
    <row r="368" spans="1:24" x14ac:dyDescent="0.25">
      <c r="A368" s="18" t="str">
        <f t="shared" si="7"/>
        <v/>
      </c>
      <c r="B368" s="25"/>
      <c r="C368" s="25"/>
      <c r="D368" s="25"/>
      <c r="E368" s="25" t="str">
        <f>IFERROR(IF(ISBLANK(D368),"",INDEX(Gen_Vessels!$A$3:$C$500,MATCH(D368,Gen_Vessels!$C$3:$C$500,0),1)),"")</f>
        <v/>
      </c>
      <c r="F368" s="25"/>
      <c r="G368" s="25"/>
      <c r="H368" s="25" t="str">
        <f>IFERROR(IF(ISBLANK(G368),"",INDEX(Gen_Vessels!$A$3:$C$500,MATCH(G368,Gen_Vessels!$C$3:$C$500,0),1)),"")</f>
        <v/>
      </c>
      <c r="I368" s="25"/>
      <c r="J368" s="25"/>
      <c r="K368" s="25"/>
      <c r="M368" s="25"/>
      <c r="O368" s="25"/>
      <c r="Q368" s="25"/>
      <c r="R368" s="25"/>
      <c r="S368" s="25"/>
      <c r="T368" s="25"/>
      <c r="U368" s="25"/>
      <c r="V368" s="25"/>
      <c r="W368" s="25"/>
      <c r="X368" s="25"/>
    </row>
    <row r="369" spans="1:24" x14ac:dyDescent="0.25">
      <c r="A369" s="18" t="str">
        <f t="shared" si="7"/>
        <v/>
      </c>
      <c r="B369" s="25"/>
      <c r="C369" s="25"/>
      <c r="D369" s="25"/>
      <c r="E369" s="25" t="str">
        <f>IFERROR(IF(ISBLANK(D369),"",INDEX(Gen_Vessels!$A$3:$C$500,MATCH(D369,Gen_Vessels!$C$3:$C$500,0),1)),"")</f>
        <v/>
      </c>
      <c r="F369" s="25"/>
      <c r="G369" s="25"/>
      <c r="H369" s="25" t="str">
        <f>IFERROR(IF(ISBLANK(G369),"",INDEX(Gen_Vessels!$A$3:$C$500,MATCH(G369,Gen_Vessels!$C$3:$C$500,0),1)),"")</f>
        <v/>
      </c>
      <c r="I369" s="25"/>
      <c r="J369" s="25"/>
      <c r="K369" s="25"/>
      <c r="M369" s="25"/>
      <c r="O369" s="25"/>
      <c r="Q369" s="25"/>
      <c r="R369" s="25"/>
      <c r="S369" s="25"/>
      <c r="T369" s="25"/>
      <c r="U369" s="25"/>
      <c r="V369" s="25"/>
      <c r="W369" s="25"/>
      <c r="X369" s="25"/>
    </row>
    <row r="370" spans="1:24" x14ac:dyDescent="0.25">
      <c r="A370" s="18" t="str">
        <f t="shared" si="7"/>
        <v/>
      </c>
      <c r="B370" s="25"/>
      <c r="C370" s="25"/>
      <c r="D370" s="25"/>
      <c r="E370" s="25" t="str">
        <f>IFERROR(IF(ISBLANK(D370),"",INDEX(Gen_Vessels!$A$3:$C$500,MATCH(D370,Gen_Vessels!$C$3:$C$500,0),1)),"")</f>
        <v/>
      </c>
      <c r="F370" s="25"/>
      <c r="G370" s="25"/>
      <c r="H370" s="25" t="str">
        <f>IFERROR(IF(ISBLANK(G370),"",INDEX(Gen_Vessels!$A$3:$C$500,MATCH(G370,Gen_Vessels!$C$3:$C$500,0),1)),"")</f>
        <v/>
      </c>
      <c r="I370" s="25"/>
      <c r="J370" s="25"/>
      <c r="K370" s="25"/>
      <c r="M370" s="25"/>
      <c r="O370" s="25"/>
      <c r="Q370" s="25"/>
      <c r="R370" s="25"/>
      <c r="S370" s="25"/>
      <c r="T370" s="25"/>
      <c r="U370" s="25"/>
      <c r="V370" s="25"/>
      <c r="W370" s="25"/>
      <c r="X370" s="25"/>
    </row>
    <row r="371" spans="1:24" x14ac:dyDescent="0.25">
      <c r="A371" s="18" t="str">
        <f t="shared" si="7"/>
        <v/>
      </c>
      <c r="B371" s="25"/>
      <c r="C371" s="25"/>
      <c r="D371" s="25"/>
      <c r="E371" s="25" t="str">
        <f>IFERROR(IF(ISBLANK(D371),"",INDEX(Gen_Vessels!$A$3:$C$500,MATCH(D371,Gen_Vessels!$C$3:$C$500,0),1)),"")</f>
        <v/>
      </c>
      <c r="F371" s="25"/>
      <c r="G371" s="25"/>
      <c r="H371" s="25" t="str">
        <f>IFERROR(IF(ISBLANK(G371),"",INDEX(Gen_Vessels!$A$3:$C$500,MATCH(G371,Gen_Vessels!$C$3:$C$500,0),1)),"")</f>
        <v/>
      </c>
      <c r="I371" s="25"/>
      <c r="J371" s="25"/>
      <c r="K371" s="25"/>
      <c r="M371" s="25"/>
      <c r="O371" s="25"/>
      <c r="Q371" s="25"/>
      <c r="R371" s="25"/>
      <c r="S371" s="25"/>
      <c r="T371" s="25"/>
      <c r="U371" s="25"/>
      <c r="V371" s="25"/>
      <c r="W371" s="25"/>
      <c r="X371" s="25"/>
    </row>
    <row r="372" spans="1:24" x14ac:dyDescent="0.25">
      <c r="A372" s="18" t="str">
        <f t="shared" si="7"/>
        <v/>
      </c>
      <c r="B372" s="25"/>
      <c r="C372" s="25"/>
      <c r="D372" s="25"/>
      <c r="E372" s="25" t="str">
        <f>IFERROR(IF(ISBLANK(D372),"",INDEX(Gen_Vessels!$A$3:$C$500,MATCH(D372,Gen_Vessels!$C$3:$C$500,0),1)),"")</f>
        <v/>
      </c>
      <c r="F372" s="25"/>
      <c r="G372" s="25"/>
      <c r="H372" s="25" t="str">
        <f>IFERROR(IF(ISBLANK(G372),"",INDEX(Gen_Vessels!$A$3:$C$500,MATCH(G372,Gen_Vessels!$C$3:$C$500,0),1)),"")</f>
        <v/>
      </c>
      <c r="I372" s="25"/>
      <c r="J372" s="25"/>
      <c r="K372" s="25"/>
      <c r="M372" s="25"/>
      <c r="O372" s="25"/>
      <c r="Q372" s="25"/>
      <c r="R372" s="25"/>
      <c r="S372" s="25"/>
      <c r="T372" s="25"/>
      <c r="U372" s="25"/>
      <c r="V372" s="25"/>
      <c r="W372" s="25"/>
      <c r="X372" s="25"/>
    </row>
    <row r="373" spans="1:24" x14ac:dyDescent="0.25">
      <c r="A373" s="18" t="str">
        <f t="shared" si="7"/>
        <v/>
      </c>
      <c r="B373" s="25"/>
      <c r="C373" s="25"/>
      <c r="D373" s="25"/>
      <c r="E373" s="25" t="str">
        <f>IFERROR(IF(ISBLANK(D373),"",INDEX(Gen_Vessels!$A$3:$C$500,MATCH(D373,Gen_Vessels!$C$3:$C$500,0),1)),"")</f>
        <v/>
      </c>
      <c r="F373" s="25"/>
      <c r="G373" s="25"/>
      <c r="H373" s="25" t="str">
        <f>IFERROR(IF(ISBLANK(G373),"",INDEX(Gen_Vessels!$A$3:$C$500,MATCH(G373,Gen_Vessels!$C$3:$C$500,0),1)),"")</f>
        <v/>
      </c>
      <c r="I373" s="25"/>
      <c r="J373" s="25"/>
      <c r="K373" s="25"/>
      <c r="M373" s="25"/>
      <c r="O373" s="25"/>
      <c r="Q373" s="25"/>
      <c r="R373" s="25"/>
      <c r="S373" s="25"/>
      <c r="T373" s="25"/>
      <c r="U373" s="25"/>
      <c r="V373" s="25"/>
      <c r="W373" s="25"/>
      <c r="X373" s="25"/>
    </row>
    <row r="374" spans="1:24" x14ac:dyDescent="0.25">
      <c r="A374" s="18" t="str">
        <f t="shared" si="7"/>
        <v/>
      </c>
      <c r="B374" s="25"/>
      <c r="C374" s="25"/>
      <c r="D374" s="25"/>
      <c r="E374" s="25" t="str">
        <f>IFERROR(IF(ISBLANK(D374),"",INDEX(Gen_Vessels!$A$3:$C$500,MATCH(D374,Gen_Vessels!$C$3:$C$500,0),1)),"")</f>
        <v/>
      </c>
      <c r="F374" s="25"/>
      <c r="G374" s="25"/>
      <c r="H374" s="25" t="str">
        <f>IFERROR(IF(ISBLANK(G374),"",INDEX(Gen_Vessels!$A$3:$C$500,MATCH(G374,Gen_Vessels!$C$3:$C$500,0),1)),"")</f>
        <v/>
      </c>
      <c r="I374" s="25"/>
      <c r="J374" s="25"/>
      <c r="K374" s="25"/>
      <c r="M374" s="25"/>
      <c r="O374" s="25"/>
      <c r="Q374" s="25"/>
      <c r="R374" s="25"/>
      <c r="S374" s="25"/>
      <c r="T374" s="25"/>
      <c r="U374" s="25"/>
      <c r="V374" s="25"/>
      <c r="W374" s="25"/>
      <c r="X374" s="25"/>
    </row>
    <row r="375" spans="1:24" x14ac:dyDescent="0.25">
      <c r="A375" s="18" t="str">
        <f t="shared" si="7"/>
        <v/>
      </c>
      <c r="B375" s="25"/>
      <c r="C375" s="25"/>
      <c r="D375" s="25"/>
      <c r="E375" s="25" t="str">
        <f>IFERROR(IF(ISBLANK(D375),"",INDEX(Gen_Vessels!$A$3:$C$500,MATCH(D375,Gen_Vessels!$C$3:$C$500,0),1)),"")</f>
        <v/>
      </c>
      <c r="F375" s="25"/>
      <c r="G375" s="25"/>
      <c r="H375" s="25" t="str">
        <f>IFERROR(IF(ISBLANK(G375),"",INDEX(Gen_Vessels!$A$3:$C$500,MATCH(G375,Gen_Vessels!$C$3:$C$500,0),1)),"")</f>
        <v/>
      </c>
      <c r="I375" s="25"/>
      <c r="J375" s="25"/>
      <c r="K375" s="25"/>
      <c r="M375" s="25"/>
      <c r="O375" s="25"/>
      <c r="Q375" s="25"/>
      <c r="R375" s="25"/>
      <c r="S375" s="25"/>
      <c r="T375" s="25"/>
      <c r="U375" s="25"/>
      <c r="V375" s="25"/>
      <c r="W375" s="25"/>
      <c r="X375" s="25"/>
    </row>
    <row r="376" spans="1:24" x14ac:dyDescent="0.25">
      <c r="A376" s="18" t="str">
        <f t="shared" si="7"/>
        <v/>
      </c>
      <c r="B376" s="25"/>
      <c r="C376" s="25"/>
      <c r="D376" s="25"/>
      <c r="E376" s="25" t="str">
        <f>IFERROR(IF(ISBLANK(D376),"",INDEX(Gen_Vessels!$A$3:$C$500,MATCH(D376,Gen_Vessels!$C$3:$C$500,0),1)),"")</f>
        <v/>
      </c>
      <c r="F376" s="25"/>
      <c r="G376" s="25"/>
      <c r="H376" s="25" t="str">
        <f>IFERROR(IF(ISBLANK(G376),"",INDEX(Gen_Vessels!$A$3:$C$500,MATCH(G376,Gen_Vessels!$C$3:$C$500,0),1)),"")</f>
        <v/>
      </c>
      <c r="I376" s="25"/>
      <c r="J376" s="25"/>
      <c r="K376" s="25"/>
      <c r="M376" s="25"/>
      <c r="O376" s="25"/>
      <c r="Q376" s="25"/>
      <c r="R376" s="25"/>
      <c r="S376" s="25"/>
      <c r="T376" s="25"/>
      <c r="U376" s="25"/>
      <c r="V376" s="25"/>
      <c r="W376" s="25"/>
      <c r="X376" s="25"/>
    </row>
    <row r="377" spans="1:24" x14ac:dyDescent="0.25">
      <c r="A377" s="18" t="str">
        <f t="shared" si="7"/>
        <v/>
      </c>
      <c r="B377" s="25"/>
      <c r="C377" s="25"/>
      <c r="D377" s="25"/>
      <c r="E377" s="25" t="str">
        <f>IFERROR(IF(ISBLANK(D377),"",INDEX(Gen_Vessels!$A$3:$C$500,MATCH(D377,Gen_Vessels!$C$3:$C$500,0),1)),"")</f>
        <v/>
      </c>
      <c r="F377" s="25"/>
      <c r="G377" s="25"/>
      <c r="H377" s="25" t="str">
        <f>IFERROR(IF(ISBLANK(G377),"",INDEX(Gen_Vessels!$A$3:$C$500,MATCH(G377,Gen_Vessels!$C$3:$C$500,0),1)),"")</f>
        <v/>
      </c>
      <c r="I377" s="25"/>
      <c r="J377" s="25"/>
      <c r="K377" s="25"/>
      <c r="M377" s="25"/>
      <c r="O377" s="25"/>
      <c r="Q377" s="25"/>
      <c r="R377" s="25"/>
      <c r="S377" s="25"/>
      <c r="T377" s="25"/>
      <c r="U377" s="25"/>
      <c r="V377" s="25"/>
      <c r="W377" s="25"/>
      <c r="X377" s="25"/>
    </row>
    <row r="378" spans="1:24" x14ac:dyDescent="0.25">
      <c r="A378" s="18" t="str">
        <f t="shared" si="7"/>
        <v/>
      </c>
      <c r="B378" s="25"/>
      <c r="C378" s="25"/>
      <c r="D378" s="25"/>
      <c r="E378" s="25" t="str">
        <f>IFERROR(IF(ISBLANK(D378),"",INDEX(Gen_Vessels!$A$3:$C$500,MATCH(D378,Gen_Vessels!$C$3:$C$500,0),1)),"")</f>
        <v/>
      </c>
      <c r="F378" s="25"/>
      <c r="G378" s="25"/>
      <c r="H378" s="25" t="str">
        <f>IFERROR(IF(ISBLANK(G378),"",INDEX(Gen_Vessels!$A$3:$C$500,MATCH(G378,Gen_Vessels!$C$3:$C$500,0),1)),"")</f>
        <v/>
      </c>
      <c r="I378" s="25"/>
      <c r="J378" s="25"/>
      <c r="K378" s="25"/>
      <c r="M378" s="25"/>
      <c r="O378" s="25"/>
      <c r="Q378" s="25"/>
      <c r="R378" s="25"/>
      <c r="S378" s="25"/>
      <c r="T378" s="25"/>
      <c r="U378" s="25"/>
      <c r="V378" s="25"/>
      <c r="W378" s="25"/>
      <c r="X378" s="25"/>
    </row>
    <row r="379" spans="1:24" x14ac:dyDescent="0.25">
      <c r="A379" s="18" t="str">
        <f t="shared" si="7"/>
        <v/>
      </c>
      <c r="B379" s="25"/>
      <c r="C379" s="25"/>
      <c r="D379" s="25"/>
      <c r="E379" s="25" t="str">
        <f>IFERROR(IF(ISBLANK(D379),"",INDEX(Gen_Vessels!$A$3:$C$500,MATCH(D379,Gen_Vessels!$C$3:$C$500,0),1)),"")</f>
        <v/>
      </c>
      <c r="F379" s="25"/>
      <c r="G379" s="25"/>
      <c r="H379" s="25" t="str">
        <f>IFERROR(IF(ISBLANK(G379),"",INDEX(Gen_Vessels!$A$3:$C$500,MATCH(G379,Gen_Vessels!$C$3:$C$500,0),1)),"")</f>
        <v/>
      </c>
      <c r="I379" s="25"/>
      <c r="J379" s="25"/>
      <c r="K379" s="25"/>
      <c r="M379" s="25"/>
      <c r="O379" s="25"/>
      <c r="Q379" s="25"/>
      <c r="R379" s="25"/>
      <c r="S379" s="25"/>
      <c r="T379" s="25"/>
      <c r="U379" s="25"/>
      <c r="V379" s="25"/>
      <c r="W379" s="25"/>
      <c r="X379" s="25"/>
    </row>
    <row r="380" spans="1:24" x14ac:dyDescent="0.25">
      <c r="A380" s="18" t="str">
        <f t="shared" si="7"/>
        <v/>
      </c>
      <c r="B380" s="25"/>
      <c r="C380" s="25"/>
      <c r="D380" s="25"/>
      <c r="E380" s="25" t="str">
        <f>IFERROR(IF(ISBLANK(D380),"",INDEX(Gen_Vessels!$A$3:$C$500,MATCH(D380,Gen_Vessels!$C$3:$C$500,0),1)),"")</f>
        <v/>
      </c>
      <c r="F380" s="25"/>
      <c r="G380" s="25"/>
      <c r="H380" s="25" t="str">
        <f>IFERROR(IF(ISBLANK(G380),"",INDEX(Gen_Vessels!$A$3:$C$500,MATCH(G380,Gen_Vessels!$C$3:$C$500,0),1)),"")</f>
        <v/>
      </c>
      <c r="I380" s="25"/>
      <c r="J380" s="25"/>
      <c r="K380" s="25"/>
      <c r="M380" s="25"/>
      <c r="O380" s="25"/>
      <c r="Q380" s="25"/>
      <c r="R380" s="25"/>
      <c r="S380" s="25"/>
      <c r="T380" s="25"/>
      <c r="U380" s="25"/>
      <c r="V380" s="25"/>
      <c r="W380" s="25"/>
      <c r="X380" s="25"/>
    </row>
    <row r="381" spans="1:24" x14ac:dyDescent="0.25">
      <c r="A381" s="18" t="str">
        <f t="shared" si="7"/>
        <v/>
      </c>
      <c r="B381" s="25"/>
      <c r="C381" s="25"/>
      <c r="D381" s="25"/>
      <c r="E381" s="25" t="str">
        <f>IFERROR(IF(ISBLANK(D381),"",INDEX(Gen_Vessels!$A$3:$C$500,MATCH(D381,Gen_Vessels!$C$3:$C$500,0),1)),"")</f>
        <v/>
      </c>
      <c r="F381" s="25"/>
      <c r="G381" s="25"/>
      <c r="H381" s="25" t="str">
        <f>IFERROR(IF(ISBLANK(G381),"",INDEX(Gen_Vessels!$A$3:$C$500,MATCH(G381,Gen_Vessels!$C$3:$C$500,0),1)),"")</f>
        <v/>
      </c>
      <c r="I381" s="25"/>
      <c r="J381" s="25"/>
      <c r="K381" s="25"/>
      <c r="M381" s="25"/>
      <c r="O381" s="25"/>
      <c r="Q381" s="25"/>
      <c r="R381" s="25"/>
      <c r="S381" s="25"/>
      <c r="T381" s="25"/>
      <c r="U381" s="25"/>
      <c r="V381" s="25"/>
      <c r="W381" s="25"/>
      <c r="X381" s="25"/>
    </row>
    <row r="382" spans="1:24" x14ac:dyDescent="0.25">
      <c r="A382" s="18" t="str">
        <f t="shared" si="7"/>
        <v/>
      </c>
      <c r="B382" s="25"/>
      <c r="C382" s="25"/>
      <c r="D382" s="25"/>
      <c r="E382" s="25" t="str">
        <f>IFERROR(IF(ISBLANK(D382),"",INDEX(Gen_Vessels!$A$3:$C$500,MATCH(D382,Gen_Vessels!$C$3:$C$500,0),1)),"")</f>
        <v/>
      </c>
      <c r="F382" s="25"/>
      <c r="G382" s="25"/>
      <c r="H382" s="25" t="str">
        <f>IFERROR(IF(ISBLANK(G382),"",INDEX(Gen_Vessels!$A$3:$C$500,MATCH(G382,Gen_Vessels!$C$3:$C$500,0),1)),"")</f>
        <v/>
      </c>
      <c r="I382" s="25"/>
      <c r="J382" s="25"/>
      <c r="K382" s="25"/>
      <c r="M382" s="25"/>
      <c r="O382" s="25"/>
      <c r="Q382" s="25"/>
      <c r="R382" s="25"/>
      <c r="S382" s="25"/>
      <c r="T382" s="25"/>
      <c r="U382" s="25"/>
      <c r="V382" s="25"/>
      <c r="W382" s="25"/>
      <c r="X382" s="25"/>
    </row>
    <row r="383" spans="1:24" x14ac:dyDescent="0.25">
      <c r="A383" s="18" t="str">
        <f t="shared" si="7"/>
        <v/>
      </c>
      <c r="B383" s="25"/>
      <c r="C383" s="25"/>
      <c r="D383" s="25"/>
      <c r="E383" s="25" t="str">
        <f>IFERROR(IF(ISBLANK(D383),"",INDEX(Gen_Vessels!$A$3:$C$500,MATCH(D383,Gen_Vessels!$C$3:$C$500,0),1)),"")</f>
        <v/>
      </c>
      <c r="F383" s="25"/>
      <c r="G383" s="25"/>
      <c r="H383" s="25" t="str">
        <f>IFERROR(IF(ISBLANK(G383),"",INDEX(Gen_Vessels!$A$3:$C$500,MATCH(G383,Gen_Vessels!$C$3:$C$500,0),1)),"")</f>
        <v/>
      </c>
      <c r="I383" s="25"/>
      <c r="J383" s="25"/>
      <c r="K383" s="25"/>
      <c r="M383" s="25"/>
      <c r="O383" s="25"/>
      <c r="Q383" s="25"/>
      <c r="R383" s="25"/>
      <c r="S383" s="25"/>
      <c r="T383" s="25"/>
      <c r="U383" s="25"/>
      <c r="V383" s="25"/>
      <c r="W383" s="25"/>
      <c r="X383" s="25"/>
    </row>
    <row r="384" spans="1:24" x14ac:dyDescent="0.25">
      <c r="A384" s="18" t="str">
        <f t="shared" si="7"/>
        <v/>
      </c>
      <c r="B384" s="25"/>
      <c r="C384" s="25"/>
      <c r="D384" s="25"/>
      <c r="E384" s="25" t="str">
        <f>IFERROR(IF(ISBLANK(D384),"",INDEX(Gen_Vessels!$A$3:$C$500,MATCH(D384,Gen_Vessels!$C$3:$C$500,0),1)),"")</f>
        <v/>
      </c>
      <c r="F384" s="25"/>
      <c r="G384" s="25"/>
      <c r="H384" s="25" t="str">
        <f>IFERROR(IF(ISBLANK(G384),"",INDEX(Gen_Vessels!$A$3:$C$500,MATCH(G384,Gen_Vessels!$C$3:$C$500,0),1)),"")</f>
        <v/>
      </c>
      <c r="I384" s="25"/>
      <c r="J384" s="25"/>
      <c r="K384" s="25"/>
      <c r="M384" s="25"/>
      <c r="O384" s="25"/>
      <c r="Q384" s="25"/>
      <c r="R384" s="25"/>
      <c r="S384" s="25"/>
      <c r="T384" s="25"/>
      <c r="U384" s="25"/>
      <c r="V384" s="25"/>
      <c r="W384" s="25"/>
      <c r="X384" s="25"/>
    </row>
    <row r="385" spans="1:24" x14ac:dyDescent="0.25">
      <c r="A385" s="18" t="str">
        <f t="shared" si="7"/>
        <v/>
      </c>
      <c r="B385" s="25"/>
      <c r="C385" s="25"/>
      <c r="D385" s="25"/>
      <c r="E385" s="25" t="str">
        <f>IFERROR(IF(ISBLANK(D385),"",INDEX(Gen_Vessels!$A$3:$C$500,MATCH(D385,Gen_Vessels!$C$3:$C$500,0),1)),"")</f>
        <v/>
      </c>
      <c r="F385" s="25"/>
      <c r="G385" s="25"/>
      <c r="H385" s="25" t="str">
        <f>IFERROR(IF(ISBLANK(G385),"",INDEX(Gen_Vessels!$A$3:$C$500,MATCH(G385,Gen_Vessels!$C$3:$C$500,0),1)),"")</f>
        <v/>
      </c>
      <c r="I385" s="25"/>
      <c r="J385" s="25"/>
      <c r="K385" s="25"/>
      <c r="M385" s="25"/>
      <c r="O385" s="25"/>
      <c r="Q385" s="25"/>
      <c r="R385" s="25"/>
      <c r="S385" s="25"/>
      <c r="T385" s="25"/>
      <c r="U385" s="25"/>
      <c r="V385" s="25"/>
      <c r="W385" s="25"/>
      <c r="X385" s="25"/>
    </row>
    <row r="386" spans="1:24" x14ac:dyDescent="0.25">
      <c r="A386" s="18" t="str">
        <f t="shared" si="7"/>
        <v/>
      </c>
      <c r="B386" s="25"/>
      <c r="C386" s="25"/>
      <c r="D386" s="25"/>
      <c r="E386" s="25" t="str">
        <f>IFERROR(IF(ISBLANK(D386),"",INDEX(Gen_Vessels!$A$3:$C$500,MATCH(D386,Gen_Vessels!$C$3:$C$500,0),1)),"")</f>
        <v/>
      </c>
      <c r="F386" s="25"/>
      <c r="G386" s="25"/>
      <c r="H386" s="25" t="str">
        <f>IFERROR(IF(ISBLANK(G386),"",INDEX(Gen_Vessels!$A$3:$C$500,MATCH(G386,Gen_Vessels!$C$3:$C$500,0),1)),"")</f>
        <v/>
      </c>
      <c r="I386" s="25"/>
      <c r="J386" s="25"/>
      <c r="K386" s="25"/>
      <c r="M386" s="25"/>
      <c r="O386" s="25"/>
      <c r="Q386" s="25"/>
      <c r="R386" s="25"/>
      <c r="S386" s="25"/>
      <c r="T386" s="25"/>
      <c r="U386" s="25"/>
      <c r="V386" s="25"/>
      <c r="W386" s="25"/>
      <c r="X386" s="25"/>
    </row>
    <row r="387" spans="1:24" x14ac:dyDescent="0.25">
      <c r="A387" s="18" t="str">
        <f t="shared" si="7"/>
        <v/>
      </c>
      <c r="B387" s="25"/>
      <c r="C387" s="25"/>
      <c r="D387" s="25"/>
      <c r="E387" s="25" t="str">
        <f>IFERROR(IF(ISBLANK(D387),"",INDEX(Gen_Vessels!$A$3:$C$500,MATCH(D387,Gen_Vessels!$C$3:$C$500,0),1)),"")</f>
        <v/>
      </c>
      <c r="F387" s="25"/>
      <c r="G387" s="25"/>
      <c r="H387" s="25" t="str">
        <f>IFERROR(IF(ISBLANK(G387),"",INDEX(Gen_Vessels!$A$3:$C$500,MATCH(G387,Gen_Vessels!$C$3:$C$500,0),1)),"")</f>
        <v/>
      </c>
      <c r="I387" s="25"/>
      <c r="J387" s="25"/>
      <c r="K387" s="25"/>
      <c r="M387" s="25"/>
      <c r="O387" s="25"/>
      <c r="Q387" s="25"/>
      <c r="R387" s="25"/>
      <c r="S387" s="25"/>
      <c r="T387" s="25"/>
      <c r="U387" s="25"/>
      <c r="V387" s="25"/>
      <c r="W387" s="25"/>
      <c r="X387" s="25"/>
    </row>
    <row r="388" spans="1:24" x14ac:dyDescent="0.25">
      <c r="A388" s="18" t="str">
        <f t="shared" ref="A388:A451" si="8">IF(ISBLANK($B388)=FALSE,_xlfn.CONCAT($B388,"_tow"),"")</f>
        <v/>
      </c>
      <c r="B388" s="25"/>
      <c r="C388" s="25"/>
      <c r="D388" s="25"/>
      <c r="E388" s="25" t="str">
        <f>IFERROR(IF(ISBLANK(D388),"",INDEX(Gen_Vessels!$A$3:$C$500,MATCH(D388,Gen_Vessels!$C$3:$C$500,0),1)),"")</f>
        <v/>
      </c>
      <c r="F388" s="25"/>
      <c r="G388" s="25"/>
      <c r="H388" s="25" t="str">
        <f>IFERROR(IF(ISBLANK(G388),"",INDEX(Gen_Vessels!$A$3:$C$500,MATCH(G388,Gen_Vessels!$C$3:$C$500,0),1)),"")</f>
        <v/>
      </c>
      <c r="I388" s="25"/>
      <c r="J388" s="25"/>
      <c r="K388" s="25"/>
      <c r="M388" s="25"/>
      <c r="O388" s="25"/>
      <c r="Q388" s="25"/>
      <c r="R388" s="25"/>
      <c r="S388" s="25"/>
      <c r="T388" s="25"/>
      <c r="U388" s="25"/>
      <c r="V388" s="25"/>
      <c r="W388" s="25"/>
      <c r="X388" s="25"/>
    </row>
    <row r="389" spans="1:24" x14ac:dyDescent="0.25">
      <c r="A389" s="18" t="str">
        <f t="shared" si="8"/>
        <v/>
      </c>
      <c r="B389" s="25"/>
      <c r="C389" s="25"/>
      <c r="D389" s="25"/>
      <c r="E389" s="25" t="str">
        <f>IFERROR(IF(ISBLANK(D389),"",INDEX(Gen_Vessels!$A$3:$C$500,MATCH(D389,Gen_Vessels!$C$3:$C$500,0),1)),"")</f>
        <v/>
      </c>
      <c r="F389" s="25"/>
      <c r="G389" s="25"/>
      <c r="H389" s="25" t="str">
        <f>IFERROR(IF(ISBLANK(G389),"",INDEX(Gen_Vessels!$A$3:$C$500,MATCH(G389,Gen_Vessels!$C$3:$C$500,0),1)),"")</f>
        <v/>
      </c>
      <c r="I389" s="25"/>
      <c r="J389" s="25"/>
      <c r="K389" s="25"/>
      <c r="M389" s="25"/>
      <c r="O389" s="25"/>
      <c r="Q389" s="25"/>
      <c r="R389" s="25"/>
      <c r="S389" s="25"/>
      <c r="T389" s="25"/>
      <c r="U389" s="25"/>
      <c r="V389" s="25"/>
      <c r="W389" s="25"/>
      <c r="X389" s="25"/>
    </row>
    <row r="390" spans="1:24" x14ac:dyDescent="0.25">
      <c r="A390" s="18" t="str">
        <f t="shared" si="8"/>
        <v/>
      </c>
      <c r="B390" s="25"/>
      <c r="C390" s="25"/>
      <c r="D390" s="25"/>
      <c r="E390" s="25" t="str">
        <f>IFERROR(IF(ISBLANK(D390),"",INDEX(Gen_Vessels!$A$3:$C$500,MATCH(D390,Gen_Vessels!$C$3:$C$500,0),1)),"")</f>
        <v/>
      </c>
      <c r="F390" s="25"/>
      <c r="G390" s="25"/>
      <c r="H390" s="25" t="str">
        <f>IFERROR(IF(ISBLANK(G390),"",INDEX(Gen_Vessels!$A$3:$C$500,MATCH(G390,Gen_Vessels!$C$3:$C$500,0),1)),"")</f>
        <v/>
      </c>
      <c r="I390" s="25"/>
      <c r="J390" s="25"/>
      <c r="K390" s="25"/>
      <c r="M390" s="25"/>
      <c r="O390" s="25"/>
      <c r="Q390" s="25"/>
      <c r="R390" s="25"/>
      <c r="S390" s="25"/>
      <c r="T390" s="25"/>
      <c r="U390" s="25"/>
      <c r="V390" s="25"/>
      <c r="W390" s="25"/>
      <c r="X390" s="25"/>
    </row>
    <row r="391" spans="1:24" x14ac:dyDescent="0.25">
      <c r="A391" s="18" t="str">
        <f t="shared" si="8"/>
        <v/>
      </c>
      <c r="B391" s="25"/>
      <c r="C391" s="25"/>
      <c r="D391" s="25"/>
      <c r="E391" s="25" t="str">
        <f>IFERROR(IF(ISBLANK(D391),"",INDEX(Gen_Vessels!$A$3:$C$500,MATCH(D391,Gen_Vessels!$C$3:$C$500,0),1)),"")</f>
        <v/>
      </c>
      <c r="F391" s="25"/>
      <c r="G391" s="25"/>
      <c r="H391" s="25" t="str">
        <f>IFERROR(IF(ISBLANK(G391),"",INDEX(Gen_Vessels!$A$3:$C$500,MATCH(G391,Gen_Vessels!$C$3:$C$500,0),1)),"")</f>
        <v/>
      </c>
      <c r="I391" s="25"/>
      <c r="J391" s="25"/>
      <c r="K391" s="25"/>
      <c r="M391" s="25"/>
      <c r="O391" s="25"/>
      <c r="Q391" s="25"/>
      <c r="R391" s="25"/>
      <c r="S391" s="25"/>
      <c r="T391" s="25"/>
      <c r="U391" s="25"/>
      <c r="V391" s="25"/>
      <c r="W391" s="25"/>
      <c r="X391" s="25"/>
    </row>
    <row r="392" spans="1:24" x14ac:dyDescent="0.25">
      <c r="A392" s="18" t="str">
        <f t="shared" si="8"/>
        <v/>
      </c>
      <c r="B392" s="25"/>
      <c r="C392" s="25"/>
      <c r="D392" s="25"/>
      <c r="E392" s="25" t="str">
        <f>IFERROR(IF(ISBLANK(D392),"",INDEX(Gen_Vessels!$A$3:$C$500,MATCH(D392,Gen_Vessels!$C$3:$C$500,0),1)),"")</f>
        <v/>
      </c>
      <c r="F392" s="25"/>
      <c r="G392" s="25"/>
      <c r="H392" s="25" t="str">
        <f>IFERROR(IF(ISBLANK(G392),"",INDEX(Gen_Vessels!$A$3:$C$500,MATCH(G392,Gen_Vessels!$C$3:$C$500,0),1)),"")</f>
        <v/>
      </c>
      <c r="I392" s="25"/>
      <c r="J392" s="25"/>
      <c r="K392" s="25"/>
      <c r="M392" s="25"/>
      <c r="O392" s="25"/>
      <c r="Q392" s="25"/>
      <c r="R392" s="25"/>
      <c r="S392" s="25"/>
      <c r="T392" s="25"/>
      <c r="U392" s="25"/>
      <c r="V392" s="25"/>
      <c r="W392" s="25"/>
      <c r="X392" s="25"/>
    </row>
    <row r="393" spans="1:24" x14ac:dyDescent="0.25">
      <c r="A393" s="18" t="str">
        <f t="shared" si="8"/>
        <v/>
      </c>
      <c r="B393" s="25"/>
      <c r="C393" s="25"/>
      <c r="D393" s="25"/>
      <c r="E393" s="25" t="str">
        <f>IFERROR(IF(ISBLANK(D393),"",INDEX(Gen_Vessels!$A$3:$C$500,MATCH(D393,Gen_Vessels!$C$3:$C$500,0),1)),"")</f>
        <v/>
      </c>
      <c r="F393" s="25"/>
      <c r="G393" s="25"/>
      <c r="H393" s="25" t="str">
        <f>IFERROR(IF(ISBLANK(G393),"",INDEX(Gen_Vessels!$A$3:$C$500,MATCH(G393,Gen_Vessels!$C$3:$C$500,0),1)),"")</f>
        <v/>
      </c>
      <c r="I393" s="25"/>
      <c r="J393" s="25"/>
      <c r="K393" s="25"/>
      <c r="M393" s="25"/>
      <c r="O393" s="25"/>
      <c r="Q393" s="25"/>
      <c r="R393" s="25"/>
      <c r="S393" s="25"/>
      <c r="T393" s="25"/>
      <c r="U393" s="25"/>
      <c r="V393" s="25"/>
      <c r="W393" s="25"/>
      <c r="X393" s="25"/>
    </row>
    <row r="394" spans="1:24" x14ac:dyDescent="0.25">
      <c r="A394" s="18" t="str">
        <f t="shared" si="8"/>
        <v/>
      </c>
      <c r="B394" s="25"/>
      <c r="C394" s="25"/>
      <c r="D394" s="25"/>
      <c r="E394" s="25" t="str">
        <f>IFERROR(IF(ISBLANK(D394),"",INDEX(Gen_Vessels!$A$3:$C$500,MATCH(D394,Gen_Vessels!$C$3:$C$500,0),1)),"")</f>
        <v/>
      </c>
      <c r="F394" s="25"/>
      <c r="G394" s="25"/>
      <c r="H394" s="25" t="str">
        <f>IFERROR(IF(ISBLANK(G394),"",INDEX(Gen_Vessels!$A$3:$C$500,MATCH(G394,Gen_Vessels!$C$3:$C$500,0),1)),"")</f>
        <v/>
      </c>
      <c r="I394" s="25"/>
      <c r="J394" s="25"/>
      <c r="K394" s="25"/>
      <c r="M394" s="25"/>
      <c r="O394" s="25"/>
      <c r="Q394" s="25"/>
      <c r="R394" s="25"/>
      <c r="S394" s="25"/>
      <c r="T394" s="25"/>
      <c r="U394" s="25"/>
      <c r="V394" s="25"/>
      <c r="W394" s="25"/>
      <c r="X394" s="25"/>
    </row>
    <row r="395" spans="1:24" x14ac:dyDescent="0.25">
      <c r="A395" s="18" t="str">
        <f t="shared" si="8"/>
        <v/>
      </c>
      <c r="B395" s="25"/>
      <c r="C395" s="25"/>
      <c r="D395" s="25"/>
      <c r="E395" s="25" t="str">
        <f>IFERROR(IF(ISBLANK(D395),"",INDEX(Gen_Vessels!$A$3:$C$500,MATCH(D395,Gen_Vessels!$C$3:$C$500,0),1)),"")</f>
        <v/>
      </c>
      <c r="F395" s="25"/>
      <c r="G395" s="25"/>
      <c r="H395" s="25" t="str">
        <f>IFERROR(IF(ISBLANK(G395),"",INDEX(Gen_Vessels!$A$3:$C$500,MATCH(G395,Gen_Vessels!$C$3:$C$500,0),1)),"")</f>
        <v/>
      </c>
      <c r="I395" s="25"/>
      <c r="J395" s="25"/>
      <c r="K395" s="25"/>
      <c r="M395" s="25"/>
      <c r="O395" s="25"/>
      <c r="Q395" s="25"/>
      <c r="R395" s="25"/>
      <c r="S395" s="25"/>
      <c r="T395" s="25"/>
      <c r="U395" s="25"/>
      <c r="V395" s="25"/>
      <c r="W395" s="25"/>
      <c r="X395" s="25"/>
    </row>
    <row r="396" spans="1:24" x14ac:dyDescent="0.25">
      <c r="A396" s="18" t="str">
        <f t="shared" si="8"/>
        <v/>
      </c>
      <c r="B396" s="25"/>
      <c r="C396" s="25"/>
      <c r="D396" s="25"/>
      <c r="E396" s="25" t="str">
        <f>IFERROR(IF(ISBLANK(D396),"",INDEX(Gen_Vessels!$A$3:$C$500,MATCH(D396,Gen_Vessels!$C$3:$C$500,0),1)),"")</f>
        <v/>
      </c>
      <c r="F396" s="25"/>
      <c r="G396" s="25"/>
      <c r="H396" s="25" t="str">
        <f>IFERROR(IF(ISBLANK(G396),"",INDEX(Gen_Vessels!$A$3:$C$500,MATCH(G396,Gen_Vessels!$C$3:$C$500,0),1)),"")</f>
        <v/>
      </c>
      <c r="I396" s="25"/>
      <c r="J396" s="25"/>
      <c r="K396" s="25"/>
      <c r="M396" s="25"/>
      <c r="O396" s="25"/>
      <c r="Q396" s="25"/>
      <c r="R396" s="25"/>
      <c r="S396" s="25"/>
      <c r="T396" s="25"/>
      <c r="U396" s="25"/>
      <c r="V396" s="25"/>
      <c r="W396" s="25"/>
      <c r="X396" s="25"/>
    </row>
    <row r="397" spans="1:24" x14ac:dyDescent="0.25">
      <c r="A397" s="18" t="str">
        <f t="shared" si="8"/>
        <v/>
      </c>
      <c r="B397" s="25"/>
      <c r="C397" s="25"/>
      <c r="D397" s="25"/>
      <c r="E397" s="25" t="str">
        <f>IFERROR(IF(ISBLANK(D397),"",INDEX(Gen_Vessels!$A$3:$C$500,MATCH(D397,Gen_Vessels!$C$3:$C$500,0),1)),"")</f>
        <v/>
      </c>
      <c r="F397" s="25"/>
      <c r="G397" s="25"/>
      <c r="H397" s="25" t="str">
        <f>IFERROR(IF(ISBLANK(G397),"",INDEX(Gen_Vessels!$A$3:$C$500,MATCH(G397,Gen_Vessels!$C$3:$C$500,0),1)),"")</f>
        <v/>
      </c>
      <c r="I397" s="25"/>
      <c r="J397" s="25"/>
      <c r="K397" s="25"/>
      <c r="M397" s="25"/>
      <c r="O397" s="25"/>
      <c r="Q397" s="25"/>
      <c r="R397" s="25"/>
      <c r="S397" s="25"/>
      <c r="T397" s="25"/>
      <c r="U397" s="25"/>
      <c r="V397" s="25"/>
      <c r="W397" s="25"/>
      <c r="X397" s="25"/>
    </row>
    <row r="398" spans="1:24" x14ac:dyDescent="0.25">
      <c r="A398" s="18" t="str">
        <f t="shared" si="8"/>
        <v/>
      </c>
      <c r="B398" s="25"/>
      <c r="C398" s="25"/>
      <c r="D398" s="25"/>
      <c r="E398" s="25" t="str">
        <f>IFERROR(IF(ISBLANK(D398),"",INDEX(Gen_Vessels!$A$3:$C$500,MATCH(D398,Gen_Vessels!$C$3:$C$500,0),1)),"")</f>
        <v/>
      </c>
      <c r="F398" s="25"/>
      <c r="G398" s="25"/>
      <c r="H398" s="25" t="str">
        <f>IFERROR(IF(ISBLANK(G398),"",INDEX(Gen_Vessels!$A$3:$C$500,MATCH(G398,Gen_Vessels!$C$3:$C$500,0),1)),"")</f>
        <v/>
      </c>
      <c r="I398" s="25"/>
      <c r="J398" s="25"/>
      <c r="K398" s="25"/>
      <c r="M398" s="25"/>
      <c r="O398" s="25"/>
      <c r="Q398" s="25"/>
      <c r="R398" s="25"/>
      <c r="S398" s="25"/>
      <c r="T398" s="25"/>
      <c r="U398" s="25"/>
      <c r="V398" s="25"/>
      <c r="W398" s="25"/>
      <c r="X398" s="25"/>
    </row>
    <row r="399" spans="1:24" x14ac:dyDescent="0.25">
      <c r="A399" s="18" t="str">
        <f t="shared" si="8"/>
        <v/>
      </c>
      <c r="B399" s="25"/>
      <c r="C399" s="25"/>
      <c r="D399" s="25"/>
      <c r="E399" s="25" t="str">
        <f>IFERROR(IF(ISBLANK(D399),"",INDEX(Gen_Vessels!$A$3:$C$500,MATCH(D399,Gen_Vessels!$C$3:$C$500,0),1)),"")</f>
        <v/>
      </c>
      <c r="F399" s="25"/>
      <c r="G399" s="25"/>
      <c r="H399" s="25" t="str">
        <f>IFERROR(IF(ISBLANK(G399),"",INDEX(Gen_Vessels!$A$3:$C$500,MATCH(G399,Gen_Vessels!$C$3:$C$500,0),1)),"")</f>
        <v/>
      </c>
      <c r="I399" s="25"/>
      <c r="J399" s="25"/>
      <c r="K399" s="25"/>
      <c r="M399" s="25"/>
      <c r="O399" s="25"/>
      <c r="Q399" s="25"/>
      <c r="R399" s="25"/>
      <c r="S399" s="25"/>
      <c r="T399" s="25"/>
      <c r="U399" s="25"/>
      <c r="V399" s="25"/>
      <c r="W399" s="25"/>
      <c r="X399" s="25"/>
    </row>
    <row r="400" spans="1:24" x14ac:dyDescent="0.25">
      <c r="A400" s="18" t="str">
        <f t="shared" si="8"/>
        <v/>
      </c>
      <c r="B400" s="25"/>
      <c r="C400" s="25"/>
      <c r="D400" s="25"/>
      <c r="E400" s="25" t="str">
        <f>IFERROR(IF(ISBLANK(D400),"",INDEX(Gen_Vessels!$A$3:$C$500,MATCH(D400,Gen_Vessels!$C$3:$C$500,0),1)),"")</f>
        <v/>
      </c>
      <c r="F400" s="25"/>
      <c r="G400" s="25"/>
      <c r="H400" s="25" t="str">
        <f>IFERROR(IF(ISBLANK(G400),"",INDEX(Gen_Vessels!$A$3:$C$500,MATCH(G400,Gen_Vessels!$C$3:$C$500,0),1)),"")</f>
        <v/>
      </c>
      <c r="I400" s="25"/>
      <c r="J400" s="25"/>
      <c r="K400" s="25"/>
      <c r="M400" s="25"/>
      <c r="O400" s="25"/>
      <c r="Q400" s="25"/>
      <c r="R400" s="25"/>
      <c r="S400" s="25"/>
      <c r="T400" s="25"/>
      <c r="U400" s="25"/>
      <c r="V400" s="25"/>
      <c r="W400" s="25"/>
      <c r="X400" s="25"/>
    </row>
    <row r="401" spans="1:24" x14ac:dyDescent="0.25">
      <c r="A401" s="18" t="str">
        <f t="shared" si="8"/>
        <v/>
      </c>
      <c r="B401" s="25"/>
      <c r="C401" s="25"/>
      <c r="D401" s="25"/>
      <c r="E401" s="25" t="str">
        <f>IFERROR(IF(ISBLANK(D401),"",INDEX(Gen_Vessels!$A$3:$C$500,MATCH(D401,Gen_Vessels!$C$3:$C$500,0),1)),"")</f>
        <v/>
      </c>
      <c r="F401" s="25"/>
      <c r="G401" s="25"/>
      <c r="H401" s="25" t="str">
        <f>IFERROR(IF(ISBLANK(G401),"",INDEX(Gen_Vessels!$A$3:$C$500,MATCH(G401,Gen_Vessels!$C$3:$C$500,0),1)),"")</f>
        <v/>
      </c>
      <c r="I401" s="25"/>
      <c r="J401" s="25"/>
      <c r="K401" s="25"/>
      <c r="M401" s="25"/>
      <c r="O401" s="25"/>
      <c r="Q401" s="25"/>
      <c r="R401" s="25"/>
      <c r="S401" s="25"/>
      <c r="T401" s="25"/>
      <c r="U401" s="25"/>
      <c r="V401" s="25"/>
      <c r="W401" s="25"/>
      <c r="X401" s="25"/>
    </row>
    <row r="402" spans="1:24" x14ac:dyDescent="0.25">
      <c r="A402" s="18" t="str">
        <f t="shared" si="8"/>
        <v/>
      </c>
      <c r="B402" s="25"/>
      <c r="C402" s="25"/>
      <c r="D402" s="25"/>
      <c r="E402" s="25" t="str">
        <f>IFERROR(IF(ISBLANK(D402),"",INDEX(Gen_Vessels!$A$3:$C$500,MATCH(D402,Gen_Vessels!$C$3:$C$500,0),1)),"")</f>
        <v/>
      </c>
      <c r="F402" s="25"/>
      <c r="G402" s="25"/>
      <c r="H402" s="25" t="str">
        <f>IFERROR(IF(ISBLANK(G402),"",INDEX(Gen_Vessels!$A$3:$C$500,MATCH(G402,Gen_Vessels!$C$3:$C$500,0),1)),"")</f>
        <v/>
      </c>
      <c r="I402" s="25"/>
      <c r="J402" s="25"/>
      <c r="K402" s="25"/>
      <c r="M402" s="25"/>
      <c r="O402" s="25"/>
      <c r="Q402" s="25"/>
      <c r="R402" s="25"/>
      <c r="S402" s="25"/>
      <c r="T402" s="25"/>
      <c r="U402" s="25"/>
      <c r="V402" s="25"/>
      <c r="W402" s="25"/>
      <c r="X402" s="25"/>
    </row>
    <row r="403" spans="1:24" x14ac:dyDescent="0.25">
      <c r="A403" s="18" t="str">
        <f t="shared" si="8"/>
        <v/>
      </c>
      <c r="B403" s="25"/>
      <c r="C403" s="25"/>
      <c r="D403" s="25"/>
      <c r="E403" s="25" t="str">
        <f>IFERROR(IF(ISBLANK(D403),"",INDEX(Gen_Vessels!$A$3:$C$500,MATCH(D403,Gen_Vessels!$C$3:$C$500,0),1)),"")</f>
        <v/>
      </c>
      <c r="F403" s="25"/>
      <c r="G403" s="25"/>
      <c r="H403" s="25" t="str">
        <f>IFERROR(IF(ISBLANK(G403),"",INDEX(Gen_Vessels!$A$3:$C$500,MATCH(G403,Gen_Vessels!$C$3:$C$500,0),1)),"")</f>
        <v/>
      </c>
      <c r="I403" s="25"/>
      <c r="J403" s="25"/>
      <c r="K403" s="25"/>
      <c r="M403" s="25"/>
      <c r="O403" s="25"/>
      <c r="Q403" s="25"/>
      <c r="R403" s="25"/>
      <c r="S403" s="25"/>
      <c r="T403" s="25"/>
      <c r="U403" s="25"/>
      <c r="V403" s="25"/>
      <c r="W403" s="25"/>
      <c r="X403" s="25"/>
    </row>
    <row r="404" spans="1:24" x14ac:dyDescent="0.25">
      <c r="A404" s="18" t="str">
        <f t="shared" si="8"/>
        <v/>
      </c>
      <c r="B404" s="25"/>
      <c r="C404" s="25"/>
      <c r="D404" s="25"/>
      <c r="E404" s="25" t="str">
        <f>IFERROR(IF(ISBLANK(D404),"",INDEX(Gen_Vessels!$A$3:$C$500,MATCH(D404,Gen_Vessels!$C$3:$C$500,0),1)),"")</f>
        <v/>
      </c>
      <c r="F404" s="25"/>
      <c r="G404" s="25"/>
      <c r="H404" s="25" t="str">
        <f>IFERROR(IF(ISBLANK(G404),"",INDEX(Gen_Vessels!$A$3:$C$500,MATCH(G404,Gen_Vessels!$C$3:$C$500,0),1)),"")</f>
        <v/>
      </c>
      <c r="I404" s="25"/>
      <c r="J404" s="25"/>
      <c r="K404" s="25"/>
      <c r="M404" s="25"/>
      <c r="O404" s="25"/>
      <c r="Q404" s="25"/>
      <c r="R404" s="25"/>
      <c r="S404" s="25"/>
      <c r="T404" s="25"/>
      <c r="U404" s="25"/>
      <c r="V404" s="25"/>
      <c r="W404" s="25"/>
      <c r="X404" s="25"/>
    </row>
    <row r="405" spans="1:24" x14ac:dyDescent="0.25">
      <c r="A405" s="18" t="str">
        <f t="shared" si="8"/>
        <v/>
      </c>
      <c r="B405" s="25"/>
      <c r="C405" s="25"/>
      <c r="D405" s="25"/>
      <c r="E405" s="25" t="str">
        <f>IFERROR(IF(ISBLANK(D405),"",INDEX(Gen_Vessels!$A$3:$C$500,MATCH(D405,Gen_Vessels!$C$3:$C$500,0),1)),"")</f>
        <v/>
      </c>
      <c r="F405" s="25"/>
      <c r="G405" s="25"/>
      <c r="H405" s="25" t="str">
        <f>IFERROR(IF(ISBLANK(G405),"",INDEX(Gen_Vessels!$A$3:$C$500,MATCH(G405,Gen_Vessels!$C$3:$C$500,0),1)),"")</f>
        <v/>
      </c>
      <c r="I405" s="25"/>
      <c r="J405" s="25"/>
      <c r="K405" s="25"/>
      <c r="M405" s="25"/>
      <c r="O405" s="25"/>
      <c r="Q405" s="25"/>
      <c r="R405" s="25"/>
      <c r="S405" s="25"/>
      <c r="T405" s="25"/>
      <c r="U405" s="25"/>
      <c r="V405" s="25"/>
      <c r="W405" s="25"/>
      <c r="X405" s="25"/>
    </row>
    <row r="406" spans="1:24" x14ac:dyDescent="0.25">
      <c r="A406" s="18" t="str">
        <f t="shared" si="8"/>
        <v/>
      </c>
      <c r="B406" s="25"/>
      <c r="C406" s="25"/>
      <c r="D406" s="25"/>
      <c r="E406" s="25" t="str">
        <f>IFERROR(IF(ISBLANK(D406),"",INDEX(Gen_Vessels!$A$3:$C$500,MATCH(D406,Gen_Vessels!$C$3:$C$500,0),1)),"")</f>
        <v/>
      </c>
      <c r="F406" s="25"/>
      <c r="G406" s="25"/>
      <c r="H406" s="25" t="str">
        <f>IFERROR(IF(ISBLANK(G406),"",INDEX(Gen_Vessels!$A$3:$C$500,MATCH(G406,Gen_Vessels!$C$3:$C$500,0),1)),"")</f>
        <v/>
      </c>
      <c r="I406" s="25"/>
      <c r="J406" s="25"/>
      <c r="K406" s="25"/>
      <c r="M406" s="25"/>
      <c r="O406" s="25"/>
      <c r="Q406" s="25"/>
      <c r="R406" s="25"/>
      <c r="S406" s="25"/>
      <c r="T406" s="25"/>
      <c r="U406" s="25"/>
      <c r="V406" s="25"/>
      <c r="W406" s="25"/>
      <c r="X406" s="25"/>
    </row>
    <row r="407" spans="1:24" x14ac:dyDescent="0.25">
      <c r="A407" s="18" t="str">
        <f t="shared" si="8"/>
        <v/>
      </c>
      <c r="B407" s="25"/>
      <c r="C407" s="25"/>
      <c r="D407" s="25"/>
      <c r="E407" s="25" t="str">
        <f>IFERROR(IF(ISBLANK(D407),"",INDEX(Gen_Vessels!$A$3:$C$500,MATCH(D407,Gen_Vessels!$C$3:$C$500,0),1)),"")</f>
        <v/>
      </c>
      <c r="F407" s="25"/>
      <c r="G407" s="25"/>
      <c r="H407" s="25" t="str">
        <f>IFERROR(IF(ISBLANK(G407),"",INDEX(Gen_Vessels!$A$3:$C$500,MATCH(G407,Gen_Vessels!$C$3:$C$500,0),1)),"")</f>
        <v/>
      </c>
      <c r="I407" s="25"/>
      <c r="J407" s="25"/>
      <c r="K407" s="25"/>
      <c r="M407" s="25"/>
      <c r="O407" s="25"/>
      <c r="Q407" s="25"/>
      <c r="R407" s="25"/>
      <c r="S407" s="25"/>
      <c r="T407" s="25"/>
      <c r="U407" s="25"/>
      <c r="V407" s="25"/>
      <c r="W407" s="25"/>
      <c r="X407" s="25"/>
    </row>
    <row r="408" spans="1:24" x14ac:dyDescent="0.25">
      <c r="A408" s="18" t="str">
        <f t="shared" si="8"/>
        <v/>
      </c>
      <c r="B408" s="25"/>
      <c r="C408" s="25"/>
      <c r="D408" s="25"/>
      <c r="E408" s="25" t="str">
        <f>IFERROR(IF(ISBLANK(D408),"",INDEX(Gen_Vessels!$A$3:$C$500,MATCH(D408,Gen_Vessels!$C$3:$C$500,0),1)),"")</f>
        <v/>
      </c>
      <c r="F408" s="25"/>
      <c r="G408" s="25"/>
      <c r="H408" s="25" t="str">
        <f>IFERROR(IF(ISBLANK(G408),"",INDEX(Gen_Vessels!$A$3:$C$500,MATCH(G408,Gen_Vessels!$C$3:$C$500,0),1)),"")</f>
        <v/>
      </c>
      <c r="I408" s="25"/>
      <c r="J408" s="25"/>
      <c r="K408" s="25"/>
      <c r="M408" s="25"/>
      <c r="O408" s="25"/>
      <c r="Q408" s="25"/>
      <c r="R408" s="25"/>
      <c r="S408" s="25"/>
      <c r="T408" s="25"/>
      <c r="U408" s="25"/>
      <c r="V408" s="25"/>
      <c r="W408" s="25"/>
      <c r="X408" s="25"/>
    </row>
    <row r="409" spans="1:24" x14ac:dyDescent="0.25">
      <c r="A409" s="18" t="str">
        <f t="shared" si="8"/>
        <v/>
      </c>
      <c r="B409" s="25"/>
      <c r="C409" s="25"/>
      <c r="D409" s="25"/>
      <c r="E409" s="25" t="str">
        <f>IFERROR(IF(ISBLANK(D409),"",INDEX(Gen_Vessels!$A$3:$C$500,MATCH(D409,Gen_Vessels!$C$3:$C$500,0),1)),"")</f>
        <v/>
      </c>
      <c r="F409" s="25"/>
      <c r="G409" s="25"/>
      <c r="H409" s="25" t="str">
        <f>IFERROR(IF(ISBLANK(G409),"",INDEX(Gen_Vessels!$A$3:$C$500,MATCH(G409,Gen_Vessels!$C$3:$C$500,0),1)),"")</f>
        <v/>
      </c>
      <c r="I409" s="25"/>
      <c r="J409" s="25"/>
      <c r="K409" s="25"/>
      <c r="M409" s="25"/>
      <c r="O409" s="25"/>
      <c r="Q409" s="25"/>
      <c r="R409" s="25"/>
      <c r="S409" s="25"/>
      <c r="T409" s="25"/>
      <c r="U409" s="25"/>
      <c r="V409" s="25"/>
      <c r="W409" s="25"/>
      <c r="X409" s="25"/>
    </row>
    <row r="410" spans="1:24" x14ac:dyDescent="0.25">
      <c r="A410" s="18" t="str">
        <f t="shared" si="8"/>
        <v/>
      </c>
      <c r="B410" s="25"/>
      <c r="C410" s="25"/>
      <c r="D410" s="25"/>
      <c r="E410" s="25" t="str">
        <f>IFERROR(IF(ISBLANK(D410),"",INDEX(Gen_Vessels!$A$3:$C$500,MATCH(D410,Gen_Vessels!$C$3:$C$500,0),1)),"")</f>
        <v/>
      </c>
      <c r="F410" s="25"/>
      <c r="G410" s="25"/>
      <c r="H410" s="25" t="str">
        <f>IFERROR(IF(ISBLANK(G410),"",INDEX(Gen_Vessels!$A$3:$C$500,MATCH(G410,Gen_Vessels!$C$3:$C$500,0),1)),"")</f>
        <v/>
      </c>
      <c r="I410" s="25"/>
      <c r="J410" s="25"/>
      <c r="K410" s="25"/>
      <c r="M410" s="25"/>
      <c r="O410" s="25"/>
      <c r="Q410" s="25"/>
      <c r="R410" s="25"/>
      <c r="S410" s="25"/>
      <c r="T410" s="25"/>
      <c r="U410" s="25"/>
      <c r="V410" s="25"/>
      <c r="W410" s="25"/>
      <c r="X410" s="25"/>
    </row>
    <row r="411" spans="1:24" x14ac:dyDescent="0.25">
      <c r="A411" s="18" t="str">
        <f t="shared" si="8"/>
        <v/>
      </c>
      <c r="B411" s="25"/>
      <c r="C411" s="25"/>
      <c r="D411" s="25"/>
      <c r="E411" s="25" t="str">
        <f>IFERROR(IF(ISBLANK(D411),"",INDEX(Gen_Vessels!$A$3:$C$500,MATCH(D411,Gen_Vessels!$C$3:$C$500,0),1)),"")</f>
        <v/>
      </c>
      <c r="F411" s="25"/>
      <c r="G411" s="25"/>
      <c r="H411" s="25" t="str">
        <f>IFERROR(IF(ISBLANK(G411),"",INDEX(Gen_Vessels!$A$3:$C$500,MATCH(G411,Gen_Vessels!$C$3:$C$500,0),1)),"")</f>
        <v/>
      </c>
      <c r="I411" s="25"/>
      <c r="J411" s="25"/>
      <c r="K411" s="25"/>
      <c r="M411" s="25"/>
      <c r="O411" s="25"/>
      <c r="Q411" s="25"/>
      <c r="R411" s="25"/>
      <c r="S411" s="25"/>
      <c r="T411" s="25"/>
      <c r="U411" s="25"/>
      <c r="V411" s="25"/>
      <c r="W411" s="25"/>
      <c r="X411" s="25"/>
    </row>
    <row r="412" spans="1:24" x14ac:dyDescent="0.25">
      <c r="A412" s="18" t="str">
        <f t="shared" si="8"/>
        <v/>
      </c>
      <c r="B412" s="25"/>
      <c r="C412" s="25"/>
      <c r="D412" s="25"/>
      <c r="E412" s="25" t="str">
        <f>IFERROR(IF(ISBLANK(D412),"",INDEX(Gen_Vessels!$A$3:$C$500,MATCH(D412,Gen_Vessels!$C$3:$C$500,0),1)),"")</f>
        <v/>
      </c>
      <c r="F412" s="25"/>
      <c r="G412" s="25"/>
      <c r="H412" s="25" t="str">
        <f>IFERROR(IF(ISBLANK(G412),"",INDEX(Gen_Vessels!$A$3:$C$500,MATCH(G412,Gen_Vessels!$C$3:$C$500,0),1)),"")</f>
        <v/>
      </c>
      <c r="I412" s="25"/>
      <c r="J412" s="25"/>
      <c r="K412" s="25"/>
      <c r="M412" s="25"/>
      <c r="O412" s="25"/>
      <c r="Q412" s="25"/>
      <c r="R412" s="25"/>
      <c r="S412" s="25"/>
      <c r="T412" s="25"/>
      <c r="U412" s="25"/>
      <c r="V412" s="25"/>
      <c r="W412" s="25"/>
      <c r="X412" s="25"/>
    </row>
    <row r="413" spans="1:24" x14ac:dyDescent="0.25">
      <c r="A413" s="18" t="str">
        <f t="shared" si="8"/>
        <v/>
      </c>
      <c r="B413" s="25"/>
      <c r="C413" s="25"/>
      <c r="D413" s="25"/>
      <c r="E413" s="25" t="str">
        <f>IFERROR(IF(ISBLANK(D413),"",INDEX(Gen_Vessels!$A$3:$C$500,MATCH(D413,Gen_Vessels!$C$3:$C$500,0),1)),"")</f>
        <v/>
      </c>
      <c r="F413" s="25"/>
      <c r="G413" s="25"/>
      <c r="H413" s="25" t="str">
        <f>IFERROR(IF(ISBLANK(G413),"",INDEX(Gen_Vessels!$A$3:$C$500,MATCH(G413,Gen_Vessels!$C$3:$C$500,0),1)),"")</f>
        <v/>
      </c>
      <c r="I413" s="25"/>
      <c r="J413" s="25"/>
      <c r="K413" s="25"/>
      <c r="M413" s="25"/>
      <c r="O413" s="25"/>
      <c r="Q413" s="25"/>
      <c r="R413" s="25"/>
      <c r="S413" s="25"/>
      <c r="T413" s="25"/>
      <c r="U413" s="25"/>
      <c r="V413" s="25"/>
      <c r="W413" s="25"/>
      <c r="X413" s="25"/>
    </row>
    <row r="414" spans="1:24" x14ac:dyDescent="0.25">
      <c r="A414" s="18" t="str">
        <f t="shared" si="8"/>
        <v/>
      </c>
      <c r="B414" s="25"/>
      <c r="C414" s="25"/>
      <c r="D414" s="25"/>
      <c r="E414" s="25" t="str">
        <f>IFERROR(IF(ISBLANK(D414),"",INDEX(Gen_Vessels!$A$3:$C$500,MATCH(D414,Gen_Vessels!$C$3:$C$500,0),1)),"")</f>
        <v/>
      </c>
      <c r="F414" s="25"/>
      <c r="G414" s="25"/>
      <c r="H414" s="25" t="str">
        <f>IFERROR(IF(ISBLANK(G414),"",INDEX(Gen_Vessels!$A$3:$C$500,MATCH(G414,Gen_Vessels!$C$3:$C$500,0),1)),"")</f>
        <v/>
      </c>
      <c r="I414" s="25"/>
      <c r="J414" s="25"/>
      <c r="K414" s="25"/>
      <c r="M414" s="25"/>
      <c r="O414" s="25"/>
      <c r="Q414" s="25"/>
      <c r="R414" s="25"/>
      <c r="S414" s="25"/>
      <c r="T414" s="25"/>
      <c r="U414" s="25"/>
      <c r="V414" s="25"/>
      <c r="W414" s="25"/>
      <c r="X414" s="25"/>
    </row>
    <row r="415" spans="1:24" x14ac:dyDescent="0.25">
      <c r="A415" s="18" t="str">
        <f t="shared" si="8"/>
        <v/>
      </c>
      <c r="B415" s="25"/>
      <c r="C415" s="25"/>
      <c r="D415" s="25"/>
      <c r="E415" s="25" t="str">
        <f>IFERROR(IF(ISBLANK(D415),"",INDEX(Gen_Vessels!$A$3:$C$500,MATCH(D415,Gen_Vessels!$C$3:$C$500,0),1)),"")</f>
        <v/>
      </c>
      <c r="F415" s="25"/>
      <c r="G415" s="25"/>
      <c r="H415" s="25" t="str">
        <f>IFERROR(IF(ISBLANK(G415),"",INDEX(Gen_Vessels!$A$3:$C$500,MATCH(G415,Gen_Vessels!$C$3:$C$500,0),1)),"")</f>
        <v/>
      </c>
      <c r="I415" s="25"/>
      <c r="J415" s="25"/>
      <c r="K415" s="25"/>
      <c r="M415" s="25"/>
      <c r="O415" s="25"/>
      <c r="Q415" s="25"/>
      <c r="R415" s="25"/>
      <c r="S415" s="25"/>
      <c r="T415" s="25"/>
      <c r="U415" s="25"/>
      <c r="V415" s="25"/>
      <c r="W415" s="25"/>
      <c r="X415" s="25"/>
    </row>
    <row r="416" spans="1:24" x14ac:dyDescent="0.25">
      <c r="A416" s="18" t="str">
        <f t="shared" si="8"/>
        <v/>
      </c>
      <c r="B416" s="25"/>
      <c r="C416" s="25"/>
      <c r="D416" s="25"/>
      <c r="E416" s="25" t="str">
        <f>IFERROR(IF(ISBLANK(D416),"",INDEX(Gen_Vessels!$A$3:$C$500,MATCH(D416,Gen_Vessels!$C$3:$C$500,0),1)),"")</f>
        <v/>
      </c>
      <c r="F416" s="25"/>
      <c r="G416" s="25"/>
      <c r="H416" s="25" t="str">
        <f>IFERROR(IF(ISBLANK(G416),"",INDEX(Gen_Vessels!$A$3:$C$500,MATCH(G416,Gen_Vessels!$C$3:$C$500,0),1)),"")</f>
        <v/>
      </c>
      <c r="I416" s="25"/>
      <c r="J416" s="25"/>
      <c r="K416" s="25"/>
      <c r="M416" s="25"/>
      <c r="O416" s="25"/>
      <c r="Q416" s="25"/>
      <c r="R416" s="25"/>
      <c r="S416" s="25"/>
      <c r="T416" s="25"/>
      <c r="U416" s="25"/>
      <c r="V416" s="25"/>
      <c r="W416" s="25"/>
      <c r="X416" s="25"/>
    </row>
    <row r="417" spans="1:24" x14ac:dyDescent="0.25">
      <c r="A417" s="18" t="str">
        <f t="shared" si="8"/>
        <v/>
      </c>
      <c r="B417" s="25"/>
      <c r="C417" s="25"/>
      <c r="D417" s="25"/>
      <c r="E417" s="25" t="str">
        <f>IFERROR(IF(ISBLANK(D417),"",INDEX(Gen_Vessels!$A$3:$C$500,MATCH(D417,Gen_Vessels!$C$3:$C$500,0),1)),"")</f>
        <v/>
      </c>
      <c r="F417" s="25"/>
      <c r="G417" s="25"/>
      <c r="H417" s="25" t="str">
        <f>IFERROR(IF(ISBLANK(G417),"",INDEX(Gen_Vessels!$A$3:$C$500,MATCH(G417,Gen_Vessels!$C$3:$C$500,0),1)),"")</f>
        <v/>
      </c>
      <c r="I417" s="25"/>
      <c r="J417" s="25"/>
      <c r="K417" s="25"/>
      <c r="M417" s="25"/>
      <c r="O417" s="25"/>
      <c r="Q417" s="25"/>
      <c r="R417" s="25"/>
      <c r="S417" s="25"/>
      <c r="T417" s="25"/>
      <c r="U417" s="25"/>
      <c r="V417" s="25"/>
      <c r="W417" s="25"/>
      <c r="X417" s="25"/>
    </row>
    <row r="418" spans="1:24" x14ac:dyDescent="0.25">
      <c r="A418" s="18" t="str">
        <f t="shared" si="8"/>
        <v/>
      </c>
      <c r="B418" s="25"/>
      <c r="C418" s="25"/>
      <c r="D418" s="25"/>
      <c r="E418" s="25" t="str">
        <f>IFERROR(IF(ISBLANK(D418),"",INDEX(Gen_Vessels!$A$3:$C$500,MATCH(D418,Gen_Vessels!$C$3:$C$500,0),1)),"")</f>
        <v/>
      </c>
      <c r="F418" s="25"/>
      <c r="G418" s="25"/>
      <c r="H418" s="25" t="str">
        <f>IFERROR(IF(ISBLANK(G418),"",INDEX(Gen_Vessels!$A$3:$C$500,MATCH(G418,Gen_Vessels!$C$3:$C$500,0),1)),"")</f>
        <v/>
      </c>
      <c r="I418" s="25"/>
      <c r="J418" s="25"/>
      <c r="K418" s="25"/>
      <c r="M418" s="25"/>
      <c r="O418" s="25"/>
      <c r="Q418" s="25"/>
      <c r="R418" s="25"/>
      <c r="S418" s="25"/>
      <c r="T418" s="25"/>
      <c r="U418" s="25"/>
      <c r="V418" s="25"/>
      <c r="W418" s="25"/>
      <c r="X418" s="25"/>
    </row>
    <row r="419" spans="1:24" x14ac:dyDescent="0.25">
      <c r="A419" s="18" t="str">
        <f t="shared" si="8"/>
        <v/>
      </c>
      <c r="B419" s="25"/>
      <c r="C419" s="25"/>
      <c r="D419" s="25"/>
      <c r="E419" s="25" t="str">
        <f>IFERROR(IF(ISBLANK(D419),"",INDEX(Gen_Vessels!$A$3:$C$500,MATCH(D419,Gen_Vessels!$C$3:$C$500,0),1)),"")</f>
        <v/>
      </c>
      <c r="F419" s="25"/>
      <c r="G419" s="25"/>
      <c r="H419" s="25" t="str">
        <f>IFERROR(IF(ISBLANK(G419),"",INDEX(Gen_Vessels!$A$3:$C$500,MATCH(G419,Gen_Vessels!$C$3:$C$500,0),1)),"")</f>
        <v/>
      </c>
      <c r="I419" s="25"/>
      <c r="J419" s="25"/>
      <c r="K419" s="25"/>
      <c r="M419" s="25"/>
      <c r="O419" s="25"/>
      <c r="Q419" s="25"/>
      <c r="R419" s="25"/>
      <c r="S419" s="25"/>
      <c r="T419" s="25"/>
      <c r="U419" s="25"/>
      <c r="V419" s="25"/>
      <c r="W419" s="25"/>
      <c r="X419" s="25"/>
    </row>
    <row r="420" spans="1:24" x14ac:dyDescent="0.25">
      <c r="A420" s="18" t="str">
        <f t="shared" si="8"/>
        <v/>
      </c>
      <c r="B420" s="25"/>
      <c r="C420" s="25"/>
      <c r="D420" s="25"/>
      <c r="E420" s="25" t="str">
        <f>IFERROR(IF(ISBLANK(D420),"",INDEX(Gen_Vessels!$A$3:$C$500,MATCH(D420,Gen_Vessels!$C$3:$C$500,0),1)),"")</f>
        <v/>
      </c>
      <c r="F420" s="25"/>
      <c r="G420" s="25"/>
      <c r="H420" s="25" t="str">
        <f>IFERROR(IF(ISBLANK(G420),"",INDEX(Gen_Vessels!$A$3:$C$500,MATCH(G420,Gen_Vessels!$C$3:$C$500,0),1)),"")</f>
        <v/>
      </c>
      <c r="I420" s="25"/>
      <c r="J420" s="25"/>
      <c r="K420" s="25"/>
      <c r="M420" s="25"/>
      <c r="O420" s="25"/>
      <c r="Q420" s="25"/>
      <c r="R420" s="25"/>
      <c r="S420" s="25"/>
      <c r="T420" s="25"/>
      <c r="U420" s="25"/>
      <c r="V420" s="25"/>
      <c r="W420" s="25"/>
      <c r="X420" s="25"/>
    </row>
    <row r="421" spans="1:24" x14ac:dyDescent="0.25">
      <c r="A421" s="18" t="str">
        <f t="shared" si="8"/>
        <v/>
      </c>
      <c r="B421" s="25"/>
      <c r="C421" s="25"/>
      <c r="D421" s="25"/>
      <c r="E421" s="25" t="str">
        <f>IFERROR(IF(ISBLANK(D421),"",INDEX(Gen_Vessels!$A$3:$C$500,MATCH(D421,Gen_Vessels!$C$3:$C$500,0),1)),"")</f>
        <v/>
      </c>
      <c r="F421" s="25"/>
      <c r="G421" s="25"/>
      <c r="H421" s="25" t="str">
        <f>IFERROR(IF(ISBLANK(G421),"",INDEX(Gen_Vessels!$A$3:$C$500,MATCH(G421,Gen_Vessels!$C$3:$C$500,0),1)),"")</f>
        <v/>
      </c>
      <c r="I421" s="25"/>
      <c r="J421" s="25"/>
      <c r="K421" s="25"/>
      <c r="M421" s="25"/>
      <c r="O421" s="25"/>
      <c r="Q421" s="25"/>
      <c r="R421" s="25"/>
      <c r="S421" s="25"/>
      <c r="T421" s="25"/>
      <c r="U421" s="25"/>
      <c r="V421" s="25"/>
      <c r="W421" s="25"/>
      <c r="X421" s="25"/>
    </row>
    <row r="422" spans="1:24" x14ac:dyDescent="0.25">
      <c r="A422" s="18" t="str">
        <f t="shared" si="8"/>
        <v/>
      </c>
      <c r="B422" s="25"/>
      <c r="C422" s="25"/>
      <c r="D422" s="25"/>
      <c r="E422" s="25" t="str">
        <f>IFERROR(IF(ISBLANK(D422),"",INDEX(Gen_Vessels!$A$3:$C$500,MATCH(D422,Gen_Vessels!$C$3:$C$500,0),1)),"")</f>
        <v/>
      </c>
      <c r="F422" s="25"/>
      <c r="G422" s="25"/>
      <c r="H422" s="25" t="str">
        <f>IFERROR(IF(ISBLANK(G422),"",INDEX(Gen_Vessels!$A$3:$C$500,MATCH(G422,Gen_Vessels!$C$3:$C$500,0),1)),"")</f>
        <v/>
      </c>
      <c r="I422" s="25"/>
      <c r="J422" s="25"/>
      <c r="K422" s="25"/>
      <c r="M422" s="25"/>
      <c r="O422" s="25"/>
      <c r="Q422" s="25"/>
      <c r="R422" s="25"/>
      <c r="S422" s="25"/>
      <c r="T422" s="25"/>
      <c r="U422" s="25"/>
      <c r="V422" s="25"/>
      <c r="W422" s="25"/>
      <c r="X422" s="25"/>
    </row>
    <row r="423" spans="1:24" x14ac:dyDescent="0.25">
      <c r="A423" s="18" t="str">
        <f t="shared" si="8"/>
        <v/>
      </c>
      <c r="B423" s="25"/>
      <c r="C423" s="25"/>
      <c r="D423" s="25"/>
      <c r="E423" s="25" t="str">
        <f>IFERROR(IF(ISBLANK(D423),"",INDEX(Gen_Vessels!$A$3:$C$500,MATCH(D423,Gen_Vessels!$C$3:$C$500,0),1)),"")</f>
        <v/>
      </c>
      <c r="F423" s="25"/>
      <c r="G423" s="25"/>
      <c r="H423" s="25" t="str">
        <f>IFERROR(IF(ISBLANK(G423),"",INDEX(Gen_Vessels!$A$3:$C$500,MATCH(G423,Gen_Vessels!$C$3:$C$500,0),1)),"")</f>
        <v/>
      </c>
      <c r="I423" s="25"/>
      <c r="J423" s="25"/>
      <c r="K423" s="25"/>
      <c r="M423" s="25"/>
      <c r="O423" s="25"/>
      <c r="Q423" s="25"/>
      <c r="R423" s="25"/>
      <c r="S423" s="25"/>
      <c r="T423" s="25"/>
      <c r="U423" s="25"/>
      <c r="V423" s="25"/>
      <c r="W423" s="25"/>
      <c r="X423" s="25"/>
    </row>
    <row r="424" spans="1:24" x14ac:dyDescent="0.25">
      <c r="A424" s="18" t="str">
        <f t="shared" si="8"/>
        <v/>
      </c>
      <c r="B424" s="25"/>
      <c r="C424" s="25"/>
      <c r="D424" s="25"/>
      <c r="E424" s="25" t="str">
        <f>IFERROR(IF(ISBLANK(D424),"",INDEX(Gen_Vessels!$A$3:$C$500,MATCH(D424,Gen_Vessels!$C$3:$C$500,0),1)),"")</f>
        <v/>
      </c>
      <c r="F424" s="25"/>
      <c r="G424" s="25"/>
      <c r="H424" s="25" t="str">
        <f>IFERROR(IF(ISBLANK(G424),"",INDEX(Gen_Vessels!$A$3:$C$500,MATCH(G424,Gen_Vessels!$C$3:$C$500,0),1)),"")</f>
        <v/>
      </c>
      <c r="I424" s="25"/>
      <c r="J424" s="25"/>
      <c r="K424" s="25"/>
      <c r="M424" s="25"/>
      <c r="O424" s="25"/>
      <c r="Q424" s="25"/>
      <c r="R424" s="25"/>
      <c r="S424" s="25"/>
      <c r="T424" s="25"/>
      <c r="U424" s="25"/>
      <c r="V424" s="25"/>
      <c r="W424" s="25"/>
      <c r="X424" s="25"/>
    </row>
    <row r="425" spans="1:24" x14ac:dyDescent="0.25">
      <c r="A425" s="18" t="str">
        <f t="shared" si="8"/>
        <v/>
      </c>
      <c r="B425" s="25"/>
      <c r="C425" s="25"/>
      <c r="D425" s="25"/>
      <c r="E425" s="25" t="str">
        <f>IFERROR(IF(ISBLANK(D425),"",INDEX(Gen_Vessels!$A$3:$C$500,MATCH(D425,Gen_Vessels!$C$3:$C$500,0),1)),"")</f>
        <v/>
      </c>
      <c r="F425" s="25"/>
      <c r="G425" s="25"/>
      <c r="H425" s="25" t="str">
        <f>IFERROR(IF(ISBLANK(G425),"",INDEX(Gen_Vessels!$A$3:$C$500,MATCH(G425,Gen_Vessels!$C$3:$C$500,0),1)),"")</f>
        <v/>
      </c>
      <c r="I425" s="25"/>
      <c r="J425" s="25"/>
      <c r="K425" s="25"/>
      <c r="M425" s="25"/>
      <c r="O425" s="25"/>
      <c r="Q425" s="25"/>
      <c r="R425" s="25"/>
      <c r="S425" s="25"/>
      <c r="T425" s="25"/>
      <c r="U425" s="25"/>
      <c r="V425" s="25"/>
      <c r="W425" s="25"/>
      <c r="X425" s="25"/>
    </row>
    <row r="426" spans="1:24" x14ac:dyDescent="0.25">
      <c r="A426" s="18" t="str">
        <f t="shared" si="8"/>
        <v/>
      </c>
      <c r="B426" s="25"/>
      <c r="C426" s="25"/>
      <c r="D426" s="25"/>
      <c r="E426" s="25" t="str">
        <f>IFERROR(IF(ISBLANK(D426),"",INDEX(Gen_Vessels!$A$3:$C$500,MATCH(D426,Gen_Vessels!$C$3:$C$500,0),1)),"")</f>
        <v/>
      </c>
      <c r="F426" s="25"/>
      <c r="G426" s="25"/>
      <c r="H426" s="25" t="str">
        <f>IFERROR(IF(ISBLANK(G426),"",INDEX(Gen_Vessels!$A$3:$C$500,MATCH(G426,Gen_Vessels!$C$3:$C$500,0),1)),"")</f>
        <v/>
      </c>
      <c r="I426" s="25"/>
      <c r="J426" s="25"/>
      <c r="K426" s="25"/>
      <c r="M426" s="25"/>
      <c r="O426" s="25"/>
      <c r="Q426" s="25"/>
      <c r="R426" s="25"/>
      <c r="S426" s="25"/>
      <c r="T426" s="25"/>
      <c r="U426" s="25"/>
      <c r="V426" s="25"/>
      <c r="W426" s="25"/>
      <c r="X426" s="25"/>
    </row>
    <row r="427" spans="1:24" x14ac:dyDescent="0.25">
      <c r="A427" s="18" t="str">
        <f t="shared" si="8"/>
        <v/>
      </c>
      <c r="B427" s="25"/>
      <c r="C427" s="25"/>
      <c r="D427" s="25"/>
      <c r="E427" s="25" t="str">
        <f>IFERROR(IF(ISBLANK(D427),"",INDEX(Gen_Vessels!$A$3:$C$500,MATCH(D427,Gen_Vessels!$C$3:$C$500,0),1)),"")</f>
        <v/>
      </c>
      <c r="F427" s="25"/>
      <c r="G427" s="25"/>
      <c r="H427" s="25" t="str">
        <f>IFERROR(IF(ISBLANK(G427),"",INDEX(Gen_Vessels!$A$3:$C$500,MATCH(G427,Gen_Vessels!$C$3:$C$500,0),1)),"")</f>
        <v/>
      </c>
      <c r="I427" s="25"/>
      <c r="J427" s="25"/>
      <c r="K427" s="25"/>
      <c r="M427" s="25"/>
      <c r="O427" s="25"/>
      <c r="Q427" s="25"/>
      <c r="R427" s="25"/>
      <c r="S427" s="25"/>
      <c r="T427" s="25"/>
      <c r="U427" s="25"/>
      <c r="V427" s="25"/>
      <c r="W427" s="25"/>
      <c r="X427" s="25"/>
    </row>
    <row r="428" spans="1:24" x14ac:dyDescent="0.25">
      <c r="A428" s="18" t="str">
        <f t="shared" si="8"/>
        <v/>
      </c>
      <c r="B428" s="25"/>
      <c r="C428" s="25"/>
      <c r="D428" s="25"/>
      <c r="E428" s="25" t="str">
        <f>IFERROR(IF(ISBLANK(D428),"",INDEX(Gen_Vessels!$A$3:$C$500,MATCH(D428,Gen_Vessels!$C$3:$C$500,0),1)),"")</f>
        <v/>
      </c>
      <c r="F428" s="25"/>
      <c r="G428" s="25"/>
      <c r="H428" s="25" t="str">
        <f>IFERROR(IF(ISBLANK(G428),"",INDEX(Gen_Vessels!$A$3:$C$500,MATCH(G428,Gen_Vessels!$C$3:$C$500,0),1)),"")</f>
        <v/>
      </c>
      <c r="I428" s="25"/>
      <c r="J428" s="25"/>
      <c r="K428" s="25"/>
      <c r="M428" s="25"/>
      <c r="O428" s="25"/>
      <c r="Q428" s="25"/>
      <c r="R428" s="25"/>
      <c r="S428" s="25"/>
      <c r="T428" s="25"/>
      <c r="U428" s="25"/>
      <c r="V428" s="25"/>
      <c r="W428" s="25"/>
      <c r="X428" s="25"/>
    </row>
    <row r="429" spans="1:24" x14ac:dyDescent="0.25">
      <c r="A429" s="18" t="str">
        <f t="shared" si="8"/>
        <v/>
      </c>
      <c r="B429" s="25"/>
      <c r="C429" s="25"/>
      <c r="D429" s="25"/>
      <c r="E429" s="25" t="str">
        <f>IFERROR(IF(ISBLANK(D429),"",INDEX(Gen_Vessels!$A$3:$C$500,MATCH(D429,Gen_Vessels!$C$3:$C$500,0),1)),"")</f>
        <v/>
      </c>
      <c r="F429" s="25"/>
      <c r="G429" s="25"/>
      <c r="H429" s="25" t="str">
        <f>IFERROR(IF(ISBLANK(G429),"",INDEX(Gen_Vessels!$A$3:$C$500,MATCH(G429,Gen_Vessels!$C$3:$C$500,0),1)),"")</f>
        <v/>
      </c>
      <c r="I429" s="25"/>
      <c r="J429" s="25"/>
      <c r="K429" s="25"/>
      <c r="M429" s="25"/>
      <c r="O429" s="25"/>
      <c r="Q429" s="25"/>
      <c r="R429" s="25"/>
      <c r="S429" s="25"/>
      <c r="T429" s="25"/>
      <c r="U429" s="25"/>
      <c r="V429" s="25"/>
      <c r="W429" s="25"/>
      <c r="X429" s="25"/>
    </row>
    <row r="430" spans="1:24" x14ac:dyDescent="0.25">
      <c r="A430" s="18" t="str">
        <f t="shared" si="8"/>
        <v/>
      </c>
      <c r="B430" s="25"/>
      <c r="C430" s="25"/>
      <c r="D430" s="25"/>
      <c r="E430" s="25" t="str">
        <f>IFERROR(IF(ISBLANK(D430),"",INDEX(Gen_Vessels!$A$3:$C$500,MATCH(D430,Gen_Vessels!$C$3:$C$500,0),1)),"")</f>
        <v/>
      </c>
      <c r="F430" s="25"/>
      <c r="G430" s="25"/>
      <c r="H430" s="25" t="str">
        <f>IFERROR(IF(ISBLANK(G430),"",INDEX(Gen_Vessels!$A$3:$C$500,MATCH(G430,Gen_Vessels!$C$3:$C$500,0),1)),"")</f>
        <v/>
      </c>
      <c r="I430" s="25"/>
      <c r="J430" s="25"/>
      <c r="K430" s="25"/>
      <c r="M430" s="25"/>
      <c r="O430" s="25"/>
      <c r="Q430" s="25"/>
      <c r="R430" s="25"/>
      <c r="S430" s="25"/>
      <c r="T430" s="25"/>
      <c r="U430" s="25"/>
      <c r="V430" s="25"/>
      <c r="W430" s="25"/>
      <c r="X430" s="25"/>
    </row>
    <row r="431" spans="1:24" x14ac:dyDescent="0.25">
      <c r="A431" s="18" t="str">
        <f t="shared" si="8"/>
        <v/>
      </c>
      <c r="B431" s="25"/>
      <c r="C431" s="25"/>
      <c r="D431" s="25"/>
      <c r="E431" s="25" t="str">
        <f>IFERROR(IF(ISBLANK(D431),"",INDEX(Gen_Vessels!$A$3:$C$500,MATCH(D431,Gen_Vessels!$C$3:$C$500,0),1)),"")</f>
        <v/>
      </c>
      <c r="F431" s="25"/>
      <c r="G431" s="25"/>
      <c r="H431" s="25" t="str">
        <f>IFERROR(IF(ISBLANK(G431),"",INDEX(Gen_Vessels!$A$3:$C$500,MATCH(G431,Gen_Vessels!$C$3:$C$500,0),1)),"")</f>
        <v/>
      </c>
      <c r="I431" s="25"/>
      <c r="J431" s="25"/>
      <c r="K431" s="25"/>
      <c r="M431" s="25"/>
      <c r="O431" s="25"/>
      <c r="Q431" s="25"/>
      <c r="R431" s="25"/>
      <c r="S431" s="25"/>
      <c r="T431" s="25"/>
      <c r="U431" s="25"/>
      <c r="V431" s="25"/>
      <c r="W431" s="25"/>
      <c r="X431" s="25"/>
    </row>
    <row r="432" spans="1:24" x14ac:dyDescent="0.25">
      <c r="A432" s="18" t="str">
        <f t="shared" si="8"/>
        <v/>
      </c>
      <c r="B432" s="25"/>
      <c r="C432" s="25"/>
      <c r="D432" s="25"/>
      <c r="E432" s="25" t="str">
        <f>IFERROR(IF(ISBLANK(D432),"",INDEX(Gen_Vessels!$A$3:$C$500,MATCH(D432,Gen_Vessels!$C$3:$C$500,0),1)),"")</f>
        <v/>
      </c>
      <c r="F432" s="25"/>
      <c r="G432" s="25"/>
      <c r="H432" s="25" t="str">
        <f>IFERROR(IF(ISBLANK(G432),"",INDEX(Gen_Vessels!$A$3:$C$500,MATCH(G432,Gen_Vessels!$C$3:$C$500,0),1)),"")</f>
        <v/>
      </c>
      <c r="I432" s="25"/>
      <c r="J432" s="25"/>
      <c r="K432" s="25"/>
      <c r="M432" s="25"/>
      <c r="O432" s="25"/>
      <c r="Q432" s="25"/>
      <c r="R432" s="25"/>
      <c r="S432" s="25"/>
      <c r="T432" s="25"/>
      <c r="U432" s="25"/>
      <c r="V432" s="25"/>
      <c r="W432" s="25"/>
      <c r="X432" s="25"/>
    </row>
    <row r="433" spans="1:24" x14ac:dyDescent="0.25">
      <c r="A433" s="18" t="str">
        <f t="shared" si="8"/>
        <v/>
      </c>
      <c r="B433" s="25"/>
      <c r="C433" s="25"/>
      <c r="D433" s="25"/>
      <c r="E433" s="25" t="str">
        <f>IFERROR(IF(ISBLANK(D433),"",INDEX(Gen_Vessels!$A$3:$C$500,MATCH(D433,Gen_Vessels!$C$3:$C$500,0),1)),"")</f>
        <v/>
      </c>
      <c r="F433" s="25"/>
      <c r="G433" s="25"/>
      <c r="H433" s="25" t="str">
        <f>IFERROR(IF(ISBLANK(G433),"",INDEX(Gen_Vessels!$A$3:$C$500,MATCH(G433,Gen_Vessels!$C$3:$C$500,0),1)),"")</f>
        <v/>
      </c>
      <c r="I433" s="25"/>
      <c r="J433" s="25"/>
      <c r="K433" s="25"/>
      <c r="M433" s="25"/>
      <c r="O433" s="25"/>
      <c r="Q433" s="25"/>
      <c r="R433" s="25"/>
      <c r="S433" s="25"/>
      <c r="T433" s="25"/>
      <c r="U433" s="25"/>
      <c r="V433" s="25"/>
      <c r="W433" s="25"/>
      <c r="X433" s="25"/>
    </row>
    <row r="434" spans="1:24" x14ac:dyDescent="0.25">
      <c r="A434" s="18" t="str">
        <f t="shared" si="8"/>
        <v/>
      </c>
      <c r="B434" s="25"/>
      <c r="C434" s="25"/>
      <c r="D434" s="25"/>
      <c r="E434" s="25" t="str">
        <f>IFERROR(IF(ISBLANK(D434),"",INDEX(Gen_Vessels!$A$3:$C$500,MATCH(D434,Gen_Vessels!$C$3:$C$500,0),1)),"")</f>
        <v/>
      </c>
      <c r="F434" s="25"/>
      <c r="G434" s="25"/>
      <c r="H434" s="25" t="str">
        <f>IFERROR(IF(ISBLANK(G434),"",INDEX(Gen_Vessels!$A$3:$C$500,MATCH(G434,Gen_Vessels!$C$3:$C$500,0),1)),"")</f>
        <v/>
      </c>
      <c r="I434" s="25"/>
      <c r="J434" s="25"/>
      <c r="K434" s="25"/>
      <c r="M434" s="25"/>
      <c r="O434" s="25"/>
      <c r="Q434" s="25"/>
      <c r="R434" s="25"/>
      <c r="S434" s="25"/>
      <c r="T434" s="25"/>
      <c r="U434" s="25"/>
      <c r="V434" s="25"/>
      <c r="W434" s="25"/>
      <c r="X434" s="25"/>
    </row>
    <row r="435" spans="1:24" x14ac:dyDescent="0.25">
      <c r="A435" s="18" t="str">
        <f t="shared" si="8"/>
        <v/>
      </c>
      <c r="B435" s="25"/>
      <c r="C435" s="25"/>
      <c r="D435" s="25"/>
      <c r="E435" s="25" t="str">
        <f>IFERROR(IF(ISBLANK(D435),"",INDEX(Gen_Vessels!$A$3:$C$500,MATCH(D435,Gen_Vessels!$C$3:$C$500,0),1)),"")</f>
        <v/>
      </c>
      <c r="F435" s="25"/>
      <c r="G435" s="25"/>
      <c r="H435" s="25" t="str">
        <f>IFERROR(IF(ISBLANK(G435),"",INDEX(Gen_Vessels!$A$3:$C$500,MATCH(G435,Gen_Vessels!$C$3:$C$500,0),1)),"")</f>
        <v/>
      </c>
      <c r="I435" s="25"/>
      <c r="J435" s="25"/>
      <c r="K435" s="25"/>
      <c r="M435" s="25"/>
      <c r="O435" s="25"/>
      <c r="Q435" s="25"/>
      <c r="R435" s="25"/>
      <c r="S435" s="25"/>
      <c r="T435" s="25"/>
      <c r="U435" s="25"/>
      <c r="V435" s="25"/>
      <c r="W435" s="25"/>
      <c r="X435" s="25"/>
    </row>
    <row r="436" spans="1:24" x14ac:dyDescent="0.25">
      <c r="A436" s="18" t="str">
        <f t="shared" si="8"/>
        <v/>
      </c>
      <c r="B436" s="25"/>
      <c r="C436" s="25"/>
      <c r="D436" s="25"/>
      <c r="E436" s="25" t="str">
        <f>IFERROR(IF(ISBLANK(D436),"",INDEX(Gen_Vessels!$A$3:$C$500,MATCH(D436,Gen_Vessels!$C$3:$C$500,0),1)),"")</f>
        <v/>
      </c>
      <c r="F436" s="25"/>
      <c r="G436" s="25"/>
      <c r="H436" s="25" t="str">
        <f>IFERROR(IF(ISBLANK(G436),"",INDEX(Gen_Vessels!$A$3:$C$500,MATCH(G436,Gen_Vessels!$C$3:$C$500,0),1)),"")</f>
        <v/>
      </c>
      <c r="I436" s="25"/>
      <c r="J436" s="25"/>
      <c r="K436" s="25"/>
      <c r="M436" s="25"/>
      <c r="O436" s="25"/>
      <c r="Q436" s="25"/>
      <c r="R436" s="25"/>
      <c r="S436" s="25"/>
      <c r="T436" s="25"/>
      <c r="U436" s="25"/>
      <c r="V436" s="25"/>
      <c r="W436" s="25"/>
      <c r="X436" s="25"/>
    </row>
    <row r="437" spans="1:24" x14ac:dyDescent="0.25">
      <c r="A437" s="18" t="str">
        <f t="shared" si="8"/>
        <v/>
      </c>
      <c r="B437" s="25"/>
      <c r="C437" s="25"/>
      <c r="D437" s="25"/>
      <c r="E437" s="25" t="str">
        <f>IFERROR(IF(ISBLANK(D437),"",INDEX(Gen_Vessels!$A$3:$C$500,MATCH(D437,Gen_Vessels!$C$3:$C$500,0),1)),"")</f>
        <v/>
      </c>
      <c r="F437" s="25"/>
      <c r="G437" s="25"/>
      <c r="H437" s="25" t="str">
        <f>IFERROR(IF(ISBLANK(G437),"",INDEX(Gen_Vessels!$A$3:$C$500,MATCH(G437,Gen_Vessels!$C$3:$C$500,0),1)),"")</f>
        <v/>
      </c>
      <c r="I437" s="25"/>
      <c r="J437" s="25"/>
      <c r="K437" s="25"/>
      <c r="M437" s="25"/>
      <c r="O437" s="25"/>
      <c r="Q437" s="25"/>
      <c r="R437" s="25"/>
      <c r="S437" s="25"/>
      <c r="T437" s="25"/>
      <c r="U437" s="25"/>
      <c r="V437" s="25"/>
      <c r="W437" s="25"/>
      <c r="X437" s="25"/>
    </row>
    <row r="438" spans="1:24" x14ac:dyDescent="0.25">
      <c r="A438" s="18" t="str">
        <f t="shared" si="8"/>
        <v/>
      </c>
      <c r="B438" s="25"/>
      <c r="C438" s="25"/>
      <c r="D438" s="25"/>
      <c r="E438" s="25" t="str">
        <f>IFERROR(IF(ISBLANK(D438),"",INDEX(Gen_Vessels!$A$3:$C$500,MATCH(D438,Gen_Vessels!$C$3:$C$500,0),1)),"")</f>
        <v/>
      </c>
      <c r="F438" s="25"/>
      <c r="G438" s="25"/>
      <c r="H438" s="25" t="str">
        <f>IFERROR(IF(ISBLANK(G438),"",INDEX(Gen_Vessels!$A$3:$C$500,MATCH(G438,Gen_Vessels!$C$3:$C$500,0),1)),"")</f>
        <v/>
      </c>
      <c r="I438" s="25"/>
      <c r="J438" s="25"/>
      <c r="K438" s="25"/>
      <c r="M438" s="25"/>
      <c r="O438" s="25"/>
      <c r="Q438" s="25"/>
      <c r="R438" s="25"/>
      <c r="S438" s="25"/>
      <c r="T438" s="25"/>
      <c r="U438" s="25"/>
      <c r="V438" s="25"/>
      <c r="W438" s="25"/>
      <c r="X438" s="25"/>
    </row>
    <row r="439" spans="1:24" x14ac:dyDescent="0.25">
      <c r="A439" s="18" t="str">
        <f t="shared" si="8"/>
        <v/>
      </c>
      <c r="B439" s="25"/>
      <c r="C439" s="25"/>
      <c r="D439" s="25"/>
      <c r="E439" s="25" t="str">
        <f>IFERROR(IF(ISBLANK(D439),"",INDEX(Gen_Vessels!$A$3:$C$500,MATCH(D439,Gen_Vessels!$C$3:$C$500,0),1)),"")</f>
        <v/>
      </c>
      <c r="F439" s="25"/>
      <c r="G439" s="25"/>
      <c r="H439" s="25" t="str">
        <f>IFERROR(IF(ISBLANK(G439),"",INDEX(Gen_Vessels!$A$3:$C$500,MATCH(G439,Gen_Vessels!$C$3:$C$500,0),1)),"")</f>
        <v/>
      </c>
      <c r="I439" s="25"/>
      <c r="J439" s="25"/>
      <c r="K439" s="25"/>
      <c r="M439" s="25"/>
      <c r="O439" s="25"/>
      <c r="Q439" s="25"/>
      <c r="R439" s="25"/>
      <c r="S439" s="25"/>
      <c r="T439" s="25"/>
      <c r="U439" s="25"/>
      <c r="V439" s="25"/>
      <c r="W439" s="25"/>
      <c r="X439" s="25"/>
    </row>
    <row r="440" spans="1:24" x14ac:dyDescent="0.25">
      <c r="A440" s="18" t="str">
        <f t="shared" si="8"/>
        <v/>
      </c>
      <c r="B440" s="25"/>
      <c r="C440" s="25"/>
      <c r="D440" s="25"/>
      <c r="E440" s="25" t="str">
        <f>IFERROR(IF(ISBLANK(D440),"",INDEX(Gen_Vessels!$A$3:$C$500,MATCH(D440,Gen_Vessels!$C$3:$C$500,0),1)),"")</f>
        <v/>
      </c>
      <c r="F440" s="25"/>
      <c r="G440" s="25"/>
      <c r="H440" s="25" t="str">
        <f>IFERROR(IF(ISBLANK(G440),"",INDEX(Gen_Vessels!$A$3:$C$500,MATCH(G440,Gen_Vessels!$C$3:$C$500,0),1)),"")</f>
        <v/>
      </c>
      <c r="I440" s="25"/>
      <c r="J440" s="25"/>
      <c r="K440" s="25"/>
      <c r="M440" s="25"/>
      <c r="O440" s="25"/>
      <c r="Q440" s="25"/>
      <c r="R440" s="25"/>
      <c r="S440" s="25"/>
      <c r="T440" s="25"/>
      <c r="U440" s="25"/>
      <c r="V440" s="25"/>
      <c r="W440" s="25"/>
      <c r="X440" s="25"/>
    </row>
    <row r="441" spans="1:24" x14ac:dyDescent="0.25">
      <c r="A441" s="18" t="str">
        <f t="shared" si="8"/>
        <v/>
      </c>
      <c r="B441" s="25"/>
      <c r="C441" s="25"/>
      <c r="D441" s="25"/>
      <c r="E441" s="25" t="str">
        <f>IFERROR(IF(ISBLANK(D441),"",INDEX(Gen_Vessels!$A$3:$C$500,MATCH(D441,Gen_Vessels!$C$3:$C$500,0),1)),"")</f>
        <v/>
      </c>
      <c r="F441" s="25"/>
      <c r="G441" s="25"/>
      <c r="H441" s="25" t="str">
        <f>IFERROR(IF(ISBLANK(G441),"",INDEX(Gen_Vessels!$A$3:$C$500,MATCH(G441,Gen_Vessels!$C$3:$C$500,0),1)),"")</f>
        <v/>
      </c>
      <c r="I441" s="25"/>
      <c r="J441" s="25"/>
      <c r="K441" s="25"/>
      <c r="M441" s="25"/>
      <c r="O441" s="25"/>
      <c r="Q441" s="25"/>
      <c r="R441" s="25"/>
      <c r="S441" s="25"/>
      <c r="T441" s="25"/>
      <c r="U441" s="25"/>
      <c r="V441" s="25"/>
      <c r="W441" s="25"/>
      <c r="X441" s="25"/>
    </row>
    <row r="442" spans="1:24" x14ac:dyDescent="0.25">
      <c r="A442" s="18" t="str">
        <f t="shared" si="8"/>
        <v/>
      </c>
      <c r="B442" s="25"/>
      <c r="C442" s="25"/>
      <c r="D442" s="25"/>
      <c r="E442" s="25" t="str">
        <f>IFERROR(IF(ISBLANK(D442),"",INDEX(Gen_Vessels!$A$3:$C$500,MATCH(D442,Gen_Vessels!$C$3:$C$500,0),1)),"")</f>
        <v/>
      </c>
      <c r="F442" s="25"/>
      <c r="G442" s="25"/>
      <c r="H442" s="25" t="str">
        <f>IFERROR(IF(ISBLANK(G442),"",INDEX(Gen_Vessels!$A$3:$C$500,MATCH(G442,Gen_Vessels!$C$3:$C$500,0),1)),"")</f>
        <v/>
      </c>
      <c r="I442" s="25"/>
      <c r="J442" s="25"/>
      <c r="K442" s="25"/>
      <c r="M442" s="25"/>
      <c r="O442" s="25"/>
      <c r="Q442" s="25"/>
      <c r="R442" s="25"/>
      <c r="S442" s="25"/>
      <c r="T442" s="25"/>
      <c r="U442" s="25"/>
      <c r="V442" s="25"/>
      <c r="W442" s="25"/>
      <c r="X442" s="25"/>
    </row>
    <row r="443" spans="1:24" x14ac:dyDescent="0.25">
      <c r="A443" s="18" t="str">
        <f t="shared" si="8"/>
        <v/>
      </c>
      <c r="B443" s="25"/>
      <c r="C443" s="25"/>
      <c r="D443" s="25"/>
      <c r="E443" s="25" t="str">
        <f>IFERROR(IF(ISBLANK(D443),"",INDEX(Gen_Vessels!$A$3:$C$500,MATCH(D443,Gen_Vessels!$C$3:$C$500,0),1)),"")</f>
        <v/>
      </c>
      <c r="F443" s="25"/>
      <c r="G443" s="25"/>
      <c r="H443" s="25" t="str">
        <f>IFERROR(IF(ISBLANK(G443),"",INDEX(Gen_Vessels!$A$3:$C$500,MATCH(G443,Gen_Vessels!$C$3:$C$500,0),1)),"")</f>
        <v/>
      </c>
      <c r="I443" s="25"/>
      <c r="J443" s="25"/>
      <c r="K443" s="25"/>
      <c r="M443" s="25"/>
      <c r="O443" s="25"/>
      <c r="Q443" s="25"/>
      <c r="R443" s="25"/>
      <c r="S443" s="25"/>
      <c r="T443" s="25"/>
      <c r="U443" s="25"/>
      <c r="V443" s="25"/>
      <c r="W443" s="25"/>
      <c r="X443" s="25"/>
    </row>
    <row r="444" spans="1:24" x14ac:dyDescent="0.25">
      <c r="A444" s="18" t="str">
        <f t="shared" si="8"/>
        <v/>
      </c>
      <c r="B444" s="25"/>
      <c r="C444" s="25"/>
      <c r="D444" s="25"/>
      <c r="E444" s="25" t="str">
        <f>IFERROR(IF(ISBLANK(D444),"",INDEX(Gen_Vessels!$A$3:$C$500,MATCH(D444,Gen_Vessels!$C$3:$C$500,0),1)),"")</f>
        <v/>
      </c>
      <c r="F444" s="25"/>
      <c r="G444" s="25"/>
      <c r="H444" s="25" t="str">
        <f>IFERROR(IF(ISBLANK(G444),"",INDEX(Gen_Vessels!$A$3:$C$500,MATCH(G444,Gen_Vessels!$C$3:$C$500,0),1)),"")</f>
        <v/>
      </c>
      <c r="I444" s="25"/>
      <c r="J444" s="25"/>
      <c r="K444" s="25"/>
      <c r="M444" s="25"/>
      <c r="O444" s="25"/>
      <c r="Q444" s="25"/>
      <c r="R444" s="25"/>
      <c r="S444" s="25"/>
      <c r="T444" s="25"/>
      <c r="U444" s="25"/>
      <c r="V444" s="25"/>
      <c r="W444" s="25"/>
      <c r="X444" s="25"/>
    </row>
    <row r="445" spans="1:24" x14ac:dyDescent="0.25">
      <c r="A445" s="18" t="str">
        <f t="shared" si="8"/>
        <v/>
      </c>
      <c r="B445" s="25"/>
      <c r="C445" s="25"/>
      <c r="D445" s="25"/>
      <c r="E445" s="25" t="str">
        <f>IFERROR(IF(ISBLANK(D445),"",INDEX(Gen_Vessels!$A$3:$C$500,MATCH(D445,Gen_Vessels!$C$3:$C$500,0),1)),"")</f>
        <v/>
      </c>
      <c r="F445" s="25"/>
      <c r="G445" s="25"/>
      <c r="H445" s="25" t="str">
        <f>IFERROR(IF(ISBLANK(G445),"",INDEX(Gen_Vessels!$A$3:$C$500,MATCH(G445,Gen_Vessels!$C$3:$C$500,0),1)),"")</f>
        <v/>
      </c>
      <c r="I445" s="25"/>
      <c r="J445" s="25"/>
      <c r="K445" s="25"/>
      <c r="M445" s="25"/>
      <c r="O445" s="25"/>
      <c r="Q445" s="25"/>
      <c r="R445" s="25"/>
      <c r="S445" s="25"/>
      <c r="T445" s="25"/>
      <c r="U445" s="25"/>
      <c r="V445" s="25"/>
      <c r="W445" s="25"/>
      <c r="X445" s="25"/>
    </row>
    <row r="446" spans="1:24" x14ac:dyDescent="0.25">
      <c r="A446" s="18" t="str">
        <f t="shared" si="8"/>
        <v/>
      </c>
      <c r="B446" s="25"/>
      <c r="C446" s="25"/>
      <c r="D446" s="25"/>
      <c r="E446" s="25" t="str">
        <f>IFERROR(IF(ISBLANK(D446),"",INDEX(Gen_Vessels!$A$3:$C$500,MATCH(D446,Gen_Vessels!$C$3:$C$500,0),1)),"")</f>
        <v/>
      </c>
      <c r="F446" s="25"/>
      <c r="G446" s="25"/>
      <c r="H446" s="25" t="str">
        <f>IFERROR(IF(ISBLANK(G446),"",INDEX(Gen_Vessels!$A$3:$C$500,MATCH(G446,Gen_Vessels!$C$3:$C$500,0),1)),"")</f>
        <v/>
      </c>
      <c r="I446" s="25"/>
      <c r="J446" s="25"/>
      <c r="K446" s="25"/>
      <c r="M446" s="25"/>
      <c r="O446" s="25"/>
      <c r="Q446" s="25"/>
      <c r="R446" s="25"/>
      <c r="S446" s="25"/>
      <c r="T446" s="25"/>
      <c r="U446" s="25"/>
      <c r="V446" s="25"/>
      <c r="W446" s="25"/>
      <c r="X446" s="25"/>
    </row>
    <row r="447" spans="1:24" x14ac:dyDescent="0.25">
      <c r="A447" s="18" t="str">
        <f t="shared" si="8"/>
        <v/>
      </c>
      <c r="B447" s="25"/>
      <c r="C447" s="25"/>
      <c r="D447" s="25"/>
      <c r="E447" s="25" t="str">
        <f>IFERROR(IF(ISBLANK(D447),"",INDEX(Gen_Vessels!$A$3:$C$500,MATCH(D447,Gen_Vessels!$C$3:$C$500,0),1)),"")</f>
        <v/>
      </c>
      <c r="F447" s="25"/>
      <c r="G447" s="25"/>
      <c r="H447" s="25" t="str">
        <f>IFERROR(IF(ISBLANK(G447),"",INDEX(Gen_Vessels!$A$3:$C$500,MATCH(G447,Gen_Vessels!$C$3:$C$500,0),1)),"")</f>
        <v/>
      </c>
      <c r="I447" s="25"/>
      <c r="J447" s="25"/>
      <c r="K447" s="25"/>
      <c r="M447" s="25"/>
      <c r="O447" s="25"/>
      <c r="Q447" s="25"/>
      <c r="R447" s="25"/>
      <c r="S447" s="25"/>
      <c r="T447" s="25"/>
      <c r="U447" s="25"/>
      <c r="V447" s="25"/>
      <c r="W447" s="25"/>
      <c r="X447" s="25"/>
    </row>
    <row r="448" spans="1:24" x14ac:dyDescent="0.25">
      <c r="A448" s="18" t="str">
        <f t="shared" si="8"/>
        <v/>
      </c>
      <c r="B448" s="25"/>
      <c r="C448" s="25"/>
      <c r="D448" s="25"/>
      <c r="E448" s="25" t="str">
        <f>IFERROR(IF(ISBLANK(D448),"",INDEX(Gen_Vessels!$A$3:$C$500,MATCH(D448,Gen_Vessels!$C$3:$C$500,0),1)),"")</f>
        <v/>
      </c>
      <c r="F448" s="25"/>
      <c r="G448" s="25"/>
      <c r="H448" s="25" t="str">
        <f>IFERROR(IF(ISBLANK(G448),"",INDEX(Gen_Vessels!$A$3:$C$500,MATCH(G448,Gen_Vessels!$C$3:$C$500,0),1)),"")</f>
        <v/>
      </c>
      <c r="I448" s="25"/>
      <c r="J448" s="25"/>
      <c r="K448" s="25"/>
      <c r="M448" s="25"/>
      <c r="O448" s="25"/>
      <c r="Q448" s="25"/>
      <c r="R448" s="25"/>
      <c r="S448" s="25"/>
      <c r="T448" s="25"/>
      <c r="U448" s="25"/>
      <c r="V448" s="25"/>
      <c r="W448" s="25"/>
      <c r="X448" s="25"/>
    </row>
    <row r="449" spans="1:24" x14ac:dyDescent="0.25">
      <c r="A449" s="18" t="str">
        <f t="shared" si="8"/>
        <v/>
      </c>
      <c r="B449" s="25"/>
      <c r="C449" s="25"/>
      <c r="D449" s="25"/>
      <c r="E449" s="25" t="str">
        <f>IFERROR(IF(ISBLANK(D449),"",INDEX(Gen_Vessels!$A$3:$C$500,MATCH(D449,Gen_Vessels!$C$3:$C$500,0),1)),"")</f>
        <v/>
      </c>
      <c r="F449" s="25"/>
      <c r="G449" s="25"/>
      <c r="H449" s="25" t="str">
        <f>IFERROR(IF(ISBLANK(G449),"",INDEX(Gen_Vessels!$A$3:$C$500,MATCH(G449,Gen_Vessels!$C$3:$C$500,0),1)),"")</f>
        <v/>
      </c>
      <c r="I449" s="25"/>
      <c r="J449" s="25"/>
      <c r="K449" s="25"/>
      <c r="M449" s="25"/>
      <c r="O449" s="25"/>
      <c r="Q449" s="25"/>
      <c r="R449" s="25"/>
      <c r="S449" s="25"/>
      <c r="T449" s="25"/>
      <c r="U449" s="25"/>
      <c r="V449" s="25"/>
      <c r="W449" s="25"/>
      <c r="X449" s="25"/>
    </row>
    <row r="450" spans="1:24" x14ac:dyDescent="0.25">
      <c r="A450" s="18" t="str">
        <f t="shared" si="8"/>
        <v/>
      </c>
      <c r="B450" s="25"/>
      <c r="C450" s="25"/>
      <c r="D450" s="25"/>
      <c r="E450" s="25" t="str">
        <f>IFERROR(IF(ISBLANK(D450),"",INDEX(Gen_Vessels!$A$3:$C$500,MATCH(D450,Gen_Vessels!$C$3:$C$500,0),1)),"")</f>
        <v/>
      </c>
      <c r="F450" s="25"/>
      <c r="G450" s="25"/>
      <c r="H450" s="25" t="str">
        <f>IFERROR(IF(ISBLANK(G450),"",INDEX(Gen_Vessels!$A$3:$C$500,MATCH(G450,Gen_Vessels!$C$3:$C$500,0),1)),"")</f>
        <v/>
      </c>
      <c r="I450" s="25"/>
      <c r="J450" s="25"/>
      <c r="K450" s="25"/>
      <c r="M450" s="25"/>
      <c r="O450" s="25"/>
      <c r="Q450" s="25"/>
      <c r="R450" s="25"/>
      <c r="S450" s="25"/>
      <c r="T450" s="25"/>
      <c r="U450" s="25"/>
      <c r="V450" s="25"/>
      <c r="W450" s="25"/>
      <c r="X450" s="25"/>
    </row>
    <row r="451" spans="1:24" x14ac:dyDescent="0.25">
      <c r="A451" s="18" t="str">
        <f t="shared" si="8"/>
        <v/>
      </c>
      <c r="B451" s="25"/>
      <c r="C451" s="25"/>
      <c r="D451" s="25"/>
      <c r="E451" s="25" t="str">
        <f>IFERROR(IF(ISBLANK(D451),"",INDEX(Gen_Vessels!$A$3:$C$500,MATCH(D451,Gen_Vessels!$C$3:$C$500,0),1)),"")</f>
        <v/>
      </c>
      <c r="F451" s="25"/>
      <c r="G451" s="25"/>
      <c r="H451" s="25" t="str">
        <f>IFERROR(IF(ISBLANK(G451),"",INDEX(Gen_Vessels!$A$3:$C$500,MATCH(G451,Gen_Vessels!$C$3:$C$500,0),1)),"")</f>
        <v/>
      </c>
      <c r="I451" s="25"/>
      <c r="J451" s="25"/>
      <c r="K451" s="25"/>
      <c r="M451" s="25"/>
      <c r="O451" s="25"/>
      <c r="Q451" s="25"/>
      <c r="R451" s="25"/>
      <c r="S451" s="25"/>
      <c r="T451" s="25"/>
      <c r="U451" s="25"/>
      <c r="V451" s="25"/>
      <c r="W451" s="25"/>
      <c r="X451" s="25"/>
    </row>
    <row r="452" spans="1:24" x14ac:dyDescent="0.25">
      <c r="A452" s="18" t="str">
        <f t="shared" ref="A452:A500" si="9">IF(ISBLANK($B452)=FALSE,_xlfn.CONCAT($B452,"_tow"),"")</f>
        <v/>
      </c>
      <c r="B452" s="25"/>
      <c r="C452" s="25"/>
      <c r="D452" s="25"/>
      <c r="E452" s="25" t="str">
        <f>IFERROR(IF(ISBLANK(D452),"",INDEX(Gen_Vessels!$A$3:$C$500,MATCH(D452,Gen_Vessels!$C$3:$C$500,0),1)),"")</f>
        <v/>
      </c>
      <c r="F452" s="25"/>
      <c r="G452" s="25"/>
      <c r="H452" s="25" t="str">
        <f>IFERROR(IF(ISBLANK(G452),"",INDEX(Gen_Vessels!$A$3:$C$500,MATCH(G452,Gen_Vessels!$C$3:$C$500,0),1)),"")</f>
        <v/>
      </c>
      <c r="I452" s="25"/>
      <c r="J452" s="25"/>
      <c r="K452" s="25"/>
      <c r="M452" s="25"/>
      <c r="O452" s="25"/>
      <c r="Q452" s="25"/>
      <c r="R452" s="25"/>
      <c r="S452" s="25"/>
      <c r="T452" s="25"/>
      <c r="U452" s="25"/>
      <c r="V452" s="25"/>
      <c r="W452" s="25"/>
      <c r="X452" s="25"/>
    </row>
    <row r="453" spans="1:24" x14ac:dyDescent="0.25">
      <c r="A453" s="18" t="str">
        <f t="shared" si="9"/>
        <v/>
      </c>
      <c r="B453" s="25"/>
      <c r="C453" s="25"/>
      <c r="D453" s="25"/>
      <c r="E453" s="25" t="str">
        <f>IFERROR(IF(ISBLANK(D453),"",INDEX(Gen_Vessels!$A$3:$C$500,MATCH(D453,Gen_Vessels!$C$3:$C$500,0),1)),"")</f>
        <v/>
      </c>
      <c r="F453" s="25"/>
      <c r="G453" s="25"/>
      <c r="H453" s="25" t="str">
        <f>IFERROR(IF(ISBLANK(G453),"",INDEX(Gen_Vessels!$A$3:$C$500,MATCH(G453,Gen_Vessels!$C$3:$C$500,0),1)),"")</f>
        <v/>
      </c>
      <c r="I453" s="25"/>
      <c r="J453" s="25"/>
      <c r="K453" s="25"/>
      <c r="M453" s="25"/>
      <c r="O453" s="25"/>
      <c r="Q453" s="25"/>
      <c r="R453" s="25"/>
      <c r="S453" s="25"/>
      <c r="T453" s="25"/>
      <c r="U453" s="25"/>
      <c r="V453" s="25"/>
      <c r="W453" s="25"/>
      <c r="X453" s="25"/>
    </row>
    <row r="454" spans="1:24" x14ac:dyDescent="0.25">
      <c r="A454" s="18" t="str">
        <f t="shared" si="9"/>
        <v/>
      </c>
      <c r="B454" s="25"/>
      <c r="C454" s="25"/>
      <c r="D454" s="25"/>
      <c r="E454" s="25" t="str">
        <f>IFERROR(IF(ISBLANK(D454),"",INDEX(Gen_Vessels!$A$3:$C$500,MATCH(D454,Gen_Vessels!$C$3:$C$500,0),1)),"")</f>
        <v/>
      </c>
      <c r="F454" s="25"/>
      <c r="G454" s="25"/>
      <c r="H454" s="25" t="str">
        <f>IFERROR(IF(ISBLANK(G454),"",INDEX(Gen_Vessels!$A$3:$C$500,MATCH(G454,Gen_Vessels!$C$3:$C$500,0),1)),"")</f>
        <v/>
      </c>
      <c r="I454" s="25"/>
      <c r="J454" s="25"/>
      <c r="K454" s="25"/>
      <c r="M454" s="25"/>
      <c r="O454" s="25"/>
      <c r="Q454" s="25"/>
      <c r="R454" s="25"/>
      <c r="S454" s="25"/>
      <c r="T454" s="25"/>
      <c r="U454" s="25"/>
      <c r="V454" s="25"/>
      <c r="W454" s="25"/>
      <c r="X454" s="25"/>
    </row>
    <row r="455" spans="1:24" x14ac:dyDescent="0.25">
      <c r="A455" s="18" t="str">
        <f t="shared" si="9"/>
        <v/>
      </c>
      <c r="B455" s="25"/>
      <c r="C455" s="25"/>
      <c r="D455" s="25"/>
      <c r="E455" s="25" t="str">
        <f>IFERROR(IF(ISBLANK(D455),"",INDEX(Gen_Vessels!$A$3:$C$500,MATCH(D455,Gen_Vessels!$C$3:$C$500,0),1)),"")</f>
        <v/>
      </c>
      <c r="F455" s="25"/>
      <c r="G455" s="25"/>
      <c r="H455" s="25" t="str">
        <f>IFERROR(IF(ISBLANK(G455),"",INDEX(Gen_Vessels!$A$3:$C$500,MATCH(G455,Gen_Vessels!$C$3:$C$500,0),1)),"")</f>
        <v/>
      </c>
      <c r="I455" s="25"/>
      <c r="J455" s="25"/>
      <c r="K455" s="25"/>
      <c r="M455" s="25"/>
      <c r="O455" s="25"/>
      <c r="Q455" s="25"/>
      <c r="R455" s="25"/>
      <c r="S455" s="25"/>
      <c r="T455" s="25"/>
      <c r="U455" s="25"/>
      <c r="V455" s="25"/>
      <c r="W455" s="25"/>
      <c r="X455" s="25"/>
    </row>
    <row r="456" spans="1:24" x14ac:dyDescent="0.25">
      <c r="A456" s="18" t="str">
        <f t="shared" si="9"/>
        <v/>
      </c>
      <c r="B456" s="25"/>
      <c r="C456" s="25"/>
      <c r="D456" s="25"/>
      <c r="E456" s="25" t="str">
        <f>IFERROR(IF(ISBLANK(D456),"",INDEX(Gen_Vessels!$A$3:$C$500,MATCH(D456,Gen_Vessels!$C$3:$C$500,0),1)),"")</f>
        <v/>
      </c>
      <c r="F456" s="25"/>
      <c r="G456" s="25"/>
      <c r="H456" s="25" t="str">
        <f>IFERROR(IF(ISBLANK(G456),"",INDEX(Gen_Vessels!$A$3:$C$500,MATCH(G456,Gen_Vessels!$C$3:$C$500,0),1)),"")</f>
        <v/>
      </c>
      <c r="I456" s="25"/>
      <c r="J456" s="25"/>
      <c r="K456" s="25"/>
      <c r="M456" s="25"/>
      <c r="O456" s="25"/>
      <c r="Q456" s="25"/>
      <c r="R456" s="25"/>
      <c r="S456" s="25"/>
      <c r="T456" s="25"/>
      <c r="U456" s="25"/>
      <c r="V456" s="25"/>
      <c r="W456" s="25"/>
      <c r="X456" s="25"/>
    </row>
    <row r="457" spans="1:24" x14ac:dyDescent="0.25">
      <c r="A457" s="18" t="str">
        <f t="shared" si="9"/>
        <v/>
      </c>
      <c r="B457" s="25"/>
      <c r="C457" s="25"/>
      <c r="D457" s="25"/>
      <c r="E457" s="25" t="str">
        <f>IFERROR(IF(ISBLANK(D457),"",INDEX(Gen_Vessels!$A$3:$C$500,MATCH(D457,Gen_Vessels!$C$3:$C$500,0),1)),"")</f>
        <v/>
      </c>
      <c r="F457" s="25"/>
      <c r="G457" s="25"/>
      <c r="H457" s="25" t="str">
        <f>IFERROR(IF(ISBLANK(G457),"",INDEX(Gen_Vessels!$A$3:$C$500,MATCH(G457,Gen_Vessels!$C$3:$C$500,0),1)),"")</f>
        <v/>
      </c>
      <c r="I457" s="25"/>
      <c r="J457" s="25"/>
      <c r="K457" s="25"/>
      <c r="M457" s="25"/>
      <c r="O457" s="25"/>
      <c r="Q457" s="25"/>
      <c r="R457" s="25"/>
      <c r="S457" s="25"/>
      <c r="T457" s="25"/>
      <c r="U457" s="25"/>
      <c r="V457" s="25"/>
      <c r="W457" s="25"/>
      <c r="X457" s="25"/>
    </row>
    <row r="458" spans="1:24" x14ac:dyDescent="0.25">
      <c r="A458" s="18" t="str">
        <f t="shared" si="9"/>
        <v/>
      </c>
      <c r="B458" s="25"/>
      <c r="C458" s="25"/>
      <c r="D458" s="25"/>
      <c r="E458" s="25" t="str">
        <f>IFERROR(IF(ISBLANK(D458),"",INDEX(Gen_Vessels!$A$3:$C$500,MATCH(D458,Gen_Vessels!$C$3:$C$500,0),1)),"")</f>
        <v/>
      </c>
      <c r="F458" s="25"/>
      <c r="G458" s="25"/>
      <c r="H458" s="25" t="str">
        <f>IFERROR(IF(ISBLANK(G458),"",INDEX(Gen_Vessels!$A$3:$C$500,MATCH(G458,Gen_Vessels!$C$3:$C$500,0),1)),"")</f>
        <v/>
      </c>
      <c r="I458" s="25"/>
      <c r="J458" s="25"/>
      <c r="K458" s="25"/>
      <c r="M458" s="25"/>
      <c r="O458" s="25"/>
      <c r="Q458" s="25"/>
      <c r="R458" s="25"/>
      <c r="S458" s="25"/>
      <c r="T458" s="25"/>
      <c r="U458" s="25"/>
      <c r="V458" s="25"/>
      <c r="W458" s="25"/>
      <c r="X458" s="25"/>
    </row>
    <row r="459" spans="1:24" x14ac:dyDescent="0.25">
      <c r="A459" s="18" t="str">
        <f t="shared" si="9"/>
        <v/>
      </c>
      <c r="B459" s="25"/>
      <c r="C459" s="25"/>
      <c r="D459" s="25"/>
      <c r="E459" s="25" t="str">
        <f>IFERROR(IF(ISBLANK(D459),"",INDEX(Gen_Vessels!$A$3:$C$500,MATCH(D459,Gen_Vessels!$C$3:$C$500,0),1)),"")</f>
        <v/>
      </c>
      <c r="F459" s="25"/>
      <c r="G459" s="25"/>
      <c r="H459" s="25" t="str">
        <f>IFERROR(IF(ISBLANK(G459),"",INDEX(Gen_Vessels!$A$3:$C$500,MATCH(G459,Gen_Vessels!$C$3:$C$500,0),1)),"")</f>
        <v/>
      </c>
      <c r="I459" s="25"/>
      <c r="J459" s="25"/>
      <c r="K459" s="25"/>
      <c r="M459" s="25"/>
      <c r="O459" s="25"/>
      <c r="Q459" s="25"/>
      <c r="R459" s="25"/>
      <c r="S459" s="25"/>
      <c r="T459" s="25"/>
      <c r="U459" s="25"/>
      <c r="V459" s="25"/>
      <c r="W459" s="25"/>
      <c r="X459" s="25"/>
    </row>
    <row r="460" spans="1:24" x14ac:dyDescent="0.25">
      <c r="A460" s="18" t="str">
        <f t="shared" si="9"/>
        <v/>
      </c>
      <c r="B460" s="25"/>
      <c r="C460" s="25"/>
      <c r="D460" s="25"/>
      <c r="E460" s="25" t="str">
        <f>IFERROR(IF(ISBLANK(D460),"",INDEX(Gen_Vessels!$A$3:$C$500,MATCH(D460,Gen_Vessels!$C$3:$C$500,0),1)),"")</f>
        <v/>
      </c>
      <c r="F460" s="25"/>
      <c r="G460" s="25"/>
      <c r="H460" s="25" t="str">
        <f>IFERROR(IF(ISBLANK(G460),"",INDEX(Gen_Vessels!$A$3:$C$500,MATCH(G460,Gen_Vessels!$C$3:$C$500,0),1)),"")</f>
        <v/>
      </c>
      <c r="I460" s="25"/>
      <c r="J460" s="25"/>
      <c r="K460" s="25"/>
      <c r="M460" s="25"/>
      <c r="O460" s="25"/>
      <c r="Q460" s="25"/>
      <c r="R460" s="25"/>
      <c r="S460" s="25"/>
      <c r="T460" s="25"/>
      <c r="U460" s="25"/>
      <c r="V460" s="25"/>
      <c r="W460" s="25"/>
      <c r="X460" s="25"/>
    </row>
    <row r="461" spans="1:24" x14ac:dyDescent="0.25">
      <c r="A461" s="18" t="str">
        <f t="shared" si="9"/>
        <v/>
      </c>
      <c r="B461" s="25"/>
      <c r="C461" s="25"/>
      <c r="D461" s="25"/>
      <c r="E461" s="25" t="str">
        <f>IFERROR(IF(ISBLANK(D461),"",INDEX(Gen_Vessels!$A$3:$C$500,MATCH(D461,Gen_Vessels!$C$3:$C$500,0),1)),"")</f>
        <v/>
      </c>
      <c r="F461" s="25"/>
      <c r="G461" s="25"/>
      <c r="H461" s="25" t="str">
        <f>IFERROR(IF(ISBLANK(G461),"",INDEX(Gen_Vessels!$A$3:$C$500,MATCH(G461,Gen_Vessels!$C$3:$C$500,0),1)),"")</f>
        <v/>
      </c>
      <c r="I461" s="25"/>
      <c r="J461" s="25"/>
      <c r="K461" s="25"/>
      <c r="M461" s="25"/>
      <c r="O461" s="25"/>
      <c r="Q461" s="25"/>
      <c r="R461" s="25"/>
      <c r="S461" s="25"/>
      <c r="T461" s="25"/>
      <c r="U461" s="25"/>
      <c r="V461" s="25"/>
      <c r="W461" s="25"/>
      <c r="X461" s="25"/>
    </row>
    <row r="462" spans="1:24" x14ac:dyDescent="0.25">
      <c r="A462" s="18" t="str">
        <f t="shared" si="9"/>
        <v/>
      </c>
      <c r="B462" s="25"/>
      <c r="C462" s="25"/>
      <c r="D462" s="25"/>
      <c r="E462" s="25" t="str">
        <f>IFERROR(IF(ISBLANK(D462),"",INDEX(Gen_Vessels!$A$3:$C$500,MATCH(D462,Gen_Vessels!$C$3:$C$500,0),1)),"")</f>
        <v/>
      </c>
      <c r="F462" s="25"/>
      <c r="G462" s="25"/>
      <c r="H462" s="25" t="str">
        <f>IFERROR(IF(ISBLANK(G462),"",INDEX(Gen_Vessels!$A$3:$C$500,MATCH(G462,Gen_Vessels!$C$3:$C$500,0),1)),"")</f>
        <v/>
      </c>
      <c r="I462" s="25"/>
      <c r="J462" s="25"/>
      <c r="K462" s="25"/>
      <c r="M462" s="25"/>
      <c r="O462" s="25"/>
      <c r="Q462" s="25"/>
      <c r="R462" s="25"/>
      <c r="S462" s="25"/>
      <c r="T462" s="25"/>
      <c r="U462" s="25"/>
      <c r="V462" s="25"/>
      <c r="W462" s="25"/>
      <c r="X462" s="25"/>
    </row>
    <row r="463" spans="1:24" x14ac:dyDescent="0.25">
      <c r="A463" s="18" t="str">
        <f t="shared" si="9"/>
        <v/>
      </c>
      <c r="B463" s="25"/>
      <c r="C463" s="25"/>
      <c r="D463" s="25"/>
      <c r="E463" s="25" t="str">
        <f>IFERROR(IF(ISBLANK(D463),"",INDEX(Gen_Vessels!$A$3:$C$500,MATCH(D463,Gen_Vessels!$C$3:$C$500,0),1)),"")</f>
        <v/>
      </c>
      <c r="F463" s="25"/>
      <c r="G463" s="25"/>
      <c r="H463" s="25" t="str">
        <f>IFERROR(IF(ISBLANK(G463),"",INDEX(Gen_Vessels!$A$3:$C$500,MATCH(G463,Gen_Vessels!$C$3:$C$500,0),1)),"")</f>
        <v/>
      </c>
      <c r="I463" s="25"/>
      <c r="J463" s="25"/>
      <c r="K463" s="25"/>
      <c r="M463" s="25"/>
      <c r="O463" s="25"/>
      <c r="Q463" s="25"/>
      <c r="R463" s="25"/>
      <c r="S463" s="25"/>
      <c r="T463" s="25"/>
      <c r="U463" s="25"/>
      <c r="V463" s="25"/>
      <c r="W463" s="25"/>
      <c r="X463" s="25"/>
    </row>
    <row r="464" spans="1:24" x14ac:dyDescent="0.25">
      <c r="A464" s="18" t="str">
        <f t="shared" si="9"/>
        <v/>
      </c>
      <c r="B464" s="25"/>
      <c r="C464" s="25"/>
      <c r="D464" s="25"/>
      <c r="E464" s="25" t="str">
        <f>IFERROR(IF(ISBLANK(D464),"",INDEX(Gen_Vessels!$A$3:$C$500,MATCH(D464,Gen_Vessels!$C$3:$C$500,0),1)),"")</f>
        <v/>
      </c>
      <c r="F464" s="25"/>
      <c r="G464" s="25"/>
      <c r="H464" s="25" t="str">
        <f>IFERROR(IF(ISBLANK(G464),"",INDEX(Gen_Vessels!$A$3:$C$500,MATCH(G464,Gen_Vessels!$C$3:$C$500,0),1)),"")</f>
        <v/>
      </c>
      <c r="I464" s="25"/>
      <c r="J464" s="25"/>
      <c r="K464" s="25"/>
      <c r="M464" s="25"/>
      <c r="O464" s="25"/>
      <c r="Q464" s="25"/>
      <c r="R464" s="25"/>
      <c r="S464" s="25"/>
      <c r="T464" s="25"/>
      <c r="U464" s="25"/>
      <c r="V464" s="25"/>
      <c r="W464" s="25"/>
      <c r="X464" s="25"/>
    </row>
    <row r="465" spans="1:24" x14ac:dyDescent="0.25">
      <c r="A465" s="18" t="str">
        <f t="shared" si="9"/>
        <v/>
      </c>
      <c r="B465" s="25"/>
      <c r="C465" s="25"/>
      <c r="D465" s="25"/>
      <c r="E465" s="25" t="str">
        <f>IFERROR(IF(ISBLANK(D465),"",INDEX(Gen_Vessels!$A$3:$C$500,MATCH(D465,Gen_Vessels!$C$3:$C$500,0),1)),"")</f>
        <v/>
      </c>
      <c r="F465" s="25"/>
      <c r="G465" s="25"/>
      <c r="H465" s="25" t="str">
        <f>IFERROR(IF(ISBLANK(G465),"",INDEX(Gen_Vessels!$A$3:$C$500,MATCH(G465,Gen_Vessels!$C$3:$C$500,0),1)),"")</f>
        <v/>
      </c>
      <c r="I465" s="25"/>
      <c r="J465" s="25"/>
      <c r="K465" s="25"/>
      <c r="M465" s="25"/>
      <c r="O465" s="25"/>
      <c r="Q465" s="25"/>
      <c r="R465" s="25"/>
      <c r="S465" s="25"/>
      <c r="T465" s="25"/>
      <c r="U465" s="25"/>
      <c r="V465" s="25"/>
      <c r="W465" s="25"/>
      <c r="X465" s="25"/>
    </row>
    <row r="466" spans="1:24" x14ac:dyDescent="0.25">
      <c r="A466" s="18" t="str">
        <f t="shared" si="9"/>
        <v/>
      </c>
      <c r="B466" s="25"/>
      <c r="C466" s="25"/>
      <c r="D466" s="25"/>
      <c r="E466" s="25" t="str">
        <f>IFERROR(IF(ISBLANK(D466),"",INDEX(Gen_Vessels!$A$3:$C$500,MATCH(D466,Gen_Vessels!$C$3:$C$500,0),1)),"")</f>
        <v/>
      </c>
      <c r="F466" s="25"/>
      <c r="G466" s="25"/>
      <c r="H466" s="25" t="str">
        <f>IFERROR(IF(ISBLANK(G466),"",INDEX(Gen_Vessels!$A$3:$C$500,MATCH(G466,Gen_Vessels!$C$3:$C$500,0),1)),"")</f>
        <v/>
      </c>
      <c r="I466" s="25"/>
      <c r="J466" s="25"/>
      <c r="K466" s="25"/>
      <c r="M466" s="25"/>
      <c r="O466" s="25"/>
      <c r="Q466" s="25"/>
      <c r="R466" s="25"/>
      <c r="S466" s="25"/>
      <c r="T466" s="25"/>
      <c r="U466" s="25"/>
      <c r="V466" s="25"/>
      <c r="W466" s="25"/>
      <c r="X466" s="25"/>
    </row>
    <row r="467" spans="1:24" x14ac:dyDescent="0.25">
      <c r="A467" s="18" t="str">
        <f t="shared" si="9"/>
        <v/>
      </c>
      <c r="B467" s="25"/>
      <c r="C467" s="25"/>
      <c r="D467" s="25"/>
      <c r="E467" s="25" t="str">
        <f>IFERROR(IF(ISBLANK(D467),"",INDEX(Gen_Vessels!$A$3:$C$500,MATCH(D467,Gen_Vessels!$C$3:$C$500,0),1)),"")</f>
        <v/>
      </c>
      <c r="F467" s="25"/>
      <c r="G467" s="25"/>
      <c r="H467" s="25" t="str">
        <f>IFERROR(IF(ISBLANK(G467),"",INDEX(Gen_Vessels!$A$3:$C$500,MATCH(G467,Gen_Vessels!$C$3:$C$500,0),1)),"")</f>
        <v/>
      </c>
      <c r="I467" s="25"/>
      <c r="J467" s="25"/>
      <c r="K467" s="25"/>
      <c r="M467" s="25"/>
      <c r="O467" s="25"/>
      <c r="Q467" s="25"/>
      <c r="R467" s="25"/>
      <c r="S467" s="25"/>
      <c r="T467" s="25"/>
      <c r="U467" s="25"/>
      <c r="V467" s="25"/>
      <c r="W467" s="25"/>
      <c r="X467" s="25"/>
    </row>
    <row r="468" spans="1:24" x14ac:dyDescent="0.25">
      <c r="A468" s="18" t="str">
        <f t="shared" si="9"/>
        <v/>
      </c>
      <c r="B468" s="25"/>
      <c r="C468" s="25"/>
      <c r="D468" s="25"/>
      <c r="E468" s="25" t="str">
        <f>IFERROR(IF(ISBLANK(D468),"",INDEX(Gen_Vessels!$A$3:$C$500,MATCH(D468,Gen_Vessels!$C$3:$C$500,0),1)),"")</f>
        <v/>
      </c>
      <c r="F468" s="25"/>
      <c r="G468" s="25"/>
      <c r="H468" s="25" t="str">
        <f>IFERROR(IF(ISBLANK(G468),"",INDEX(Gen_Vessels!$A$3:$C$500,MATCH(G468,Gen_Vessels!$C$3:$C$500,0),1)),"")</f>
        <v/>
      </c>
      <c r="I468" s="25"/>
      <c r="J468" s="25"/>
      <c r="K468" s="25"/>
      <c r="M468" s="25"/>
      <c r="O468" s="25"/>
      <c r="Q468" s="25"/>
      <c r="R468" s="25"/>
      <c r="S468" s="25"/>
      <c r="T468" s="25"/>
      <c r="U468" s="25"/>
      <c r="V468" s="25"/>
      <c r="W468" s="25"/>
      <c r="X468" s="25"/>
    </row>
    <row r="469" spans="1:24" x14ac:dyDescent="0.25">
      <c r="A469" s="18" t="str">
        <f t="shared" si="9"/>
        <v/>
      </c>
      <c r="B469" s="25"/>
      <c r="C469" s="25"/>
      <c r="D469" s="25"/>
      <c r="E469" s="25" t="str">
        <f>IFERROR(IF(ISBLANK(D469),"",INDEX(Gen_Vessels!$A$3:$C$500,MATCH(D469,Gen_Vessels!$C$3:$C$500,0),1)),"")</f>
        <v/>
      </c>
      <c r="F469" s="25"/>
      <c r="G469" s="25"/>
      <c r="H469" s="25" t="str">
        <f>IFERROR(IF(ISBLANK(G469),"",INDEX(Gen_Vessels!$A$3:$C$500,MATCH(G469,Gen_Vessels!$C$3:$C$500,0),1)),"")</f>
        <v/>
      </c>
      <c r="I469" s="25"/>
      <c r="J469" s="25"/>
      <c r="K469" s="25"/>
      <c r="M469" s="25"/>
      <c r="O469" s="25"/>
      <c r="Q469" s="25"/>
      <c r="R469" s="25"/>
      <c r="S469" s="25"/>
      <c r="T469" s="25"/>
      <c r="U469" s="25"/>
      <c r="V469" s="25"/>
      <c r="W469" s="25"/>
      <c r="X469" s="25"/>
    </row>
    <row r="470" spans="1:24" x14ac:dyDescent="0.25">
      <c r="A470" s="18" t="str">
        <f t="shared" si="9"/>
        <v/>
      </c>
      <c r="B470" s="25"/>
      <c r="C470" s="25"/>
      <c r="D470" s="25"/>
      <c r="E470" s="25" t="str">
        <f>IFERROR(IF(ISBLANK(D470),"",INDEX(Gen_Vessels!$A$3:$C$500,MATCH(D470,Gen_Vessels!$C$3:$C$500,0),1)),"")</f>
        <v/>
      </c>
      <c r="F470" s="25"/>
      <c r="G470" s="25"/>
      <c r="H470" s="25" t="str">
        <f>IFERROR(IF(ISBLANK(G470),"",INDEX(Gen_Vessels!$A$3:$C$500,MATCH(G470,Gen_Vessels!$C$3:$C$500,0),1)),"")</f>
        <v/>
      </c>
      <c r="I470" s="25"/>
      <c r="J470" s="25"/>
      <c r="K470" s="25"/>
      <c r="M470" s="25"/>
      <c r="O470" s="25"/>
      <c r="Q470" s="25"/>
      <c r="R470" s="25"/>
      <c r="S470" s="25"/>
      <c r="T470" s="25"/>
      <c r="U470" s="25"/>
      <c r="V470" s="25"/>
      <c r="W470" s="25"/>
      <c r="X470" s="25"/>
    </row>
    <row r="471" spans="1:24" x14ac:dyDescent="0.25">
      <c r="A471" s="18" t="str">
        <f t="shared" si="9"/>
        <v/>
      </c>
      <c r="B471" s="25"/>
      <c r="C471" s="25"/>
      <c r="D471" s="25"/>
      <c r="E471" s="25" t="str">
        <f>IFERROR(IF(ISBLANK(D471),"",INDEX(Gen_Vessels!$A$3:$C$500,MATCH(D471,Gen_Vessels!$C$3:$C$500,0),1)),"")</f>
        <v/>
      </c>
      <c r="F471" s="25"/>
      <c r="G471" s="25"/>
      <c r="H471" s="25" t="str">
        <f>IFERROR(IF(ISBLANK(G471),"",INDEX(Gen_Vessels!$A$3:$C$500,MATCH(G471,Gen_Vessels!$C$3:$C$500,0),1)),"")</f>
        <v/>
      </c>
      <c r="I471" s="25"/>
      <c r="J471" s="25"/>
      <c r="K471" s="25"/>
      <c r="M471" s="25"/>
      <c r="O471" s="25"/>
      <c r="Q471" s="25"/>
      <c r="R471" s="25"/>
      <c r="S471" s="25"/>
      <c r="T471" s="25"/>
      <c r="U471" s="25"/>
      <c r="V471" s="25"/>
      <c r="W471" s="25"/>
      <c r="X471" s="25"/>
    </row>
    <row r="472" spans="1:24" x14ac:dyDescent="0.25">
      <c r="A472" s="18" t="str">
        <f t="shared" si="9"/>
        <v/>
      </c>
      <c r="B472" s="25"/>
      <c r="C472" s="25"/>
      <c r="D472" s="25"/>
      <c r="E472" s="25" t="str">
        <f>IFERROR(IF(ISBLANK(D472),"",INDEX(Gen_Vessels!$A$3:$C$500,MATCH(D472,Gen_Vessels!$C$3:$C$500,0),1)),"")</f>
        <v/>
      </c>
      <c r="F472" s="25"/>
      <c r="G472" s="25"/>
      <c r="H472" s="25" t="str">
        <f>IFERROR(IF(ISBLANK(G472),"",INDEX(Gen_Vessels!$A$3:$C$500,MATCH(G472,Gen_Vessels!$C$3:$C$500,0),1)),"")</f>
        <v/>
      </c>
      <c r="I472" s="25"/>
      <c r="J472" s="25"/>
      <c r="K472" s="25"/>
      <c r="M472" s="25"/>
      <c r="O472" s="25"/>
      <c r="Q472" s="25"/>
      <c r="R472" s="25"/>
      <c r="S472" s="25"/>
      <c r="T472" s="25"/>
      <c r="U472" s="25"/>
      <c r="V472" s="25"/>
      <c r="W472" s="25"/>
      <c r="X472" s="25"/>
    </row>
    <row r="473" spans="1:24" x14ac:dyDescent="0.25">
      <c r="A473" s="18" t="str">
        <f t="shared" si="9"/>
        <v/>
      </c>
      <c r="B473" s="25"/>
      <c r="C473" s="25"/>
      <c r="D473" s="25"/>
      <c r="E473" s="25" t="str">
        <f>IFERROR(IF(ISBLANK(D473),"",INDEX(Gen_Vessels!$A$3:$C$500,MATCH(D473,Gen_Vessels!$C$3:$C$500,0),1)),"")</f>
        <v/>
      </c>
      <c r="F473" s="25"/>
      <c r="G473" s="25"/>
      <c r="H473" s="25" t="str">
        <f>IFERROR(IF(ISBLANK(G473),"",INDEX(Gen_Vessels!$A$3:$C$500,MATCH(G473,Gen_Vessels!$C$3:$C$500,0),1)),"")</f>
        <v/>
      </c>
      <c r="I473" s="25"/>
      <c r="J473" s="25"/>
      <c r="K473" s="25"/>
      <c r="M473" s="25"/>
      <c r="O473" s="25"/>
      <c r="Q473" s="25"/>
      <c r="R473" s="25"/>
      <c r="S473" s="25"/>
      <c r="T473" s="25"/>
      <c r="U473" s="25"/>
      <c r="V473" s="25"/>
      <c r="W473" s="25"/>
      <c r="X473" s="25"/>
    </row>
    <row r="474" spans="1:24" x14ac:dyDescent="0.25">
      <c r="A474" s="18" t="str">
        <f t="shared" si="9"/>
        <v/>
      </c>
      <c r="B474" s="25"/>
      <c r="C474" s="25"/>
      <c r="D474" s="25"/>
      <c r="E474" s="25" t="str">
        <f>IFERROR(IF(ISBLANK(D474),"",INDEX(Gen_Vessels!$A$3:$C$500,MATCH(D474,Gen_Vessels!$C$3:$C$500,0),1)),"")</f>
        <v/>
      </c>
      <c r="F474" s="25"/>
      <c r="G474" s="25"/>
      <c r="H474" s="25" t="str">
        <f>IFERROR(IF(ISBLANK(G474),"",INDEX(Gen_Vessels!$A$3:$C$500,MATCH(G474,Gen_Vessels!$C$3:$C$500,0),1)),"")</f>
        <v/>
      </c>
      <c r="I474" s="25"/>
      <c r="J474" s="25"/>
      <c r="K474" s="25"/>
      <c r="M474" s="25"/>
      <c r="O474" s="25"/>
      <c r="Q474" s="25"/>
      <c r="R474" s="25"/>
      <c r="S474" s="25"/>
      <c r="T474" s="25"/>
      <c r="U474" s="25"/>
      <c r="V474" s="25"/>
      <c r="W474" s="25"/>
      <c r="X474" s="25"/>
    </row>
    <row r="475" spans="1:24" x14ac:dyDescent="0.25">
      <c r="A475" s="18" t="str">
        <f t="shared" si="9"/>
        <v/>
      </c>
      <c r="B475" s="25"/>
      <c r="C475" s="25"/>
      <c r="D475" s="25"/>
      <c r="E475" s="25" t="str">
        <f>IFERROR(IF(ISBLANK(D475),"",INDEX(Gen_Vessels!$A$3:$C$500,MATCH(D475,Gen_Vessels!$C$3:$C$500,0),1)),"")</f>
        <v/>
      </c>
      <c r="F475" s="25"/>
      <c r="G475" s="25"/>
      <c r="H475" s="25" t="str">
        <f>IFERROR(IF(ISBLANK(G475),"",INDEX(Gen_Vessels!$A$3:$C$500,MATCH(G475,Gen_Vessels!$C$3:$C$500,0),1)),"")</f>
        <v/>
      </c>
      <c r="I475" s="25"/>
      <c r="J475" s="25"/>
      <c r="K475" s="25"/>
      <c r="M475" s="25"/>
      <c r="O475" s="25"/>
      <c r="Q475" s="25"/>
      <c r="R475" s="25"/>
      <c r="S475" s="25"/>
      <c r="T475" s="25"/>
      <c r="U475" s="25"/>
      <c r="V475" s="25"/>
      <c r="W475" s="25"/>
      <c r="X475" s="25"/>
    </row>
    <row r="476" spans="1:24" x14ac:dyDescent="0.25">
      <c r="A476" s="18" t="str">
        <f t="shared" si="9"/>
        <v/>
      </c>
      <c r="B476" s="25"/>
      <c r="C476" s="25"/>
      <c r="D476" s="25"/>
      <c r="E476" s="25" t="str">
        <f>IFERROR(IF(ISBLANK(D476),"",INDEX(Gen_Vessels!$A$3:$C$500,MATCH(D476,Gen_Vessels!$C$3:$C$500,0),1)),"")</f>
        <v/>
      </c>
      <c r="F476" s="25"/>
      <c r="G476" s="25"/>
      <c r="H476" s="25" t="str">
        <f>IFERROR(IF(ISBLANK(G476),"",INDEX(Gen_Vessels!$A$3:$C$500,MATCH(G476,Gen_Vessels!$C$3:$C$500,0),1)),"")</f>
        <v/>
      </c>
      <c r="I476" s="25"/>
      <c r="J476" s="25"/>
      <c r="K476" s="25"/>
      <c r="M476" s="25"/>
      <c r="O476" s="25"/>
      <c r="Q476" s="25"/>
      <c r="R476" s="25"/>
      <c r="S476" s="25"/>
      <c r="T476" s="25"/>
      <c r="U476" s="25"/>
      <c r="V476" s="25"/>
      <c r="W476" s="25"/>
      <c r="X476" s="25"/>
    </row>
    <row r="477" spans="1:24" x14ac:dyDescent="0.25">
      <c r="A477" s="18" t="str">
        <f t="shared" si="9"/>
        <v/>
      </c>
      <c r="B477" s="25"/>
      <c r="C477" s="25"/>
      <c r="D477" s="25"/>
      <c r="E477" s="25" t="str">
        <f>IFERROR(IF(ISBLANK(D477),"",INDEX(Gen_Vessels!$A$3:$C$500,MATCH(D477,Gen_Vessels!$C$3:$C$500,0),1)),"")</f>
        <v/>
      </c>
      <c r="F477" s="25"/>
      <c r="G477" s="25"/>
      <c r="H477" s="25" t="str">
        <f>IFERROR(IF(ISBLANK(G477),"",INDEX(Gen_Vessels!$A$3:$C$500,MATCH(G477,Gen_Vessels!$C$3:$C$500,0),1)),"")</f>
        <v/>
      </c>
      <c r="I477" s="25"/>
      <c r="J477" s="25"/>
      <c r="K477" s="25"/>
      <c r="M477" s="25"/>
      <c r="O477" s="25"/>
      <c r="Q477" s="25"/>
      <c r="R477" s="25"/>
      <c r="S477" s="25"/>
      <c r="T477" s="25"/>
      <c r="U477" s="25"/>
      <c r="V477" s="25"/>
      <c r="W477" s="25"/>
      <c r="X477" s="25"/>
    </row>
    <row r="478" spans="1:24" x14ac:dyDescent="0.25">
      <c r="A478" s="18" t="str">
        <f t="shared" si="9"/>
        <v/>
      </c>
      <c r="B478" s="25"/>
      <c r="C478" s="25"/>
      <c r="D478" s="25"/>
      <c r="E478" s="25" t="str">
        <f>IFERROR(IF(ISBLANK(D478),"",INDEX(Gen_Vessels!$A$3:$C$500,MATCH(D478,Gen_Vessels!$C$3:$C$500,0),1)),"")</f>
        <v/>
      </c>
      <c r="F478" s="25"/>
      <c r="G478" s="25"/>
      <c r="H478" s="25" t="str">
        <f>IFERROR(IF(ISBLANK(G478),"",INDEX(Gen_Vessels!$A$3:$C$500,MATCH(G478,Gen_Vessels!$C$3:$C$500,0),1)),"")</f>
        <v/>
      </c>
      <c r="I478" s="25"/>
      <c r="J478" s="25"/>
      <c r="K478" s="25"/>
      <c r="M478" s="25"/>
      <c r="O478" s="25"/>
      <c r="Q478" s="25"/>
      <c r="R478" s="25"/>
      <c r="S478" s="25"/>
      <c r="T478" s="25"/>
      <c r="U478" s="25"/>
      <c r="V478" s="25"/>
      <c r="W478" s="25"/>
      <c r="X478" s="25"/>
    </row>
    <row r="479" spans="1:24" x14ac:dyDescent="0.25">
      <c r="A479" s="18" t="str">
        <f t="shared" si="9"/>
        <v/>
      </c>
      <c r="B479" s="25"/>
      <c r="C479" s="25"/>
      <c r="D479" s="25"/>
      <c r="E479" s="25" t="str">
        <f>IFERROR(IF(ISBLANK(D479),"",INDEX(Gen_Vessels!$A$3:$C$500,MATCH(D479,Gen_Vessels!$C$3:$C$500,0),1)),"")</f>
        <v/>
      </c>
      <c r="F479" s="25"/>
      <c r="G479" s="25"/>
      <c r="H479" s="25" t="str">
        <f>IFERROR(IF(ISBLANK(G479),"",INDEX(Gen_Vessels!$A$3:$C$500,MATCH(G479,Gen_Vessels!$C$3:$C$500,0),1)),"")</f>
        <v/>
      </c>
      <c r="I479" s="25"/>
      <c r="J479" s="25"/>
      <c r="K479" s="25"/>
      <c r="M479" s="25"/>
      <c r="O479" s="25"/>
      <c r="Q479" s="25"/>
      <c r="R479" s="25"/>
      <c r="S479" s="25"/>
      <c r="T479" s="25"/>
      <c r="U479" s="25"/>
      <c r="V479" s="25"/>
      <c r="W479" s="25"/>
      <c r="X479" s="25"/>
    </row>
    <row r="480" spans="1:24" x14ac:dyDescent="0.25">
      <c r="A480" s="18" t="str">
        <f t="shared" si="9"/>
        <v/>
      </c>
      <c r="B480" s="25"/>
      <c r="C480" s="25"/>
      <c r="D480" s="25"/>
      <c r="E480" s="25" t="str">
        <f>IFERROR(IF(ISBLANK(D480),"",INDEX(Gen_Vessels!$A$3:$C$500,MATCH(D480,Gen_Vessels!$C$3:$C$500,0),1)),"")</f>
        <v/>
      </c>
      <c r="F480" s="25"/>
      <c r="G480" s="25"/>
      <c r="H480" s="25" t="str">
        <f>IFERROR(IF(ISBLANK(G480),"",INDEX(Gen_Vessels!$A$3:$C$500,MATCH(G480,Gen_Vessels!$C$3:$C$500,0),1)),"")</f>
        <v/>
      </c>
      <c r="I480" s="25"/>
      <c r="J480" s="25"/>
      <c r="K480" s="25"/>
      <c r="M480" s="25"/>
      <c r="O480" s="25"/>
      <c r="Q480" s="25"/>
      <c r="R480" s="25"/>
      <c r="S480" s="25"/>
      <c r="T480" s="25"/>
      <c r="U480" s="25"/>
      <c r="V480" s="25"/>
      <c r="W480" s="25"/>
      <c r="X480" s="25"/>
    </row>
    <row r="481" spans="1:24" x14ac:dyDescent="0.25">
      <c r="A481" s="18" t="str">
        <f t="shared" si="9"/>
        <v/>
      </c>
      <c r="B481" s="25"/>
      <c r="C481" s="25"/>
      <c r="D481" s="25"/>
      <c r="E481" s="25" t="str">
        <f>IFERROR(IF(ISBLANK(D481),"",INDEX(Gen_Vessels!$A$3:$C$500,MATCH(D481,Gen_Vessels!$C$3:$C$500,0),1)),"")</f>
        <v/>
      </c>
      <c r="F481" s="25"/>
      <c r="G481" s="25"/>
      <c r="H481" s="25" t="str">
        <f>IFERROR(IF(ISBLANK(G481),"",INDEX(Gen_Vessels!$A$3:$C$500,MATCH(G481,Gen_Vessels!$C$3:$C$500,0),1)),"")</f>
        <v/>
      </c>
      <c r="I481" s="25"/>
      <c r="J481" s="25"/>
      <c r="K481" s="25"/>
      <c r="M481" s="25"/>
      <c r="O481" s="25"/>
      <c r="Q481" s="25"/>
      <c r="R481" s="25"/>
      <c r="S481" s="25"/>
      <c r="T481" s="25"/>
      <c r="U481" s="25"/>
      <c r="V481" s="25"/>
      <c r="W481" s="25"/>
      <c r="X481" s="25"/>
    </row>
    <row r="482" spans="1:24" x14ac:dyDescent="0.25">
      <c r="A482" s="18" t="str">
        <f t="shared" si="9"/>
        <v/>
      </c>
      <c r="B482" s="25"/>
      <c r="C482" s="25"/>
      <c r="D482" s="25"/>
      <c r="E482" s="25" t="str">
        <f>IFERROR(IF(ISBLANK(D482),"",INDEX(Gen_Vessels!$A$3:$C$500,MATCH(D482,Gen_Vessels!$C$3:$C$500,0),1)),"")</f>
        <v/>
      </c>
      <c r="F482" s="25"/>
      <c r="G482" s="25"/>
      <c r="H482" s="25" t="str">
        <f>IFERROR(IF(ISBLANK(G482),"",INDEX(Gen_Vessels!$A$3:$C$500,MATCH(G482,Gen_Vessels!$C$3:$C$500,0),1)),"")</f>
        <v/>
      </c>
      <c r="I482" s="25"/>
      <c r="J482" s="25"/>
      <c r="K482" s="25"/>
      <c r="M482" s="25"/>
      <c r="O482" s="25"/>
      <c r="Q482" s="25"/>
      <c r="R482" s="25"/>
      <c r="S482" s="25"/>
      <c r="T482" s="25"/>
      <c r="U482" s="25"/>
      <c r="V482" s="25"/>
      <c r="W482" s="25"/>
      <c r="X482" s="25"/>
    </row>
    <row r="483" spans="1:24" x14ac:dyDescent="0.25">
      <c r="A483" s="18" t="str">
        <f t="shared" si="9"/>
        <v/>
      </c>
      <c r="B483" s="25"/>
      <c r="C483" s="25"/>
      <c r="D483" s="25"/>
      <c r="E483" s="25" t="str">
        <f>IFERROR(IF(ISBLANK(D483),"",INDEX(Gen_Vessels!$A$3:$C$500,MATCH(D483,Gen_Vessels!$C$3:$C$500,0),1)),"")</f>
        <v/>
      </c>
      <c r="F483" s="25"/>
      <c r="G483" s="25"/>
      <c r="H483" s="25" t="str">
        <f>IFERROR(IF(ISBLANK(G483),"",INDEX(Gen_Vessels!$A$3:$C$500,MATCH(G483,Gen_Vessels!$C$3:$C$500,0),1)),"")</f>
        <v/>
      </c>
      <c r="I483" s="25"/>
      <c r="J483" s="25"/>
      <c r="K483" s="25"/>
      <c r="M483" s="25"/>
      <c r="O483" s="25"/>
      <c r="Q483" s="25"/>
      <c r="R483" s="25"/>
      <c r="S483" s="25"/>
      <c r="T483" s="25"/>
      <c r="U483" s="25"/>
      <c r="V483" s="25"/>
      <c r="W483" s="25"/>
      <c r="X483" s="25"/>
    </row>
    <row r="484" spans="1:24" x14ac:dyDescent="0.25">
      <c r="A484" s="18" t="str">
        <f t="shared" si="9"/>
        <v/>
      </c>
      <c r="B484" s="25"/>
      <c r="C484" s="25"/>
      <c r="D484" s="25"/>
      <c r="E484" s="25" t="str">
        <f>IFERROR(IF(ISBLANK(D484),"",INDEX(Gen_Vessels!$A$3:$C$500,MATCH(D484,Gen_Vessels!$C$3:$C$500,0),1)),"")</f>
        <v/>
      </c>
      <c r="F484" s="25"/>
      <c r="G484" s="25"/>
      <c r="H484" s="25" t="str">
        <f>IFERROR(IF(ISBLANK(G484),"",INDEX(Gen_Vessels!$A$3:$C$500,MATCH(G484,Gen_Vessels!$C$3:$C$500,0),1)),"")</f>
        <v/>
      </c>
      <c r="I484" s="25"/>
      <c r="J484" s="25"/>
      <c r="K484" s="25"/>
      <c r="M484" s="25"/>
      <c r="O484" s="25"/>
      <c r="Q484" s="25"/>
      <c r="R484" s="25"/>
      <c r="S484" s="25"/>
      <c r="T484" s="25"/>
      <c r="U484" s="25"/>
      <c r="V484" s="25"/>
      <c r="W484" s="25"/>
      <c r="X484" s="25"/>
    </row>
    <row r="485" spans="1:24" x14ac:dyDescent="0.25">
      <c r="A485" s="18" t="str">
        <f t="shared" si="9"/>
        <v/>
      </c>
      <c r="B485" s="25"/>
      <c r="C485" s="25"/>
      <c r="D485" s="25"/>
      <c r="E485" s="25" t="str">
        <f>IFERROR(IF(ISBLANK(D485),"",INDEX(Gen_Vessels!$A$3:$C$500,MATCH(D485,Gen_Vessels!$C$3:$C$500,0),1)),"")</f>
        <v/>
      </c>
      <c r="F485" s="25"/>
      <c r="G485" s="25"/>
      <c r="H485" s="25" t="str">
        <f>IFERROR(IF(ISBLANK(G485),"",INDEX(Gen_Vessels!$A$3:$C$500,MATCH(G485,Gen_Vessels!$C$3:$C$500,0),1)),"")</f>
        <v/>
      </c>
      <c r="I485" s="25"/>
      <c r="J485" s="25"/>
      <c r="K485" s="25"/>
      <c r="M485" s="25"/>
      <c r="O485" s="25"/>
      <c r="Q485" s="25"/>
      <c r="R485" s="25"/>
      <c r="S485" s="25"/>
      <c r="T485" s="25"/>
      <c r="U485" s="25"/>
      <c r="V485" s="25"/>
      <c r="W485" s="25"/>
      <c r="X485" s="25"/>
    </row>
    <row r="486" spans="1:24" x14ac:dyDescent="0.25">
      <c r="A486" s="18" t="str">
        <f t="shared" si="9"/>
        <v/>
      </c>
      <c r="B486" s="25"/>
      <c r="C486" s="25"/>
      <c r="D486" s="25"/>
      <c r="E486" s="25" t="str">
        <f>IFERROR(IF(ISBLANK(D486),"",INDEX(Gen_Vessels!$A$3:$C$500,MATCH(D486,Gen_Vessels!$C$3:$C$500,0),1)),"")</f>
        <v/>
      </c>
      <c r="F486" s="25"/>
      <c r="G486" s="25"/>
      <c r="H486" s="25" t="str">
        <f>IFERROR(IF(ISBLANK(G486),"",INDEX(Gen_Vessels!$A$3:$C$500,MATCH(G486,Gen_Vessels!$C$3:$C$500,0),1)),"")</f>
        <v/>
      </c>
      <c r="I486" s="25"/>
      <c r="J486" s="25"/>
      <c r="K486" s="25"/>
      <c r="M486" s="25"/>
      <c r="O486" s="25"/>
      <c r="Q486" s="25"/>
      <c r="R486" s="25"/>
      <c r="S486" s="25"/>
      <c r="T486" s="25"/>
      <c r="U486" s="25"/>
      <c r="V486" s="25"/>
      <c r="W486" s="25"/>
      <c r="X486" s="25"/>
    </row>
    <row r="487" spans="1:24" x14ac:dyDescent="0.25">
      <c r="A487" s="18" t="str">
        <f t="shared" si="9"/>
        <v/>
      </c>
      <c r="B487" s="25"/>
      <c r="C487" s="25"/>
      <c r="D487" s="25"/>
      <c r="E487" s="25" t="str">
        <f>IFERROR(IF(ISBLANK(D487),"",INDEX(Gen_Vessels!$A$3:$C$500,MATCH(D487,Gen_Vessels!$C$3:$C$500,0),1)),"")</f>
        <v/>
      </c>
      <c r="F487" s="25"/>
      <c r="G487" s="25"/>
      <c r="H487" s="25" t="str">
        <f>IFERROR(IF(ISBLANK(G487),"",INDEX(Gen_Vessels!$A$3:$C$500,MATCH(G487,Gen_Vessels!$C$3:$C$500,0),1)),"")</f>
        <v/>
      </c>
      <c r="I487" s="25"/>
      <c r="J487" s="25"/>
      <c r="K487" s="25"/>
      <c r="M487" s="25"/>
      <c r="O487" s="25"/>
      <c r="Q487" s="25"/>
      <c r="R487" s="25"/>
      <c r="S487" s="25"/>
      <c r="T487" s="25"/>
      <c r="U487" s="25"/>
      <c r="V487" s="25"/>
      <c r="W487" s="25"/>
      <c r="X487" s="25"/>
    </row>
    <row r="488" spans="1:24" x14ac:dyDescent="0.25">
      <c r="A488" s="18" t="str">
        <f t="shared" si="9"/>
        <v/>
      </c>
      <c r="B488" s="25"/>
      <c r="C488" s="25"/>
      <c r="D488" s="25"/>
      <c r="E488" s="25" t="str">
        <f>IFERROR(IF(ISBLANK(D488),"",INDEX(Gen_Vessels!$A$3:$C$500,MATCH(D488,Gen_Vessels!$C$3:$C$500,0),1)),"")</f>
        <v/>
      </c>
      <c r="F488" s="25"/>
      <c r="G488" s="25"/>
      <c r="H488" s="25" t="str">
        <f>IFERROR(IF(ISBLANK(G488),"",INDEX(Gen_Vessels!$A$3:$C$500,MATCH(G488,Gen_Vessels!$C$3:$C$500,0),1)),"")</f>
        <v/>
      </c>
      <c r="I488" s="25"/>
      <c r="J488" s="25"/>
      <c r="K488" s="25"/>
      <c r="M488" s="25"/>
      <c r="O488" s="25"/>
      <c r="Q488" s="25"/>
      <c r="R488" s="25"/>
      <c r="S488" s="25"/>
      <c r="T488" s="25"/>
      <c r="U488" s="25"/>
      <c r="V488" s="25"/>
      <c r="W488" s="25"/>
      <c r="X488" s="25"/>
    </row>
    <row r="489" spans="1:24" x14ac:dyDescent="0.25">
      <c r="A489" s="18" t="str">
        <f t="shared" si="9"/>
        <v/>
      </c>
      <c r="B489" s="25"/>
      <c r="C489" s="25"/>
      <c r="D489" s="25"/>
      <c r="E489" s="25" t="str">
        <f>IFERROR(IF(ISBLANK(D489),"",INDEX(Gen_Vessels!$A$3:$C$500,MATCH(D489,Gen_Vessels!$C$3:$C$500,0),1)),"")</f>
        <v/>
      </c>
      <c r="F489" s="25"/>
      <c r="G489" s="25"/>
      <c r="H489" s="25" t="str">
        <f>IFERROR(IF(ISBLANK(G489),"",INDEX(Gen_Vessels!$A$3:$C$500,MATCH(G489,Gen_Vessels!$C$3:$C$500,0),1)),"")</f>
        <v/>
      </c>
      <c r="I489" s="25"/>
      <c r="J489" s="25"/>
      <c r="K489" s="25"/>
      <c r="M489" s="25"/>
      <c r="O489" s="25"/>
      <c r="Q489" s="25"/>
      <c r="R489" s="25"/>
      <c r="S489" s="25"/>
      <c r="T489" s="25"/>
      <c r="U489" s="25"/>
      <c r="V489" s="25"/>
      <c r="W489" s="25"/>
      <c r="X489" s="25"/>
    </row>
    <row r="490" spans="1:24" x14ac:dyDescent="0.25">
      <c r="A490" s="18" t="str">
        <f t="shared" si="9"/>
        <v/>
      </c>
      <c r="B490" s="25"/>
      <c r="C490" s="25"/>
      <c r="D490" s="25"/>
      <c r="E490" s="25" t="str">
        <f>IFERROR(IF(ISBLANK(D490),"",INDEX(Gen_Vessels!$A$3:$C$500,MATCH(D490,Gen_Vessels!$C$3:$C$500,0),1)),"")</f>
        <v/>
      </c>
      <c r="F490" s="25"/>
      <c r="G490" s="25"/>
      <c r="H490" s="25" t="str">
        <f>IFERROR(IF(ISBLANK(G490),"",INDEX(Gen_Vessels!$A$3:$C$500,MATCH(G490,Gen_Vessels!$C$3:$C$500,0),1)),"")</f>
        <v/>
      </c>
      <c r="I490" s="25"/>
      <c r="J490" s="25"/>
      <c r="K490" s="25"/>
      <c r="M490" s="25"/>
      <c r="O490" s="25"/>
      <c r="Q490" s="25"/>
      <c r="R490" s="25"/>
      <c r="S490" s="25"/>
      <c r="T490" s="25"/>
      <c r="U490" s="25"/>
      <c r="V490" s="25"/>
      <c r="W490" s="25"/>
      <c r="X490" s="25"/>
    </row>
    <row r="491" spans="1:24" x14ac:dyDescent="0.25">
      <c r="A491" s="18" t="str">
        <f t="shared" si="9"/>
        <v/>
      </c>
      <c r="B491" s="25"/>
      <c r="C491" s="25"/>
      <c r="D491" s="25"/>
      <c r="E491" s="25" t="str">
        <f>IFERROR(IF(ISBLANK(D491),"",INDEX(Gen_Vessels!$A$3:$C$500,MATCH(D491,Gen_Vessels!$C$3:$C$500,0),1)),"")</f>
        <v/>
      </c>
      <c r="F491" s="25"/>
      <c r="G491" s="25"/>
      <c r="H491" s="25" t="str">
        <f>IFERROR(IF(ISBLANK(G491),"",INDEX(Gen_Vessels!$A$3:$C$500,MATCH(G491,Gen_Vessels!$C$3:$C$500,0),1)),"")</f>
        <v/>
      </c>
      <c r="I491" s="25"/>
      <c r="J491" s="25"/>
      <c r="K491" s="25"/>
      <c r="M491" s="25"/>
      <c r="O491" s="25"/>
      <c r="Q491" s="25"/>
      <c r="R491" s="25"/>
      <c r="S491" s="25"/>
      <c r="T491" s="25"/>
      <c r="U491" s="25"/>
      <c r="V491" s="25"/>
      <c r="W491" s="25"/>
      <c r="X491" s="25"/>
    </row>
    <row r="492" spans="1:24" x14ac:dyDescent="0.25">
      <c r="A492" s="18" t="str">
        <f t="shared" si="9"/>
        <v/>
      </c>
      <c r="B492" s="25"/>
      <c r="C492" s="25"/>
      <c r="D492" s="25"/>
      <c r="E492" s="25" t="str">
        <f>IFERROR(IF(ISBLANK(D492),"",INDEX(Gen_Vessels!$A$3:$C$500,MATCH(D492,Gen_Vessels!$C$3:$C$500,0),1)),"")</f>
        <v/>
      </c>
      <c r="F492" s="25"/>
      <c r="G492" s="25"/>
      <c r="H492" s="25" t="str">
        <f>IFERROR(IF(ISBLANK(G492),"",INDEX(Gen_Vessels!$A$3:$C$500,MATCH(G492,Gen_Vessels!$C$3:$C$500,0),1)),"")</f>
        <v/>
      </c>
      <c r="I492" s="25"/>
      <c r="J492" s="25"/>
      <c r="K492" s="25"/>
      <c r="M492" s="25"/>
      <c r="O492" s="25"/>
      <c r="Q492" s="25"/>
      <c r="R492" s="25"/>
      <c r="S492" s="25"/>
      <c r="T492" s="25"/>
      <c r="U492" s="25"/>
      <c r="V492" s="25"/>
      <c r="W492" s="25"/>
      <c r="X492" s="25"/>
    </row>
    <row r="493" spans="1:24" x14ac:dyDescent="0.25">
      <c r="A493" s="18" t="str">
        <f t="shared" si="9"/>
        <v/>
      </c>
      <c r="E493" s="25" t="str">
        <f>IFERROR(IF(ISBLANK(D493),"",INDEX(Gen_Vessels!$A$3:$C$500,MATCH(D493,Gen_Vessels!$C$3:$C$500,0),1)),"")</f>
        <v/>
      </c>
      <c r="F493" s="25"/>
      <c r="H493" s="25" t="str">
        <f>IFERROR(IF(ISBLANK(G493),"",INDEX(Gen_Vessels!$A$3:$C$500,MATCH(G493,Gen_Vessels!$C$3:$C$500,0),1)),"")</f>
        <v/>
      </c>
      <c r="I493" s="25"/>
      <c r="O493" s="25"/>
    </row>
    <row r="494" spans="1:24" x14ac:dyDescent="0.25">
      <c r="A494" s="18" t="str">
        <f t="shared" si="9"/>
        <v/>
      </c>
      <c r="E494" s="25" t="str">
        <f>IFERROR(IF(ISBLANK(D494),"",INDEX(Gen_Vessels!$A$3:$C$500,MATCH(D494,Gen_Vessels!$C$3:$C$500,0),1)),"")</f>
        <v/>
      </c>
      <c r="F494" s="25"/>
      <c r="H494" s="25" t="str">
        <f>IFERROR(IF(ISBLANK(G494),"",INDEX(Gen_Vessels!$A$3:$C$500,MATCH(G494,Gen_Vessels!$C$3:$C$500,0),1)),"")</f>
        <v/>
      </c>
      <c r="I494" s="25"/>
      <c r="O494" s="25"/>
    </row>
    <row r="495" spans="1:24" x14ac:dyDescent="0.25">
      <c r="A495" s="18" t="str">
        <f t="shared" si="9"/>
        <v/>
      </c>
      <c r="E495" s="25" t="str">
        <f>IFERROR(IF(ISBLANK(D495),"",INDEX(Gen_Vessels!$A$3:$C$500,MATCH(D495,Gen_Vessels!$C$3:$C$500,0),1)),"")</f>
        <v/>
      </c>
      <c r="F495" s="25"/>
      <c r="H495" s="25" t="str">
        <f>IFERROR(IF(ISBLANK(G495),"",INDEX(Gen_Vessels!$A$3:$C$500,MATCH(G495,Gen_Vessels!$C$3:$C$500,0),1)),"")</f>
        <v/>
      </c>
      <c r="I495" s="25"/>
      <c r="O495" s="25"/>
    </row>
    <row r="496" spans="1:24" x14ac:dyDescent="0.25">
      <c r="A496" s="18" t="str">
        <f t="shared" si="9"/>
        <v/>
      </c>
      <c r="E496" s="25" t="str">
        <f>IFERROR(IF(ISBLANK(D496),"",INDEX(Gen_Vessels!$A$3:$C$500,MATCH(D496,Gen_Vessels!$C$3:$C$500,0),1)),"")</f>
        <v/>
      </c>
      <c r="F496" s="25"/>
      <c r="H496" s="25" t="str">
        <f>IFERROR(IF(ISBLANK(G496),"",INDEX(Gen_Vessels!$A$3:$C$500,MATCH(G496,Gen_Vessels!$C$3:$C$500,0),1)),"")</f>
        <v/>
      </c>
      <c r="I496" s="25"/>
      <c r="O496" s="25"/>
    </row>
    <row r="497" spans="1:15" x14ac:dyDescent="0.25">
      <c r="A497" s="18" t="str">
        <f t="shared" si="9"/>
        <v/>
      </c>
      <c r="E497" s="25" t="str">
        <f>IFERROR(IF(ISBLANK(D497),"",INDEX(Gen_Vessels!$A$3:$C$500,MATCH(D497,Gen_Vessels!$C$3:$C$500,0),1)),"")</f>
        <v/>
      </c>
      <c r="F497" s="25"/>
      <c r="H497" s="25" t="str">
        <f>IFERROR(IF(ISBLANK(G497),"",INDEX(Gen_Vessels!$A$3:$C$500,MATCH(G497,Gen_Vessels!$C$3:$C$500,0),1)),"")</f>
        <v/>
      </c>
      <c r="I497" s="25"/>
      <c r="O497" s="25"/>
    </row>
    <row r="498" spans="1:15" x14ac:dyDescent="0.25">
      <c r="A498" s="18" t="str">
        <f t="shared" si="9"/>
        <v/>
      </c>
      <c r="E498" s="25" t="str">
        <f>IFERROR(IF(ISBLANK(D498),"",INDEX(Gen_Vessels!$A$3:$C$500,MATCH(D498,Gen_Vessels!$C$3:$C$500,0),1)),"")</f>
        <v/>
      </c>
      <c r="F498" s="25"/>
      <c r="H498" s="25" t="str">
        <f>IFERROR(IF(ISBLANK(G498),"",INDEX(Gen_Vessels!$A$3:$C$500,MATCH(G498,Gen_Vessels!$C$3:$C$500,0),1)),"")</f>
        <v/>
      </c>
      <c r="I498" s="25"/>
      <c r="O498" s="25"/>
    </row>
    <row r="499" spans="1:15" x14ac:dyDescent="0.25">
      <c r="A499" s="18" t="str">
        <f t="shared" si="9"/>
        <v/>
      </c>
      <c r="E499" s="25" t="str">
        <f>IFERROR(IF(ISBLANK(D499),"",INDEX(Gen_Vessels!$A$3:$C$500,MATCH(D499,Gen_Vessels!$C$3:$C$500,0),1)),"")</f>
        <v/>
      </c>
      <c r="F499" s="25"/>
      <c r="H499" s="25" t="str">
        <f>IFERROR(IF(ISBLANK(G499),"",INDEX(Gen_Vessels!$A$3:$C$500,MATCH(G499,Gen_Vessels!$C$3:$C$500,0),1)),"")</f>
        <v/>
      </c>
      <c r="O499" s="25"/>
    </row>
    <row r="500" spans="1:15" x14ac:dyDescent="0.25">
      <c r="A500" s="18" t="str">
        <f t="shared" si="9"/>
        <v/>
      </c>
      <c r="E500" s="25" t="str">
        <f>IFERROR(IF(ISBLANK(D500),"",INDEX(Gen_Vessels!$A$3:$C$500,MATCH(D500,Gen_Vessels!$C$3:$C$500,0),1)),"")</f>
        <v/>
      </c>
      <c r="F500" s="25"/>
      <c r="H500" s="25" t="str">
        <f>IFERROR(IF(ISBLANK(G500),"",INDEX(Gen_Vessels!$A$3:$C$500,MATCH(G500,Gen_Vessels!$C$3:$C$500,0),1)),"")</f>
        <v/>
      </c>
      <c r="O500" s="25"/>
    </row>
    <row r="1048575" spans="9:9" x14ac:dyDescent="0.25">
      <c r="I1048575" s="25"/>
    </row>
    <row r="1048576" spans="9:9" x14ac:dyDescent="0.25">
      <c r="I1048576" s="25"/>
    </row>
  </sheetData>
  <conditionalFormatting sqref="A1:B1048576">
    <cfRule type="expression" dxfId="47" priority="8">
      <formula>AND(COUNTIF(A:A,$A1)&gt;1,$A1&lt;&gt;"")</formula>
    </cfRule>
  </conditionalFormatting>
  <conditionalFormatting sqref="F3:F1048576">
    <cfRule type="expression" dxfId="46" priority="5">
      <formula>NOT(F3=INT(F3))</formula>
    </cfRule>
    <cfRule type="expression" dxfId="45" priority="6">
      <formula>F3&lt;0</formula>
    </cfRule>
  </conditionalFormatting>
  <conditionalFormatting sqref="I1:I1048576">
    <cfRule type="expression" dxfId="44" priority="3">
      <formula>NOT(I1=INT(I1))</formula>
    </cfRule>
    <cfRule type="expression" dxfId="43" priority="4">
      <formula>I1&lt;0</formula>
    </cfRule>
  </conditionalFormatting>
  <conditionalFormatting sqref="J3:K11">
    <cfRule type="expression" dxfId="42" priority="7">
      <formula>AND(J3&lt;&gt;"",I3=FALSE)</formula>
    </cfRule>
  </conditionalFormatting>
  <conditionalFormatting sqref="N1:N1048576">
    <cfRule type="expression" dxfId="41" priority="1">
      <formula>NOT(N1=INT(N1))</formula>
    </cfRule>
    <cfRule type="expression" dxfId="40" priority="2">
      <formula>N1&lt;0</formula>
    </cfRule>
  </conditionalFormatting>
  <dataValidations count="4">
    <dataValidation type="decimal" operator="greaterThanOrEqual" allowBlank="1" showInputMessage="1" showErrorMessage="1" sqref="O3:O500 Q3:S6" xr:uid="{45FAB3B6-B821-44F4-AAC9-749C653E87C3}">
      <formula1>0</formula1>
    </dataValidation>
    <dataValidation type="whole" operator="greaterThanOrEqual" allowBlank="1" showInputMessage="1" showErrorMessage="1" sqref="N3:N500 F3:F1048576 I3:I1048576" xr:uid="{560364E6-7920-4911-81A5-054EFBECEDAA}">
      <formula1>1</formula1>
    </dataValidation>
    <dataValidation type="list" allowBlank="1" showInputMessage="1" showErrorMessage="1" sqref="K3:K1048576" xr:uid="{C507DEF9-D229-4D6B-BBF6-834308798E8C}">
      <formula1>"True,False"</formula1>
    </dataValidation>
    <dataValidation type="list" allowBlank="1" showInputMessage="1" showErrorMessage="1" sqref="B3:B1048576" xr:uid="{282F8472-5872-430D-97E2-428C654D772A}">
      <formula1>"owc_removal, owc_redeploy_removal, owc_redeploy, ofw_removal, ofw_redeploy_removal, ofw_redeploy,opv_removal, opv_redeploy_removal, opv_redeploy"</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E3E7CC0D-7636-4CE0-9171-51F05046C294}">
          <x14:formula1>
            <xm:f>Gen_ROVs!$D$3:$D$194</xm:f>
          </x14:formula1>
          <xm:sqref>M6:M500</xm:sqref>
        </x14:dataValidation>
        <x14:dataValidation type="list" allowBlank="1" showInputMessage="1" showErrorMessage="1" xr:uid="{7B492730-7022-4111-A3DA-467F8AA998EB}">
          <x14:formula1>
            <xm:f>Gen_Vessels!$C$3:$C$500</xm:f>
          </x14:formula1>
          <xm:sqref>G3:G500 D3:D500</xm:sqref>
        </x14:dataValidation>
        <x14:dataValidation type="list" allowBlank="1" showInputMessage="1" showErrorMessage="1" xr:uid="{DBA926F0-4A0B-4A96-BBF9-C90D82E486E3}">
          <x14:formula1>
            <xm:f>CorrectiveMajor!$A$3:$A$1048576</xm:f>
          </x14:formula1>
          <xm:sqref>J3:J1048576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BC694-FEC2-4518-87A6-1D620BBA8EEE}">
  <sheetPr>
    <tabColor theme="4" tint="0.39997558519241921"/>
  </sheetPr>
  <dimension ref="A1:O496"/>
  <sheetViews>
    <sheetView zoomScaleNormal="100" workbookViewId="0">
      <pane ySplit="1" topLeftCell="A2" activePane="bottomLeft" state="frozen"/>
      <selection pane="bottomLeft" activeCell="C3" sqref="C3"/>
    </sheetView>
  </sheetViews>
  <sheetFormatPr defaultColWidth="9.140625" defaultRowHeight="15" x14ac:dyDescent="0.25"/>
  <cols>
    <col min="1" max="1" width="12.7109375" style="18" customWidth="1"/>
    <col min="2" max="2" width="16.7109375" style="18" customWidth="1"/>
    <col min="3" max="3" width="25.85546875" style="18" bestFit="1" customWidth="1"/>
    <col min="4" max="4" width="40.7109375" style="18" customWidth="1"/>
    <col min="5" max="5" width="12.7109375" style="18" customWidth="1"/>
    <col min="6" max="8" width="18.7109375" style="13" customWidth="1"/>
    <col min="9" max="9" width="8.7109375" style="18" customWidth="1"/>
    <col min="10" max="14" width="6.7109375" style="18" customWidth="1"/>
    <col min="15" max="15" width="8.7109375" style="18" customWidth="1"/>
    <col min="16" max="16384" width="9.140625" style="18"/>
  </cols>
  <sheetData>
    <row r="1" spans="1:15" x14ac:dyDescent="0.25">
      <c r="A1" s="18" t="s">
        <v>66</v>
      </c>
      <c r="B1" s="18" t="s">
        <v>270</v>
      </c>
      <c r="C1" s="18" t="s">
        <v>271</v>
      </c>
      <c r="D1" s="18" t="s">
        <v>150</v>
      </c>
      <c r="E1" s="18" t="s">
        <v>272</v>
      </c>
      <c r="F1" s="14" t="s">
        <v>273</v>
      </c>
      <c r="G1" s="14" t="s">
        <v>274</v>
      </c>
      <c r="H1" s="14" t="s">
        <v>275</v>
      </c>
      <c r="I1" s="18" t="s">
        <v>276</v>
      </c>
      <c r="J1" s="18" t="s">
        <v>160</v>
      </c>
      <c r="K1" s="18" t="s">
        <v>161</v>
      </c>
      <c r="L1" s="18" t="s">
        <v>162</v>
      </c>
      <c r="M1" s="18" t="s">
        <v>163</v>
      </c>
      <c r="N1" s="18" t="s">
        <v>164</v>
      </c>
      <c r="O1" s="18" t="s">
        <v>165</v>
      </c>
    </row>
    <row r="2" spans="1:15" x14ac:dyDescent="0.25">
      <c r="A2" s="18" t="s">
        <v>13</v>
      </c>
      <c r="B2" s="18" t="s">
        <v>13</v>
      </c>
      <c r="C2" s="18" t="s">
        <v>13</v>
      </c>
      <c r="D2" s="18" t="s">
        <v>13</v>
      </c>
      <c r="F2" s="14" t="s">
        <v>13</v>
      </c>
      <c r="G2" s="14" t="s">
        <v>13</v>
      </c>
      <c r="H2" s="14" t="s">
        <v>13</v>
      </c>
      <c r="I2" s="18" t="s">
        <v>277</v>
      </c>
      <c r="J2" s="18" t="s">
        <v>30</v>
      </c>
      <c r="K2" s="18" t="s">
        <v>180</v>
      </c>
      <c r="L2" s="18" t="s">
        <v>27</v>
      </c>
      <c r="M2" s="18" t="s">
        <v>27</v>
      </c>
      <c r="N2" s="18" t="s">
        <v>27</v>
      </c>
      <c r="O2" s="18" t="s">
        <v>13</v>
      </c>
    </row>
    <row r="3" spans="1:15" x14ac:dyDescent="0.25">
      <c r="A3" s="18" t="s">
        <v>278</v>
      </c>
      <c r="B3" s="18" t="s">
        <v>279</v>
      </c>
      <c r="C3" s="18" t="s">
        <v>280</v>
      </c>
      <c r="D3" s="18" t="s">
        <v>281</v>
      </c>
      <c r="E3" s="18" t="s">
        <v>282</v>
      </c>
      <c r="F3" s="28"/>
      <c r="G3" s="28"/>
      <c r="H3" s="28"/>
      <c r="J3" s="18">
        <v>1.5</v>
      </c>
      <c r="O3" s="18" t="b">
        <v>0</v>
      </c>
    </row>
    <row r="4" spans="1:15" x14ac:dyDescent="0.25">
      <c r="A4" s="18" t="s">
        <v>283</v>
      </c>
      <c r="B4" s="18" t="s">
        <v>279</v>
      </c>
      <c r="C4" s="18" t="s">
        <v>280</v>
      </c>
      <c r="D4" s="18" t="s">
        <v>284</v>
      </c>
      <c r="E4" s="18" t="s">
        <v>285</v>
      </c>
      <c r="F4" s="28"/>
      <c r="G4" s="28" t="b">
        <v>1</v>
      </c>
      <c r="H4" s="28"/>
      <c r="I4" s="18">
        <v>2</v>
      </c>
      <c r="J4" s="18">
        <v>1.5</v>
      </c>
      <c r="O4" s="18" t="b">
        <v>1</v>
      </c>
    </row>
    <row r="5" spans="1:15" x14ac:dyDescent="0.25">
      <c r="A5" s="18" t="s">
        <v>286</v>
      </c>
      <c r="B5" s="18" t="s">
        <v>279</v>
      </c>
      <c r="C5" s="18" t="s">
        <v>280</v>
      </c>
      <c r="D5" s="18" t="s">
        <v>287</v>
      </c>
      <c r="E5" s="18" t="s">
        <v>282</v>
      </c>
      <c r="F5" s="28"/>
      <c r="G5" s="28" t="b">
        <v>1</v>
      </c>
      <c r="H5" s="28"/>
      <c r="J5" s="18">
        <v>1.5</v>
      </c>
      <c r="O5" s="18" t="b">
        <v>0</v>
      </c>
    </row>
    <row r="6" spans="1:15" x14ac:dyDescent="0.25">
      <c r="A6" s="18" t="s">
        <v>288</v>
      </c>
      <c r="B6" s="18" t="s">
        <v>279</v>
      </c>
      <c r="C6" s="18" t="s">
        <v>289</v>
      </c>
      <c r="D6" s="18" t="s">
        <v>290</v>
      </c>
      <c r="E6" s="18" t="s">
        <v>282</v>
      </c>
      <c r="F6" s="28"/>
      <c r="G6" s="28" t="b">
        <v>1</v>
      </c>
      <c r="H6" s="28"/>
      <c r="J6" s="18">
        <v>1.5</v>
      </c>
      <c r="O6" s="18" t="b">
        <v>0</v>
      </c>
    </row>
    <row r="7" spans="1:15" x14ac:dyDescent="0.25">
      <c r="A7" s="18" t="s">
        <v>291</v>
      </c>
      <c r="B7" s="18" t="s">
        <v>279</v>
      </c>
      <c r="C7" s="18" t="s">
        <v>289</v>
      </c>
      <c r="D7" s="18" t="s">
        <v>292</v>
      </c>
      <c r="E7" s="18" t="s">
        <v>285</v>
      </c>
      <c r="F7" s="28"/>
      <c r="G7" s="28" t="b">
        <v>1</v>
      </c>
      <c r="H7" s="28"/>
      <c r="I7" s="18">
        <v>2</v>
      </c>
      <c r="J7" s="18">
        <v>1.5</v>
      </c>
      <c r="O7" s="18" t="b">
        <v>1</v>
      </c>
    </row>
    <row r="8" spans="1:15" x14ac:dyDescent="0.25">
      <c r="A8" s="18" t="s">
        <v>293</v>
      </c>
      <c r="B8" s="18" t="s">
        <v>279</v>
      </c>
      <c r="C8" s="18" t="s">
        <v>289</v>
      </c>
      <c r="D8" s="18" t="s">
        <v>294</v>
      </c>
      <c r="E8" s="18" t="s">
        <v>285</v>
      </c>
      <c r="F8" s="28"/>
      <c r="G8" s="28"/>
      <c r="H8" s="28"/>
      <c r="J8" s="18">
        <v>1.5</v>
      </c>
      <c r="O8" s="18" t="b">
        <v>0</v>
      </c>
    </row>
    <row r="9" spans="1:15" x14ac:dyDescent="0.25">
      <c r="A9" s="18" t="s">
        <v>295</v>
      </c>
      <c r="B9" s="18" t="s">
        <v>279</v>
      </c>
      <c r="C9" s="18" t="s">
        <v>289</v>
      </c>
      <c r="D9" s="18" t="s">
        <v>284</v>
      </c>
      <c r="E9" s="18" t="s">
        <v>285</v>
      </c>
      <c r="F9" s="28"/>
      <c r="G9" s="28" t="b">
        <v>1</v>
      </c>
      <c r="H9" s="28"/>
      <c r="I9" s="18">
        <v>2</v>
      </c>
      <c r="J9" s="18">
        <v>1.5</v>
      </c>
      <c r="O9" s="18" t="b">
        <v>1</v>
      </c>
    </row>
    <row r="10" spans="1:15" x14ac:dyDescent="0.25">
      <c r="A10" s="18" t="s">
        <v>296</v>
      </c>
      <c r="B10" s="18" t="s">
        <v>279</v>
      </c>
      <c r="C10" s="18" t="s">
        <v>289</v>
      </c>
      <c r="D10" s="18" t="s">
        <v>287</v>
      </c>
      <c r="E10" s="18" t="s">
        <v>282</v>
      </c>
      <c r="F10" s="28"/>
      <c r="G10" s="28" t="b">
        <v>1</v>
      </c>
      <c r="H10" s="28"/>
      <c r="J10" s="18">
        <v>1.5</v>
      </c>
      <c r="O10" s="18" t="b">
        <v>0</v>
      </c>
    </row>
    <row r="11" spans="1:15" x14ac:dyDescent="0.25">
      <c r="A11" s="18" t="s">
        <v>297</v>
      </c>
      <c r="B11" s="18" t="s">
        <v>279</v>
      </c>
      <c r="C11" s="18" t="s">
        <v>298</v>
      </c>
      <c r="D11" s="18" t="s">
        <v>290</v>
      </c>
      <c r="E11" s="18" t="s">
        <v>282</v>
      </c>
      <c r="F11" s="28"/>
      <c r="G11" s="28" t="b">
        <v>1</v>
      </c>
      <c r="H11" s="28"/>
      <c r="J11" s="18">
        <v>1.5</v>
      </c>
      <c r="O11" s="18" t="b">
        <v>0</v>
      </c>
    </row>
    <row r="12" spans="1:15" x14ac:dyDescent="0.25">
      <c r="A12" s="18" t="s">
        <v>299</v>
      </c>
      <c r="B12" s="18" t="s">
        <v>279</v>
      </c>
      <c r="C12" s="18" t="s">
        <v>298</v>
      </c>
      <c r="D12" s="18" t="s">
        <v>292</v>
      </c>
      <c r="E12" s="18" t="s">
        <v>285</v>
      </c>
      <c r="F12" s="28"/>
      <c r="G12" s="28" t="b">
        <v>1</v>
      </c>
      <c r="H12" s="28"/>
      <c r="I12" s="18">
        <v>2</v>
      </c>
      <c r="J12" s="18">
        <v>1.5</v>
      </c>
      <c r="O12" s="18" t="b">
        <v>1</v>
      </c>
    </row>
    <row r="13" spans="1:15" x14ac:dyDescent="0.25">
      <c r="A13" s="68" t="s">
        <v>300</v>
      </c>
      <c r="B13" s="68" t="s">
        <v>279</v>
      </c>
      <c r="C13" s="68" t="s">
        <v>298</v>
      </c>
      <c r="D13" s="68" t="s">
        <v>301</v>
      </c>
      <c r="E13" s="68" t="s">
        <v>282</v>
      </c>
      <c r="F13" s="28"/>
      <c r="G13" s="69"/>
      <c r="H13" s="28"/>
      <c r="I13" s="68"/>
      <c r="J13" s="68">
        <v>1.5</v>
      </c>
      <c r="K13" s="68"/>
      <c r="L13" s="68"/>
      <c r="M13" s="68"/>
      <c r="N13" s="68"/>
      <c r="O13" s="68" t="b">
        <v>0</v>
      </c>
    </row>
    <row r="14" spans="1:15" x14ac:dyDescent="0.25">
      <c r="A14" s="18" t="s">
        <v>302</v>
      </c>
      <c r="B14" s="18" t="s">
        <v>303</v>
      </c>
      <c r="C14" s="18" t="s">
        <v>304</v>
      </c>
      <c r="D14" s="18" t="s">
        <v>305</v>
      </c>
      <c r="E14" s="18" t="s">
        <v>306</v>
      </c>
      <c r="F14" s="28"/>
      <c r="G14" s="28" t="b">
        <v>1</v>
      </c>
      <c r="H14" s="28"/>
      <c r="I14" s="18">
        <v>168</v>
      </c>
      <c r="O14" s="18" t="b">
        <v>0</v>
      </c>
    </row>
    <row r="15" spans="1:15" x14ac:dyDescent="0.25">
      <c r="A15" s="18" t="s">
        <v>307</v>
      </c>
      <c r="B15" s="18" t="s">
        <v>303</v>
      </c>
      <c r="C15" s="18" t="str">
        <f ca="1">IF(ISBLANK($C15)=FALSE,_xlfn.CONCAT("owc_",$C15),"")</f>
        <v>owc_MJ1</v>
      </c>
      <c r="D15" s="18" t="s">
        <v>281</v>
      </c>
      <c r="E15" s="18" t="s">
        <v>282</v>
      </c>
      <c r="F15" s="28"/>
      <c r="G15" s="28"/>
      <c r="H15" s="28"/>
      <c r="I15" s="68"/>
      <c r="O15" s="18" t="b">
        <v>0</v>
      </c>
    </row>
    <row r="16" spans="1:15" x14ac:dyDescent="0.25">
      <c r="A16" s="18" t="s">
        <v>308</v>
      </c>
      <c r="B16" s="18" t="s">
        <v>303</v>
      </c>
      <c r="C16" s="18" t="str">
        <f ca="1">IF(ISBLANK($C16)=FALSE,_xlfn.CONCAT("owc_",$C16),"")</f>
        <v>owc_MJ1</v>
      </c>
      <c r="D16" s="18" t="s">
        <v>309</v>
      </c>
      <c r="E16" s="18" t="s">
        <v>285</v>
      </c>
      <c r="F16" s="28"/>
      <c r="G16" s="28" t="b">
        <v>1</v>
      </c>
      <c r="H16" s="28"/>
      <c r="I16" s="18">
        <v>6</v>
      </c>
      <c r="J16" s="18">
        <v>1.5</v>
      </c>
      <c r="O16" s="18" t="b">
        <v>1</v>
      </c>
    </row>
    <row r="17" spans="1:15" x14ac:dyDescent="0.25">
      <c r="A17" s="18" t="s">
        <v>310</v>
      </c>
      <c r="B17" s="18" t="s">
        <v>303</v>
      </c>
      <c r="C17" s="18" t="str">
        <f ca="1">IF(ISBLANK($C17)=FALSE,_xlfn.CONCAT("owc_",$C17),"")</f>
        <v>owc_MJ1</v>
      </c>
      <c r="D17" s="68" t="s">
        <v>301</v>
      </c>
      <c r="E17" s="18" t="s">
        <v>282</v>
      </c>
      <c r="F17" s="28"/>
      <c r="G17" s="28"/>
      <c r="H17" s="28"/>
      <c r="I17" s="68"/>
      <c r="O17" s="18" t="b">
        <v>0</v>
      </c>
    </row>
    <row r="18" spans="1:15" x14ac:dyDescent="0.25">
      <c r="A18" s="18" t="s">
        <v>311</v>
      </c>
      <c r="B18" s="18" t="s">
        <v>303</v>
      </c>
      <c r="C18" s="18" t="s">
        <v>312</v>
      </c>
      <c r="D18" s="18" t="s">
        <v>313</v>
      </c>
      <c r="E18" s="18" t="s">
        <v>306</v>
      </c>
      <c r="F18" s="28"/>
      <c r="G18" s="28" t="b">
        <v>1</v>
      </c>
      <c r="H18" s="28"/>
      <c r="I18" s="18">
        <v>168</v>
      </c>
      <c r="O18" s="18" t="b">
        <v>0</v>
      </c>
    </row>
    <row r="19" spans="1:15" x14ac:dyDescent="0.25">
      <c r="F19" s="28"/>
      <c r="G19" s="28"/>
      <c r="H19" s="28"/>
    </row>
    <row r="20" spans="1:15" x14ac:dyDescent="0.25">
      <c r="F20" s="28"/>
      <c r="G20" s="28"/>
      <c r="H20" s="28"/>
    </row>
    <row r="21" spans="1:15" x14ac:dyDescent="0.25">
      <c r="F21" s="28"/>
      <c r="G21" s="28"/>
      <c r="H21" s="28"/>
    </row>
    <row r="22" spans="1:15" x14ac:dyDescent="0.25">
      <c r="F22" s="28"/>
      <c r="G22" s="28"/>
      <c r="H22" s="28"/>
    </row>
    <row r="23" spans="1:15" x14ac:dyDescent="0.25">
      <c r="F23" s="28"/>
      <c r="G23" s="28"/>
      <c r="H23" s="28"/>
    </row>
    <row r="24" spans="1:15" x14ac:dyDescent="0.25">
      <c r="F24" s="28"/>
      <c r="G24" s="28"/>
      <c r="H24" s="28"/>
    </row>
    <row r="25" spans="1:15" x14ac:dyDescent="0.25">
      <c r="F25" s="28"/>
      <c r="G25" s="28"/>
      <c r="H25" s="28"/>
    </row>
    <row r="26" spans="1:15" x14ac:dyDescent="0.25">
      <c r="F26" s="28"/>
      <c r="G26" s="28"/>
      <c r="H26" s="28"/>
    </row>
    <row r="27" spans="1:15" x14ac:dyDescent="0.25">
      <c r="F27" s="28"/>
      <c r="G27" s="28"/>
      <c r="H27" s="28"/>
    </row>
    <row r="28" spans="1:15" x14ac:dyDescent="0.25">
      <c r="F28" s="28"/>
      <c r="G28" s="28"/>
      <c r="H28" s="28"/>
    </row>
    <row r="29" spans="1:15" x14ac:dyDescent="0.25">
      <c r="F29" s="28"/>
      <c r="G29" s="28"/>
      <c r="H29" s="28"/>
    </row>
    <row r="30" spans="1:15" x14ac:dyDescent="0.25">
      <c r="F30" s="28"/>
      <c r="G30" s="28"/>
      <c r="H30" s="28"/>
    </row>
    <row r="31" spans="1:15" x14ac:dyDescent="0.25">
      <c r="F31" s="28"/>
      <c r="G31" s="28"/>
      <c r="H31" s="28"/>
    </row>
    <row r="32" spans="1:15" x14ac:dyDescent="0.25">
      <c r="F32" s="28"/>
      <c r="G32" s="28"/>
      <c r="H32" s="28"/>
    </row>
    <row r="33" spans="6:8" x14ac:dyDescent="0.25">
      <c r="F33" s="28"/>
      <c r="G33" s="28"/>
      <c r="H33" s="28"/>
    </row>
    <row r="34" spans="6:8" x14ac:dyDescent="0.25">
      <c r="F34" s="28"/>
      <c r="G34" s="28"/>
      <c r="H34" s="28"/>
    </row>
    <row r="35" spans="6:8" x14ac:dyDescent="0.25">
      <c r="F35" s="28"/>
      <c r="G35" s="28"/>
      <c r="H35" s="28"/>
    </row>
    <row r="36" spans="6:8" x14ac:dyDescent="0.25">
      <c r="F36" s="28"/>
      <c r="G36" s="28"/>
      <c r="H36" s="28"/>
    </row>
    <row r="37" spans="6:8" x14ac:dyDescent="0.25">
      <c r="F37" s="28"/>
      <c r="G37" s="28"/>
      <c r="H37" s="28"/>
    </row>
    <row r="38" spans="6:8" x14ac:dyDescent="0.25">
      <c r="F38" s="28"/>
      <c r="G38" s="28"/>
      <c r="H38" s="28"/>
    </row>
    <row r="39" spans="6:8" x14ac:dyDescent="0.25">
      <c r="F39" s="28"/>
      <c r="G39" s="28"/>
      <c r="H39" s="28"/>
    </row>
    <row r="40" spans="6:8" x14ac:dyDescent="0.25">
      <c r="F40" s="28"/>
      <c r="G40" s="28"/>
      <c r="H40" s="28"/>
    </row>
    <row r="41" spans="6:8" x14ac:dyDescent="0.25">
      <c r="F41" s="28"/>
      <c r="G41" s="28"/>
      <c r="H41" s="28"/>
    </row>
    <row r="42" spans="6:8" x14ac:dyDescent="0.25">
      <c r="F42" s="28"/>
      <c r="G42" s="28"/>
      <c r="H42" s="28"/>
    </row>
    <row r="43" spans="6:8" x14ac:dyDescent="0.25">
      <c r="F43" s="28"/>
      <c r="G43" s="28"/>
      <c r="H43" s="28"/>
    </row>
    <row r="44" spans="6:8" x14ac:dyDescent="0.25">
      <c r="F44" s="28"/>
      <c r="G44" s="28"/>
      <c r="H44" s="28"/>
    </row>
    <row r="45" spans="6:8" x14ac:dyDescent="0.25">
      <c r="F45" s="28"/>
      <c r="G45" s="28"/>
      <c r="H45" s="28"/>
    </row>
    <row r="46" spans="6:8" x14ac:dyDescent="0.25">
      <c r="F46" s="28"/>
      <c r="G46" s="28"/>
      <c r="H46" s="28"/>
    </row>
    <row r="47" spans="6:8" x14ac:dyDescent="0.25">
      <c r="F47" s="28"/>
      <c r="G47" s="28"/>
      <c r="H47" s="28"/>
    </row>
    <row r="48" spans="6:8" x14ac:dyDescent="0.25">
      <c r="F48" s="28"/>
      <c r="G48" s="28"/>
      <c r="H48" s="28"/>
    </row>
    <row r="49" spans="6:8" x14ac:dyDescent="0.25">
      <c r="F49" s="28"/>
      <c r="G49" s="28"/>
      <c r="H49" s="28"/>
    </row>
    <row r="50" spans="6:8" x14ac:dyDescent="0.25">
      <c r="F50" s="28"/>
      <c r="G50" s="28"/>
      <c r="H50" s="28"/>
    </row>
    <row r="51" spans="6:8" x14ac:dyDescent="0.25">
      <c r="F51" s="28"/>
      <c r="G51" s="28"/>
      <c r="H51" s="28"/>
    </row>
    <row r="52" spans="6:8" x14ac:dyDescent="0.25">
      <c r="F52" s="28"/>
      <c r="G52" s="28"/>
      <c r="H52" s="28"/>
    </row>
    <row r="53" spans="6:8" x14ac:dyDescent="0.25">
      <c r="F53" s="28"/>
      <c r="G53" s="28"/>
      <c r="H53" s="28"/>
    </row>
    <row r="54" spans="6:8" x14ac:dyDescent="0.25">
      <c r="F54" s="28"/>
      <c r="G54" s="28"/>
      <c r="H54" s="28"/>
    </row>
    <row r="55" spans="6:8" x14ac:dyDescent="0.25">
      <c r="F55" s="28"/>
      <c r="G55" s="28"/>
      <c r="H55" s="28"/>
    </row>
    <row r="56" spans="6:8" x14ac:dyDescent="0.25">
      <c r="F56" s="28"/>
      <c r="G56" s="28"/>
      <c r="H56" s="28"/>
    </row>
    <row r="57" spans="6:8" x14ac:dyDescent="0.25">
      <c r="F57" s="28"/>
      <c r="G57" s="28"/>
      <c r="H57" s="28"/>
    </row>
    <row r="58" spans="6:8" x14ac:dyDescent="0.25">
      <c r="F58" s="28"/>
      <c r="G58" s="28"/>
      <c r="H58" s="28"/>
    </row>
    <row r="59" spans="6:8" x14ac:dyDescent="0.25">
      <c r="F59" s="28"/>
      <c r="G59" s="28"/>
      <c r="H59" s="28"/>
    </row>
    <row r="60" spans="6:8" x14ac:dyDescent="0.25">
      <c r="F60" s="28"/>
      <c r="G60" s="28"/>
      <c r="H60" s="28"/>
    </row>
    <row r="61" spans="6:8" x14ac:dyDescent="0.25">
      <c r="F61" s="28"/>
      <c r="G61" s="28"/>
      <c r="H61" s="28"/>
    </row>
    <row r="62" spans="6:8" x14ac:dyDescent="0.25">
      <c r="F62" s="28"/>
      <c r="G62" s="28"/>
      <c r="H62" s="28"/>
    </row>
    <row r="63" spans="6:8" x14ac:dyDescent="0.25">
      <c r="F63" s="28"/>
      <c r="G63" s="28"/>
      <c r="H63" s="28"/>
    </row>
    <row r="64" spans="6:8" x14ac:dyDescent="0.25">
      <c r="F64" s="28"/>
      <c r="G64" s="28"/>
      <c r="H64" s="28"/>
    </row>
    <row r="65" spans="6:8" x14ac:dyDescent="0.25">
      <c r="F65" s="28"/>
      <c r="G65" s="28"/>
      <c r="H65" s="28"/>
    </row>
    <row r="66" spans="6:8" x14ac:dyDescent="0.25">
      <c r="F66" s="28"/>
      <c r="G66" s="28"/>
      <c r="H66" s="28"/>
    </row>
    <row r="67" spans="6:8" x14ac:dyDescent="0.25">
      <c r="F67" s="28"/>
      <c r="G67" s="28"/>
      <c r="H67" s="28"/>
    </row>
    <row r="68" spans="6:8" x14ac:dyDescent="0.25">
      <c r="F68" s="28"/>
      <c r="G68" s="28"/>
      <c r="H68" s="28"/>
    </row>
    <row r="69" spans="6:8" x14ac:dyDescent="0.25">
      <c r="F69" s="28"/>
      <c r="G69" s="28"/>
      <c r="H69" s="28"/>
    </row>
    <row r="70" spans="6:8" x14ac:dyDescent="0.25">
      <c r="F70" s="28"/>
      <c r="G70" s="28"/>
      <c r="H70" s="28"/>
    </row>
    <row r="71" spans="6:8" x14ac:dyDescent="0.25">
      <c r="F71" s="28"/>
      <c r="G71" s="28"/>
      <c r="H71" s="28"/>
    </row>
    <row r="72" spans="6:8" x14ac:dyDescent="0.25">
      <c r="F72" s="28"/>
      <c r="G72" s="28"/>
      <c r="H72" s="28"/>
    </row>
    <row r="73" spans="6:8" x14ac:dyDescent="0.25">
      <c r="F73" s="28"/>
      <c r="G73" s="28"/>
      <c r="H73" s="28"/>
    </row>
    <row r="74" spans="6:8" x14ac:dyDescent="0.25">
      <c r="F74" s="28"/>
      <c r="G74" s="28"/>
      <c r="H74" s="28"/>
    </row>
    <row r="75" spans="6:8" x14ac:dyDescent="0.25">
      <c r="F75" s="28"/>
      <c r="G75" s="28"/>
      <c r="H75" s="28"/>
    </row>
    <row r="76" spans="6:8" x14ac:dyDescent="0.25">
      <c r="F76" s="28"/>
      <c r="G76" s="28"/>
      <c r="H76" s="28"/>
    </row>
    <row r="77" spans="6:8" x14ac:dyDescent="0.25">
      <c r="F77" s="28"/>
      <c r="G77" s="28"/>
      <c r="H77" s="28"/>
    </row>
    <row r="78" spans="6:8" x14ac:dyDescent="0.25">
      <c r="F78" s="28"/>
      <c r="G78" s="28"/>
      <c r="H78" s="28"/>
    </row>
    <row r="79" spans="6:8" x14ac:dyDescent="0.25">
      <c r="F79" s="28"/>
      <c r="G79" s="28"/>
      <c r="H79" s="28"/>
    </row>
    <row r="80" spans="6:8" x14ac:dyDescent="0.25">
      <c r="F80" s="28"/>
      <c r="G80" s="28"/>
      <c r="H80" s="28"/>
    </row>
    <row r="81" spans="6:8" x14ac:dyDescent="0.25">
      <c r="F81" s="28"/>
      <c r="G81" s="28"/>
      <c r="H81" s="28"/>
    </row>
    <row r="82" spans="6:8" x14ac:dyDescent="0.25">
      <c r="F82" s="28"/>
      <c r="G82" s="28"/>
      <c r="H82" s="28"/>
    </row>
    <row r="83" spans="6:8" x14ac:dyDescent="0.25">
      <c r="F83" s="28"/>
      <c r="G83" s="28"/>
      <c r="H83" s="28"/>
    </row>
    <row r="84" spans="6:8" x14ac:dyDescent="0.25">
      <c r="F84" s="28"/>
      <c r="G84" s="28"/>
      <c r="H84" s="28"/>
    </row>
    <row r="85" spans="6:8" x14ac:dyDescent="0.25">
      <c r="F85" s="28"/>
      <c r="G85" s="28"/>
      <c r="H85" s="28"/>
    </row>
    <row r="86" spans="6:8" x14ac:dyDescent="0.25">
      <c r="F86" s="28"/>
      <c r="G86" s="28"/>
      <c r="H86" s="28"/>
    </row>
    <row r="87" spans="6:8" x14ac:dyDescent="0.25">
      <c r="F87" s="28"/>
      <c r="G87" s="28"/>
      <c r="H87" s="28"/>
    </row>
    <row r="88" spans="6:8" x14ac:dyDescent="0.25">
      <c r="F88" s="28"/>
      <c r="G88" s="28"/>
      <c r="H88" s="28"/>
    </row>
    <row r="89" spans="6:8" x14ac:dyDescent="0.25">
      <c r="F89" s="28"/>
      <c r="G89" s="28"/>
      <c r="H89" s="28"/>
    </row>
    <row r="90" spans="6:8" x14ac:dyDescent="0.25">
      <c r="F90" s="28"/>
      <c r="G90" s="28"/>
      <c r="H90" s="28"/>
    </row>
    <row r="91" spans="6:8" x14ac:dyDescent="0.25">
      <c r="F91" s="28"/>
      <c r="G91" s="28"/>
      <c r="H91" s="28"/>
    </row>
    <row r="92" spans="6:8" x14ac:dyDescent="0.25">
      <c r="F92" s="28"/>
      <c r="G92" s="28"/>
      <c r="H92" s="28"/>
    </row>
    <row r="93" spans="6:8" x14ac:dyDescent="0.25">
      <c r="F93" s="28"/>
      <c r="G93" s="28"/>
      <c r="H93" s="28"/>
    </row>
    <row r="94" spans="6:8" x14ac:dyDescent="0.25">
      <c r="F94" s="28"/>
      <c r="G94" s="28"/>
      <c r="H94" s="28"/>
    </row>
    <row r="95" spans="6:8" x14ac:dyDescent="0.25">
      <c r="F95" s="28"/>
      <c r="G95" s="28"/>
      <c r="H95" s="28"/>
    </row>
    <row r="96" spans="6:8" x14ac:dyDescent="0.25">
      <c r="F96" s="28"/>
      <c r="G96" s="28"/>
      <c r="H96" s="28"/>
    </row>
    <row r="97" spans="6:8" x14ac:dyDescent="0.25">
      <c r="F97" s="28"/>
      <c r="G97" s="28"/>
      <c r="H97" s="28"/>
    </row>
    <row r="98" spans="6:8" x14ac:dyDescent="0.25">
      <c r="F98" s="28"/>
      <c r="G98" s="28"/>
      <c r="H98" s="28"/>
    </row>
    <row r="99" spans="6:8" x14ac:dyDescent="0.25">
      <c r="F99" s="28"/>
      <c r="G99" s="28"/>
      <c r="H99" s="28"/>
    </row>
    <row r="100" spans="6:8" x14ac:dyDescent="0.25">
      <c r="F100" s="28"/>
      <c r="G100" s="28"/>
      <c r="H100" s="28"/>
    </row>
    <row r="101" spans="6:8" x14ac:dyDescent="0.25">
      <c r="F101" s="28"/>
      <c r="G101" s="28"/>
      <c r="H101" s="28"/>
    </row>
    <row r="102" spans="6:8" x14ac:dyDescent="0.25">
      <c r="F102" s="28"/>
      <c r="G102" s="28"/>
      <c r="H102" s="28"/>
    </row>
    <row r="103" spans="6:8" x14ac:dyDescent="0.25">
      <c r="F103" s="28"/>
      <c r="G103" s="28"/>
      <c r="H103" s="28"/>
    </row>
    <row r="104" spans="6:8" x14ac:dyDescent="0.25">
      <c r="F104" s="28"/>
      <c r="G104" s="28"/>
      <c r="H104" s="28"/>
    </row>
    <row r="105" spans="6:8" x14ac:dyDescent="0.25">
      <c r="F105" s="28"/>
      <c r="G105" s="28"/>
      <c r="H105" s="28"/>
    </row>
    <row r="106" spans="6:8" x14ac:dyDescent="0.25">
      <c r="F106" s="28"/>
      <c r="G106" s="28"/>
      <c r="H106" s="28"/>
    </row>
    <row r="107" spans="6:8" x14ac:dyDescent="0.25">
      <c r="F107" s="28"/>
      <c r="G107" s="28"/>
      <c r="H107" s="28"/>
    </row>
    <row r="108" spans="6:8" x14ac:dyDescent="0.25">
      <c r="F108" s="28"/>
      <c r="G108" s="28"/>
      <c r="H108" s="28"/>
    </row>
    <row r="109" spans="6:8" x14ac:dyDescent="0.25">
      <c r="F109" s="28"/>
      <c r="G109" s="28"/>
      <c r="H109" s="28"/>
    </row>
    <row r="110" spans="6:8" x14ac:dyDescent="0.25">
      <c r="F110" s="28"/>
      <c r="G110" s="28"/>
      <c r="H110" s="28"/>
    </row>
    <row r="111" spans="6:8" x14ac:dyDescent="0.25">
      <c r="F111" s="28"/>
      <c r="G111" s="28"/>
      <c r="H111" s="28"/>
    </row>
    <row r="112" spans="6:8" x14ac:dyDescent="0.25">
      <c r="F112" s="28"/>
      <c r="G112" s="28"/>
      <c r="H112" s="28"/>
    </row>
    <row r="113" spans="6:8" x14ac:dyDescent="0.25">
      <c r="F113" s="28"/>
      <c r="G113" s="28"/>
      <c r="H113" s="28"/>
    </row>
    <row r="114" spans="6:8" x14ac:dyDescent="0.25">
      <c r="F114" s="28"/>
      <c r="G114" s="28"/>
      <c r="H114" s="28"/>
    </row>
    <row r="115" spans="6:8" x14ac:dyDescent="0.25">
      <c r="F115" s="28"/>
      <c r="G115" s="28"/>
      <c r="H115" s="28"/>
    </row>
    <row r="116" spans="6:8" x14ac:dyDescent="0.25">
      <c r="F116" s="28"/>
      <c r="G116" s="28"/>
      <c r="H116" s="28"/>
    </row>
    <row r="117" spans="6:8" x14ac:dyDescent="0.25">
      <c r="F117" s="28"/>
      <c r="G117" s="28"/>
      <c r="H117" s="28"/>
    </row>
    <row r="118" spans="6:8" x14ac:dyDescent="0.25">
      <c r="F118" s="28"/>
      <c r="G118" s="28"/>
      <c r="H118" s="28"/>
    </row>
    <row r="119" spans="6:8" x14ac:dyDescent="0.25">
      <c r="F119" s="28"/>
      <c r="G119" s="28"/>
      <c r="H119" s="28"/>
    </row>
    <row r="120" spans="6:8" x14ac:dyDescent="0.25">
      <c r="F120" s="28"/>
      <c r="G120" s="28"/>
      <c r="H120" s="28"/>
    </row>
    <row r="121" spans="6:8" x14ac:dyDescent="0.25">
      <c r="F121" s="28"/>
      <c r="G121" s="28"/>
      <c r="H121" s="28"/>
    </row>
    <row r="122" spans="6:8" x14ac:dyDescent="0.25">
      <c r="F122" s="28"/>
      <c r="G122" s="28"/>
      <c r="H122" s="28"/>
    </row>
    <row r="123" spans="6:8" x14ac:dyDescent="0.25">
      <c r="F123" s="28"/>
      <c r="G123" s="28"/>
      <c r="H123" s="28"/>
    </row>
    <row r="124" spans="6:8" x14ac:dyDescent="0.25">
      <c r="F124" s="28"/>
      <c r="G124" s="28"/>
      <c r="H124" s="28"/>
    </row>
    <row r="125" spans="6:8" x14ac:dyDescent="0.25">
      <c r="F125" s="28"/>
      <c r="G125" s="28"/>
      <c r="H125" s="28"/>
    </row>
    <row r="126" spans="6:8" x14ac:dyDescent="0.25">
      <c r="F126" s="28"/>
      <c r="G126" s="28"/>
      <c r="H126" s="28"/>
    </row>
    <row r="127" spans="6:8" x14ac:dyDescent="0.25">
      <c r="F127" s="28"/>
      <c r="G127" s="28"/>
      <c r="H127" s="28"/>
    </row>
    <row r="128" spans="6:8" x14ac:dyDescent="0.25">
      <c r="F128" s="28"/>
      <c r="G128" s="28"/>
      <c r="H128" s="28"/>
    </row>
    <row r="129" spans="6:8" x14ac:dyDescent="0.25">
      <c r="F129" s="28"/>
      <c r="G129" s="28"/>
      <c r="H129" s="28"/>
    </row>
    <row r="130" spans="6:8" x14ac:dyDescent="0.25">
      <c r="F130" s="28"/>
      <c r="G130" s="28"/>
      <c r="H130" s="28"/>
    </row>
    <row r="131" spans="6:8" x14ac:dyDescent="0.25">
      <c r="F131" s="28"/>
      <c r="G131" s="28"/>
      <c r="H131" s="28"/>
    </row>
    <row r="132" spans="6:8" x14ac:dyDescent="0.25">
      <c r="F132" s="28"/>
      <c r="G132" s="28"/>
      <c r="H132" s="28"/>
    </row>
    <row r="133" spans="6:8" x14ac:dyDescent="0.25">
      <c r="F133" s="28"/>
      <c r="G133" s="28"/>
      <c r="H133" s="28"/>
    </row>
    <row r="134" spans="6:8" x14ac:dyDescent="0.25">
      <c r="F134" s="28"/>
      <c r="G134" s="28"/>
      <c r="H134" s="28"/>
    </row>
    <row r="135" spans="6:8" x14ac:dyDescent="0.25">
      <c r="F135" s="28"/>
      <c r="G135" s="28"/>
      <c r="H135" s="28"/>
    </row>
    <row r="136" spans="6:8" x14ac:dyDescent="0.25">
      <c r="F136" s="28"/>
      <c r="G136" s="28"/>
      <c r="H136" s="28"/>
    </row>
    <row r="137" spans="6:8" x14ac:dyDescent="0.25">
      <c r="F137" s="28"/>
      <c r="G137" s="28"/>
      <c r="H137" s="28"/>
    </row>
    <row r="138" spans="6:8" x14ac:dyDescent="0.25">
      <c r="F138" s="28"/>
      <c r="G138" s="28"/>
      <c r="H138" s="28"/>
    </row>
    <row r="139" spans="6:8" x14ac:dyDescent="0.25">
      <c r="F139" s="28"/>
      <c r="G139" s="28"/>
      <c r="H139" s="28"/>
    </row>
    <row r="140" spans="6:8" x14ac:dyDescent="0.25">
      <c r="F140" s="28"/>
      <c r="G140" s="28"/>
      <c r="H140" s="28"/>
    </row>
    <row r="141" spans="6:8" x14ac:dyDescent="0.25">
      <c r="F141" s="28"/>
      <c r="G141" s="28"/>
      <c r="H141" s="28"/>
    </row>
    <row r="142" spans="6:8" x14ac:dyDescent="0.25">
      <c r="F142" s="28"/>
      <c r="G142" s="28"/>
      <c r="H142" s="28"/>
    </row>
    <row r="143" spans="6:8" x14ac:dyDescent="0.25">
      <c r="F143" s="28"/>
      <c r="G143" s="28"/>
      <c r="H143" s="28"/>
    </row>
    <row r="144" spans="6:8" x14ac:dyDescent="0.25">
      <c r="F144" s="28"/>
      <c r="G144" s="28"/>
      <c r="H144" s="28"/>
    </row>
    <row r="145" spans="6:8" x14ac:dyDescent="0.25">
      <c r="F145" s="28"/>
      <c r="G145" s="28"/>
      <c r="H145" s="28"/>
    </row>
    <row r="146" spans="6:8" x14ac:dyDescent="0.25">
      <c r="F146" s="28"/>
      <c r="G146" s="28"/>
      <c r="H146" s="28"/>
    </row>
    <row r="147" spans="6:8" x14ac:dyDescent="0.25">
      <c r="F147" s="28"/>
      <c r="G147" s="28"/>
      <c r="H147" s="28"/>
    </row>
    <row r="148" spans="6:8" x14ac:dyDescent="0.25">
      <c r="F148" s="28"/>
      <c r="G148" s="28"/>
      <c r="H148" s="28"/>
    </row>
    <row r="149" spans="6:8" x14ac:dyDescent="0.25">
      <c r="F149" s="28"/>
      <c r="G149" s="28"/>
      <c r="H149" s="28"/>
    </row>
    <row r="150" spans="6:8" x14ac:dyDescent="0.25">
      <c r="F150" s="28"/>
      <c r="G150" s="28"/>
      <c r="H150" s="28"/>
    </row>
    <row r="151" spans="6:8" x14ac:dyDescent="0.25">
      <c r="F151" s="28"/>
      <c r="G151" s="28"/>
      <c r="H151" s="28"/>
    </row>
    <row r="152" spans="6:8" x14ac:dyDescent="0.25">
      <c r="F152" s="28"/>
      <c r="G152" s="28"/>
      <c r="H152" s="28"/>
    </row>
    <row r="153" spans="6:8" x14ac:dyDescent="0.25">
      <c r="F153" s="28"/>
      <c r="G153" s="28"/>
      <c r="H153" s="28"/>
    </row>
    <row r="154" spans="6:8" x14ac:dyDescent="0.25">
      <c r="F154" s="28"/>
      <c r="G154" s="28"/>
      <c r="H154" s="28"/>
    </row>
    <row r="155" spans="6:8" x14ac:dyDescent="0.25">
      <c r="F155" s="28"/>
      <c r="G155" s="28"/>
      <c r="H155" s="28"/>
    </row>
    <row r="156" spans="6:8" x14ac:dyDescent="0.25">
      <c r="F156" s="28"/>
      <c r="G156" s="28"/>
      <c r="H156" s="28"/>
    </row>
    <row r="157" spans="6:8" x14ac:dyDescent="0.25">
      <c r="F157" s="28"/>
      <c r="G157" s="28"/>
      <c r="H157" s="28"/>
    </row>
    <row r="158" spans="6:8" x14ac:dyDescent="0.25">
      <c r="F158" s="28"/>
      <c r="G158" s="28"/>
      <c r="H158" s="28"/>
    </row>
    <row r="159" spans="6:8" x14ac:dyDescent="0.25">
      <c r="F159" s="28"/>
      <c r="G159" s="28"/>
      <c r="H159" s="28"/>
    </row>
    <row r="160" spans="6:8" x14ac:dyDescent="0.25">
      <c r="F160" s="28"/>
      <c r="G160" s="28"/>
      <c r="H160" s="28"/>
    </row>
    <row r="161" spans="6:8" x14ac:dyDescent="0.25">
      <c r="F161" s="28"/>
      <c r="G161" s="28"/>
      <c r="H161" s="28"/>
    </row>
    <row r="162" spans="6:8" x14ac:dyDescent="0.25">
      <c r="F162" s="28"/>
      <c r="G162" s="28"/>
      <c r="H162" s="28"/>
    </row>
    <row r="163" spans="6:8" x14ac:dyDescent="0.25">
      <c r="F163" s="28"/>
      <c r="G163" s="28"/>
      <c r="H163" s="28"/>
    </row>
    <row r="164" spans="6:8" x14ac:dyDescent="0.25">
      <c r="F164" s="28"/>
      <c r="G164" s="28"/>
      <c r="H164" s="28"/>
    </row>
    <row r="165" spans="6:8" x14ac:dyDescent="0.25">
      <c r="F165" s="28"/>
      <c r="G165" s="28"/>
      <c r="H165" s="28"/>
    </row>
    <row r="166" spans="6:8" x14ac:dyDescent="0.25">
      <c r="F166" s="28"/>
      <c r="G166" s="28"/>
      <c r="H166" s="28"/>
    </row>
    <row r="167" spans="6:8" x14ac:dyDescent="0.25">
      <c r="F167" s="28"/>
      <c r="G167" s="28"/>
      <c r="H167" s="28"/>
    </row>
    <row r="168" spans="6:8" x14ac:dyDescent="0.25">
      <c r="F168" s="28"/>
      <c r="G168" s="28"/>
      <c r="H168" s="28"/>
    </row>
    <row r="169" spans="6:8" x14ac:dyDescent="0.25">
      <c r="F169" s="28"/>
      <c r="G169" s="28"/>
      <c r="H169" s="28"/>
    </row>
    <row r="170" spans="6:8" x14ac:dyDescent="0.25">
      <c r="F170" s="28"/>
      <c r="G170" s="28"/>
      <c r="H170" s="28"/>
    </row>
    <row r="171" spans="6:8" x14ac:dyDescent="0.25">
      <c r="F171" s="28"/>
      <c r="G171" s="28"/>
      <c r="H171" s="28"/>
    </row>
    <row r="172" spans="6:8" x14ac:dyDescent="0.25">
      <c r="F172" s="28"/>
      <c r="G172" s="28"/>
      <c r="H172" s="28"/>
    </row>
    <row r="173" spans="6:8" x14ac:dyDescent="0.25">
      <c r="F173" s="28"/>
      <c r="G173" s="28"/>
      <c r="H173" s="28"/>
    </row>
    <row r="174" spans="6:8" x14ac:dyDescent="0.25">
      <c r="F174" s="28"/>
      <c r="G174" s="28"/>
      <c r="H174" s="28"/>
    </row>
    <row r="175" spans="6:8" x14ac:dyDescent="0.25">
      <c r="F175" s="28"/>
      <c r="G175" s="28"/>
      <c r="H175" s="28"/>
    </row>
    <row r="176" spans="6:8" x14ac:dyDescent="0.25">
      <c r="F176" s="28"/>
      <c r="G176" s="28"/>
      <c r="H176" s="28"/>
    </row>
    <row r="177" spans="6:8" x14ac:dyDescent="0.25">
      <c r="F177" s="28"/>
      <c r="G177" s="28"/>
      <c r="H177" s="28"/>
    </row>
    <row r="178" spans="6:8" x14ac:dyDescent="0.25">
      <c r="F178" s="28"/>
      <c r="G178" s="28"/>
      <c r="H178" s="28"/>
    </row>
    <row r="179" spans="6:8" x14ac:dyDescent="0.25">
      <c r="F179" s="28"/>
      <c r="G179" s="28"/>
      <c r="H179" s="28"/>
    </row>
    <row r="180" spans="6:8" x14ac:dyDescent="0.25">
      <c r="F180" s="28"/>
      <c r="G180" s="28"/>
      <c r="H180" s="28"/>
    </row>
    <row r="181" spans="6:8" x14ac:dyDescent="0.25">
      <c r="F181" s="28"/>
      <c r="G181" s="28"/>
      <c r="H181" s="28"/>
    </row>
    <row r="182" spans="6:8" x14ac:dyDescent="0.25">
      <c r="F182" s="28"/>
      <c r="G182" s="28"/>
      <c r="H182" s="28"/>
    </row>
    <row r="183" spans="6:8" x14ac:dyDescent="0.25">
      <c r="F183" s="28"/>
      <c r="G183" s="28"/>
      <c r="H183" s="28"/>
    </row>
    <row r="184" spans="6:8" x14ac:dyDescent="0.25">
      <c r="F184" s="28"/>
      <c r="G184" s="28"/>
      <c r="H184" s="28"/>
    </row>
    <row r="185" spans="6:8" x14ac:dyDescent="0.25">
      <c r="F185" s="28"/>
      <c r="G185" s="28"/>
      <c r="H185" s="28"/>
    </row>
    <row r="186" spans="6:8" x14ac:dyDescent="0.25">
      <c r="F186" s="28"/>
      <c r="G186" s="28"/>
      <c r="H186" s="28"/>
    </row>
    <row r="187" spans="6:8" x14ac:dyDescent="0.25">
      <c r="F187" s="28"/>
      <c r="G187" s="28"/>
      <c r="H187" s="28"/>
    </row>
    <row r="188" spans="6:8" x14ac:dyDescent="0.25">
      <c r="F188" s="28"/>
      <c r="G188" s="28"/>
      <c r="H188" s="28"/>
    </row>
    <row r="189" spans="6:8" x14ac:dyDescent="0.25">
      <c r="F189" s="28"/>
      <c r="G189" s="28"/>
      <c r="H189" s="28"/>
    </row>
    <row r="190" spans="6:8" x14ac:dyDescent="0.25">
      <c r="F190" s="28"/>
      <c r="G190" s="28"/>
      <c r="H190" s="28"/>
    </row>
    <row r="191" spans="6:8" x14ac:dyDescent="0.25">
      <c r="F191" s="28"/>
      <c r="G191" s="28"/>
      <c r="H191" s="28"/>
    </row>
    <row r="192" spans="6:8" x14ac:dyDescent="0.25">
      <c r="F192" s="28"/>
      <c r="G192" s="28"/>
      <c r="H192" s="28"/>
    </row>
    <row r="193" spans="6:8" x14ac:dyDescent="0.25">
      <c r="F193" s="28"/>
      <c r="G193" s="28"/>
      <c r="H193" s="28"/>
    </row>
    <row r="194" spans="6:8" x14ac:dyDescent="0.25">
      <c r="F194" s="28"/>
      <c r="G194" s="28"/>
      <c r="H194" s="28"/>
    </row>
    <row r="195" spans="6:8" x14ac:dyDescent="0.25">
      <c r="F195" s="28"/>
      <c r="G195" s="28"/>
      <c r="H195" s="28"/>
    </row>
    <row r="196" spans="6:8" x14ac:dyDescent="0.25">
      <c r="F196" s="28"/>
      <c r="G196" s="28"/>
      <c r="H196" s="28"/>
    </row>
    <row r="197" spans="6:8" x14ac:dyDescent="0.25">
      <c r="F197" s="28"/>
      <c r="G197" s="28"/>
      <c r="H197" s="28"/>
    </row>
    <row r="198" spans="6:8" x14ac:dyDescent="0.25">
      <c r="F198" s="28"/>
      <c r="G198" s="28"/>
      <c r="H198" s="28"/>
    </row>
    <row r="199" spans="6:8" x14ac:dyDescent="0.25">
      <c r="F199" s="28"/>
      <c r="G199" s="28"/>
      <c r="H199" s="28"/>
    </row>
    <row r="200" spans="6:8" x14ac:dyDescent="0.25">
      <c r="F200" s="28"/>
      <c r="G200" s="28"/>
      <c r="H200" s="28"/>
    </row>
    <row r="201" spans="6:8" x14ac:dyDescent="0.25">
      <c r="F201" s="28"/>
      <c r="G201" s="28"/>
      <c r="H201" s="28"/>
    </row>
    <row r="202" spans="6:8" x14ac:dyDescent="0.25">
      <c r="F202" s="28"/>
      <c r="G202" s="28"/>
      <c r="H202" s="28"/>
    </row>
    <row r="203" spans="6:8" x14ac:dyDescent="0.25">
      <c r="F203" s="28"/>
      <c r="G203" s="28"/>
      <c r="H203" s="28"/>
    </row>
    <row r="204" spans="6:8" x14ac:dyDescent="0.25">
      <c r="F204" s="28"/>
      <c r="G204" s="28"/>
      <c r="H204" s="28"/>
    </row>
    <row r="205" spans="6:8" x14ac:dyDescent="0.25">
      <c r="F205" s="28"/>
      <c r="G205" s="28"/>
      <c r="H205" s="28"/>
    </row>
    <row r="206" spans="6:8" x14ac:dyDescent="0.25">
      <c r="F206" s="28"/>
      <c r="G206" s="28"/>
      <c r="H206" s="28"/>
    </row>
    <row r="207" spans="6:8" x14ac:dyDescent="0.25">
      <c r="F207" s="28"/>
      <c r="G207" s="28"/>
      <c r="H207" s="28"/>
    </row>
    <row r="208" spans="6:8" x14ac:dyDescent="0.25">
      <c r="F208" s="28"/>
      <c r="G208" s="28"/>
      <c r="H208" s="28"/>
    </row>
    <row r="209" spans="6:8" x14ac:dyDescent="0.25">
      <c r="F209" s="28"/>
      <c r="G209" s="28"/>
      <c r="H209" s="28"/>
    </row>
    <row r="210" spans="6:8" x14ac:dyDescent="0.25">
      <c r="F210" s="28"/>
      <c r="G210" s="28"/>
      <c r="H210" s="28"/>
    </row>
    <row r="211" spans="6:8" x14ac:dyDescent="0.25">
      <c r="F211" s="28"/>
      <c r="G211" s="28"/>
      <c r="H211" s="28"/>
    </row>
    <row r="212" spans="6:8" x14ac:dyDescent="0.25">
      <c r="F212" s="28"/>
      <c r="G212" s="28"/>
      <c r="H212" s="28"/>
    </row>
    <row r="213" spans="6:8" x14ac:dyDescent="0.25">
      <c r="F213" s="28"/>
      <c r="G213" s="28"/>
      <c r="H213" s="28"/>
    </row>
    <row r="214" spans="6:8" x14ac:dyDescent="0.25">
      <c r="F214" s="28"/>
      <c r="G214" s="28"/>
      <c r="H214" s="28"/>
    </row>
    <row r="215" spans="6:8" x14ac:dyDescent="0.25">
      <c r="F215" s="28"/>
      <c r="G215" s="28"/>
      <c r="H215" s="28"/>
    </row>
    <row r="216" spans="6:8" x14ac:dyDescent="0.25">
      <c r="F216" s="28"/>
      <c r="G216" s="28"/>
      <c r="H216" s="28"/>
    </row>
    <row r="217" spans="6:8" x14ac:dyDescent="0.25">
      <c r="F217" s="28"/>
      <c r="G217" s="28"/>
      <c r="H217" s="28"/>
    </row>
    <row r="218" spans="6:8" x14ac:dyDescent="0.25">
      <c r="F218" s="28"/>
      <c r="G218" s="28"/>
      <c r="H218" s="28"/>
    </row>
    <row r="219" spans="6:8" x14ac:dyDescent="0.25">
      <c r="F219" s="28"/>
      <c r="G219" s="28"/>
      <c r="H219" s="28"/>
    </row>
    <row r="220" spans="6:8" x14ac:dyDescent="0.25">
      <c r="F220" s="28"/>
      <c r="G220" s="28"/>
      <c r="H220" s="28"/>
    </row>
    <row r="221" spans="6:8" x14ac:dyDescent="0.25">
      <c r="F221" s="28"/>
      <c r="G221" s="28"/>
      <c r="H221" s="28"/>
    </row>
    <row r="222" spans="6:8" x14ac:dyDescent="0.25">
      <c r="F222" s="28"/>
      <c r="G222" s="28"/>
      <c r="H222" s="28"/>
    </row>
    <row r="223" spans="6:8" x14ac:dyDescent="0.25">
      <c r="F223" s="28"/>
      <c r="G223" s="28"/>
      <c r="H223" s="28"/>
    </row>
    <row r="224" spans="6:8" x14ac:dyDescent="0.25">
      <c r="F224" s="28"/>
      <c r="G224" s="28"/>
      <c r="H224" s="28"/>
    </row>
    <row r="225" spans="6:8" x14ac:dyDescent="0.25">
      <c r="F225" s="28"/>
      <c r="G225" s="28"/>
      <c r="H225" s="28"/>
    </row>
    <row r="226" spans="6:8" x14ac:dyDescent="0.25">
      <c r="F226" s="28"/>
      <c r="G226" s="28"/>
      <c r="H226" s="28"/>
    </row>
    <row r="227" spans="6:8" x14ac:dyDescent="0.25">
      <c r="F227" s="28"/>
      <c r="G227" s="28"/>
      <c r="H227" s="28"/>
    </row>
    <row r="228" spans="6:8" x14ac:dyDescent="0.25">
      <c r="F228" s="28"/>
      <c r="G228" s="28"/>
      <c r="H228" s="28"/>
    </row>
    <row r="229" spans="6:8" x14ac:dyDescent="0.25">
      <c r="F229" s="28"/>
      <c r="G229" s="28"/>
      <c r="H229" s="28"/>
    </row>
    <row r="230" spans="6:8" x14ac:dyDescent="0.25">
      <c r="F230" s="28"/>
      <c r="G230" s="28"/>
      <c r="H230" s="28"/>
    </row>
    <row r="231" spans="6:8" x14ac:dyDescent="0.25">
      <c r="F231" s="28"/>
      <c r="G231" s="28"/>
      <c r="H231" s="28"/>
    </row>
    <row r="232" spans="6:8" x14ac:dyDescent="0.25">
      <c r="F232" s="28"/>
      <c r="G232" s="28"/>
      <c r="H232" s="28"/>
    </row>
    <row r="233" spans="6:8" x14ac:dyDescent="0.25">
      <c r="F233" s="28"/>
      <c r="G233" s="28"/>
      <c r="H233" s="28"/>
    </row>
    <row r="234" spans="6:8" x14ac:dyDescent="0.25">
      <c r="F234" s="28"/>
      <c r="G234" s="28"/>
      <c r="H234" s="28"/>
    </row>
    <row r="235" spans="6:8" x14ac:dyDescent="0.25">
      <c r="F235" s="28"/>
      <c r="G235" s="28"/>
      <c r="H235" s="28"/>
    </row>
    <row r="236" spans="6:8" x14ac:dyDescent="0.25">
      <c r="F236" s="28"/>
      <c r="G236" s="28"/>
      <c r="H236" s="28"/>
    </row>
    <row r="237" spans="6:8" x14ac:dyDescent="0.25">
      <c r="F237" s="28"/>
      <c r="G237" s="28"/>
      <c r="H237" s="28"/>
    </row>
    <row r="238" spans="6:8" x14ac:dyDescent="0.25">
      <c r="F238" s="28"/>
      <c r="G238" s="28"/>
      <c r="H238" s="28"/>
    </row>
    <row r="239" spans="6:8" x14ac:dyDescent="0.25">
      <c r="F239" s="28"/>
      <c r="G239" s="28"/>
      <c r="H239" s="28"/>
    </row>
    <row r="240" spans="6:8" x14ac:dyDescent="0.25">
      <c r="F240" s="28"/>
      <c r="G240" s="28"/>
      <c r="H240" s="28"/>
    </row>
    <row r="241" spans="6:8" x14ac:dyDescent="0.25">
      <c r="F241" s="28"/>
      <c r="G241" s="28"/>
      <c r="H241" s="28"/>
    </row>
    <row r="242" spans="6:8" x14ac:dyDescent="0.25">
      <c r="F242" s="28"/>
      <c r="G242" s="28"/>
      <c r="H242" s="28"/>
    </row>
    <row r="243" spans="6:8" x14ac:dyDescent="0.25">
      <c r="F243" s="28"/>
      <c r="G243" s="28"/>
      <c r="H243" s="28"/>
    </row>
    <row r="244" spans="6:8" x14ac:dyDescent="0.25">
      <c r="F244" s="28"/>
      <c r="G244" s="28"/>
      <c r="H244" s="28"/>
    </row>
    <row r="245" spans="6:8" x14ac:dyDescent="0.25">
      <c r="F245" s="28"/>
      <c r="G245" s="28"/>
      <c r="H245" s="28"/>
    </row>
    <row r="246" spans="6:8" x14ac:dyDescent="0.25">
      <c r="F246" s="28"/>
      <c r="G246" s="28"/>
      <c r="H246" s="28"/>
    </row>
    <row r="247" spans="6:8" x14ac:dyDescent="0.25">
      <c r="F247" s="28"/>
      <c r="G247" s="28"/>
      <c r="H247" s="28"/>
    </row>
    <row r="248" spans="6:8" x14ac:dyDescent="0.25">
      <c r="F248" s="28"/>
      <c r="G248" s="28"/>
      <c r="H248" s="28"/>
    </row>
    <row r="249" spans="6:8" x14ac:dyDescent="0.25">
      <c r="F249" s="28"/>
      <c r="G249" s="28"/>
      <c r="H249" s="28"/>
    </row>
    <row r="250" spans="6:8" x14ac:dyDescent="0.25">
      <c r="F250" s="28"/>
      <c r="G250" s="28"/>
      <c r="H250" s="28"/>
    </row>
    <row r="251" spans="6:8" x14ac:dyDescent="0.25">
      <c r="F251" s="28"/>
      <c r="G251" s="28"/>
      <c r="H251" s="28"/>
    </row>
    <row r="252" spans="6:8" x14ac:dyDescent="0.25">
      <c r="F252" s="28"/>
      <c r="G252" s="28"/>
      <c r="H252" s="28"/>
    </row>
    <row r="253" spans="6:8" x14ac:dyDescent="0.25">
      <c r="F253" s="28"/>
      <c r="G253" s="28"/>
      <c r="H253" s="28"/>
    </row>
    <row r="254" spans="6:8" x14ac:dyDescent="0.25">
      <c r="F254" s="28"/>
      <c r="G254" s="28"/>
      <c r="H254" s="28"/>
    </row>
    <row r="255" spans="6:8" x14ac:dyDescent="0.25">
      <c r="F255" s="28"/>
      <c r="G255" s="28"/>
      <c r="H255" s="28"/>
    </row>
    <row r="256" spans="6:8" x14ac:dyDescent="0.25">
      <c r="F256" s="28"/>
      <c r="G256" s="28"/>
      <c r="H256" s="28"/>
    </row>
    <row r="257" spans="6:8" x14ac:dyDescent="0.25">
      <c r="F257" s="28"/>
      <c r="G257" s="28"/>
      <c r="H257" s="28"/>
    </row>
    <row r="258" spans="6:8" x14ac:dyDescent="0.25">
      <c r="F258" s="28"/>
      <c r="G258" s="28"/>
      <c r="H258" s="28"/>
    </row>
    <row r="259" spans="6:8" x14ac:dyDescent="0.25">
      <c r="F259" s="28"/>
      <c r="G259" s="28"/>
      <c r="H259" s="28"/>
    </row>
    <row r="260" spans="6:8" x14ac:dyDescent="0.25">
      <c r="F260" s="28"/>
      <c r="G260" s="28"/>
      <c r="H260" s="28"/>
    </row>
    <row r="261" spans="6:8" x14ac:dyDescent="0.25">
      <c r="F261" s="28"/>
      <c r="G261" s="28"/>
      <c r="H261" s="28"/>
    </row>
    <row r="262" spans="6:8" x14ac:dyDescent="0.25">
      <c r="F262" s="28"/>
      <c r="G262" s="28"/>
      <c r="H262" s="28"/>
    </row>
    <row r="263" spans="6:8" x14ac:dyDescent="0.25">
      <c r="F263" s="28"/>
      <c r="G263" s="28"/>
      <c r="H263" s="28"/>
    </row>
    <row r="264" spans="6:8" x14ac:dyDescent="0.25">
      <c r="F264" s="28"/>
      <c r="G264" s="28"/>
      <c r="H264" s="28"/>
    </row>
    <row r="265" spans="6:8" x14ac:dyDescent="0.25">
      <c r="F265" s="28"/>
      <c r="G265" s="28"/>
      <c r="H265" s="28"/>
    </row>
    <row r="266" spans="6:8" x14ac:dyDescent="0.25">
      <c r="F266" s="28"/>
      <c r="G266" s="28"/>
      <c r="H266" s="28"/>
    </row>
    <row r="267" spans="6:8" x14ac:dyDescent="0.25">
      <c r="F267" s="28"/>
      <c r="G267" s="28"/>
      <c r="H267" s="28"/>
    </row>
    <row r="268" spans="6:8" x14ac:dyDescent="0.25">
      <c r="F268" s="28"/>
      <c r="G268" s="28"/>
      <c r="H268" s="28"/>
    </row>
    <row r="269" spans="6:8" x14ac:dyDescent="0.25">
      <c r="F269" s="28"/>
      <c r="G269" s="28"/>
      <c r="H269" s="28"/>
    </row>
    <row r="270" spans="6:8" x14ac:dyDescent="0.25">
      <c r="F270" s="28"/>
      <c r="G270" s="28"/>
      <c r="H270" s="28"/>
    </row>
    <row r="271" spans="6:8" x14ac:dyDescent="0.25">
      <c r="F271" s="28"/>
      <c r="G271" s="28"/>
      <c r="H271" s="28"/>
    </row>
    <row r="272" spans="6:8" x14ac:dyDescent="0.25">
      <c r="F272" s="28"/>
      <c r="G272" s="28"/>
      <c r="H272" s="28"/>
    </row>
    <row r="273" spans="6:8" x14ac:dyDescent="0.25">
      <c r="F273" s="28"/>
      <c r="G273" s="28"/>
      <c r="H273" s="28"/>
    </row>
    <row r="274" spans="6:8" x14ac:dyDescent="0.25">
      <c r="F274" s="28"/>
      <c r="G274" s="28"/>
      <c r="H274" s="28"/>
    </row>
    <row r="275" spans="6:8" x14ac:dyDescent="0.25">
      <c r="F275" s="28"/>
      <c r="G275" s="28"/>
      <c r="H275" s="28"/>
    </row>
    <row r="276" spans="6:8" x14ac:dyDescent="0.25">
      <c r="F276" s="28"/>
      <c r="G276" s="28"/>
      <c r="H276" s="28"/>
    </row>
    <row r="277" spans="6:8" x14ac:dyDescent="0.25">
      <c r="F277" s="28"/>
      <c r="G277" s="28"/>
      <c r="H277" s="28"/>
    </row>
    <row r="278" spans="6:8" x14ac:dyDescent="0.25">
      <c r="F278" s="28"/>
      <c r="G278" s="28"/>
      <c r="H278" s="28"/>
    </row>
    <row r="279" spans="6:8" x14ac:dyDescent="0.25">
      <c r="F279" s="28"/>
      <c r="G279" s="28"/>
      <c r="H279" s="28"/>
    </row>
    <row r="280" spans="6:8" x14ac:dyDescent="0.25">
      <c r="F280" s="28"/>
      <c r="G280" s="28"/>
      <c r="H280" s="28"/>
    </row>
    <row r="281" spans="6:8" x14ac:dyDescent="0.25">
      <c r="F281" s="28"/>
      <c r="G281" s="28"/>
      <c r="H281" s="28"/>
    </row>
    <row r="282" spans="6:8" x14ac:dyDescent="0.25">
      <c r="F282" s="28"/>
      <c r="G282" s="28"/>
      <c r="H282" s="28"/>
    </row>
    <row r="283" spans="6:8" x14ac:dyDescent="0.25">
      <c r="F283" s="28"/>
      <c r="G283" s="28"/>
      <c r="H283" s="28"/>
    </row>
    <row r="284" spans="6:8" x14ac:dyDescent="0.25">
      <c r="F284" s="28"/>
      <c r="G284" s="28"/>
      <c r="H284" s="28"/>
    </row>
    <row r="285" spans="6:8" x14ac:dyDescent="0.25">
      <c r="F285" s="28"/>
      <c r="G285" s="28"/>
      <c r="H285" s="28"/>
    </row>
    <row r="286" spans="6:8" x14ac:dyDescent="0.25">
      <c r="F286" s="28"/>
      <c r="G286" s="28"/>
      <c r="H286" s="28"/>
    </row>
    <row r="287" spans="6:8" x14ac:dyDescent="0.25">
      <c r="F287" s="28"/>
      <c r="G287" s="28"/>
      <c r="H287" s="28"/>
    </row>
    <row r="288" spans="6:8" x14ac:dyDescent="0.25">
      <c r="F288" s="28"/>
      <c r="G288" s="28"/>
      <c r="H288" s="28"/>
    </row>
    <row r="289" spans="6:8" x14ac:dyDescent="0.25">
      <c r="F289" s="28"/>
      <c r="G289" s="28"/>
      <c r="H289" s="28"/>
    </row>
    <row r="290" spans="6:8" x14ac:dyDescent="0.25">
      <c r="F290" s="28"/>
      <c r="G290" s="28"/>
      <c r="H290" s="28"/>
    </row>
    <row r="291" spans="6:8" x14ac:dyDescent="0.25">
      <c r="F291" s="28"/>
      <c r="G291" s="28"/>
      <c r="H291" s="28"/>
    </row>
    <row r="292" spans="6:8" x14ac:dyDescent="0.25">
      <c r="F292" s="28"/>
      <c r="G292" s="28"/>
      <c r="H292" s="28"/>
    </row>
    <row r="293" spans="6:8" x14ac:dyDescent="0.25">
      <c r="F293" s="28"/>
      <c r="G293" s="28"/>
      <c r="H293" s="28"/>
    </row>
    <row r="294" spans="6:8" x14ac:dyDescent="0.25">
      <c r="F294" s="28"/>
      <c r="G294" s="28"/>
      <c r="H294" s="28"/>
    </row>
    <row r="295" spans="6:8" x14ac:dyDescent="0.25">
      <c r="F295" s="28"/>
      <c r="G295" s="28"/>
      <c r="H295" s="28"/>
    </row>
    <row r="296" spans="6:8" x14ac:dyDescent="0.25">
      <c r="F296" s="28"/>
      <c r="G296" s="28"/>
      <c r="H296" s="28"/>
    </row>
    <row r="297" spans="6:8" x14ac:dyDescent="0.25">
      <c r="F297" s="28"/>
      <c r="G297" s="28"/>
      <c r="H297" s="28"/>
    </row>
    <row r="298" spans="6:8" x14ac:dyDescent="0.25">
      <c r="F298" s="28"/>
      <c r="G298" s="28"/>
      <c r="H298" s="28"/>
    </row>
    <row r="299" spans="6:8" x14ac:dyDescent="0.25">
      <c r="F299" s="28"/>
      <c r="G299" s="28"/>
      <c r="H299" s="28"/>
    </row>
    <row r="300" spans="6:8" x14ac:dyDescent="0.25">
      <c r="F300" s="28"/>
      <c r="G300" s="28"/>
      <c r="H300" s="28"/>
    </row>
    <row r="301" spans="6:8" x14ac:dyDescent="0.25">
      <c r="F301" s="28"/>
      <c r="G301" s="28"/>
      <c r="H301" s="28"/>
    </row>
    <row r="302" spans="6:8" x14ac:dyDescent="0.25">
      <c r="F302" s="28"/>
      <c r="G302" s="28"/>
      <c r="H302" s="28"/>
    </row>
    <row r="303" spans="6:8" x14ac:dyDescent="0.25">
      <c r="F303" s="28"/>
      <c r="G303" s="28"/>
      <c r="H303" s="28"/>
    </row>
    <row r="304" spans="6:8" x14ac:dyDescent="0.25">
      <c r="F304" s="28"/>
      <c r="G304" s="28"/>
      <c r="H304" s="28"/>
    </row>
    <row r="305" spans="6:8" x14ac:dyDescent="0.25">
      <c r="F305" s="28"/>
      <c r="G305" s="28"/>
      <c r="H305" s="28"/>
    </row>
    <row r="306" spans="6:8" x14ac:dyDescent="0.25">
      <c r="F306" s="28"/>
      <c r="G306" s="28"/>
      <c r="H306" s="28"/>
    </row>
    <row r="307" spans="6:8" x14ac:dyDescent="0.25">
      <c r="F307" s="28"/>
      <c r="G307" s="28"/>
      <c r="H307" s="28"/>
    </row>
    <row r="308" spans="6:8" x14ac:dyDescent="0.25">
      <c r="F308" s="28"/>
      <c r="G308" s="28"/>
      <c r="H308" s="28"/>
    </row>
    <row r="309" spans="6:8" x14ac:dyDescent="0.25">
      <c r="F309" s="28"/>
      <c r="G309" s="28"/>
      <c r="H309" s="28"/>
    </row>
    <row r="310" spans="6:8" x14ac:dyDescent="0.25">
      <c r="F310" s="28"/>
      <c r="G310" s="28"/>
      <c r="H310" s="28"/>
    </row>
    <row r="311" spans="6:8" x14ac:dyDescent="0.25">
      <c r="F311" s="28"/>
      <c r="G311" s="28"/>
      <c r="H311" s="28"/>
    </row>
    <row r="312" spans="6:8" x14ac:dyDescent="0.25">
      <c r="F312" s="28"/>
      <c r="G312" s="28"/>
      <c r="H312" s="28"/>
    </row>
    <row r="313" spans="6:8" x14ac:dyDescent="0.25">
      <c r="F313" s="28"/>
      <c r="G313" s="28"/>
      <c r="H313" s="28"/>
    </row>
    <row r="314" spans="6:8" x14ac:dyDescent="0.25">
      <c r="F314" s="28"/>
      <c r="G314" s="28"/>
      <c r="H314" s="28"/>
    </row>
    <row r="315" spans="6:8" x14ac:dyDescent="0.25">
      <c r="F315" s="28"/>
      <c r="G315" s="28"/>
      <c r="H315" s="28"/>
    </row>
    <row r="316" spans="6:8" x14ac:dyDescent="0.25">
      <c r="F316" s="28"/>
      <c r="G316" s="28"/>
      <c r="H316" s="28"/>
    </row>
    <row r="317" spans="6:8" x14ac:dyDescent="0.25">
      <c r="F317" s="28"/>
      <c r="G317" s="28"/>
      <c r="H317" s="28"/>
    </row>
    <row r="318" spans="6:8" x14ac:dyDescent="0.25">
      <c r="F318" s="28"/>
      <c r="G318" s="28"/>
      <c r="H318" s="28"/>
    </row>
    <row r="319" spans="6:8" x14ac:dyDescent="0.25">
      <c r="F319" s="28"/>
      <c r="G319" s="28"/>
      <c r="H319" s="28"/>
    </row>
    <row r="320" spans="6:8" x14ac:dyDescent="0.25">
      <c r="F320" s="28"/>
      <c r="G320" s="28"/>
      <c r="H320" s="28"/>
    </row>
    <row r="321" spans="6:8" x14ac:dyDescent="0.25">
      <c r="F321" s="28"/>
      <c r="G321" s="28"/>
      <c r="H321" s="28"/>
    </row>
    <row r="322" spans="6:8" x14ac:dyDescent="0.25">
      <c r="F322" s="28"/>
      <c r="G322" s="28"/>
      <c r="H322" s="28"/>
    </row>
    <row r="323" spans="6:8" x14ac:dyDescent="0.25">
      <c r="F323" s="28"/>
      <c r="G323" s="28"/>
      <c r="H323" s="28"/>
    </row>
    <row r="324" spans="6:8" x14ac:dyDescent="0.25">
      <c r="F324" s="28"/>
      <c r="G324" s="28"/>
      <c r="H324" s="28"/>
    </row>
    <row r="325" spans="6:8" x14ac:dyDescent="0.25">
      <c r="F325" s="28"/>
      <c r="G325" s="28"/>
      <c r="H325" s="28"/>
    </row>
    <row r="326" spans="6:8" x14ac:dyDescent="0.25">
      <c r="F326" s="28"/>
      <c r="G326" s="28"/>
      <c r="H326" s="28"/>
    </row>
    <row r="327" spans="6:8" x14ac:dyDescent="0.25">
      <c r="F327" s="28"/>
      <c r="G327" s="28"/>
      <c r="H327" s="28"/>
    </row>
    <row r="328" spans="6:8" x14ac:dyDescent="0.25">
      <c r="F328" s="28"/>
      <c r="G328" s="28"/>
      <c r="H328" s="28"/>
    </row>
    <row r="329" spans="6:8" x14ac:dyDescent="0.25">
      <c r="F329" s="28"/>
      <c r="G329" s="28"/>
      <c r="H329" s="28"/>
    </row>
    <row r="330" spans="6:8" x14ac:dyDescent="0.25">
      <c r="F330" s="28"/>
      <c r="G330" s="28"/>
      <c r="H330" s="28"/>
    </row>
    <row r="331" spans="6:8" x14ac:dyDescent="0.25">
      <c r="F331" s="28"/>
      <c r="G331" s="28"/>
      <c r="H331" s="28"/>
    </row>
    <row r="332" spans="6:8" x14ac:dyDescent="0.25">
      <c r="F332" s="28"/>
      <c r="G332" s="28"/>
      <c r="H332" s="28"/>
    </row>
    <row r="333" spans="6:8" x14ac:dyDescent="0.25">
      <c r="F333" s="28"/>
      <c r="G333" s="28"/>
      <c r="H333" s="28"/>
    </row>
    <row r="334" spans="6:8" x14ac:dyDescent="0.25">
      <c r="F334" s="28"/>
      <c r="G334" s="28"/>
      <c r="H334" s="28"/>
    </row>
    <row r="335" spans="6:8" x14ac:dyDescent="0.25">
      <c r="F335" s="28"/>
      <c r="G335" s="28"/>
      <c r="H335" s="28"/>
    </row>
    <row r="336" spans="6:8" x14ac:dyDescent="0.25">
      <c r="F336" s="28"/>
      <c r="G336" s="28"/>
      <c r="H336" s="28"/>
    </row>
    <row r="337" spans="6:8" x14ac:dyDescent="0.25">
      <c r="F337" s="28"/>
      <c r="G337" s="28"/>
      <c r="H337" s="28"/>
    </row>
    <row r="338" spans="6:8" x14ac:dyDescent="0.25">
      <c r="F338" s="28"/>
      <c r="G338" s="28"/>
      <c r="H338" s="28"/>
    </row>
    <row r="339" spans="6:8" x14ac:dyDescent="0.25">
      <c r="F339" s="28"/>
      <c r="G339" s="28"/>
      <c r="H339" s="28"/>
    </row>
    <row r="340" spans="6:8" x14ac:dyDescent="0.25">
      <c r="F340" s="28"/>
      <c r="G340" s="28"/>
      <c r="H340" s="28"/>
    </row>
    <row r="341" spans="6:8" x14ac:dyDescent="0.25">
      <c r="F341" s="28"/>
      <c r="G341" s="28"/>
      <c r="H341" s="28"/>
    </row>
    <row r="342" spans="6:8" x14ac:dyDescent="0.25">
      <c r="F342" s="28"/>
      <c r="G342" s="28"/>
      <c r="H342" s="28"/>
    </row>
    <row r="343" spans="6:8" x14ac:dyDescent="0.25">
      <c r="F343" s="28"/>
      <c r="G343" s="28"/>
      <c r="H343" s="28"/>
    </row>
    <row r="344" spans="6:8" x14ac:dyDescent="0.25">
      <c r="F344" s="28"/>
      <c r="G344" s="28"/>
      <c r="H344" s="28"/>
    </row>
    <row r="345" spans="6:8" x14ac:dyDescent="0.25">
      <c r="F345" s="28"/>
      <c r="G345" s="28"/>
      <c r="H345" s="28"/>
    </row>
    <row r="346" spans="6:8" x14ac:dyDescent="0.25">
      <c r="F346" s="28"/>
      <c r="G346" s="28"/>
      <c r="H346" s="28"/>
    </row>
    <row r="347" spans="6:8" x14ac:dyDescent="0.25">
      <c r="F347" s="28"/>
      <c r="G347" s="28"/>
      <c r="H347" s="28"/>
    </row>
    <row r="348" spans="6:8" x14ac:dyDescent="0.25">
      <c r="F348" s="28"/>
      <c r="G348" s="28"/>
      <c r="H348" s="28"/>
    </row>
    <row r="349" spans="6:8" x14ac:dyDescent="0.25">
      <c r="F349" s="28"/>
      <c r="G349" s="28"/>
      <c r="H349" s="28"/>
    </row>
    <row r="350" spans="6:8" x14ac:dyDescent="0.25">
      <c r="F350" s="28"/>
      <c r="G350" s="28"/>
      <c r="H350" s="28"/>
    </row>
    <row r="351" spans="6:8" x14ac:dyDescent="0.25">
      <c r="F351" s="28"/>
      <c r="G351" s="28"/>
      <c r="H351" s="28"/>
    </row>
    <row r="352" spans="6:8" x14ac:dyDescent="0.25">
      <c r="F352" s="28"/>
      <c r="G352" s="28"/>
      <c r="H352" s="28"/>
    </row>
    <row r="353" spans="6:8" x14ac:dyDescent="0.25">
      <c r="F353" s="28"/>
      <c r="G353" s="28"/>
      <c r="H353" s="28"/>
    </row>
    <row r="354" spans="6:8" x14ac:dyDescent="0.25">
      <c r="F354" s="28"/>
      <c r="G354" s="28"/>
      <c r="H354" s="28"/>
    </row>
    <row r="355" spans="6:8" x14ac:dyDescent="0.25">
      <c r="F355" s="28"/>
      <c r="G355" s="28"/>
      <c r="H355" s="28"/>
    </row>
    <row r="356" spans="6:8" x14ac:dyDescent="0.25">
      <c r="F356" s="28"/>
      <c r="G356" s="28"/>
      <c r="H356" s="28"/>
    </row>
    <row r="357" spans="6:8" x14ac:dyDescent="0.25">
      <c r="F357" s="28"/>
      <c r="G357" s="28"/>
      <c r="H357" s="28"/>
    </row>
    <row r="358" spans="6:8" x14ac:dyDescent="0.25">
      <c r="F358" s="28"/>
      <c r="G358" s="28"/>
      <c r="H358" s="28"/>
    </row>
    <row r="359" spans="6:8" x14ac:dyDescent="0.25">
      <c r="F359" s="28"/>
      <c r="G359" s="28"/>
      <c r="H359" s="28"/>
    </row>
    <row r="360" spans="6:8" x14ac:dyDescent="0.25">
      <c r="F360" s="28"/>
      <c r="G360" s="28"/>
      <c r="H360" s="28"/>
    </row>
    <row r="361" spans="6:8" x14ac:dyDescent="0.25">
      <c r="F361" s="28"/>
      <c r="G361" s="28"/>
      <c r="H361" s="28"/>
    </row>
    <row r="362" spans="6:8" x14ac:dyDescent="0.25">
      <c r="F362" s="28"/>
      <c r="G362" s="28"/>
      <c r="H362" s="28"/>
    </row>
    <row r="363" spans="6:8" x14ac:dyDescent="0.25">
      <c r="F363" s="28"/>
      <c r="G363" s="28"/>
      <c r="H363" s="28"/>
    </row>
    <row r="364" spans="6:8" x14ac:dyDescent="0.25">
      <c r="F364" s="28"/>
      <c r="G364" s="28"/>
      <c r="H364" s="28"/>
    </row>
    <row r="365" spans="6:8" x14ac:dyDescent="0.25">
      <c r="F365" s="28"/>
      <c r="G365" s="28"/>
      <c r="H365" s="28"/>
    </row>
    <row r="366" spans="6:8" x14ac:dyDescent="0.25">
      <c r="F366" s="28"/>
      <c r="G366" s="28"/>
      <c r="H366" s="28"/>
    </row>
    <row r="367" spans="6:8" x14ac:dyDescent="0.25">
      <c r="F367" s="28"/>
      <c r="G367" s="28"/>
      <c r="H367" s="28"/>
    </row>
    <row r="368" spans="6:8" x14ac:dyDescent="0.25">
      <c r="F368" s="28"/>
      <c r="G368" s="28"/>
      <c r="H368" s="28"/>
    </row>
    <row r="369" spans="6:8" x14ac:dyDescent="0.25">
      <c r="F369" s="28"/>
      <c r="G369" s="28"/>
      <c r="H369" s="28"/>
    </row>
    <row r="370" spans="6:8" x14ac:dyDescent="0.25">
      <c r="F370" s="28"/>
      <c r="G370" s="28"/>
      <c r="H370" s="28"/>
    </row>
    <row r="371" spans="6:8" x14ac:dyDescent="0.25">
      <c r="F371" s="28"/>
      <c r="G371" s="28"/>
      <c r="H371" s="28"/>
    </row>
    <row r="372" spans="6:8" x14ac:dyDescent="0.25">
      <c r="F372" s="28"/>
      <c r="G372" s="28"/>
      <c r="H372" s="28"/>
    </row>
    <row r="373" spans="6:8" x14ac:dyDescent="0.25">
      <c r="F373" s="28"/>
      <c r="G373" s="28"/>
      <c r="H373" s="28"/>
    </row>
    <row r="374" spans="6:8" x14ac:dyDescent="0.25">
      <c r="F374" s="28"/>
      <c r="G374" s="28"/>
      <c r="H374" s="28"/>
    </row>
    <row r="375" spans="6:8" x14ac:dyDescent="0.25">
      <c r="F375" s="28"/>
      <c r="G375" s="28"/>
      <c r="H375" s="28"/>
    </row>
    <row r="376" spans="6:8" x14ac:dyDescent="0.25">
      <c r="F376" s="28"/>
      <c r="G376" s="28"/>
      <c r="H376" s="28"/>
    </row>
    <row r="377" spans="6:8" x14ac:dyDescent="0.25">
      <c r="F377" s="28"/>
      <c r="G377" s="28"/>
      <c r="H377" s="28"/>
    </row>
    <row r="378" spans="6:8" x14ac:dyDescent="0.25">
      <c r="F378" s="28"/>
      <c r="G378" s="28"/>
      <c r="H378" s="28"/>
    </row>
    <row r="379" spans="6:8" x14ac:dyDescent="0.25">
      <c r="F379" s="28"/>
      <c r="G379" s="28"/>
      <c r="H379" s="28"/>
    </row>
    <row r="380" spans="6:8" x14ac:dyDescent="0.25">
      <c r="F380" s="28"/>
      <c r="G380" s="28"/>
      <c r="H380" s="28"/>
    </row>
    <row r="381" spans="6:8" x14ac:dyDescent="0.25">
      <c r="F381" s="28"/>
      <c r="G381" s="28"/>
      <c r="H381" s="28"/>
    </row>
    <row r="382" spans="6:8" x14ac:dyDescent="0.25">
      <c r="F382" s="28"/>
      <c r="G382" s="28"/>
      <c r="H382" s="28"/>
    </row>
    <row r="383" spans="6:8" x14ac:dyDescent="0.25">
      <c r="F383" s="28"/>
      <c r="G383" s="28"/>
      <c r="H383" s="28"/>
    </row>
    <row r="384" spans="6:8" x14ac:dyDescent="0.25">
      <c r="F384" s="28"/>
      <c r="G384" s="28"/>
      <c r="H384" s="28"/>
    </row>
    <row r="385" spans="6:8" x14ac:dyDescent="0.25">
      <c r="F385" s="28"/>
      <c r="G385" s="28"/>
      <c r="H385" s="28"/>
    </row>
    <row r="386" spans="6:8" x14ac:dyDescent="0.25">
      <c r="F386" s="28"/>
      <c r="G386" s="28"/>
      <c r="H386" s="28"/>
    </row>
    <row r="387" spans="6:8" x14ac:dyDescent="0.25">
      <c r="F387" s="28"/>
      <c r="G387" s="28"/>
      <c r="H387" s="28"/>
    </row>
    <row r="388" spans="6:8" x14ac:dyDescent="0.25">
      <c r="F388" s="28"/>
      <c r="G388" s="28"/>
      <c r="H388" s="28"/>
    </row>
    <row r="389" spans="6:8" x14ac:dyDescent="0.25">
      <c r="F389" s="28"/>
      <c r="G389" s="28"/>
      <c r="H389" s="28"/>
    </row>
    <row r="390" spans="6:8" x14ac:dyDescent="0.25">
      <c r="F390" s="28"/>
      <c r="G390" s="28"/>
      <c r="H390" s="28"/>
    </row>
    <row r="391" spans="6:8" x14ac:dyDescent="0.25">
      <c r="F391" s="28"/>
      <c r="G391" s="28"/>
      <c r="H391" s="28"/>
    </row>
    <row r="392" spans="6:8" x14ac:dyDescent="0.25">
      <c r="F392" s="28"/>
      <c r="G392" s="28"/>
      <c r="H392" s="28"/>
    </row>
    <row r="393" spans="6:8" x14ac:dyDescent="0.25">
      <c r="F393" s="28"/>
      <c r="G393" s="28"/>
      <c r="H393" s="28"/>
    </row>
    <row r="394" spans="6:8" x14ac:dyDescent="0.25">
      <c r="F394" s="28"/>
      <c r="G394" s="28"/>
      <c r="H394" s="28"/>
    </row>
    <row r="395" spans="6:8" x14ac:dyDescent="0.25">
      <c r="F395" s="28"/>
      <c r="G395" s="28"/>
      <c r="H395" s="28"/>
    </row>
    <row r="396" spans="6:8" x14ac:dyDescent="0.25">
      <c r="F396" s="28"/>
      <c r="G396" s="28"/>
      <c r="H396" s="28"/>
    </row>
    <row r="397" spans="6:8" x14ac:dyDescent="0.25">
      <c r="F397" s="28"/>
      <c r="G397" s="28"/>
      <c r="H397" s="28"/>
    </row>
    <row r="398" spans="6:8" x14ac:dyDescent="0.25">
      <c r="F398" s="28"/>
      <c r="G398" s="28"/>
      <c r="H398" s="28"/>
    </row>
    <row r="399" spans="6:8" x14ac:dyDescent="0.25">
      <c r="F399" s="28"/>
      <c r="G399" s="28"/>
      <c r="H399" s="28"/>
    </row>
    <row r="400" spans="6:8" x14ac:dyDescent="0.25">
      <c r="F400" s="28"/>
      <c r="G400" s="28"/>
      <c r="H400" s="28"/>
    </row>
    <row r="401" spans="6:8" x14ac:dyDescent="0.25">
      <c r="F401" s="28"/>
      <c r="G401" s="28"/>
      <c r="H401" s="28"/>
    </row>
    <row r="402" spans="6:8" x14ac:dyDescent="0.25">
      <c r="F402" s="28"/>
      <c r="G402" s="28"/>
      <c r="H402" s="28"/>
    </row>
    <row r="403" spans="6:8" x14ac:dyDescent="0.25">
      <c r="F403" s="28"/>
      <c r="G403" s="28"/>
      <c r="H403" s="28"/>
    </row>
    <row r="404" spans="6:8" x14ac:dyDescent="0.25">
      <c r="F404" s="28"/>
      <c r="G404" s="28"/>
      <c r="H404" s="28"/>
    </row>
    <row r="405" spans="6:8" x14ac:dyDescent="0.25">
      <c r="F405" s="28"/>
      <c r="G405" s="28"/>
      <c r="H405" s="28"/>
    </row>
    <row r="406" spans="6:8" x14ac:dyDescent="0.25">
      <c r="F406" s="28"/>
      <c r="G406" s="28"/>
      <c r="H406" s="28"/>
    </row>
    <row r="407" spans="6:8" x14ac:dyDescent="0.25">
      <c r="F407" s="28"/>
      <c r="G407" s="28"/>
      <c r="H407" s="28"/>
    </row>
    <row r="408" spans="6:8" x14ac:dyDescent="0.25">
      <c r="F408" s="28"/>
      <c r="G408" s="28"/>
      <c r="H408" s="28"/>
    </row>
    <row r="409" spans="6:8" x14ac:dyDescent="0.25">
      <c r="F409" s="28"/>
      <c r="G409" s="28"/>
      <c r="H409" s="28"/>
    </row>
    <row r="410" spans="6:8" x14ac:dyDescent="0.25">
      <c r="F410" s="28"/>
      <c r="G410" s="28"/>
      <c r="H410" s="28"/>
    </row>
    <row r="411" spans="6:8" x14ac:dyDescent="0.25">
      <c r="F411" s="28"/>
      <c r="G411" s="28"/>
      <c r="H411" s="28"/>
    </row>
    <row r="412" spans="6:8" x14ac:dyDescent="0.25">
      <c r="F412" s="28"/>
      <c r="G412" s="28"/>
      <c r="H412" s="28"/>
    </row>
    <row r="413" spans="6:8" x14ac:dyDescent="0.25">
      <c r="F413" s="28"/>
      <c r="G413" s="28"/>
      <c r="H413" s="28"/>
    </row>
    <row r="414" spans="6:8" x14ac:dyDescent="0.25">
      <c r="F414" s="28"/>
      <c r="G414" s="28"/>
      <c r="H414" s="28"/>
    </row>
    <row r="415" spans="6:8" x14ac:dyDescent="0.25">
      <c r="F415" s="28"/>
      <c r="G415" s="28"/>
      <c r="H415" s="28"/>
    </row>
    <row r="416" spans="6:8" x14ac:dyDescent="0.25">
      <c r="F416" s="28"/>
      <c r="G416" s="28"/>
      <c r="H416" s="28"/>
    </row>
    <row r="417" spans="6:8" x14ac:dyDescent="0.25">
      <c r="F417" s="28"/>
      <c r="G417" s="28"/>
      <c r="H417" s="28"/>
    </row>
    <row r="418" spans="6:8" x14ac:dyDescent="0.25">
      <c r="F418" s="28"/>
      <c r="G418" s="28"/>
      <c r="H418" s="28"/>
    </row>
    <row r="419" spans="6:8" x14ac:dyDescent="0.25">
      <c r="F419" s="28"/>
      <c r="G419" s="28"/>
      <c r="H419" s="28"/>
    </row>
    <row r="420" spans="6:8" x14ac:dyDescent="0.25">
      <c r="F420" s="28"/>
      <c r="G420" s="28"/>
      <c r="H420" s="28"/>
    </row>
    <row r="421" spans="6:8" x14ac:dyDescent="0.25">
      <c r="F421" s="28"/>
      <c r="G421" s="28"/>
      <c r="H421" s="28"/>
    </row>
    <row r="422" spans="6:8" x14ac:dyDescent="0.25">
      <c r="F422" s="28"/>
      <c r="G422" s="28"/>
      <c r="H422" s="28"/>
    </row>
    <row r="423" spans="6:8" x14ac:dyDescent="0.25">
      <c r="F423" s="28"/>
      <c r="G423" s="28"/>
      <c r="H423" s="28"/>
    </row>
    <row r="424" spans="6:8" x14ac:dyDescent="0.25">
      <c r="F424" s="28"/>
      <c r="G424" s="28"/>
      <c r="H424" s="28"/>
    </row>
    <row r="425" spans="6:8" x14ac:dyDescent="0.25">
      <c r="F425" s="28"/>
      <c r="G425" s="28"/>
      <c r="H425" s="28"/>
    </row>
    <row r="426" spans="6:8" x14ac:dyDescent="0.25">
      <c r="F426" s="28"/>
      <c r="G426" s="28"/>
      <c r="H426" s="28"/>
    </row>
    <row r="427" spans="6:8" x14ac:dyDescent="0.25">
      <c r="F427" s="28"/>
      <c r="G427" s="28"/>
      <c r="H427" s="28"/>
    </row>
    <row r="428" spans="6:8" x14ac:dyDescent="0.25">
      <c r="F428" s="28"/>
      <c r="G428" s="28"/>
      <c r="H428" s="28"/>
    </row>
    <row r="429" spans="6:8" x14ac:dyDescent="0.25">
      <c r="F429" s="28"/>
      <c r="G429" s="28"/>
      <c r="H429" s="28"/>
    </row>
    <row r="430" spans="6:8" x14ac:dyDescent="0.25">
      <c r="F430" s="28"/>
      <c r="G430" s="28"/>
      <c r="H430" s="28"/>
    </row>
    <row r="431" spans="6:8" x14ac:dyDescent="0.25">
      <c r="F431" s="28"/>
      <c r="G431" s="28"/>
      <c r="H431" s="28"/>
    </row>
    <row r="432" spans="6:8" x14ac:dyDescent="0.25">
      <c r="F432" s="28"/>
      <c r="G432" s="28"/>
      <c r="H432" s="28"/>
    </row>
    <row r="433" spans="6:8" x14ac:dyDescent="0.25">
      <c r="F433" s="28"/>
      <c r="G433" s="28"/>
      <c r="H433" s="28"/>
    </row>
    <row r="434" spans="6:8" x14ac:dyDescent="0.25">
      <c r="F434" s="28"/>
      <c r="G434" s="28"/>
      <c r="H434" s="28"/>
    </row>
    <row r="435" spans="6:8" x14ac:dyDescent="0.25">
      <c r="F435" s="28"/>
      <c r="G435" s="28"/>
      <c r="H435" s="28"/>
    </row>
    <row r="436" spans="6:8" x14ac:dyDescent="0.25">
      <c r="F436" s="28"/>
      <c r="G436" s="28"/>
      <c r="H436" s="28"/>
    </row>
    <row r="437" spans="6:8" x14ac:dyDescent="0.25">
      <c r="F437" s="28"/>
      <c r="G437" s="28"/>
      <c r="H437" s="28"/>
    </row>
    <row r="438" spans="6:8" x14ac:dyDescent="0.25">
      <c r="F438" s="28"/>
      <c r="G438" s="28"/>
      <c r="H438" s="28"/>
    </row>
    <row r="439" spans="6:8" x14ac:dyDescent="0.25">
      <c r="F439" s="28"/>
      <c r="G439" s="28"/>
      <c r="H439" s="28"/>
    </row>
    <row r="440" spans="6:8" x14ac:dyDescent="0.25">
      <c r="F440" s="28"/>
      <c r="G440" s="28"/>
      <c r="H440" s="28"/>
    </row>
    <row r="441" spans="6:8" x14ac:dyDescent="0.25">
      <c r="F441" s="28"/>
      <c r="G441" s="28"/>
      <c r="H441" s="28"/>
    </row>
    <row r="442" spans="6:8" x14ac:dyDescent="0.25">
      <c r="F442" s="28"/>
      <c r="G442" s="28"/>
      <c r="H442" s="28"/>
    </row>
    <row r="443" spans="6:8" x14ac:dyDescent="0.25">
      <c r="F443" s="28"/>
      <c r="G443" s="28"/>
      <c r="H443" s="28"/>
    </row>
    <row r="444" spans="6:8" x14ac:dyDescent="0.25">
      <c r="F444" s="28"/>
      <c r="G444" s="28"/>
      <c r="H444" s="28"/>
    </row>
    <row r="445" spans="6:8" x14ac:dyDescent="0.25">
      <c r="F445" s="28"/>
      <c r="G445" s="28"/>
      <c r="H445" s="28"/>
    </row>
    <row r="446" spans="6:8" x14ac:dyDescent="0.25">
      <c r="F446" s="28"/>
      <c r="G446" s="28"/>
      <c r="H446" s="28"/>
    </row>
    <row r="447" spans="6:8" x14ac:dyDescent="0.25">
      <c r="F447" s="28"/>
      <c r="G447" s="28"/>
      <c r="H447" s="28"/>
    </row>
    <row r="448" spans="6:8" x14ac:dyDescent="0.25">
      <c r="F448" s="28"/>
      <c r="G448" s="28"/>
      <c r="H448" s="28"/>
    </row>
    <row r="449" spans="6:8" x14ac:dyDescent="0.25">
      <c r="F449" s="28"/>
      <c r="G449" s="28"/>
      <c r="H449" s="28"/>
    </row>
    <row r="450" spans="6:8" x14ac:dyDescent="0.25">
      <c r="F450" s="28"/>
      <c r="G450" s="28"/>
      <c r="H450" s="28"/>
    </row>
    <row r="451" spans="6:8" x14ac:dyDescent="0.25">
      <c r="F451" s="28"/>
      <c r="G451" s="28"/>
      <c r="H451" s="28"/>
    </row>
    <row r="452" spans="6:8" x14ac:dyDescent="0.25">
      <c r="F452" s="28"/>
      <c r="G452" s="28"/>
      <c r="H452" s="28"/>
    </row>
    <row r="453" spans="6:8" x14ac:dyDescent="0.25">
      <c r="F453" s="28"/>
      <c r="G453" s="28"/>
      <c r="H453" s="28"/>
    </row>
    <row r="454" spans="6:8" x14ac:dyDescent="0.25">
      <c r="F454" s="28"/>
      <c r="G454" s="28"/>
      <c r="H454" s="28"/>
    </row>
    <row r="455" spans="6:8" x14ac:dyDescent="0.25">
      <c r="F455" s="28"/>
      <c r="G455" s="28"/>
      <c r="H455" s="28"/>
    </row>
    <row r="456" spans="6:8" x14ac:dyDescent="0.25">
      <c r="F456" s="28"/>
      <c r="G456" s="28"/>
      <c r="H456" s="28"/>
    </row>
    <row r="457" spans="6:8" x14ac:dyDescent="0.25">
      <c r="F457" s="28"/>
      <c r="G457" s="28"/>
      <c r="H457" s="28"/>
    </row>
    <row r="458" spans="6:8" x14ac:dyDescent="0.25">
      <c r="F458" s="28"/>
      <c r="G458" s="28"/>
      <c r="H458" s="28"/>
    </row>
    <row r="459" spans="6:8" x14ac:dyDescent="0.25">
      <c r="F459" s="28"/>
      <c r="G459" s="28"/>
      <c r="H459" s="28"/>
    </row>
    <row r="460" spans="6:8" x14ac:dyDescent="0.25">
      <c r="F460" s="28"/>
      <c r="G460" s="28"/>
      <c r="H460" s="28"/>
    </row>
    <row r="461" spans="6:8" x14ac:dyDescent="0.25">
      <c r="F461" s="28"/>
      <c r="G461" s="28"/>
      <c r="H461" s="28"/>
    </row>
    <row r="462" spans="6:8" x14ac:dyDescent="0.25">
      <c r="F462" s="28"/>
      <c r="G462" s="28"/>
      <c r="H462" s="28"/>
    </row>
    <row r="463" spans="6:8" x14ac:dyDescent="0.25">
      <c r="F463" s="28"/>
      <c r="G463" s="28"/>
      <c r="H463" s="28"/>
    </row>
    <row r="464" spans="6:8" x14ac:dyDescent="0.25">
      <c r="F464" s="28"/>
      <c r="G464" s="28"/>
      <c r="H464" s="28"/>
    </row>
    <row r="465" spans="6:8" x14ac:dyDescent="0.25">
      <c r="F465" s="28"/>
      <c r="G465" s="28"/>
      <c r="H465" s="28"/>
    </row>
    <row r="466" spans="6:8" x14ac:dyDescent="0.25">
      <c r="F466" s="28"/>
      <c r="G466" s="28"/>
      <c r="H466" s="28"/>
    </row>
    <row r="467" spans="6:8" x14ac:dyDescent="0.25">
      <c r="F467" s="28"/>
      <c r="G467" s="28"/>
      <c r="H467" s="28"/>
    </row>
    <row r="468" spans="6:8" x14ac:dyDescent="0.25">
      <c r="F468" s="28"/>
      <c r="G468" s="28"/>
      <c r="H468" s="28"/>
    </row>
    <row r="469" spans="6:8" x14ac:dyDescent="0.25">
      <c r="F469" s="28"/>
      <c r="G469" s="28"/>
      <c r="H469" s="28"/>
    </row>
    <row r="470" spans="6:8" x14ac:dyDescent="0.25">
      <c r="F470" s="28"/>
      <c r="G470" s="28"/>
      <c r="H470" s="28"/>
    </row>
    <row r="471" spans="6:8" x14ac:dyDescent="0.25">
      <c r="F471" s="28"/>
      <c r="G471" s="28"/>
      <c r="H471" s="28"/>
    </row>
    <row r="472" spans="6:8" x14ac:dyDescent="0.25">
      <c r="F472" s="28"/>
      <c r="G472" s="28"/>
      <c r="H472" s="28"/>
    </row>
    <row r="473" spans="6:8" x14ac:dyDescent="0.25">
      <c r="F473" s="28"/>
      <c r="G473" s="28"/>
      <c r="H473" s="28"/>
    </row>
    <row r="474" spans="6:8" x14ac:dyDescent="0.25">
      <c r="F474" s="28"/>
      <c r="G474" s="28"/>
      <c r="H474" s="28"/>
    </row>
    <row r="475" spans="6:8" x14ac:dyDescent="0.25">
      <c r="F475" s="28"/>
      <c r="G475" s="28"/>
      <c r="H475" s="28"/>
    </row>
    <row r="476" spans="6:8" x14ac:dyDescent="0.25">
      <c r="F476" s="28"/>
      <c r="G476" s="28"/>
      <c r="H476" s="28"/>
    </row>
    <row r="477" spans="6:8" x14ac:dyDescent="0.25">
      <c r="F477" s="28"/>
      <c r="G477" s="28"/>
      <c r="H477" s="28"/>
    </row>
    <row r="478" spans="6:8" x14ac:dyDescent="0.25">
      <c r="F478" s="28"/>
      <c r="G478" s="28"/>
      <c r="H478" s="28"/>
    </row>
    <row r="479" spans="6:8" x14ac:dyDescent="0.25">
      <c r="F479" s="28"/>
      <c r="G479" s="28"/>
      <c r="H479" s="28"/>
    </row>
    <row r="480" spans="6:8" x14ac:dyDescent="0.25">
      <c r="F480" s="28"/>
      <c r="G480" s="28"/>
      <c r="H480" s="28"/>
    </row>
    <row r="481" spans="6:8" x14ac:dyDescent="0.25">
      <c r="F481" s="28"/>
      <c r="G481" s="28"/>
      <c r="H481" s="28"/>
    </row>
    <row r="482" spans="6:8" x14ac:dyDescent="0.25">
      <c r="F482" s="28"/>
      <c r="G482" s="28"/>
      <c r="H482" s="28"/>
    </row>
    <row r="483" spans="6:8" x14ac:dyDescent="0.25">
      <c r="F483" s="28"/>
      <c r="G483" s="28"/>
      <c r="H483" s="28"/>
    </row>
    <row r="484" spans="6:8" x14ac:dyDescent="0.25">
      <c r="F484" s="28"/>
      <c r="G484" s="28"/>
      <c r="H484" s="28"/>
    </row>
    <row r="485" spans="6:8" x14ac:dyDescent="0.25">
      <c r="F485" s="28"/>
      <c r="G485" s="28"/>
      <c r="H485" s="28"/>
    </row>
    <row r="486" spans="6:8" x14ac:dyDescent="0.25">
      <c r="F486" s="28"/>
      <c r="G486" s="28"/>
      <c r="H486" s="28"/>
    </row>
    <row r="487" spans="6:8" x14ac:dyDescent="0.25">
      <c r="F487" s="28"/>
      <c r="G487" s="28"/>
      <c r="H487" s="28"/>
    </row>
    <row r="488" spans="6:8" x14ac:dyDescent="0.25">
      <c r="F488" s="28"/>
      <c r="G488" s="28"/>
      <c r="H488" s="28"/>
    </row>
    <row r="489" spans="6:8" x14ac:dyDescent="0.25">
      <c r="F489" s="28"/>
      <c r="G489" s="28"/>
      <c r="H489" s="28"/>
    </row>
    <row r="490" spans="6:8" x14ac:dyDescent="0.25">
      <c r="F490" s="28"/>
      <c r="G490" s="28"/>
      <c r="H490" s="28"/>
    </row>
    <row r="491" spans="6:8" x14ac:dyDescent="0.25">
      <c r="F491" s="28"/>
      <c r="G491" s="28"/>
      <c r="H491" s="28"/>
    </row>
    <row r="492" spans="6:8" x14ac:dyDescent="0.25">
      <c r="F492" s="28"/>
      <c r="G492" s="28"/>
      <c r="H492" s="28"/>
    </row>
    <row r="493" spans="6:8" x14ac:dyDescent="0.25">
      <c r="F493" s="28"/>
      <c r="G493" s="28"/>
      <c r="H493" s="28"/>
    </row>
    <row r="494" spans="6:8" x14ac:dyDescent="0.25">
      <c r="F494" s="28"/>
      <c r="G494" s="28"/>
      <c r="H494" s="28"/>
    </row>
    <row r="495" spans="6:8" x14ac:dyDescent="0.25">
      <c r="F495" s="28"/>
      <c r="G495" s="28"/>
      <c r="H495" s="28"/>
    </row>
    <row r="496" spans="6:8" x14ac:dyDescent="0.25">
      <c r="F496" s="28"/>
      <c r="G496" s="28"/>
      <c r="H496" s="28"/>
    </row>
  </sheetData>
  <dataConsolidate/>
  <phoneticPr fontId="3" type="noConversion"/>
  <conditionalFormatting sqref="A1:A500">
    <cfRule type="expression" dxfId="39" priority="56">
      <formula>COUNTIF(A:A,A1)&gt;1</formula>
    </cfRule>
  </conditionalFormatting>
  <conditionalFormatting sqref="A3:O500">
    <cfRule type="expression" dxfId="38" priority="103">
      <formula>$C3&lt;&gt;$C4</formula>
    </cfRule>
  </conditionalFormatting>
  <conditionalFormatting sqref="A13:O13">
    <cfRule type="expression" dxfId="37" priority="36">
      <formula>$C13&lt;&gt;#REF!</formula>
    </cfRule>
  </conditionalFormatting>
  <conditionalFormatting sqref="D17">
    <cfRule type="expression" dxfId="36" priority="8">
      <formula>$C17&lt;&gt;#REF!</formula>
    </cfRule>
  </conditionalFormatting>
  <conditionalFormatting sqref="F3:F496">
    <cfRule type="expression" dxfId="34" priority="5">
      <formula>AND(NOT(ISBLANK($F3)),$F3&gt;$I3)</formula>
    </cfRule>
  </conditionalFormatting>
  <conditionalFormatting sqref="G3:G18">
    <cfRule type="expression" dxfId="30" priority="18">
      <formula>AND(NOT(ISBLANK($G3)),$G3&gt;$I3)</formula>
    </cfRule>
  </conditionalFormatting>
  <conditionalFormatting sqref="G19:H496">
    <cfRule type="expression" dxfId="29" priority="22">
      <formula>AND(NOT(ISBLANK($F19)),$F19&gt;$I19)</formula>
    </cfRule>
  </conditionalFormatting>
  <conditionalFormatting sqref="H3:H14">
    <cfRule type="expression" dxfId="27" priority="23">
      <formula>AND(NOT(ISBLANK($H3)),$H3&gt;$I3)</formula>
    </cfRule>
  </conditionalFormatting>
  <conditionalFormatting sqref="H3:H17">
    <cfRule type="expression" dxfId="26" priority="1">
      <formula>AND(NOT(ISBLANK($F3)),$F3&gt;$I3)</formula>
    </cfRule>
  </conditionalFormatting>
  <conditionalFormatting sqref="H18">
    <cfRule type="expression" dxfId="24" priority="9">
      <formula>AND(NOT(ISBLANK($H18)),$H18&gt;$I18)</formula>
    </cfRule>
  </conditionalFormatting>
  <conditionalFormatting sqref="I3:I496">
    <cfRule type="expression" dxfId="23" priority="11">
      <formula>AND($O3,$I3&gt;10)</formula>
    </cfRule>
    <cfRule type="expression" dxfId="22" priority="12">
      <formula>OR(IF(AND(ISNUMBER(SEARCH("tow",LOWER($D3))),$E3="transit"),TRUE,FALSE),IF(ISNUMBER(SEARCH("transit",LOWER($D3))),TRUE,FALSE))</formula>
    </cfRule>
  </conditionalFormatting>
  <conditionalFormatting sqref="I15">
    <cfRule type="expression" dxfId="21" priority="16">
      <formula>$C15&lt;&gt;#REF!</formula>
    </cfRule>
  </conditionalFormatting>
  <conditionalFormatting sqref="I17">
    <cfRule type="expression" dxfId="20" priority="13">
      <formula>$C17&lt;&gt;#REF!</formula>
    </cfRule>
  </conditionalFormatting>
  <conditionalFormatting sqref="L3:M496">
    <cfRule type="expression" dxfId="19" priority="21">
      <formula>AND(NOT(ISBLANK($L3)),NOT(ISBLANK($M3)))</formula>
    </cfRule>
  </conditionalFormatting>
  <conditionalFormatting sqref="M3:M13 M15 M17 M19:M496">
    <cfRule type="expression" dxfId="18" priority="140">
      <formula>AND(AND(IFERROR(FIND("ofw",$C3)&gt;0=FALSE,TRUE),IFERROR(FIND("oce",$C3)&gt;0=FALSE,TRUE)),NOT(ISBLANK($A3)))</formula>
    </cfRule>
  </conditionalFormatting>
  <conditionalFormatting sqref="M14">
    <cfRule type="expression" dxfId="17" priority="123">
      <formula>AND(AND(IFERROR(FIND("ofw",$C14)&gt;0=FALSE,TRUE),IFERROR(FIND("oce",$C14)&gt;0=FALSE,TRUE)),NOT(ISBLANK(#REF!)))</formula>
    </cfRule>
  </conditionalFormatting>
  <conditionalFormatting sqref="M16">
    <cfRule type="expression" dxfId="16" priority="149">
      <formula>AND(AND(IFERROR(FIND("ofw",$C16)&gt;0=FALSE,TRUE),IFERROR(FIND("oce",$C16)&gt;0=FALSE,TRUE)),NOT(ISBLANK($A14)))</formula>
    </cfRule>
  </conditionalFormatting>
  <conditionalFormatting sqref="M18">
    <cfRule type="expression" dxfId="15" priority="10">
      <formula>AND(AND(IFERROR(FIND("ofw",$C18)&gt;0=FALSE,TRUE),IFERROR(FIND("oce",$C18)&gt;0=FALSE,TRUE)),NOT(ISBLANK(#REF!)))</formula>
    </cfRule>
  </conditionalFormatting>
  <dataValidations count="10">
    <dataValidation type="custom" operator="greaterThan" allowBlank="1" showInputMessage="1" showErrorMessage="1" errorTitle="Wrong input" error="If location is &quot;transit&quot;, leave this cell empty. If not, it must be decimal greater than 0.0." sqref="J3:N3" xr:uid="{09789DE5-E4B1-40C0-B8A9-DCE030B91D2B}">
      <formula1>AND(ISNUMBER(J3),J3&gt;0)</formula1>
    </dataValidation>
    <dataValidation type="list" allowBlank="1" showInputMessage="1" showErrorMessage="1" sqref="O3:O201" xr:uid="{8214A56E-A509-48E1-9686-3786DAE7E132}">
      <formula1>"TRUE,FALSE"</formula1>
    </dataValidation>
    <dataValidation type="list" allowBlank="1" showInputMessage="1" showErrorMessage="1" sqref="E3:E496" xr:uid="{4F8019EE-7E90-4198-B9BA-5C5BDC70C2B1}">
      <formula1>"port,transit,site"</formula1>
    </dataValidation>
    <dataValidation type="decimal" operator="greaterThan" allowBlank="1" showInputMessage="1" showErrorMessage="1" errorTitle="Wrong input" error="Leave it empy or it must be a decimal greater than 0.0." sqref="J4:N496" xr:uid="{E6473B0C-A736-416F-8F8D-B8B3CAEA0AEA}">
      <formula1>0</formula1>
    </dataValidation>
    <dataValidation type="custom" operator="greaterThan" allowBlank="1" showInputMessage="1" showErrorMessage="1" errorTitle="Wrong input" error="If location is &quot;transit&quot;, leave this cell empty. If not, it must be decimal greater than 0.0." sqref="I3:I496" xr:uid="{1A64ED52-133C-4B6A-9B97-B0C3EEC03B9E}">
      <formula1>AND(ISNUMBER(I3),I3&gt;=0)</formula1>
    </dataValidation>
    <dataValidation type="list" allowBlank="1" showInputMessage="1" showErrorMessage="1" sqref="H3:H17 F19:H500 F3:F17" xr:uid="{A2A618B5-F1E0-44C2-9C09-933EB668F4BF}">
      <formula1>"False, True"</formula1>
    </dataValidation>
    <dataValidation type="decimal" operator="greaterThanOrEqual" allowBlank="1" showInputMessage="1" showErrorMessage="1" sqref="F18:H18 G3:G17" xr:uid="{4B134563-E118-4E67-BAD2-C2EFB737978E}">
      <formula1>0</formula1>
    </dataValidation>
    <dataValidation type="list" allowBlank="1" showInputMessage="1" showErrorMessage="1" sqref="B3:B500" xr:uid="{F4828BB0-3807-45A7-986D-AD6BE3C5EE0D}">
      <formula1>"CorrectiveMajor,Tow"</formula1>
    </dataValidation>
    <dataValidation type="list" allowBlank="1" showInputMessage="1" showErrorMessage="1" sqref="C3:C500" xr:uid="{D340719B-C216-495B-9DE0-606FDAC8EF3F}">
      <formula1>INDIRECT($B3)</formula1>
    </dataValidation>
    <dataValidation type="list" allowBlank="1" showInputMessage="1" showErrorMessage="1" sqref="D3:D1048576" xr:uid="{E8C89DE4-9EC9-4B14-95EB-72F3BF6147E0}">
      <formula1>"Transit to site, Transit to port, Tow to site, Tow to port, Transit to next device, WEC disconnect, WEC connect, OFW discottect, OFW connect, Operation at site, Operation at port, OPV connect, OPV disconnect, Preparation at port, Discharge at port"</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6" id="{773B51AC-1CDD-4186-9FE9-8A16F8B017A4}">
            <xm:f>AND(OR(AND($E3="transit",IFERROR(SEARCH("tow",$D3)&lt;1,TRUE)),IFERROR(VLOOKUP($C3,OperationTow!$A$3:$A$500,1,FALSE)&lt;=0,TRUE),AND(IFERROR(FIND("ofw",$C3)&gt;0=FALSE,TRUE),IFERROR(FIND("oce",$C3)&gt;0=FALSE,TRUE))),NOT(ISBLANK($A3)))</xm:f>
            <x14:dxf>
              <fill>
                <patternFill patternType="darkGray">
                  <fgColor auto="1"/>
                </patternFill>
              </fill>
            </x14:dxf>
          </x14:cfRule>
          <xm:sqref>F3 F5:F6 F8:F9 F11:F12 F14:F15</xm:sqref>
        </x14:conditionalFormatting>
        <x14:conditionalFormatting xmlns:xm="http://schemas.microsoft.com/office/excel/2006/main">
          <x14:cfRule type="expression" priority="7" id="{D1220D73-6846-4C0A-8FB3-9636EDEECABB}">
            <xm:f>AND(OR(AND($E4="transit",IFERROR(SEARCH("tow",$D4)&lt;1,TRUE)),IFERROR(VLOOKUP($C4,OperationTow!$A$3:$A$500,1,FALSE)&lt;=0,TRUE),AND(IFERROR(FIND("ofw",$C4)&gt;0=FALSE,TRUE),IFERROR(FIND("oce",$C4)&gt;0=FALSE,TRUE))),NOT(ISBLANK($A2)))</xm:f>
            <x14:dxf>
              <fill>
                <patternFill patternType="darkGray">
                  <fgColor auto="1"/>
                </patternFill>
              </fill>
            </x14:dxf>
          </x14:cfRule>
          <xm:sqref>F4 F7 F10 F13</xm:sqref>
        </x14:conditionalFormatting>
        <x14:conditionalFormatting xmlns:xm="http://schemas.microsoft.com/office/excel/2006/main">
          <x14:cfRule type="expression" priority="150" id="{F915EE84-A25D-4D76-891A-AD42B9BEFC5C}">
            <xm:f>AND(OR(AND($E16="transit",IFERROR(SEARCH("tow",$D16)&lt;1,TRUE)),IFERROR(VLOOKUP($C16,OperationTow!$A$3:$A$500,1,FALSE)&lt;=0,TRUE),AND(IFERROR(FIND("ofw",$C16)&gt;0=FALSE,TRUE),IFERROR(FIND("oce",$C16)&gt;0=FALSE,TRUE))),NOT(ISBLANK($A14)))</xm:f>
            <x14:dxf>
              <fill>
                <patternFill patternType="darkGray">
                  <fgColor auto="1"/>
                </patternFill>
              </fill>
            </x14:dxf>
          </x14:cfRule>
          <xm:sqref>F16 H16</xm:sqref>
        </x14:conditionalFormatting>
        <x14:conditionalFormatting xmlns:xm="http://schemas.microsoft.com/office/excel/2006/main">
          <x14:cfRule type="expression" priority="143" id="{F915EE84-A25D-4D76-891A-AD42B9BEFC5C}">
            <xm:f>AND(OR(AND($E17="transit",IFERROR(SEARCH("tow",$D17)&lt;1,TRUE)),IFERROR(VLOOKUP($C17,OperationTow!$A$3:$A$500,1,FALSE)&lt;=0,TRUE),AND(IFERROR(FIND("ofw",$C17)&gt;0=FALSE,TRUE),IFERROR(FIND("oce",$C17)&gt;0=FALSE,TRUE))),NOT(ISBLANK($A17)))</xm:f>
            <x14:dxf>
              <fill>
                <patternFill patternType="darkGray">
                  <fgColor auto="1"/>
                </patternFill>
              </fill>
            </x14:dxf>
          </x14:cfRule>
          <xm:sqref>F17 H17 F19:H496</xm:sqref>
        </x14:conditionalFormatting>
        <x14:conditionalFormatting xmlns:xm="http://schemas.microsoft.com/office/excel/2006/main">
          <x14:cfRule type="expression" priority="2" id="{52FFE8C4-69F7-4B1C-AB17-5C74CC4F7B4A}">
            <xm:f>AND(OR(AND($E3="transit",IFERROR(SEARCH("tow",$D3)&lt;1,TRUE)),IFERROR(VLOOKUP($C3,OperationTow!$A$3:$A$500,1,FALSE)&lt;=0,TRUE),AND(IFERROR(FIND("ofw",$C3)&gt;0=FALSE,TRUE),IFERROR(FIND("oce",$C3)&gt;0=FALSE,TRUE))),NOT(ISBLANK($A3)))</xm:f>
            <x14:dxf>
              <fill>
                <patternFill patternType="darkGray">
                  <fgColor auto="1"/>
                </patternFill>
              </fill>
            </x14:dxf>
          </x14:cfRule>
          <xm:sqref>H3 H5:H6 H8:H9 H11:H12 H14:H15</xm:sqref>
        </x14:conditionalFormatting>
        <x14:conditionalFormatting xmlns:xm="http://schemas.microsoft.com/office/excel/2006/main">
          <x14:cfRule type="expression" priority="3" id="{D1DE1B19-0993-4D43-BB90-8F563277BE85}">
            <xm:f>AND(OR(AND($E4="transit",IFERROR(SEARCH("tow",$D4)&lt;1,TRUE)),IFERROR(VLOOKUP($C4,OperationTow!$A$3:$A$500,1,FALSE)&lt;=0,TRUE),AND(IFERROR(FIND("ofw",$C4)&gt;0=FALSE,TRUE),IFERROR(FIND("oce",$C4)&gt;0=FALSE,TRUE))),NOT(ISBLANK($A2)))</xm:f>
            <x14:dxf>
              <fill>
                <patternFill patternType="darkGray">
                  <fgColor auto="1"/>
                </patternFill>
              </fill>
            </x14:dxf>
          </x14:cfRule>
          <xm:sqref>H4 H7 H10 H13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438B-F422-4426-A505-8851A5934E3C}">
  <sheetPr>
    <tabColor theme="5" tint="0.39997558519241921"/>
  </sheetPr>
  <dimension ref="A1:C25"/>
  <sheetViews>
    <sheetView workbookViewId="0">
      <selection activeCell="L14" sqref="L14"/>
    </sheetView>
  </sheetViews>
  <sheetFormatPr defaultRowHeight="15" x14ac:dyDescent="0.25"/>
  <cols>
    <col min="1" max="1" width="43.140625" bestFit="1" customWidth="1"/>
    <col min="2" max="2" width="10.7109375" customWidth="1"/>
    <col min="3" max="3" width="12.7109375" customWidth="1"/>
  </cols>
  <sheetData>
    <row r="1" spans="1:3" x14ac:dyDescent="0.25">
      <c r="A1" t="s">
        <v>9</v>
      </c>
      <c r="B1" t="s">
        <v>10</v>
      </c>
      <c r="C1" t="s">
        <v>11</v>
      </c>
    </row>
    <row r="2" spans="1:3" x14ac:dyDescent="0.25">
      <c r="A2" t="s">
        <v>314</v>
      </c>
      <c r="B2" t="s">
        <v>315</v>
      </c>
      <c r="C2" s="21">
        <v>54.036999999999999</v>
      </c>
    </row>
    <row r="3" spans="1:3" x14ac:dyDescent="0.25">
      <c r="A3" t="s">
        <v>316</v>
      </c>
      <c r="B3" t="s">
        <v>315</v>
      </c>
      <c r="C3" s="21">
        <v>5.9649999999999999</v>
      </c>
    </row>
    <row r="4" spans="1:3" x14ac:dyDescent="0.25">
      <c r="A4" t="s">
        <v>317</v>
      </c>
      <c r="B4" t="s">
        <v>13</v>
      </c>
      <c r="C4" t="s">
        <v>432</v>
      </c>
    </row>
    <row r="5" spans="1:3" x14ac:dyDescent="0.25">
      <c r="A5" t="s">
        <v>318</v>
      </c>
      <c r="B5" t="s">
        <v>30</v>
      </c>
      <c r="C5" s="21">
        <v>10</v>
      </c>
    </row>
    <row r="6" spans="1:3" x14ac:dyDescent="0.25">
      <c r="A6" t="s">
        <v>319</v>
      </c>
      <c r="B6" t="s">
        <v>30</v>
      </c>
      <c r="C6" s="21">
        <v>2.0000000000000001E-4</v>
      </c>
    </row>
    <row r="7" spans="1:3" x14ac:dyDescent="0.25">
      <c r="A7" t="s">
        <v>320</v>
      </c>
      <c r="B7" t="s">
        <v>321</v>
      </c>
      <c r="C7" s="22">
        <v>5</v>
      </c>
    </row>
    <row r="8" spans="1:3" x14ac:dyDescent="0.25">
      <c r="A8" t="s">
        <v>322</v>
      </c>
      <c r="B8" t="s">
        <v>277</v>
      </c>
      <c r="C8" s="49"/>
    </row>
    <row r="9" spans="1:3" x14ac:dyDescent="0.25">
      <c r="A9" t="s">
        <v>323</v>
      </c>
      <c r="B9" t="s">
        <v>277</v>
      </c>
    </row>
    <row r="10" spans="1:3" x14ac:dyDescent="0.25">
      <c r="A10" t="s">
        <v>324</v>
      </c>
      <c r="B10" t="s">
        <v>277</v>
      </c>
      <c r="C10">
        <v>0.1</v>
      </c>
    </row>
    <row r="11" spans="1:3" x14ac:dyDescent="0.25">
      <c r="A11" t="s">
        <v>325</v>
      </c>
      <c r="B11" t="s">
        <v>277</v>
      </c>
      <c r="C11" s="21">
        <v>4</v>
      </c>
    </row>
    <row r="12" spans="1:3" x14ac:dyDescent="0.25">
      <c r="A12" t="s">
        <v>326</v>
      </c>
      <c r="B12" t="s">
        <v>13</v>
      </c>
      <c r="C12" s="21">
        <v>0.3</v>
      </c>
    </row>
    <row r="13" spans="1:3" x14ac:dyDescent="0.25">
      <c r="A13" t="s">
        <v>327</v>
      </c>
      <c r="B13" t="s">
        <v>321</v>
      </c>
      <c r="C13" s="59"/>
    </row>
    <row r="14" spans="1:3" x14ac:dyDescent="0.25">
      <c r="A14" t="s">
        <v>328</v>
      </c>
      <c r="B14" t="s">
        <v>277</v>
      </c>
      <c r="C14" s="24">
        <v>12</v>
      </c>
    </row>
    <row r="15" spans="1:3" x14ac:dyDescent="0.25">
      <c r="A15" t="s">
        <v>455</v>
      </c>
      <c r="B15" t="s">
        <v>13</v>
      </c>
      <c r="C15">
        <v>0</v>
      </c>
    </row>
    <row r="16" spans="1:3" x14ac:dyDescent="0.25">
      <c r="A16" t="s">
        <v>17</v>
      </c>
      <c r="B16" t="s">
        <v>13</v>
      </c>
      <c r="C16" s="17" t="b">
        <v>1</v>
      </c>
    </row>
    <row r="17" spans="1:3" x14ac:dyDescent="0.25">
      <c r="A17" t="s">
        <v>329</v>
      </c>
      <c r="B17" t="s">
        <v>13</v>
      </c>
    </row>
    <row r="18" spans="1:3" x14ac:dyDescent="0.25">
      <c r="A18" t="s">
        <v>449</v>
      </c>
      <c r="B18" t="s">
        <v>13</v>
      </c>
      <c r="C18">
        <v>2</v>
      </c>
    </row>
    <row r="19" spans="1:3" x14ac:dyDescent="0.25">
      <c r="A19" t="s">
        <v>446</v>
      </c>
      <c r="B19" t="s">
        <v>13</v>
      </c>
      <c r="C19" t="s">
        <v>447</v>
      </c>
    </row>
    <row r="20" spans="1:3" x14ac:dyDescent="0.25">
      <c r="A20" t="s">
        <v>448</v>
      </c>
      <c r="B20" t="s">
        <v>13</v>
      </c>
      <c r="C20" t="s">
        <v>447</v>
      </c>
    </row>
    <row r="21" spans="1:3" x14ac:dyDescent="0.25">
      <c r="A21" t="s">
        <v>450</v>
      </c>
      <c r="B21" t="s">
        <v>321</v>
      </c>
      <c r="C21">
        <v>50</v>
      </c>
    </row>
    <row r="22" spans="1:3" x14ac:dyDescent="0.25">
      <c r="A22" t="s">
        <v>451</v>
      </c>
      <c r="B22" t="s">
        <v>321</v>
      </c>
      <c r="C22">
        <v>100</v>
      </c>
    </row>
    <row r="23" spans="1:3" x14ac:dyDescent="0.25">
      <c r="A23" t="s">
        <v>452</v>
      </c>
      <c r="B23" t="s">
        <v>13</v>
      </c>
    </row>
    <row r="24" spans="1:3" x14ac:dyDescent="0.25">
      <c r="A24" t="s">
        <v>453</v>
      </c>
      <c r="B24" t="s">
        <v>13</v>
      </c>
    </row>
    <row r="25" spans="1:3" x14ac:dyDescent="0.25">
      <c r="A25" t="s">
        <v>454</v>
      </c>
      <c r="B25" t="s">
        <v>13</v>
      </c>
    </row>
  </sheetData>
  <phoneticPr fontId="3" type="noConversion"/>
  <dataValidations count="6">
    <dataValidation type="custom" allowBlank="1" showInputMessage="1" showErrorMessage="1" errorTitle="Wrong input" error="It must be a decimal greater than 0 and less than or equal to 1." sqref="C12" xr:uid="{938BED3C-C5D8-41A3-A1DA-57EAF0FB9E64}">
      <formula1>AND(ISNUMBER(C12), C12&gt;0, C12&lt;=1)</formula1>
    </dataValidation>
    <dataValidation type="whole" operator="greaterThanOrEqual" allowBlank="1" showInputMessage="1" showErrorMessage="1" errorTitle="Wrong input" error="It must be an integer greater than or equal to 0." sqref="C11" xr:uid="{A7A8F8EE-2022-48C0-928A-2F4474439131}">
      <formula1>0</formula1>
    </dataValidation>
    <dataValidation type="decimal" operator="greaterThanOrEqual" allowBlank="1" showInputMessage="1" showErrorMessage="1" sqref="C13" xr:uid="{B6354AD6-1239-46DB-971B-7E7DDD5D783F}">
      <formula1>0</formula1>
    </dataValidation>
    <dataValidation type="whole" allowBlank="1" showInputMessage="1" showErrorMessage="1" sqref="C14" xr:uid="{4DF62562-9177-4CB2-A6AD-9FB5FD67B32C}">
      <formula1>1</formula1>
      <formula2>31</formula2>
    </dataValidation>
    <dataValidation type="decimal" operator="greaterThan" allowBlank="1" showInputMessage="1" showErrorMessage="1" sqref="C16:C17" xr:uid="{0C617CE2-4B19-4C43-A0D9-169283FD1A48}">
      <formula1>0</formula1>
    </dataValidation>
    <dataValidation type="decimal" operator="greaterThan" allowBlank="1" showInputMessage="1" showErrorMessage="1" errorTitle="Wrong input" error="It must be a decimal greater than 0.0." sqref="C7" xr:uid="{75CD387F-1D67-4DAD-9FC5-6BA4AFDB3FEC}">
      <formula1>0</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E255-1C01-4934-BB29-1A438F86E17D}">
  <sheetPr>
    <tabColor theme="7" tint="0.39997558519241921"/>
  </sheetPr>
  <dimension ref="A1:AH21"/>
  <sheetViews>
    <sheetView workbookViewId="0">
      <selection activeCell="AH36" sqref="AH36"/>
    </sheetView>
  </sheetViews>
  <sheetFormatPr defaultRowHeight="15" x14ac:dyDescent="0.25"/>
  <cols>
    <col min="1" max="1" width="40.7109375" customWidth="1"/>
    <col min="2" max="2" width="10.7109375" customWidth="1"/>
    <col min="3" max="3" width="12.7109375" customWidth="1"/>
    <col min="4" max="34" width="4.7109375" customWidth="1"/>
    <col min="35" max="36" width="5.140625" customWidth="1"/>
  </cols>
  <sheetData>
    <row r="1" spans="1:34" x14ac:dyDescent="0.25">
      <c r="A1" t="s">
        <v>9</v>
      </c>
      <c r="B1" t="s">
        <v>10</v>
      </c>
      <c r="C1" t="s">
        <v>11</v>
      </c>
    </row>
    <row r="2" spans="1:34" x14ac:dyDescent="0.25">
      <c r="A2" t="s">
        <v>330</v>
      </c>
      <c r="B2" t="s">
        <v>331</v>
      </c>
      <c r="C2" s="21">
        <v>1</v>
      </c>
    </row>
    <row r="3" spans="1:34" x14ac:dyDescent="0.25">
      <c r="A3" t="s">
        <v>332</v>
      </c>
      <c r="B3" t="s">
        <v>13</v>
      </c>
      <c r="C3" s="24">
        <v>2011</v>
      </c>
    </row>
    <row r="4" spans="1:34" x14ac:dyDescent="0.25">
      <c r="A4" t="s">
        <v>333</v>
      </c>
      <c r="B4" t="s">
        <v>13</v>
      </c>
      <c r="C4" s="24">
        <v>1</v>
      </c>
    </row>
    <row r="5" spans="1:34" x14ac:dyDescent="0.25">
      <c r="A5" t="s">
        <v>334</v>
      </c>
      <c r="B5" t="s">
        <v>13</v>
      </c>
      <c r="C5" s="24">
        <v>50</v>
      </c>
    </row>
    <row r="6" spans="1:34" x14ac:dyDescent="0.25">
      <c r="A6" t="s">
        <v>335</v>
      </c>
      <c r="B6" t="s">
        <v>13</v>
      </c>
      <c r="C6" s="24">
        <v>10</v>
      </c>
    </row>
    <row r="7" spans="1:34" x14ac:dyDescent="0.25">
      <c r="A7" t="s">
        <v>336</v>
      </c>
      <c r="B7" t="s">
        <v>13</v>
      </c>
      <c r="C7" s="24">
        <v>90</v>
      </c>
    </row>
    <row r="8" spans="1:34" x14ac:dyDescent="0.25">
      <c r="A8" t="s">
        <v>338</v>
      </c>
      <c r="B8" t="s">
        <v>13</v>
      </c>
      <c r="C8" s="24">
        <v>28</v>
      </c>
    </row>
    <row r="9" spans="1:34" x14ac:dyDescent="0.25">
      <c r="A9" t="s">
        <v>339</v>
      </c>
      <c r="B9" t="s">
        <v>331</v>
      </c>
      <c r="C9" s="24">
        <v>0</v>
      </c>
    </row>
    <row r="10" spans="1:34" x14ac:dyDescent="0.25">
      <c r="A10" t="s">
        <v>340</v>
      </c>
      <c r="B10" t="s">
        <v>331</v>
      </c>
      <c r="C10" s="24">
        <v>0</v>
      </c>
    </row>
    <row r="11" spans="1:34" x14ac:dyDescent="0.25">
      <c r="A11" t="s">
        <v>341</v>
      </c>
      <c r="B11" t="s">
        <v>13</v>
      </c>
      <c r="C11" s="22"/>
    </row>
    <row r="12" spans="1:34" x14ac:dyDescent="0.25">
      <c r="A12" s="49" t="s">
        <v>342</v>
      </c>
      <c r="B12" s="50" t="s">
        <v>13</v>
      </c>
      <c r="C12">
        <v>1</v>
      </c>
      <c r="X12" s="33">
        <v>21</v>
      </c>
      <c r="Y12" s="33">
        <v>22</v>
      </c>
      <c r="Z12" s="33">
        <v>23</v>
      </c>
      <c r="AA12" s="33">
        <v>24</v>
      </c>
      <c r="AB12" s="33">
        <v>25</v>
      </c>
      <c r="AC12" s="33">
        <v>26</v>
      </c>
      <c r="AD12" s="33">
        <v>27</v>
      </c>
      <c r="AE12" s="33">
        <v>28</v>
      </c>
      <c r="AF12" s="33">
        <v>29</v>
      </c>
      <c r="AG12" s="33">
        <v>30</v>
      </c>
      <c r="AH12" s="34"/>
    </row>
    <row r="13" spans="1:34" x14ac:dyDescent="0.25">
      <c r="X13" s="34" t="str">
        <f t="shared" ref="X13:AG13" si="0">IF(X12&lt;=inputs_lifetime,1/inputs_lifetime,"")</f>
        <v/>
      </c>
      <c r="Y13" s="34" t="str">
        <f t="shared" si="0"/>
        <v/>
      </c>
      <c r="Z13" s="34" t="str">
        <f t="shared" si="0"/>
        <v/>
      </c>
      <c r="AA13" s="34" t="str">
        <f t="shared" si="0"/>
        <v/>
      </c>
      <c r="AB13" s="34" t="str">
        <f t="shared" si="0"/>
        <v/>
      </c>
      <c r="AC13" s="34" t="str">
        <f t="shared" si="0"/>
        <v/>
      </c>
      <c r="AD13" s="34" t="str">
        <f t="shared" si="0"/>
        <v/>
      </c>
      <c r="AE13" s="34" t="str">
        <f t="shared" si="0"/>
        <v/>
      </c>
      <c r="AF13" s="34" t="str">
        <f t="shared" si="0"/>
        <v/>
      </c>
      <c r="AG13" s="34" t="str">
        <f t="shared" si="0"/>
        <v/>
      </c>
      <c r="AH13" s="34"/>
    </row>
    <row r="14" spans="1:34" x14ac:dyDescent="0.25">
      <c r="X14" s="34" t="str">
        <f t="shared" ref="X14:AG14" si="1">IF(X12&lt;=inputs_lifetime,IF(OR(X12&lt;=inputs_infant,X12&gt;=(inputs_lifetime-inputs_wearout+1)),X13*$C$10,X13),"")</f>
        <v/>
      </c>
      <c r="Y14" s="34" t="str">
        <f t="shared" si="1"/>
        <v/>
      </c>
      <c r="Z14" s="34" t="str">
        <f t="shared" si="1"/>
        <v/>
      </c>
      <c r="AA14" s="34" t="str">
        <f t="shared" si="1"/>
        <v/>
      </c>
      <c r="AB14" s="34" t="str">
        <f t="shared" si="1"/>
        <v/>
      </c>
      <c r="AC14" s="34" t="str">
        <f t="shared" si="1"/>
        <v/>
      </c>
      <c r="AD14" s="34" t="str">
        <f t="shared" si="1"/>
        <v/>
      </c>
      <c r="AE14" s="34" t="str">
        <f t="shared" si="1"/>
        <v/>
      </c>
      <c r="AF14" s="34" t="str">
        <f t="shared" si="1"/>
        <v/>
      </c>
      <c r="AG14" s="34" t="str">
        <f t="shared" si="1"/>
        <v/>
      </c>
      <c r="AH14" s="34"/>
    </row>
    <row r="15" spans="1:34" x14ac:dyDescent="0.25">
      <c r="X15" s="34" t="str">
        <f t="shared" ref="X15:AG15" si="2">IF(X12&lt;=inputs_lifetime,X14/$AH$14,"")</f>
        <v/>
      </c>
      <c r="Y15" s="34" t="str">
        <f t="shared" si="2"/>
        <v/>
      </c>
      <c r="Z15" s="34" t="str">
        <f t="shared" si="2"/>
        <v/>
      </c>
      <c r="AA15" s="34" t="str">
        <f t="shared" si="2"/>
        <v/>
      </c>
      <c r="AB15" s="34" t="str">
        <f t="shared" si="2"/>
        <v/>
      </c>
      <c r="AC15" s="34" t="str">
        <f t="shared" si="2"/>
        <v/>
      </c>
      <c r="AD15" s="34" t="str">
        <f t="shared" si="2"/>
        <v/>
      </c>
      <c r="AE15" s="34" t="str">
        <f t="shared" si="2"/>
        <v/>
      </c>
      <c r="AF15" s="34" t="str">
        <f t="shared" si="2"/>
        <v/>
      </c>
      <c r="AG15" s="34" t="str">
        <f t="shared" si="2"/>
        <v/>
      </c>
      <c r="AH15" s="34"/>
    </row>
    <row r="16" spans="1:34" x14ac:dyDescent="0.25">
      <c r="AH16" s="34"/>
    </row>
    <row r="17" spans="3:34" x14ac:dyDescent="0.25">
      <c r="C17" t="s">
        <v>343</v>
      </c>
      <c r="D17" s="13">
        <v>1</v>
      </c>
      <c r="E17" s="13">
        <v>2</v>
      </c>
      <c r="F17" s="13">
        <v>3</v>
      </c>
      <c r="G17" s="13">
        <v>4</v>
      </c>
      <c r="H17" s="13">
        <v>5</v>
      </c>
      <c r="I17" s="13">
        <v>6</v>
      </c>
      <c r="J17" s="13">
        <v>7</v>
      </c>
      <c r="K17" s="13">
        <v>8</v>
      </c>
      <c r="L17" s="13">
        <v>9</v>
      </c>
      <c r="M17" s="13">
        <v>10</v>
      </c>
      <c r="N17" s="13">
        <v>11</v>
      </c>
      <c r="O17" s="13">
        <v>12</v>
      </c>
      <c r="P17" s="13">
        <v>13</v>
      </c>
      <c r="Q17" s="13">
        <v>14</v>
      </c>
      <c r="R17" s="13">
        <v>15</v>
      </c>
      <c r="S17" s="13">
        <v>16</v>
      </c>
      <c r="T17" s="13">
        <v>17</v>
      </c>
      <c r="U17" s="13">
        <v>18</v>
      </c>
      <c r="V17" s="13">
        <v>19</v>
      </c>
      <c r="W17" s="13">
        <v>20</v>
      </c>
      <c r="X17" s="13">
        <v>21</v>
      </c>
      <c r="Y17" s="13">
        <v>22</v>
      </c>
      <c r="Z17" s="13">
        <v>23</v>
      </c>
      <c r="AA17" s="13">
        <v>24</v>
      </c>
      <c r="AB17" s="13">
        <v>25</v>
      </c>
      <c r="AC17" s="13">
        <v>26</v>
      </c>
      <c r="AD17" s="13">
        <v>27</v>
      </c>
      <c r="AE17" s="13">
        <v>28</v>
      </c>
      <c r="AF17" s="13">
        <v>29</v>
      </c>
      <c r="AG17" s="13">
        <v>30</v>
      </c>
      <c r="AH17" s="34"/>
    </row>
    <row r="18" spans="3:34" x14ac:dyDescent="0.25">
      <c r="C18" t="s">
        <v>344</v>
      </c>
      <c r="D18">
        <f t="shared" ref="D18:AG18" si="3">IF(D17&lt;=inputs_lifetime,1/inputs_lifetime,"")</f>
        <v>1</v>
      </c>
      <c r="E18" t="str">
        <f t="shared" si="3"/>
        <v/>
      </c>
      <c r="F18" t="str">
        <f t="shared" si="3"/>
        <v/>
      </c>
      <c r="G18" t="str">
        <f t="shared" si="3"/>
        <v/>
      </c>
      <c r="H18" t="str">
        <f t="shared" si="3"/>
        <v/>
      </c>
      <c r="I18" t="str">
        <f t="shared" si="3"/>
        <v/>
      </c>
      <c r="J18" t="str">
        <f t="shared" si="3"/>
        <v/>
      </c>
      <c r="K18" t="str">
        <f t="shared" si="3"/>
        <v/>
      </c>
      <c r="L18" t="str">
        <f t="shared" si="3"/>
        <v/>
      </c>
      <c r="M18" t="str">
        <f t="shared" si="3"/>
        <v/>
      </c>
      <c r="N18" t="str">
        <f t="shared" si="3"/>
        <v/>
      </c>
      <c r="O18" t="str">
        <f t="shared" si="3"/>
        <v/>
      </c>
      <c r="P18" t="str">
        <f t="shared" si="3"/>
        <v/>
      </c>
      <c r="Q18" t="str">
        <f t="shared" si="3"/>
        <v/>
      </c>
      <c r="R18" t="str">
        <f t="shared" si="3"/>
        <v/>
      </c>
      <c r="S18" t="str">
        <f t="shared" si="3"/>
        <v/>
      </c>
      <c r="T18" t="str">
        <f t="shared" si="3"/>
        <v/>
      </c>
      <c r="U18" t="str">
        <f t="shared" si="3"/>
        <v/>
      </c>
      <c r="V18" t="str">
        <f t="shared" si="3"/>
        <v/>
      </c>
      <c r="W18" t="str">
        <f t="shared" si="3"/>
        <v/>
      </c>
      <c r="X18" t="str">
        <f t="shared" si="3"/>
        <v/>
      </c>
      <c r="Y18" t="str">
        <f t="shared" si="3"/>
        <v/>
      </c>
      <c r="Z18" t="str">
        <f t="shared" si="3"/>
        <v/>
      </c>
      <c r="AA18" t="str">
        <f t="shared" si="3"/>
        <v/>
      </c>
      <c r="AB18" t="str">
        <f t="shared" si="3"/>
        <v/>
      </c>
      <c r="AC18" t="str">
        <f t="shared" si="3"/>
        <v/>
      </c>
      <c r="AD18" t="str">
        <f t="shared" si="3"/>
        <v/>
      </c>
      <c r="AE18" t="str">
        <f t="shared" si="3"/>
        <v/>
      </c>
      <c r="AF18" t="str">
        <f t="shared" si="3"/>
        <v/>
      </c>
      <c r="AG18" t="str">
        <f t="shared" si="3"/>
        <v/>
      </c>
      <c r="AH18" s="34"/>
    </row>
    <row r="19" spans="3:34" x14ac:dyDescent="0.25">
      <c r="D19">
        <f t="shared" ref="D19:AG19" si="4">IF(D17&lt;=inputs_lifetime,IF(OR(D17&lt;=inputs_infant,D17&gt;=(inputs_lifetime-inputs_wearout+1)),D18*$C$11,D18),"")</f>
        <v>1</v>
      </c>
      <c r="E19" t="str">
        <f t="shared" si="4"/>
        <v/>
      </c>
      <c r="F19" t="str">
        <f t="shared" si="4"/>
        <v/>
      </c>
      <c r="G19" t="str">
        <f t="shared" si="4"/>
        <v/>
      </c>
      <c r="H19" t="str">
        <f t="shared" si="4"/>
        <v/>
      </c>
      <c r="I19" t="str">
        <f t="shared" si="4"/>
        <v/>
      </c>
      <c r="J19" t="str">
        <f t="shared" si="4"/>
        <v/>
      </c>
      <c r="K19" t="str">
        <f t="shared" si="4"/>
        <v/>
      </c>
      <c r="L19" t="str">
        <f t="shared" si="4"/>
        <v/>
      </c>
      <c r="M19" t="str">
        <f t="shared" si="4"/>
        <v/>
      </c>
      <c r="N19" t="str">
        <f t="shared" si="4"/>
        <v/>
      </c>
      <c r="O19" t="str">
        <f t="shared" si="4"/>
        <v/>
      </c>
      <c r="P19" t="str">
        <f t="shared" si="4"/>
        <v/>
      </c>
      <c r="Q19" t="str">
        <f t="shared" si="4"/>
        <v/>
      </c>
      <c r="R19" t="str">
        <f t="shared" si="4"/>
        <v/>
      </c>
      <c r="S19" t="str">
        <f t="shared" si="4"/>
        <v/>
      </c>
      <c r="T19" t="str">
        <f t="shared" si="4"/>
        <v/>
      </c>
      <c r="U19" t="str">
        <f t="shared" si="4"/>
        <v/>
      </c>
      <c r="V19" t="str">
        <f t="shared" si="4"/>
        <v/>
      </c>
      <c r="W19" t="str">
        <f t="shared" si="4"/>
        <v/>
      </c>
      <c r="X19" t="str">
        <f t="shared" si="4"/>
        <v/>
      </c>
      <c r="Y19" t="str">
        <f t="shared" si="4"/>
        <v/>
      </c>
      <c r="Z19" t="str">
        <f t="shared" si="4"/>
        <v/>
      </c>
      <c r="AA19" t="str">
        <f t="shared" si="4"/>
        <v/>
      </c>
      <c r="AB19" t="str">
        <f t="shared" si="4"/>
        <v/>
      </c>
      <c r="AC19" t="str">
        <f t="shared" si="4"/>
        <v/>
      </c>
      <c r="AD19" t="str">
        <f t="shared" si="4"/>
        <v/>
      </c>
      <c r="AE19" t="str">
        <f t="shared" si="4"/>
        <v/>
      </c>
      <c r="AF19" t="str">
        <f t="shared" si="4"/>
        <v/>
      </c>
      <c r="AG19" t="str">
        <f t="shared" si="4"/>
        <v/>
      </c>
      <c r="AH19" s="34">
        <f t="shared" ref="AH19" si="5">SUM(D19:AG19)</f>
        <v>1</v>
      </c>
    </row>
    <row r="20" spans="3:34" x14ac:dyDescent="0.25">
      <c r="C20" t="s">
        <v>345</v>
      </c>
      <c r="D20">
        <f t="shared" ref="D20:AG20" si="6">IF(D17&lt;=inputs_lifetime,D19/$AH$19,"")</f>
        <v>1</v>
      </c>
      <c r="E20" t="str">
        <f t="shared" si="6"/>
        <v/>
      </c>
      <c r="F20" t="str">
        <f t="shared" si="6"/>
        <v/>
      </c>
      <c r="G20" t="str">
        <f t="shared" si="6"/>
        <v/>
      </c>
      <c r="H20" t="str">
        <f t="shared" si="6"/>
        <v/>
      </c>
      <c r="I20" t="str">
        <f t="shared" si="6"/>
        <v/>
      </c>
      <c r="J20" t="str">
        <f t="shared" si="6"/>
        <v/>
      </c>
      <c r="K20" t="str">
        <f t="shared" si="6"/>
        <v/>
      </c>
      <c r="L20" t="str">
        <f t="shared" si="6"/>
        <v/>
      </c>
      <c r="M20" t="str">
        <f t="shared" si="6"/>
        <v/>
      </c>
      <c r="N20" t="str">
        <f t="shared" si="6"/>
        <v/>
      </c>
      <c r="O20" t="str">
        <f t="shared" si="6"/>
        <v/>
      </c>
      <c r="P20" t="str">
        <f t="shared" si="6"/>
        <v/>
      </c>
      <c r="Q20" t="str">
        <f t="shared" si="6"/>
        <v/>
      </c>
      <c r="R20" t="str">
        <f t="shared" si="6"/>
        <v/>
      </c>
      <c r="S20" t="str">
        <f t="shared" si="6"/>
        <v/>
      </c>
      <c r="T20" t="str">
        <f t="shared" si="6"/>
        <v/>
      </c>
      <c r="U20" t="str">
        <f t="shared" si="6"/>
        <v/>
      </c>
      <c r="V20" t="str">
        <f t="shared" si="6"/>
        <v/>
      </c>
      <c r="W20" t="str">
        <f t="shared" si="6"/>
        <v/>
      </c>
      <c r="X20" t="str">
        <f t="shared" si="6"/>
        <v/>
      </c>
      <c r="Y20" t="str">
        <f t="shared" si="6"/>
        <v/>
      </c>
      <c r="Z20" t="str">
        <f t="shared" si="6"/>
        <v/>
      </c>
      <c r="AA20" t="str">
        <f t="shared" si="6"/>
        <v/>
      </c>
      <c r="AB20" t="str">
        <f t="shared" si="6"/>
        <v/>
      </c>
      <c r="AC20" t="str">
        <f t="shared" si="6"/>
        <v/>
      </c>
      <c r="AD20" t="str">
        <f t="shared" si="6"/>
        <v/>
      </c>
      <c r="AE20" t="str">
        <f t="shared" si="6"/>
        <v/>
      </c>
      <c r="AF20" t="str">
        <f t="shared" si="6"/>
        <v/>
      </c>
      <c r="AG20" t="str">
        <f t="shared" si="6"/>
        <v/>
      </c>
      <c r="AH20" s="34"/>
    </row>
    <row r="21" spans="3:34" x14ac:dyDescent="0.25">
      <c r="AH21" s="34"/>
    </row>
  </sheetData>
  <dataValidations count="4">
    <dataValidation type="whole" allowBlank="1" showInputMessage="1" showErrorMessage="1" sqref="C8" xr:uid="{D1CC6DA3-4A48-44D3-AEF9-E0D4624AB4BE}">
      <formula1>1</formula1>
      <formula2>31</formula2>
    </dataValidation>
    <dataValidation type="whole" operator="greaterThan" allowBlank="1" showInputMessage="1" showErrorMessage="1" errorTitle="Wrong input" error="It must be an integer greater than 0." sqref="C2" xr:uid="{93847810-C99E-45AD-8026-BF6522AB297D}">
      <formula1>0</formula1>
    </dataValidation>
    <dataValidation type="decimal" operator="greaterThan" allowBlank="1" showInputMessage="1" showErrorMessage="1" errorTitle="Wrong input" error="It must be a decimal greater than 0.0." sqref="C3:C7" xr:uid="{F0BE78F5-9E90-4B61-B8D8-F0D0CE38BD7A}">
      <formula1>0</formula1>
    </dataValidation>
    <dataValidation type="decimal" operator="greaterThanOrEqual" allowBlank="1" showInputMessage="1" showErrorMessage="1" sqref="C11" xr:uid="{4A8D36A1-0D99-4DB1-99D7-591D1A1464AE}">
      <formula1>0</formula1>
    </dataValidation>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B2AB-9228-4974-A36C-D535D57E7295}">
  <sheetPr>
    <tabColor theme="7" tint="0.39997558519241921"/>
  </sheetPr>
  <dimension ref="A1:M4"/>
  <sheetViews>
    <sheetView workbookViewId="0">
      <selection activeCell="A3" sqref="A3:A4"/>
    </sheetView>
  </sheetViews>
  <sheetFormatPr defaultRowHeight="15" x14ac:dyDescent="0.25"/>
  <cols>
    <col min="1" max="1" width="13.5703125" customWidth="1"/>
    <col min="10" max="10" width="10.28515625" customWidth="1"/>
    <col min="12" max="12" width="10.28515625" customWidth="1"/>
    <col min="13" max="13" width="10.7109375" customWidth="1"/>
  </cols>
  <sheetData>
    <row r="1" spans="1:13" x14ac:dyDescent="0.25">
      <c r="A1" t="s">
        <v>346</v>
      </c>
      <c r="B1" t="s">
        <v>347</v>
      </c>
      <c r="C1" t="s">
        <v>348</v>
      </c>
      <c r="D1" t="s">
        <v>349</v>
      </c>
      <c r="E1" t="s">
        <v>350</v>
      </c>
      <c r="F1" t="s">
        <v>351</v>
      </c>
      <c r="G1" t="s">
        <v>352</v>
      </c>
      <c r="H1" t="s">
        <v>353</v>
      </c>
      <c r="I1" t="s">
        <v>354</v>
      </c>
      <c r="J1" t="s">
        <v>355</v>
      </c>
      <c r="K1" t="s">
        <v>356</v>
      </c>
      <c r="L1" t="s">
        <v>357</v>
      </c>
      <c r="M1" t="s">
        <v>358</v>
      </c>
    </row>
    <row r="2" spans="1:13" x14ac:dyDescent="0.25">
      <c r="A2" t="s">
        <v>13</v>
      </c>
      <c r="B2" t="s">
        <v>13</v>
      </c>
      <c r="C2" t="s">
        <v>13</v>
      </c>
      <c r="D2" t="s">
        <v>13</v>
      </c>
      <c r="E2" t="s">
        <v>13</v>
      </c>
      <c r="F2" t="s">
        <v>13</v>
      </c>
      <c r="G2" t="s">
        <v>13</v>
      </c>
      <c r="H2" t="s">
        <v>13</v>
      </c>
      <c r="I2" t="s">
        <v>13</v>
      </c>
      <c r="J2" s="23" t="s">
        <v>13</v>
      </c>
      <c r="K2" t="s">
        <v>13</v>
      </c>
      <c r="L2" t="s">
        <v>13</v>
      </c>
      <c r="M2" t="s">
        <v>13</v>
      </c>
    </row>
    <row r="3" spans="1:13" x14ac:dyDescent="0.25">
      <c r="A3">
        <v>0</v>
      </c>
      <c r="B3">
        <v>8.3333333333333329E-2</v>
      </c>
      <c r="C3">
        <v>8.3333333333333329E-2</v>
      </c>
      <c r="D3">
        <v>8.3333333333333329E-2</v>
      </c>
      <c r="E3">
        <v>8.3333333333333329E-2</v>
      </c>
      <c r="F3">
        <v>8.3333333333333329E-2</v>
      </c>
      <c r="G3">
        <v>8.3333333333333329E-2</v>
      </c>
      <c r="H3">
        <v>8.3333333333333329E-2</v>
      </c>
      <c r="I3">
        <v>8.3333333333333329E-2</v>
      </c>
      <c r="J3">
        <v>8.3333333333333329E-2</v>
      </c>
      <c r="K3">
        <v>8.3333333333333329E-2</v>
      </c>
      <c r="L3">
        <v>8.3333333333333329E-2</v>
      </c>
      <c r="M3">
        <v>8.3333333333333329E-2</v>
      </c>
    </row>
    <row r="4" spans="1:13" x14ac:dyDescent="0.25">
      <c r="A4">
        <v>1</v>
      </c>
      <c r="B4">
        <v>0.15</v>
      </c>
      <c r="C4">
        <v>0.15</v>
      </c>
      <c r="D4">
        <v>0.09</v>
      </c>
      <c r="E4">
        <v>0.09</v>
      </c>
      <c r="F4">
        <v>0.01</v>
      </c>
      <c r="G4">
        <v>0.01</v>
      </c>
      <c r="H4">
        <v>0.01</v>
      </c>
      <c r="I4">
        <v>0.01</v>
      </c>
      <c r="J4">
        <v>0.09</v>
      </c>
      <c r="K4">
        <v>0.09</v>
      </c>
      <c r="L4">
        <v>0.15</v>
      </c>
      <c r="M4">
        <v>0.15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CF768-AAE6-44D1-A920-2D6508D092FD}">
  <sheetPr>
    <tabColor theme="7" tint="0.39997558519241921"/>
  </sheetPr>
  <dimension ref="A1:Q498"/>
  <sheetViews>
    <sheetView zoomScaleNormal="100" workbookViewId="0">
      <selection activeCell="H14" sqref="H14"/>
    </sheetView>
  </sheetViews>
  <sheetFormatPr defaultRowHeight="15" x14ac:dyDescent="0.25"/>
  <cols>
    <col min="1" max="1" width="13.28515625" bestFit="1" customWidth="1"/>
    <col min="2" max="3" width="26.5703125" style="18" customWidth="1"/>
    <col min="4" max="4" width="18.7109375" style="18" customWidth="1"/>
    <col min="5" max="5" width="25.7109375" style="18" customWidth="1"/>
    <col min="6" max="6" width="15.42578125" style="82" bestFit="1" customWidth="1"/>
    <col min="7" max="8" width="11.7109375" style="18" bestFit="1" customWidth="1"/>
    <col min="9" max="10" width="20.42578125" customWidth="1"/>
    <col min="11" max="11" width="13.28515625" style="21" customWidth="1"/>
    <col min="12" max="13" width="12.7109375" customWidth="1"/>
    <col min="14" max="14" width="9" bestFit="1" customWidth="1"/>
    <col min="15" max="15" width="17.5703125" bestFit="1" customWidth="1"/>
    <col min="16" max="16" width="14.42578125" bestFit="1" customWidth="1"/>
  </cols>
  <sheetData>
    <row r="1" spans="1:17" s="80" customFormat="1" ht="30" x14ac:dyDescent="0.25">
      <c r="A1" s="80" t="s">
        <v>66</v>
      </c>
      <c r="B1" s="80" t="s">
        <v>150</v>
      </c>
      <c r="C1" s="80" t="s">
        <v>359</v>
      </c>
      <c r="D1" s="80" t="s">
        <v>360</v>
      </c>
      <c r="E1" s="80" t="s">
        <v>361</v>
      </c>
      <c r="F1" s="81" t="s">
        <v>362</v>
      </c>
      <c r="G1" s="80" t="s">
        <v>363</v>
      </c>
      <c r="H1" s="80" t="s">
        <v>364</v>
      </c>
      <c r="I1" s="80" t="s">
        <v>365</v>
      </c>
      <c r="J1" s="18" t="s">
        <v>456</v>
      </c>
      <c r="K1" s="80" t="s">
        <v>440</v>
      </c>
      <c r="L1" s="80" t="s">
        <v>366</v>
      </c>
      <c r="M1" s="80" t="s">
        <v>173</v>
      </c>
      <c r="N1" s="80" t="s">
        <v>367</v>
      </c>
      <c r="O1" s="80" t="s">
        <v>368</v>
      </c>
      <c r="P1" s="80" t="s">
        <v>369</v>
      </c>
      <c r="Q1" s="80" t="s">
        <v>370</v>
      </c>
    </row>
    <row r="2" spans="1:17" x14ac:dyDescent="0.25">
      <c r="A2" t="s">
        <v>13</v>
      </c>
      <c r="B2" s="18" t="s">
        <v>13</v>
      </c>
      <c r="C2" s="18" t="s">
        <v>13</v>
      </c>
      <c r="D2" s="18" t="s">
        <v>371</v>
      </c>
      <c r="E2" s="18" t="s">
        <v>13</v>
      </c>
      <c r="F2" s="13" t="s">
        <v>13</v>
      </c>
      <c r="G2" s="18" t="s">
        <v>13</v>
      </c>
      <c r="H2" s="18" t="s">
        <v>13</v>
      </c>
      <c r="I2" t="s">
        <v>13</v>
      </c>
      <c r="J2" s="18" t="s">
        <v>13</v>
      </c>
      <c r="K2" s="79" t="s">
        <v>13</v>
      </c>
      <c r="L2" s="18" t="s">
        <v>277</v>
      </c>
      <c r="M2" s="18" t="s">
        <v>13</v>
      </c>
      <c r="N2" s="18" t="s">
        <v>13</v>
      </c>
      <c r="O2" s="18" t="s">
        <v>13</v>
      </c>
      <c r="P2" s="50" t="s">
        <v>13</v>
      </c>
      <c r="Q2" s="18" t="s">
        <v>13</v>
      </c>
    </row>
    <row r="3" spans="1:17" x14ac:dyDescent="0.25">
      <c r="A3" s="70" t="s">
        <v>372</v>
      </c>
      <c r="B3" s="62" t="s">
        <v>373</v>
      </c>
      <c r="C3" s="19">
        <v>1</v>
      </c>
      <c r="D3" s="19">
        <v>0.34</v>
      </c>
      <c r="E3" s="20" t="s">
        <v>374</v>
      </c>
      <c r="F3" s="13" t="s">
        <v>185</v>
      </c>
      <c r="G3" s="20" t="s">
        <v>375</v>
      </c>
      <c r="H3" s="20" t="s">
        <v>376</v>
      </c>
      <c r="I3" s="21"/>
      <c r="J3" s="83">
        <v>1</v>
      </c>
      <c r="L3" s="30"/>
      <c r="M3" s="30">
        <v>100</v>
      </c>
      <c r="N3" s="32"/>
      <c r="O3" s="32" t="b">
        <v>1</v>
      </c>
      <c r="P3">
        <v>100</v>
      </c>
      <c r="Q3" s="32"/>
    </row>
    <row r="4" spans="1:17" ht="15.75" customHeight="1" x14ac:dyDescent="0.25">
      <c r="A4" s="70" t="s">
        <v>377</v>
      </c>
      <c r="B4" s="71" t="s">
        <v>378</v>
      </c>
      <c r="C4" s="19">
        <v>1</v>
      </c>
      <c r="D4" s="19">
        <v>0.01</v>
      </c>
      <c r="E4" s="20" t="s">
        <v>374</v>
      </c>
      <c r="F4" s="13" t="s">
        <v>185</v>
      </c>
      <c r="G4" s="20" t="s">
        <v>379</v>
      </c>
      <c r="H4" s="20" t="s">
        <v>380</v>
      </c>
      <c r="I4" s="21"/>
      <c r="J4" s="83"/>
      <c r="L4" s="30">
        <v>72</v>
      </c>
      <c r="M4" s="30">
        <v>1000</v>
      </c>
      <c r="N4" s="32"/>
      <c r="O4" s="32" t="b">
        <v>1</v>
      </c>
      <c r="P4">
        <v>100</v>
      </c>
      <c r="Q4" s="32"/>
    </row>
    <row r="5" spans="1:17" x14ac:dyDescent="0.25">
      <c r="A5" s="70" t="s">
        <v>381</v>
      </c>
      <c r="B5" s="62" t="s">
        <v>382</v>
      </c>
      <c r="C5" s="19">
        <v>1</v>
      </c>
      <c r="D5" s="19">
        <v>0.3</v>
      </c>
      <c r="E5" s="20" t="s">
        <v>374</v>
      </c>
      <c r="F5" s="44" t="s">
        <v>185</v>
      </c>
      <c r="G5" s="20" t="s">
        <v>375</v>
      </c>
      <c r="H5" s="20" t="s">
        <v>383</v>
      </c>
      <c r="I5" s="21"/>
      <c r="J5" s="83"/>
      <c r="L5" s="30"/>
      <c r="M5" s="30">
        <v>200</v>
      </c>
      <c r="N5" s="32"/>
      <c r="O5" s="32" t="b">
        <v>1</v>
      </c>
      <c r="P5">
        <v>100</v>
      </c>
      <c r="Q5" s="32"/>
    </row>
    <row r="6" spans="1:17" x14ac:dyDescent="0.25">
      <c r="A6" s="70" t="s">
        <v>384</v>
      </c>
      <c r="B6" s="62" t="s">
        <v>385</v>
      </c>
      <c r="C6" s="19">
        <v>1</v>
      </c>
      <c r="D6" s="19">
        <v>0.1</v>
      </c>
      <c r="E6" s="20" t="s">
        <v>441</v>
      </c>
      <c r="F6" s="44" t="s">
        <v>185</v>
      </c>
      <c r="G6" s="20" t="s">
        <v>379</v>
      </c>
      <c r="H6" s="20" t="s">
        <v>304</v>
      </c>
      <c r="I6" s="21">
        <v>6</v>
      </c>
      <c r="J6" s="83"/>
      <c r="L6" s="30">
        <v>72</v>
      </c>
      <c r="M6" s="30">
        <v>2000</v>
      </c>
      <c r="N6" s="32"/>
      <c r="O6" s="32" t="b">
        <v>1</v>
      </c>
      <c r="P6">
        <v>100</v>
      </c>
      <c r="Q6" s="32"/>
    </row>
    <row r="7" spans="1:17" x14ac:dyDescent="0.25">
      <c r="A7" s="70" t="s">
        <v>386</v>
      </c>
      <c r="B7" s="62" t="s">
        <v>387</v>
      </c>
      <c r="C7" s="19">
        <v>1</v>
      </c>
      <c r="D7" s="19">
        <v>0.3</v>
      </c>
      <c r="E7" s="20" t="s">
        <v>374</v>
      </c>
      <c r="F7" s="13" t="s">
        <v>185</v>
      </c>
      <c r="G7" s="20" t="s">
        <v>375</v>
      </c>
      <c r="H7" s="20" t="s">
        <v>388</v>
      </c>
      <c r="I7" s="21"/>
      <c r="J7" s="83"/>
      <c r="L7" s="30"/>
      <c r="M7" s="30">
        <v>300</v>
      </c>
      <c r="N7" s="32"/>
      <c r="O7" s="32" t="b">
        <v>1</v>
      </c>
      <c r="P7">
        <v>100</v>
      </c>
      <c r="Q7" s="32"/>
    </row>
    <row r="8" spans="1:17" x14ac:dyDescent="0.25">
      <c r="A8" s="70" t="s">
        <v>389</v>
      </c>
      <c r="B8" s="62" t="s">
        <v>390</v>
      </c>
      <c r="C8" s="19">
        <v>1</v>
      </c>
      <c r="D8" s="19">
        <v>0.1</v>
      </c>
      <c r="E8" s="20" t="s">
        <v>374</v>
      </c>
      <c r="F8" s="13" t="s">
        <v>185</v>
      </c>
      <c r="G8" s="20" t="s">
        <v>379</v>
      </c>
      <c r="H8" s="20" t="s">
        <v>312</v>
      </c>
      <c r="I8" s="21"/>
      <c r="J8" s="21"/>
      <c r="L8" s="30">
        <v>72</v>
      </c>
      <c r="M8" s="30">
        <v>3000</v>
      </c>
      <c r="N8" s="32"/>
      <c r="O8" s="32" t="b">
        <v>1</v>
      </c>
      <c r="P8">
        <v>100</v>
      </c>
      <c r="Q8" s="32"/>
    </row>
    <row r="9" spans="1:17" x14ac:dyDescent="0.25">
      <c r="C9" s="19"/>
      <c r="D9" s="19"/>
      <c r="E9" s="20"/>
      <c r="G9" s="21"/>
      <c r="H9" s="21"/>
      <c r="I9" s="21"/>
      <c r="J9" s="21"/>
      <c r="L9" s="24"/>
      <c r="M9" s="24"/>
      <c r="N9" s="32"/>
      <c r="O9" s="32"/>
      <c r="Q9" s="32"/>
    </row>
    <row r="10" spans="1:17" x14ac:dyDescent="0.25">
      <c r="C10" s="19"/>
      <c r="D10" s="19"/>
      <c r="E10" s="20"/>
      <c r="G10" s="21"/>
      <c r="H10" s="21"/>
      <c r="I10" s="21"/>
      <c r="J10" s="21"/>
      <c r="L10" s="24"/>
      <c r="M10" s="24"/>
      <c r="N10" s="32"/>
      <c r="O10" s="32"/>
      <c r="Q10" s="32"/>
    </row>
    <row r="11" spans="1:17" x14ac:dyDescent="0.25">
      <c r="C11" s="19"/>
      <c r="D11" s="19"/>
      <c r="E11" s="20"/>
      <c r="G11" s="21"/>
      <c r="H11" s="21"/>
      <c r="I11" s="21"/>
      <c r="J11" s="21"/>
      <c r="L11" s="24"/>
      <c r="M11" s="24"/>
      <c r="N11" s="32"/>
      <c r="O11" s="32"/>
      <c r="Q11" s="32"/>
    </row>
    <row r="12" spans="1:17" x14ac:dyDescent="0.25">
      <c r="C12" s="19"/>
      <c r="D12" s="19"/>
      <c r="E12" s="20"/>
      <c r="G12" s="20"/>
      <c r="H12" s="20"/>
      <c r="I12" s="21"/>
      <c r="J12" s="21"/>
      <c r="L12" s="24"/>
      <c r="M12" s="24"/>
      <c r="N12" s="32"/>
      <c r="O12" s="32"/>
      <c r="Q12" s="32"/>
    </row>
    <row r="13" spans="1:17" x14ac:dyDescent="0.25">
      <c r="C13" s="19"/>
      <c r="D13" s="19"/>
      <c r="E13" s="20"/>
      <c r="G13" s="20"/>
      <c r="H13" s="20"/>
      <c r="I13" s="21"/>
      <c r="J13" s="21"/>
      <c r="L13" s="24"/>
      <c r="M13" s="24"/>
      <c r="N13" s="32"/>
      <c r="O13" s="32"/>
      <c r="Q13" s="32"/>
    </row>
    <row r="14" spans="1:17" x14ac:dyDescent="0.25">
      <c r="C14" s="19"/>
      <c r="D14" s="19"/>
      <c r="E14" s="20"/>
      <c r="G14" s="20"/>
      <c r="H14" s="20"/>
      <c r="I14" s="21"/>
      <c r="J14" s="21"/>
      <c r="L14" s="24"/>
      <c r="M14" s="24"/>
      <c r="N14" s="32"/>
      <c r="O14" s="32"/>
      <c r="Q14" s="32"/>
    </row>
    <row r="15" spans="1:17" x14ac:dyDescent="0.25">
      <c r="C15" s="19"/>
      <c r="D15" s="19"/>
      <c r="E15" s="20"/>
      <c r="G15" s="20"/>
      <c r="H15" s="20"/>
      <c r="I15" s="21"/>
      <c r="J15" s="21"/>
      <c r="L15" s="24"/>
      <c r="M15" s="24"/>
      <c r="N15" s="32"/>
      <c r="O15" s="32"/>
      <c r="Q15" s="32"/>
    </row>
    <row r="16" spans="1:17" x14ac:dyDescent="0.25">
      <c r="C16" s="19"/>
      <c r="D16" s="19"/>
      <c r="E16" s="20"/>
      <c r="G16" s="20"/>
      <c r="H16" s="20"/>
      <c r="I16" s="21"/>
      <c r="J16" s="21"/>
      <c r="L16" s="24"/>
      <c r="M16" s="24"/>
      <c r="N16" s="32"/>
      <c r="O16" s="32"/>
      <c r="Q16" s="32"/>
    </row>
    <row r="17" spans="3:17" x14ac:dyDescent="0.25">
      <c r="C17" s="19"/>
      <c r="D17" s="19"/>
      <c r="E17" s="20"/>
      <c r="G17" s="20"/>
      <c r="H17" s="20"/>
      <c r="I17" s="21"/>
      <c r="J17" s="21"/>
      <c r="L17" s="24"/>
      <c r="M17" s="24"/>
      <c r="N17" s="32"/>
      <c r="O17" s="32"/>
      <c r="Q17" s="32"/>
    </row>
    <row r="18" spans="3:17" x14ac:dyDescent="0.25">
      <c r="C18" s="19"/>
      <c r="D18" s="19"/>
      <c r="E18" s="20"/>
      <c r="G18" s="20"/>
      <c r="H18" s="20"/>
      <c r="I18" s="21"/>
      <c r="J18" s="21"/>
      <c r="L18" s="24"/>
      <c r="M18" s="24"/>
      <c r="N18" s="32"/>
      <c r="O18" s="32"/>
      <c r="Q18" s="32"/>
    </row>
    <row r="19" spans="3:17" x14ac:dyDescent="0.25">
      <c r="C19" s="19"/>
      <c r="D19" s="19"/>
      <c r="E19" s="20"/>
      <c r="G19" s="20"/>
      <c r="H19" s="20"/>
      <c r="I19" s="21"/>
      <c r="J19" s="21"/>
      <c r="L19" s="24"/>
      <c r="M19" s="24"/>
      <c r="N19" s="32"/>
      <c r="O19" s="32"/>
      <c r="Q19" s="32"/>
    </row>
    <row r="20" spans="3:17" x14ac:dyDescent="0.25">
      <c r="C20" s="19"/>
      <c r="D20" s="19"/>
      <c r="E20" s="20"/>
      <c r="G20" s="20"/>
      <c r="H20" s="20"/>
      <c r="I20" s="21"/>
      <c r="J20" s="21"/>
      <c r="L20" s="24"/>
      <c r="M20" s="24"/>
      <c r="N20" s="32"/>
      <c r="O20" s="32"/>
      <c r="Q20" s="32"/>
    </row>
    <row r="21" spans="3:17" x14ac:dyDescent="0.25">
      <c r="C21" s="19"/>
      <c r="D21" s="19"/>
      <c r="E21" s="20"/>
      <c r="G21" s="20"/>
      <c r="H21" s="20"/>
      <c r="I21" s="21"/>
      <c r="J21" s="21"/>
      <c r="L21" s="24"/>
      <c r="M21" s="24"/>
      <c r="N21" s="32"/>
      <c r="O21" s="32"/>
      <c r="Q21" s="32"/>
    </row>
    <row r="22" spans="3:17" x14ac:dyDescent="0.25">
      <c r="C22" s="19"/>
      <c r="D22" s="19"/>
      <c r="E22" s="20"/>
      <c r="G22" s="20"/>
      <c r="H22" s="20"/>
      <c r="I22" s="21"/>
      <c r="J22" s="21"/>
      <c r="L22" s="24"/>
      <c r="M22" s="24"/>
      <c r="N22" s="32"/>
      <c r="O22" s="32"/>
      <c r="Q22" s="32"/>
    </row>
    <row r="23" spans="3:17" x14ac:dyDescent="0.25">
      <c r="C23" s="19"/>
      <c r="D23" s="19"/>
      <c r="E23" s="20"/>
      <c r="G23" s="20"/>
      <c r="H23" s="20"/>
      <c r="I23" s="21"/>
      <c r="J23" s="21"/>
      <c r="L23" s="24"/>
      <c r="M23" s="24"/>
      <c r="N23" s="32"/>
      <c r="O23" s="32"/>
      <c r="Q23" s="32"/>
    </row>
    <row r="24" spans="3:17" x14ac:dyDescent="0.25">
      <c r="C24" s="19"/>
      <c r="D24" s="19"/>
      <c r="E24" s="20"/>
      <c r="G24" s="20"/>
      <c r="H24" s="20"/>
      <c r="I24" s="21"/>
      <c r="J24" s="21"/>
      <c r="L24" s="24"/>
      <c r="M24" s="24"/>
      <c r="N24" s="32"/>
      <c r="O24" s="32"/>
      <c r="Q24" s="32"/>
    </row>
    <row r="25" spans="3:17" x14ac:dyDescent="0.25">
      <c r="C25" s="19"/>
      <c r="D25" s="19"/>
      <c r="E25" s="20"/>
      <c r="G25" s="20"/>
      <c r="H25" s="20"/>
      <c r="I25" s="21"/>
      <c r="J25" s="21"/>
      <c r="L25" s="24"/>
      <c r="M25" s="24"/>
      <c r="N25" s="32"/>
      <c r="O25" s="32"/>
      <c r="Q25" s="32"/>
    </row>
    <row r="26" spans="3:17" x14ac:dyDescent="0.25">
      <c r="C26" s="19"/>
      <c r="D26" s="19"/>
      <c r="E26" s="20"/>
      <c r="G26" s="20"/>
      <c r="H26" s="20"/>
      <c r="I26" s="21"/>
      <c r="J26" s="21"/>
      <c r="L26" s="24"/>
      <c r="M26" s="24"/>
      <c r="N26" s="32"/>
      <c r="O26" s="32"/>
      <c r="Q26" s="32"/>
    </row>
    <row r="27" spans="3:17" x14ac:dyDescent="0.25">
      <c r="C27" s="19"/>
      <c r="D27" s="19"/>
      <c r="E27" s="20"/>
      <c r="G27" s="20"/>
      <c r="H27" s="20"/>
      <c r="I27" s="21"/>
      <c r="J27" s="21"/>
      <c r="L27" s="24"/>
      <c r="M27" s="24"/>
      <c r="N27" s="32"/>
      <c r="O27" s="32"/>
      <c r="Q27" s="32"/>
    </row>
    <row r="28" spans="3:17" x14ac:dyDescent="0.25">
      <c r="C28" s="19"/>
      <c r="D28" s="19"/>
      <c r="E28" s="20"/>
      <c r="G28" s="20"/>
      <c r="H28" s="20"/>
      <c r="I28" s="21"/>
      <c r="J28" s="21"/>
      <c r="L28" s="24"/>
      <c r="M28" s="24"/>
      <c r="N28" s="32"/>
      <c r="O28" s="32"/>
      <c r="Q28" s="32"/>
    </row>
    <row r="29" spans="3:17" x14ac:dyDescent="0.25">
      <c r="D29" s="19"/>
      <c r="E29" s="20"/>
      <c r="G29" s="20"/>
      <c r="H29" s="20"/>
      <c r="I29" s="21"/>
      <c r="J29" s="21"/>
      <c r="L29" s="24"/>
      <c r="M29" s="24"/>
      <c r="N29" s="32"/>
      <c r="O29" s="32"/>
      <c r="Q29" s="32"/>
    </row>
    <row r="30" spans="3:17" x14ac:dyDescent="0.25">
      <c r="D30" s="19"/>
      <c r="E30" s="20"/>
      <c r="G30" s="20"/>
      <c r="H30" s="20"/>
      <c r="I30" s="21"/>
      <c r="J30" s="21"/>
      <c r="L30" s="24"/>
      <c r="M30" s="24"/>
      <c r="N30" s="32"/>
      <c r="O30" s="32"/>
      <c r="Q30" s="32"/>
    </row>
    <row r="31" spans="3:17" x14ac:dyDescent="0.25">
      <c r="D31" s="19"/>
      <c r="E31" s="20"/>
      <c r="G31" s="20"/>
      <c r="H31" s="20"/>
      <c r="I31" s="21"/>
      <c r="J31" s="21"/>
      <c r="L31" s="24"/>
      <c r="M31" s="24"/>
      <c r="N31" s="32"/>
      <c r="O31" s="32"/>
      <c r="Q31" s="32"/>
    </row>
    <row r="32" spans="3:17" x14ac:dyDescent="0.25">
      <c r="D32" s="19"/>
      <c r="E32" s="20"/>
      <c r="G32" s="20"/>
      <c r="H32" s="20"/>
      <c r="I32" s="21"/>
      <c r="J32" s="21"/>
      <c r="L32" s="24"/>
      <c r="M32" s="24"/>
      <c r="N32" s="32"/>
      <c r="O32" s="32"/>
      <c r="Q32" s="32"/>
    </row>
    <row r="33" spans="4:17" x14ac:dyDescent="0.25">
      <c r="D33" s="19"/>
      <c r="E33" s="20"/>
      <c r="G33" s="20"/>
      <c r="H33" s="20"/>
      <c r="I33" s="21"/>
      <c r="J33" s="21"/>
      <c r="L33" s="24"/>
      <c r="M33" s="24"/>
      <c r="N33" s="32"/>
      <c r="O33" s="32"/>
      <c r="Q33" s="32"/>
    </row>
    <row r="34" spans="4:17" x14ac:dyDescent="0.25">
      <c r="D34" s="19"/>
      <c r="E34" s="20"/>
      <c r="G34" s="20"/>
      <c r="H34" s="20"/>
      <c r="I34" s="21"/>
      <c r="J34" s="21"/>
      <c r="L34" s="24"/>
      <c r="M34" s="24"/>
      <c r="N34" s="32"/>
      <c r="O34" s="32"/>
      <c r="Q34" s="32"/>
    </row>
    <row r="35" spans="4:17" x14ac:dyDescent="0.25">
      <c r="D35" s="19"/>
      <c r="G35" s="20"/>
      <c r="H35" s="20"/>
      <c r="I35" s="21"/>
      <c r="J35" s="21"/>
      <c r="L35" s="24"/>
      <c r="M35" s="24"/>
      <c r="N35" s="32"/>
      <c r="O35" s="32"/>
      <c r="Q35" s="32"/>
    </row>
    <row r="36" spans="4:17" x14ac:dyDescent="0.25">
      <c r="D36" s="19"/>
      <c r="G36" s="20"/>
      <c r="H36" s="20"/>
      <c r="I36" s="21"/>
      <c r="J36" s="21"/>
      <c r="L36" s="24"/>
      <c r="M36" s="24"/>
      <c r="N36" s="32"/>
      <c r="O36" s="32"/>
      <c r="Q36" s="32"/>
    </row>
    <row r="37" spans="4:17" x14ac:dyDescent="0.25">
      <c r="D37" s="19"/>
      <c r="I37" s="21"/>
      <c r="J37" s="21"/>
      <c r="L37" s="24"/>
      <c r="M37" s="24"/>
      <c r="N37" s="32"/>
      <c r="O37" s="32"/>
      <c r="Q37" s="32"/>
    </row>
    <row r="38" spans="4:17" x14ac:dyDescent="0.25">
      <c r="D38" s="19"/>
      <c r="I38" s="21"/>
      <c r="J38" s="21"/>
      <c r="L38" s="24"/>
      <c r="M38" s="24"/>
      <c r="N38" s="32"/>
      <c r="O38" s="32"/>
      <c r="Q38" s="32"/>
    </row>
    <row r="39" spans="4:17" x14ac:dyDescent="0.25">
      <c r="D39" s="19"/>
      <c r="I39" s="21"/>
      <c r="J39" s="21"/>
      <c r="L39" s="24"/>
      <c r="M39" s="24"/>
      <c r="N39" s="32"/>
      <c r="O39" s="32"/>
      <c r="Q39" s="32"/>
    </row>
    <row r="40" spans="4:17" x14ac:dyDescent="0.25">
      <c r="D40" s="19"/>
      <c r="I40" s="21"/>
      <c r="J40" s="21"/>
      <c r="L40" s="24"/>
      <c r="M40" s="24"/>
      <c r="N40" s="32"/>
      <c r="O40" s="32"/>
      <c r="Q40" s="32"/>
    </row>
    <row r="41" spans="4:17" x14ac:dyDescent="0.25">
      <c r="D41" s="19"/>
      <c r="I41" s="21"/>
      <c r="J41" s="21"/>
      <c r="L41" s="24"/>
      <c r="M41" s="24"/>
      <c r="N41" s="32"/>
      <c r="O41" s="32"/>
      <c r="Q41" s="32"/>
    </row>
    <row r="42" spans="4:17" x14ac:dyDescent="0.25">
      <c r="D42" s="19"/>
      <c r="I42" s="21"/>
      <c r="J42" s="21"/>
      <c r="L42" s="24"/>
      <c r="M42" s="24"/>
      <c r="N42" s="32"/>
      <c r="O42" s="32"/>
      <c r="Q42" s="32"/>
    </row>
    <row r="43" spans="4:17" x14ac:dyDescent="0.25">
      <c r="D43" s="19"/>
      <c r="I43" s="21"/>
      <c r="J43" s="21"/>
      <c r="L43" s="24"/>
      <c r="M43" s="24"/>
      <c r="N43" s="32"/>
      <c r="O43" s="32"/>
      <c r="Q43" s="32"/>
    </row>
    <row r="44" spans="4:17" x14ac:dyDescent="0.25">
      <c r="D44" s="19"/>
      <c r="I44" s="21"/>
      <c r="J44" s="21"/>
      <c r="L44" s="24"/>
      <c r="M44" s="24"/>
      <c r="N44" s="32"/>
      <c r="O44" s="32"/>
      <c r="Q44" s="32"/>
    </row>
    <row r="45" spans="4:17" x14ac:dyDescent="0.25">
      <c r="D45" s="19"/>
      <c r="I45" s="21"/>
      <c r="J45" s="21"/>
      <c r="L45" s="24"/>
      <c r="M45" s="24"/>
      <c r="N45" s="32"/>
      <c r="O45" s="32"/>
      <c r="Q45" s="32"/>
    </row>
    <row r="46" spans="4:17" x14ac:dyDescent="0.25">
      <c r="D46" s="19"/>
      <c r="I46" s="21"/>
      <c r="J46" s="21"/>
      <c r="L46" s="24"/>
      <c r="M46" s="24"/>
      <c r="N46" s="32"/>
      <c r="O46" s="32"/>
      <c r="Q46" s="32"/>
    </row>
    <row r="47" spans="4:17" x14ac:dyDescent="0.25">
      <c r="D47" s="19"/>
      <c r="I47" s="21"/>
      <c r="J47" s="21"/>
      <c r="L47" s="24"/>
      <c r="M47" s="24"/>
      <c r="N47" s="32"/>
      <c r="O47" s="32"/>
      <c r="Q47" s="32"/>
    </row>
    <row r="48" spans="4:17" x14ac:dyDescent="0.25">
      <c r="D48" s="19"/>
      <c r="I48" s="21"/>
      <c r="J48" s="21"/>
      <c r="L48" s="24"/>
      <c r="M48" s="24"/>
      <c r="N48" s="32"/>
      <c r="O48" s="32"/>
      <c r="Q48" s="32"/>
    </row>
    <row r="49" spans="4:17" x14ac:dyDescent="0.25">
      <c r="D49" s="19"/>
      <c r="I49" s="21"/>
      <c r="J49" s="21"/>
      <c r="L49" s="24"/>
      <c r="M49" s="24"/>
      <c r="N49" s="32"/>
      <c r="O49" s="32"/>
      <c r="Q49" s="32"/>
    </row>
    <row r="50" spans="4:17" x14ac:dyDescent="0.25">
      <c r="D50" s="19"/>
      <c r="I50" s="21"/>
      <c r="J50" s="21"/>
      <c r="L50" s="24"/>
      <c r="M50" s="24"/>
      <c r="N50" s="32"/>
      <c r="O50" s="32"/>
      <c r="Q50" s="32"/>
    </row>
    <row r="51" spans="4:17" x14ac:dyDescent="0.25">
      <c r="D51" s="19"/>
      <c r="I51" s="21"/>
      <c r="J51" s="21"/>
      <c r="L51" s="24"/>
      <c r="M51" s="24"/>
      <c r="N51" s="32"/>
      <c r="O51" s="32"/>
      <c r="Q51" s="32"/>
    </row>
    <row r="52" spans="4:17" x14ac:dyDescent="0.25">
      <c r="D52" s="19"/>
      <c r="I52" s="21"/>
      <c r="J52" s="21"/>
      <c r="L52" s="24"/>
      <c r="M52" s="24"/>
      <c r="N52" s="32"/>
      <c r="O52" s="32"/>
      <c r="Q52" s="32"/>
    </row>
    <row r="53" spans="4:17" x14ac:dyDescent="0.25">
      <c r="D53" s="19"/>
      <c r="I53" s="21"/>
      <c r="J53" s="21"/>
      <c r="L53" s="24"/>
      <c r="M53" s="24"/>
      <c r="N53" s="32"/>
      <c r="O53" s="32"/>
      <c r="Q53" s="32"/>
    </row>
    <row r="54" spans="4:17" x14ac:dyDescent="0.25">
      <c r="D54" s="19"/>
      <c r="I54" s="21"/>
      <c r="J54" s="21"/>
      <c r="L54" s="24"/>
      <c r="M54" s="24"/>
      <c r="N54" s="32"/>
      <c r="O54" s="32"/>
      <c r="Q54" s="32"/>
    </row>
    <row r="55" spans="4:17" x14ac:dyDescent="0.25">
      <c r="D55" s="19"/>
      <c r="I55" s="21"/>
      <c r="J55" s="21"/>
      <c r="L55" s="24"/>
      <c r="M55" s="24"/>
      <c r="N55" s="32"/>
      <c r="O55" s="32"/>
      <c r="Q55" s="32"/>
    </row>
    <row r="56" spans="4:17" x14ac:dyDescent="0.25">
      <c r="D56" s="19"/>
      <c r="I56" s="21"/>
      <c r="J56" s="21"/>
      <c r="L56" s="24"/>
      <c r="M56" s="24"/>
      <c r="N56" s="32"/>
      <c r="O56" s="32"/>
      <c r="Q56" s="32"/>
    </row>
    <row r="57" spans="4:17" x14ac:dyDescent="0.25">
      <c r="D57" s="19"/>
      <c r="I57" s="21"/>
      <c r="J57" s="21"/>
      <c r="L57" s="24"/>
      <c r="M57" s="24"/>
      <c r="N57" s="32"/>
      <c r="O57" s="32"/>
      <c r="Q57" s="32"/>
    </row>
    <row r="58" spans="4:17" x14ac:dyDescent="0.25">
      <c r="D58" s="19"/>
      <c r="I58" s="21"/>
      <c r="J58" s="21"/>
      <c r="L58" s="24"/>
      <c r="M58" s="24"/>
      <c r="N58" s="32"/>
      <c r="O58" s="32"/>
      <c r="Q58" s="32"/>
    </row>
    <row r="59" spans="4:17" x14ac:dyDescent="0.25">
      <c r="D59" s="19"/>
      <c r="I59" s="21"/>
      <c r="J59" s="21"/>
      <c r="L59" s="24"/>
      <c r="M59" s="24"/>
      <c r="N59" s="32"/>
      <c r="O59" s="32"/>
      <c r="Q59" s="32"/>
    </row>
    <row r="60" spans="4:17" x14ac:dyDescent="0.25">
      <c r="D60" s="19"/>
      <c r="I60" s="21"/>
      <c r="J60" s="21"/>
      <c r="L60" s="24"/>
      <c r="M60" s="24"/>
      <c r="N60" s="32"/>
      <c r="O60" s="32"/>
      <c r="Q60" s="32"/>
    </row>
    <row r="61" spans="4:17" x14ac:dyDescent="0.25">
      <c r="D61" s="19"/>
      <c r="J61" s="21"/>
      <c r="L61" s="24"/>
      <c r="M61" s="24"/>
      <c r="N61" s="32"/>
      <c r="O61" s="32"/>
      <c r="Q61" s="32"/>
    </row>
    <row r="62" spans="4:17" x14ac:dyDescent="0.25">
      <c r="D62" s="19"/>
      <c r="J62" s="21"/>
      <c r="L62" s="24"/>
      <c r="M62" s="24"/>
      <c r="N62" s="32"/>
      <c r="O62" s="32"/>
      <c r="Q62" s="32"/>
    </row>
    <row r="63" spans="4:17" x14ac:dyDescent="0.25">
      <c r="D63" s="19"/>
      <c r="L63" s="24"/>
      <c r="M63" s="24"/>
      <c r="N63" s="32"/>
      <c r="O63" s="32"/>
      <c r="Q63" s="32"/>
    </row>
    <row r="64" spans="4:17" x14ac:dyDescent="0.25">
      <c r="D64" s="19"/>
      <c r="L64" s="24"/>
      <c r="M64" s="24"/>
      <c r="N64" s="32"/>
      <c r="O64" s="32"/>
      <c r="Q64" s="32"/>
    </row>
    <row r="65" spans="4:17" x14ac:dyDescent="0.25">
      <c r="D65" s="19"/>
      <c r="L65" s="24"/>
      <c r="M65" s="24"/>
      <c r="N65" s="32"/>
      <c r="O65" s="32"/>
      <c r="Q65" s="32"/>
    </row>
    <row r="66" spans="4:17" x14ac:dyDescent="0.25">
      <c r="D66" s="19"/>
      <c r="L66" s="24"/>
      <c r="M66" s="24"/>
      <c r="N66" s="32"/>
      <c r="O66" s="32"/>
      <c r="Q66" s="32"/>
    </row>
    <row r="67" spans="4:17" x14ac:dyDescent="0.25">
      <c r="D67" s="19"/>
      <c r="L67" s="24"/>
      <c r="M67" s="24"/>
      <c r="N67" s="32"/>
      <c r="O67" s="32"/>
      <c r="Q67" s="32"/>
    </row>
    <row r="68" spans="4:17" x14ac:dyDescent="0.25">
      <c r="D68" s="19"/>
      <c r="L68" s="24"/>
      <c r="M68" s="24"/>
      <c r="N68" s="32"/>
      <c r="O68" s="32"/>
      <c r="Q68" s="32"/>
    </row>
    <row r="69" spans="4:17" x14ac:dyDescent="0.25">
      <c r="D69" s="19"/>
      <c r="L69" s="24"/>
      <c r="M69" s="24"/>
      <c r="N69" s="32"/>
      <c r="O69" s="32"/>
      <c r="Q69" s="32"/>
    </row>
    <row r="70" spans="4:17" x14ac:dyDescent="0.25">
      <c r="D70" s="19"/>
      <c r="L70" s="24"/>
      <c r="M70" s="24"/>
      <c r="N70" s="32"/>
      <c r="O70" s="32"/>
      <c r="Q70" s="32"/>
    </row>
    <row r="71" spans="4:17" x14ac:dyDescent="0.25">
      <c r="D71" s="19"/>
      <c r="L71" s="24"/>
      <c r="M71" s="24"/>
      <c r="N71" s="32"/>
      <c r="O71" s="32"/>
      <c r="Q71" s="32"/>
    </row>
    <row r="72" spans="4:17" x14ac:dyDescent="0.25">
      <c r="D72" s="19"/>
      <c r="L72" s="24"/>
      <c r="M72" s="24"/>
      <c r="N72" s="32"/>
      <c r="O72" s="32"/>
      <c r="Q72" s="32"/>
    </row>
    <row r="73" spans="4:17" x14ac:dyDescent="0.25">
      <c r="L73" s="24"/>
      <c r="M73" s="24"/>
      <c r="N73" s="32"/>
      <c r="O73" s="32"/>
      <c r="Q73" s="32"/>
    </row>
    <row r="74" spans="4:17" x14ac:dyDescent="0.25">
      <c r="L74" s="24"/>
      <c r="M74" s="24"/>
      <c r="N74" s="32"/>
      <c r="O74" s="32"/>
      <c r="Q74" s="32"/>
    </row>
    <row r="75" spans="4:17" x14ac:dyDescent="0.25">
      <c r="L75" s="24"/>
      <c r="M75" s="24"/>
      <c r="N75" s="32"/>
      <c r="O75" s="32"/>
      <c r="Q75" s="32"/>
    </row>
    <row r="76" spans="4:17" x14ac:dyDescent="0.25">
      <c r="L76" s="24"/>
      <c r="M76" s="24"/>
      <c r="N76" s="32"/>
      <c r="O76" s="32"/>
      <c r="Q76" s="32"/>
    </row>
    <row r="77" spans="4:17" x14ac:dyDescent="0.25">
      <c r="L77" s="24"/>
      <c r="M77" s="24"/>
      <c r="N77" s="32"/>
      <c r="O77" s="32"/>
      <c r="Q77" s="32"/>
    </row>
    <row r="78" spans="4:17" x14ac:dyDescent="0.25">
      <c r="L78" s="24"/>
      <c r="M78" s="24"/>
      <c r="N78" s="32"/>
      <c r="O78" s="32"/>
      <c r="Q78" s="32"/>
    </row>
    <row r="79" spans="4:17" x14ac:dyDescent="0.25">
      <c r="L79" s="24"/>
      <c r="M79" s="24"/>
      <c r="N79" s="32"/>
      <c r="O79" s="32"/>
      <c r="Q79" s="32"/>
    </row>
    <row r="80" spans="4:17" x14ac:dyDescent="0.25">
      <c r="L80" s="24"/>
      <c r="M80" s="24"/>
      <c r="N80" s="32"/>
      <c r="O80" s="32"/>
      <c r="Q80" s="32"/>
    </row>
    <row r="81" spans="12:17" x14ac:dyDescent="0.25">
      <c r="L81" s="24"/>
      <c r="M81" s="24"/>
      <c r="N81" s="32"/>
      <c r="O81" s="32"/>
      <c r="Q81" s="32"/>
    </row>
    <row r="82" spans="12:17" x14ac:dyDescent="0.25">
      <c r="L82" s="24"/>
      <c r="M82" s="24"/>
      <c r="N82" s="32"/>
      <c r="O82" s="32"/>
      <c r="Q82" s="32"/>
    </row>
    <row r="83" spans="12:17" x14ac:dyDescent="0.25">
      <c r="L83" s="24"/>
      <c r="M83" s="24"/>
      <c r="N83" s="32"/>
      <c r="O83" s="32"/>
      <c r="Q83" s="32"/>
    </row>
    <row r="84" spans="12:17" x14ac:dyDescent="0.25">
      <c r="L84" s="24"/>
      <c r="M84" s="24"/>
      <c r="N84" s="32"/>
      <c r="O84" s="32"/>
      <c r="Q84" s="32"/>
    </row>
    <row r="85" spans="12:17" x14ac:dyDescent="0.25">
      <c r="L85" s="24"/>
      <c r="M85" s="24"/>
      <c r="N85" s="32"/>
      <c r="O85" s="32"/>
      <c r="Q85" s="32"/>
    </row>
    <row r="86" spans="12:17" x14ac:dyDescent="0.25">
      <c r="L86" s="24"/>
      <c r="M86" s="24"/>
      <c r="N86" s="32"/>
      <c r="O86" s="32"/>
      <c r="Q86" s="32"/>
    </row>
    <row r="87" spans="12:17" x14ac:dyDescent="0.25">
      <c r="L87" s="24"/>
      <c r="M87" s="24"/>
      <c r="N87" s="32"/>
      <c r="O87" s="32"/>
      <c r="Q87" s="32"/>
    </row>
    <row r="88" spans="12:17" x14ac:dyDescent="0.25">
      <c r="L88" s="24"/>
      <c r="M88" s="24"/>
      <c r="N88" s="32"/>
      <c r="O88" s="32"/>
      <c r="Q88" s="32"/>
    </row>
    <row r="89" spans="12:17" x14ac:dyDescent="0.25">
      <c r="L89" s="24"/>
      <c r="M89" s="24"/>
      <c r="N89" s="32"/>
      <c r="O89" s="32"/>
      <c r="Q89" s="32"/>
    </row>
    <row r="90" spans="12:17" x14ac:dyDescent="0.25">
      <c r="L90" s="24"/>
      <c r="M90" s="24"/>
      <c r="N90" s="32"/>
      <c r="O90" s="32"/>
      <c r="Q90" s="32"/>
    </row>
    <row r="91" spans="12:17" x14ac:dyDescent="0.25">
      <c r="L91" s="24"/>
      <c r="M91" s="24"/>
      <c r="N91" s="32"/>
      <c r="O91" s="32"/>
      <c r="Q91" s="32"/>
    </row>
    <row r="92" spans="12:17" x14ac:dyDescent="0.25">
      <c r="L92" s="24"/>
      <c r="M92" s="24"/>
      <c r="N92" s="32"/>
      <c r="O92" s="32"/>
      <c r="Q92" s="32"/>
    </row>
    <row r="93" spans="12:17" x14ac:dyDescent="0.25">
      <c r="L93" s="24"/>
      <c r="M93" s="24"/>
      <c r="N93" s="32"/>
      <c r="O93" s="32"/>
      <c r="Q93" s="32"/>
    </row>
    <row r="94" spans="12:17" x14ac:dyDescent="0.25">
      <c r="L94" s="24"/>
      <c r="M94" s="24"/>
      <c r="N94" s="32"/>
      <c r="O94" s="32"/>
      <c r="Q94" s="32"/>
    </row>
    <row r="95" spans="12:17" x14ac:dyDescent="0.25">
      <c r="L95" s="24"/>
      <c r="M95" s="24"/>
      <c r="N95" s="32"/>
      <c r="O95" s="32"/>
      <c r="Q95" s="32"/>
    </row>
    <row r="96" spans="12:17" x14ac:dyDescent="0.25">
      <c r="L96" s="24"/>
      <c r="M96" s="24"/>
      <c r="N96" s="32"/>
      <c r="O96" s="32"/>
      <c r="Q96" s="32"/>
    </row>
    <row r="97" spans="12:17" x14ac:dyDescent="0.25">
      <c r="L97" s="24"/>
      <c r="M97" s="24"/>
      <c r="N97" s="32"/>
      <c r="O97" s="32"/>
      <c r="Q97" s="32"/>
    </row>
    <row r="98" spans="12:17" x14ac:dyDescent="0.25">
      <c r="L98" s="24"/>
      <c r="M98" s="24"/>
      <c r="N98" s="32"/>
      <c r="O98" s="32"/>
      <c r="Q98" s="32"/>
    </row>
    <row r="99" spans="12:17" x14ac:dyDescent="0.25">
      <c r="L99" s="24"/>
      <c r="M99" s="24"/>
      <c r="N99" s="32"/>
      <c r="O99" s="32"/>
      <c r="Q99" s="32"/>
    </row>
    <row r="100" spans="12:17" x14ac:dyDescent="0.25">
      <c r="L100" s="24"/>
      <c r="M100" s="24"/>
      <c r="N100" s="32"/>
      <c r="O100" s="32"/>
      <c r="Q100" s="32"/>
    </row>
    <row r="101" spans="12:17" x14ac:dyDescent="0.25">
      <c r="L101" s="24"/>
      <c r="M101" s="24"/>
      <c r="N101" s="32"/>
      <c r="O101" s="32"/>
      <c r="Q101" s="32"/>
    </row>
    <row r="102" spans="12:17" x14ac:dyDescent="0.25">
      <c r="L102" s="24"/>
      <c r="M102" s="24"/>
      <c r="N102" s="32"/>
      <c r="O102" s="32"/>
      <c r="Q102" s="32"/>
    </row>
    <row r="103" spans="12:17" x14ac:dyDescent="0.25">
      <c r="L103" s="24"/>
      <c r="M103" s="24"/>
      <c r="N103" s="32"/>
      <c r="O103" s="32"/>
      <c r="Q103" s="32"/>
    </row>
    <row r="104" spans="12:17" x14ac:dyDescent="0.25">
      <c r="L104" s="24"/>
      <c r="M104" s="24"/>
      <c r="N104" s="32"/>
      <c r="O104" s="32"/>
      <c r="Q104" s="32"/>
    </row>
    <row r="105" spans="12:17" x14ac:dyDescent="0.25">
      <c r="L105" s="24"/>
      <c r="M105" s="24"/>
      <c r="N105" s="32"/>
      <c r="O105" s="32"/>
      <c r="Q105" s="32"/>
    </row>
    <row r="106" spans="12:17" x14ac:dyDescent="0.25">
      <c r="L106" s="24"/>
      <c r="M106" s="24"/>
      <c r="N106" s="32"/>
      <c r="O106" s="32"/>
      <c r="Q106" s="32"/>
    </row>
    <row r="107" spans="12:17" x14ac:dyDescent="0.25">
      <c r="L107" s="24"/>
      <c r="M107" s="24"/>
      <c r="N107" s="32"/>
      <c r="O107" s="32"/>
      <c r="Q107" s="32"/>
    </row>
    <row r="108" spans="12:17" x14ac:dyDescent="0.25">
      <c r="L108" s="24"/>
      <c r="M108" s="24"/>
      <c r="N108" s="32"/>
      <c r="O108" s="32"/>
      <c r="Q108" s="32"/>
    </row>
    <row r="109" spans="12:17" x14ac:dyDescent="0.25">
      <c r="L109" s="24"/>
      <c r="M109" s="24"/>
      <c r="N109" s="32"/>
      <c r="O109" s="32"/>
      <c r="Q109" s="32"/>
    </row>
    <row r="110" spans="12:17" x14ac:dyDescent="0.25">
      <c r="L110" s="24"/>
      <c r="M110" s="24"/>
      <c r="N110" s="32"/>
      <c r="O110" s="32"/>
      <c r="Q110" s="32"/>
    </row>
    <row r="111" spans="12:17" x14ac:dyDescent="0.25">
      <c r="L111" s="24"/>
      <c r="M111" s="24"/>
      <c r="N111" s="32"/>
      <c r="O111" s="32"/>
      <c r="Q111" s="32"/>
    </row>
    <row r="112" spans="12:17" x14ac:dyDescent="0.25">
      <c r="L112" s="24"/>
      <c r="M112" s="24"/>
      <c r="N112" s="32"/>
      <c r="O112" s="32"/>
      <c r="Q112" s="32"/>
    </row>
    <row r="113" spans="12:17" x14ac:dyDescent="0.25">
      <c r="L113" s="24"/>
      <c r="M113" s="24"/>
      <c r="N113" s="32"/>
      <c r="O113" s="32"/>
      <c r="Q113" s="32"/>
    </row>
    <row r="114" spans="12:17" x14ac:dyDescent="0.25">
      <c r="L114" s="24"/>
      <c r="M114" s="24"/>
      <c r="N114" s="32"/>
      <c r="O114" s="32"/>
      <c r="Q114" s="32"/>
    </row>
    <row r="115" spans="12:17" x14ac:dyDescent="0.25">
      <c r="L115" s="24"/>
      <c r="M115" s="24"/>
      <c r="N115" s="32"/>
      <c r="O115" s="32"/>
      <c r="Q115" s="32"/>
    </row>
    <row r="116" spans="12:17" x14ac:dyDescent="0.25">
      <c r="L116" s="24"/>
      <c r="M116" s="24"/>
      <c r="N116" s="32"/>
      <c r="O116" s="32"/>
      <c r="Q116" s="32"/>
    </row>
    <row r="117" spans="12:17" x14ac:dyDescent="0.25">
      <c r="L117" s="24"/>
      <c r="M117" s="24"/>
      <c r="N117" s="32"/>
      <c r="O117" s="32"/>
      <c r="Q117" s="32"/>
    </row>
    <row r="118" spans="12:17" x14ac:dyDescent="0.25">
      <c r="L118" s="24"/>
      <c r="M118" s="24"/>
      <c r="N118" s="32"/>
      <c r="O118" s="32"/>
      <c r="Q118" s="32"/>
    </row>
    <row r="119" spans="12:17" x14ac:dyDescent="0.25">
      <c r="L119" s="24"/>
      <c r="M119" s="24"/>
      <c r="N119" s="32"/>
      <c r="O119" s="32"/>
      <c r="Q119" s="32"/>
    </row>
    <row r="120" spans="12:17" x14ac:dyDescent="0.25">
      <c r="L120" s="24"/>
      <c r="M120" s="24"/>
      <c r="N120" s="32"/>
      <c r="O120" s="32"/>
      <c r="Q120" s="32"/>
    </row>
    <row r="121" spans="12:17" x14ac:dyDescent="0.25">
      <c r="L121" s="24"/>
      <c r="M121" s="24"/>
      <c r="N121" s="32"/>
      <c r="O121" s="32"/>
      <c r="Q121" s="32"/>
    </row>
    <row r="122" spans="12:17" x14ac:dyDescent="0.25">
      <c r="L122" s="24"/>
      <c r="M122" s="24"/>
      <c r="N122" s="32"/>
      <c r="O122" s="32"/>
      <c r="Q122" s="32"/>
    </row>
    <row r="123" spans="12:17" x14ac:dyDescent="0.25">
      <c r="L123" s="24"/>
      <c r="M123" s="24"/>
      <c r="N123" s="32"/>
      <c r="O123" s="32"/>
      <c r="Q123" s="32"/>
    </row>
    <row r="124" spans="12:17" x14ac:dyDescent="0.25">
      <c r="L124" s="24"/>
      <c r="M124" s="24"/>
      <c r="N124" s="32"/>
      <c r="O124" s="32"/>
      <c r="Q124" s="32"/>
    </row>
    <row r="125" spans="12:17" x14ac:dyDescent="0.25">
      <c r="L125" s="24"/>
      <c r="M125" s="24"/>
      <c r="N125" s="32"/>
      <c r="O125" s="32"/>
      <c r="Q125" s="32"/>
    </row>
    <row r="126" spans="12:17" x14ac:dyDescent="0.25">
      <c r="L126" s="24"/>
      <c r="M126" s="24"/>
      <c r="N126" s="32"/>
      <c r="O126" s="32"/>
      <c r="Q126" s="32"/>
    </row>
    <row r="127" spans="12:17" x14ac:dyDescent="0.25">
      <c r="L127" s="24"/>
      <c r="M127" s="24"/>
      <c r="N127" s="32"/>
      <c r="O127" s="32"/>
      <c r="Q127" s="32"/>
    </row>
    <row r="128" spans="12:17" x14ac:dyDescent="0.25">
      <c r="L128" s="24"/>
      <c r="M128" s="24"/>
      <c r="N128" s="32"/>
      <c r="O128" s="32"/>
      <c r="Q128" s="32"/>
    </row>
    <row r="129" spans="12:17" x14ac:dyDescent="0.25">
      <c r="L129" s="24"/>
      <c r="M129" s="24"/>
      <c r="N129" s="32"/>
      <c r="O129" s="32"/>
      <c r="Q129" s="32"/>
    </row>
    <row r="130" spans="12:17" x14ac:dyDescent="0.25">
      <c r="L130" s="24"/>
      <c r="M130" s="24"/>
      <c r="N130" s="32"/>
      <c r="O130" s="32"/>
      <c r="Q130" s="32"/>
    </row>
    <row r="131" spans="12:17" x14ac:dyDescent="0.25">
      <c r="L131" s="24"/>
      <c r="M131" s="24"/>
      <c r="N131" s="32"/>
      <c r="O131" s="32"/>
      <c r="Q131" s="32"/>
    </row>
    <row r="132" spans="12:17" x14ac:dyDescent="0.25">
      <c r="L132" s="24"/>
      <c r="M132" s="24"/>
      <c r="N132" s="32"/>
      <c r="O132" s="32"/>
      <c r="Q132" s="32"/>
    </row>
    <row r="133" spans="12:17" x14ac:dyDescent="0.25">
      <c r="L133" s="24"/>
      <c r="M133" s="24"/>
      <c r="N133" s="32"/>
      <c r="O133" s="32"/>
      <c r="Q133" s="32"/>
    </row>
    <row r="134" spans="12:17" x14ac:dyDescent="0.25">
      <c r="L134" s="24"/>
      <c r="M134" s="24"/>
      <c r="N134" s="32"/>
      <c r="O134" s="32"/>
      <c r="Q134" s="32"/>
    </row>
    <row r="135" spans="12:17" x14ac:dyDescent="0.25">
      <c r="L135" s="24"/>
      <c r="M135" s="24"/>
      <c r="N135" s="32"/>
      <c r="O135" s="32"/>
      <c r="Q135" s="32"/>
    </row>
    <row r="136" spans="12:17" x14ac:dyDescent="0.25">
      <c r="L136" s="24"/>
      <c r="M136" s="24"/>
      <c r="N136" s="32"/>
      <c r="O136" s="32"/>
      <c r="Q136" s="32"/>
    </row>
    <row r="137" spans="12:17" x14ac:dyDescent="0.25">
      <c r="L137" s="24"/>
      <c r="M137" s="24"/>
      <c r="N137" s="32"/>
      <c r="O137" s="32"/>
      <c r="Q137" s="32"/>
    </row>
    <row r="138" spans="12:17" x14ac:dyDescent="0.25">
      <c r="L138" s="24"/>
      <c r="M138" s="24"/>
      <c r="N138" s="32"/>
      <c r="O138" s="32"/>
      <c r="Q138" s="32"/>
    </row>
    <row r="139" spans="12:17" x14ac:dyDescent="0.25">
      <c r="L139" s="24"/>
      <c r="M139" s="24"/>
      <c r="N139" s="32"/>
      <c r="O139" s="32"/>
      <c r="Q139" s="32"/>
    </row>
    <row r="140" spans="12:17" x14ac:dyDescent="0.25">
      <c r="L140" s="24"/>
      <c r="M140" s="24"/>
      <c r="N140" s="32"/>
      <c r="O140" s="32"/>
      <c r="Q140" s="32"/>
    </row>
    <row r="141" spans="12:17" x14ac:dyDescent="0.25">
      <c r="L141" s="24"/>
      <c r="M141" s="24"/>
      <c r="N141" s="32"/>
      <c r="O141" s="32"/>
      <c r="Q141" s="32"/>
    </row>
    <row r="142" spans="12:17" x14ac:dyDescent="0.25">
      <c r="L142" s="24"/>
      <c r="M142" s="24"/>
      <c r="N142" s="32"/>
      <c r="O142" s="32"/>
      <c r="Q142" s="32"/>
    </row>
    <row r="143" spans="12:17" x14ac:dyDescent="0.25">
      <c r="L143" s="24"/>
      <c r="M143" s="24"/>
      <c r="N143" s="32"/>
      <c r="O143" s="32"/>
      <c r="Q143" s="32"/>
    </row>
    <row r="144" spans="12:17" x14ac:dyDescent="0.25">
      <c r="L144" s="24"/>
      <c r="M144" s="24"/>
      <c r="N144" s="32"/>
      <c r="O144" s="32"/>
      <c r="Q144" s="32"/>
    </row>
    <row r="145" spans="12:17" x14ac:dyDescent="0.25">
      <c r="L145" s="24"/>
      <c r="M145" s="24"/>
      <c r="N145" s="32"/>
      <c r="O145" s="32"/>
      <c r="Q145" s="32"/>
    </row>
    <row r="146" spans="12:17" x14ac:dyDescent="0.25">
      <c r="L146" s="24"/>
      <c r="M146" s="24"/>
      <c r="N146" s="32"/>
      <c r="O146" s="32"/>
      <c r="Q146" s="32"/>
    </row>
    <row r="147" spans="12:17" x14ac:dyDescent="0.25">
      <c r="L147" s="24"/>
      <c r="M147" s="24"/>
      <c r="N147" s="32"/>
      <c r="O147" s="32"/>
      <c r="Q147" s="32"/>
    </row>
    <row r="148" spans="12:17" x14ac:dyDescent="0.25">
      <c r="L148" s="24"/>
      <c r="M148" s="24"/>
      <c r="N148" s="32"/>
      <c r="O148" s="32"/>
      <c r="Q148" s="32"/>
    </row>
    <row r="149" spans="12:17" x14ac:dyDescent="0.25">
      <c r="L149" s="24"/>
      <c r="M149" s="24"/>
      <c r="N149" s="32"/>
      <c r="O149" s="32"/>
      <c r="Q149" s="32"/>
    </row>
    <row r="150" spans="12:17" x14ac:dyDescent="0.25">
      <c r="L150" s="24"/>
      <c r="M150" s="24"/>
      <c r="N150" s="32"/>
      <c r="O150" s="32"/>
      <c r="Q150" s="32"/>
    </row>
    <row r="151" spans="12:17" x14ac:dyDescent="0.25">
      <c r="L151" s="24"/>
      <c r="M151" s="24"/>
      <c r="N151" s="32"/>
      <c r="O151" s="32"/>
      <c r="Q151" s="32"/>
    </row>
    <row r="152" spans="12:17" x14ac:dyDescent="0.25">
      <c r="L152" s="24"/>
      <c r="M152" s="24"/>
      <c r="N152" s="32"/>
      <c r="O152" s="32"/>
      <c r="Q152" s="32"/>
    </row>
    <row r="153" spans="12:17" x14ac:dyDescent="0.25">
      <c r="L153" s="24"/>
      <c r="M153" s="24"/>
      <c r="N153" s="32"/>
      <c r="O153" s="32"/>
      <c r="Q153" s="32"/>
    </row>
    <row r="154" spans="12:17" x14ac:dyDescent="0.25">
      <c r="L154" s="24"/>
      <c r="M154" s="24"/>
      <c r="N154" s="32"/>
      <c r="O154" s="32"/>
      <c r="Q154" s="32"/>
    </row>
    <row r="155" spans="12:17" x14ac:dyDescent="0.25">
      <c r="L155" s="24"/>
      <c r="M155" s="24"/>
      <c r="N155" s="32"/>
      <c r="O155" s="32"/>
      <c r="Q155" s="32"/>
    </row>
    <row r="156" spans="12:17" x14ac:dyDescent="0.25">
      <c r="L156" s="24"/>
      <c r="M156" s="24"/>
      <c r="N156" s="32"/>
      <c r="O156" s="32"/>
      <c r="Q156" s="32"/>
    </row>
    <row r="157" spans="12:17" x14ac:dyDescent="0.25">
      <c r="L157" s="24"/>
      <c r="M157" s="24"/>
      <c r="N157" s="32"/>
      <c r="O157" s="32"/>
      <c r="Q157" s="32"/>
    </row>
    <row r="158" spans="12:17" x14ac:dyDescent="0.25">
      <c r="L158" s="24"/>
      <c r="M158" s="24"/>
      <c r="N158" s="32"/>
      <c r="O158" s="32"/>
      <c r="Q158" s="32"/>
    </row>
    <row r="159" spans="12:17" x14ac:dyDescent="0.25">
      <c r="L159" s="24"/>
      <c r="M159" s="24"/>
      <c r="N159" s="32"/>
      <c r="O159" s="32"/>
      <c r="Q159" s="32"/>
    </row>
    <row r="160" spans="12:17" x14ac:dyDescent="0.25">
      <c r="L160" s="24"/>
      <c r="M160" s="24"/>
      <c r="N160" s="32"/>
      <c r="O160" s="32"/>
      <c r="Q160" s="32"/>
    </row>
    <row r="161" spans="12:17" x14ac:dyDescent="0.25">
      <c r="L161" s="24"/>
      <c r="M161" s="24"/>
      <c r="N161" s="32"/>
      <c r="O161" s="32"/>
      <c r="Q161" s="32"/>
    </row>
    <row r="162" spans="12:17" x14ac:dyDescent="0.25">
      <c r="L162" s="24"/>
      <c r="M162" s="24"/>
      <c r="N162" s="32"/>
      <c r="O162" s="32"/>
      <c r="Q162" s="32"/>
    </row>
    <row r="163" spans="12:17" x14ac:dyDescent="0.25">
      <c r="L163" s="24"/>
      <c r="M163" s="24"/>
      <c r="N163" s="32"/>
      <c r="O163" s="32"/>
      <c r="Q163" s="32"/>
    </row>
    <row r="164" spans="12:17" x14ac:dyDescent="0.25">
      <c r="L164" s="24"/>
      <c r="M164" s="24"/>
      <c r="N164" s="32"/>
      <c r="O164" s="32"/>
      <c r="Q164" s="32"/>
    </row>
    <row r="165" spans="12:17" x14ac:dyDescent="0.25">
      <c r="L165" s="24"/>
      <c r="M165" s="24"/>
      <c r="N165" s="32"/>
      <c r="O165" s="32"/>
      <c r="Q165" s="32"/>
    </row>
    <row r="166" spans="12:17" x14ac:dyDescent="0.25">
      <c r="L166" s="24"/>
      <c r="M166" s="24"/>
      <c r="N166" s="32"/>
      <c r="O166" s="32"/>
      <c r="Q166" s="32"/>
    </row>
    <row r="167" spans="12:17" x14ac:dyDescent="0.25">
      <c r="L167" s="24"/>
      <c r="M167" s="24"/>
      <c r="N167" s="32"/>
      <c r="O167" s="32"/>
      <c r="Q167" s="32"/>
    </row>
    <row r="168" spans="12:17" x14ac:dyDescent="0.25">
      <c r="L168" s="24"/>
      <c r="M168" s="24"/>
      <c r="N168" s="32"/>
      <c r="O168" s="32"/>
      <c r="Q168" s="32"/>
    </row>
    <row r="169" spans="12:17" x14ac:dyDescent="0.25">
      <c r="L169" s="24"/>
      <c r="M169" s="24"/>
      <c r="N169" s="32"/>
      <c r="O169" s="32"/>
      <c r="Q169" s="32"/>
    </row>
    <row r="170" spans="12:17" x14ac:dyDescent="0.25">
      <c r="L170" s="24"/>
      <c r="M170" s="24"/>
      <c r="N170" s="32"/>
      <c r="O170" s="32"/>
      <c r="Q170" s="32"/>
    </row>
    <row r="171" spans="12:17" x14ac:dyDescent="0.25">
      <c r="L171" s="24"/>
      <c r="M171" s="24"/>
      <c r="N171" s="32"/>
      <c r="O171" s="32"/>
      <c r="Q171" s="32"/>
    </row>
    <row r="172" spans="12:17" x14ac:dyDescent="0.25">
      <c r="L172" s="24"/>
      <c r="M172" s="24"/>
      <c r="N172" s="32"/>
      <c r="O172" s="32"/>
      <c r="Q172" s="32"/>
    </row>
    <row r="173" spans="12:17" x14ac:dyDescent="0.25">
      <c r="L173" s="24"/>
      <c r="M173" s="24"/>
      <c r="N173" s="32"/>
      <c r="O173" s="32"/>
      <c r="Q173" s="32"/>
    </row>
    <row r="174" spans="12:17" x14ac:dyDescent="0.25">
      <c r="L174" s="24"/>
      <c r="M174" s="24"/>
      <c r="N174" s="32"/>
      <c r="O174" s="32"/>
      <c r="Q174" s="32"/>
    </row>
    <row r="175" spans="12:17" x14ac:dyDescent="0.25">
      <c r="L175" s="24"/>
      <c r="M175" s="24"/>
      <c r="N175" s="32"/>
      <c r="O175" s="32"/>
      <c r="Q175" s="32"/>
    </row>
    <row r="176" spans="12:17" x14ac:dyDescent="0.25">
      <c r="L176" s="24"/>
      <c r="M176" s="24"/>
      <c r="N176" s="32"/>
      <c r="O176" s="32"/>
      <c r="Q176" s="32"/>
    </row>
    <row r="177" spans="12:17" x14ac:dyDescent="0.25">
      <c r="L177" s="24"/>
      <c r="M177" s="24"/>
      <c r="N177" s="32"/>
      <c r="O177" s="32"/>
      <c r="Q177" s="32"/>
    </row>
    <row r="178" spans="12:17" x14ac:dyDescent="0.25">
      <c r="L178" s="24"/>
      <c r="M178" s="24"/>
      <c r="N178" s="32"/>
      <c r="O178" s="32"/>
      <c r="Q178" s="32"/>
    </row>
    <row r="179" spans="12:17" x14ac:dyDescent="0.25">
      <c r="L179" s="24"/>
      <c r="M179" s="24"/>
      <c r="N179" s="32"/>
      <c r="O179" s="32"/>
      <c r="Q179" s="32"/>
    </row>
    <row r="180" spans="12:17" x14ac:dyDescent="0.25">
      <c r="L180" s="24"/>
      <c r="M180" s="24"/>
      <c r="N180" s="32"/>
      <c r="O180" s="32"/>
      <c r="Q180" s="32"/>
    </row>
    <row r="181" spans="12:17" x14ac:dyDescent="0.25">
      <c r="N181" s="32"/>
      <c r="O181" s="32"/>
      <c r="Q181" s="32"/>
    </row>
    <row r="182" spans="12:17" x14ac:dyDescent="0.25">
      <c r="N182" s="32"/>
      <c r="O182" s="32"/>
      <c r="Q182" s="32"/>
    </row>
    <row r="183" spans="12:17" x14ac:dyDescent="0.25">
      <c r="N183" s="32"/>
      <c r="O183" s="32"/>
      <c r="Q183" s="32"/>
    </row>
    <row r="184" spans="12:17" x14ac:dyDescent="0.25">
      <c r="N184" s="32"/>
      <c r="O184" s="32"/>
      <c r="Q184" s="32"/>
    </row>
    <row r="185" spans="12:17" x14ac:dyDescent="0.25">
      <c r="N185" s="32"/>
      <c r="O185" s="32"/>
      <c r="Q185" s="32"/>
    </row>
    <row r="186" spans="12:17" x14ac:dyDescent="0.25">
      <c r="N186" s="32"/>
      <c r="O186" s="32"/>
      <c r="Q186" s="32"/>
    </row>
    <row r="187" spans="12:17" x14ac:dyDescent="0.25">
      <c r="N187" s="32"/>
      <c r="O187" s="32"/>
      <c r="Q187" s="32"/>
    </row>
    <row r="188" spans="12:17" x14ac:dyDescent="0.25">
      <c r="N188" s="32"/>
      <c r="O188" s="32"/>
      <c r="Q188" s="32"/>
    </row>
    <row r="189" spans="12:17" x14ac:dyDescent="0.25">
      <c r="N189" s="32"/>
      <c r="O189" s="32"/>
      <c r="Q189" s="32"/>
    </row>
    <row r="190" spans="12:17" x14ac:dyDescent="0.25">
      <c r="N190" s="32"/>
      <c r="O190" s="32"/>
      <c r="Q190" s="32"/>
    </row>
    <row r="191" spans="12:17" x14ac:dyDescent="0.25">
      <c r="N191" s="32"/>
      <c r="O191" s="32"/>
      <c r="Q191" s="32"/>
    </row>
    <row r="192" spans="12:17" x14ac:dyDescent="0.25">
      <c r="N192" s="32"/>
      <c r="O192" s="32"/>
      <c r="Q192" s="32"/>
    </row>
    <row r="193" spans="14:17" x14ac:dyDescent="0.25">
      <c r="N193" s="32"/>
      <c r="O193" s="32"/>
      <c r="Q193" s="32"/>
    </row>
    <row r="194" spans="14:17" x14ac:dyDescent="0.25">
      <c r="N194" s="32"/>
      <c r="O194" s="32"/>
      <c r="Q194" s="32"/>
    </row>
    <row r="195" spans="14:17" x14ac:dyDescent="0.25">
      <c r="N195" s="32"/>
      <c r="O195" s="32"/>
      <c r="Q195" s="32"/>
    </row>
    <row r="196" spans="14:17" x14ac:dyDescent="0.25">
      <c r="N196" s="32"/>
      <c r="O196" s="32"/>
      <c r="Q196" s="32"/>
    </row>
    <row r="197" spans="14:17" x14ac:dyDescent="0.25">
      <c r="N197" s="32"/>
      <c r="O197" s="32"/>
      <c r="Q197" s="32"/>
    </row>
    <row r="198" spans="14:17" x14ac:dyDescent="0.25">
      <c r="N198" s="32"/>
      <c r="O198" s="32"/>
      <c r="Q198" s="32"/>
    </row>
    <row r="199" spans="14:17" x14ac:dyDescent="0.25">
      <c r="N199" s="32"/>
      <c r="O199" s="32"/>
      <c r="Q199" s="32"/>
    </row>
    <row r="200" spans="14:17" x14ac:dyDescent="0.25">
      <c r="N200" s="32"/>
      <c r="O200" s="32"/>
      <c r="Q200" s="32"/>
    </row>
    <row r="201" spans="14:17" x14ac:dyDescent="0.25">
      <c r="N201" s="32"/>
      <c r="O201" s="32"/>
      <c r="Q201" s="32"/>
    </row>
    <row r="202" spans="14:17" x14ac:dyDescent="0.25">
      <c r="N202" s="32"/>
      <c r="O202" s="32"/>
      <c r="Q202" s="32"/>
    </row>
    <row r="203" spans="14:17" x14ac:dyDescent="0.25">
      <c r="N203" s="32"/>
      <c r="O203" s="32"/>
      <c r="Q203" s="32"/>
    </row>
    <row r="204" spans="14:17" x14ac:dyDescent="0.25">
      <c r="N204" s="32"/>
      <c r="O204" s="32"/>
      <c r="Q204" s="32"/>
    </row>
    <row r="205" spans="14:17" x14ac:dyDescent="0.25">
      <c r="N205" s="32"/>
      <c r="O205" s="32"/>
      <c r="Q205" s="32"/>
    </row>
    <row r="206" spans="14:17" x14ac:dyDescent="0.25">
      <c r="N206" s="32"/>
      <c r="O206" s="32"/>
      <c r="Q206" s="32"/>
    </row>
    <row r="207" spans="14:17" x14ac:dyDescent="0.25">
      <c r="N207" s="32"/>
      <c r="O207" s="32"/>
      <c r="Q207" s="32"/>
    </row>
    <row r="208" spans="14:17" x14ac:dyDescent="0.25">
      <c r="N208" s="32"/>
      <c r="O208" s="32"/>
      <c r="Q208" s="32"/>
    </row>
    <row r="209" spans="14:17" x14ac:dyDescent="0.25">
      <c r="N209" s="32"/>
      <c r="O209" s="32"/>
      <c r="Q209" s="32"/>
    </row>
    <row r="210" spans="14:17" x14ac:dyDescent="0.25">
      <c r="N210" s="32"/>
      <c r="O210" s="32"/>
      <c r="Q210" s="32"/>
    </row>
    <row r="211" spans="14:17" x14ac:dyDescent="0.25">
      <c r="N211" s="32"/>
      <c r="O211" s="32"/>
      <c r="Q211" s="32"/>
    </row>
    <row r="212" spans="14:17" x14ac:dyDescent="0.25">
      <c r="N212" s="32"/>
      <c r="O212" s="32"/>
      <c r="Q212" s="32"/>
    </row>
    <row r="213" spans="14:17" x14ac:dyDescent="0.25">
      <c r="N213" s="32"/>
      <c r="O213" s="32"/>
      <c r="Q213" s="32"/>
    </row>
    <row r="214" spans="14:17" x14ac:dyDescent="0.25">
      <c r="N214" s="32"/>
      <c r="O214" s="32"/>
      <c r="Q214" s="32"/>
    </row>
    <row r="215" spans="14:17" x14ac:dyDescent="0.25">
      <c r="N215" s="32"/>
      <c r="O215" s="32"/>
      <c r="Q215" s="32"/>
    </row>
    <row r="216" spans="14:17" x14ac:dyDescent="0.25">
      <c r="N216" s="32"/>
      <c r="O216" s="32"/>
      <c r="Q216" s="32"/>
    </row>
    <row r="217" spans="14:17" x14ac:dyDescent="0.25">
      <c r="N217" s="32"/>
      <c r="O217" s="32"/>
      <c r="Q217" s="32"/>
    </row>
    <row r="218" spans="14:17" x14ac:dyDescent="0.25">
      <c r="N218" s="32"/>
      <c r="O218" s="32"/>
      <c r="Q218" s="32"/>
    </row>
    <row r="219" spans="14:17" x14ac:dyDescent="0.25">
      <c r="N219" s="32"/>
      <c r="O219" s="32"/>
      <c r="Q219" s="32"/>
    </row>
    <row r="220" spans="14:17" x14ac:dyDescent="0.25">
      <c r="N220" s="32"/>
      <c r="O220" s="32"/>
      <c r="Q220" s="32"/>
    </row>
    <row r="221" spans="14:17" x14ac:dyDescent="0.25">
      <c r="N221" s="32"/>
      <c r="O221" s="32"/>
      <c r="Q221" s="32"/>
    </row>
    <row r="222" spans="14:17" x14ac:dyDescent="0.25">
      <c r="N222" s="32"/>
      <c r="O222" s="32"/>
      <c r="Q222" s="32"/>
    </row>
    <row r="223" spans="14:17" x14ac:dyDescent="0.25">
      <c r="N223" s="32"/>
      <c r="O223" s="32"/>
      <c r="Q223" s="32"/>
    </row>
    <row r="224" spans="14:17" x14ac:dyDescent="0.25">
      <c r="N224" s="32"/>
      <c r="O224" s="32"/>
      <c r="Q224" s="32"/>
    </row>
    <row r="225" spans="14:17" x14ac:dyDescent="0.25">
      <c r="N225" s="32"/>
      <c r="O225" s="32"/>
      <c r="Q225" s="32"/>
    </row>
    <row r="226" spans="14:17" x14ac:dyDescent="0.25">
      <c r="N226" s="32"/>
      <c r="O226" s="32"/>
      <c r="Q226" s="32"/>
    </row>
    <row r="227" spans="14:17" x14ac:dyDescent="0.25">
      <c r="N227" s="32"/>
      <c r="O227" s="32"/>
      <c r="Q227" s="32"/>
    </row>
    <row r="228" spans="14:17" x14ac:dyDescent="0.25">
      <c r="N228" s="32"/>
      <c r="O228" s="32"/>
      <c r="Q228" s="32"/>
    </row>
    <row r="229" spans="14:17" x14ac:dyDescent="0.25">
      <c r="N229" s="32"/>
      <c r="O229" s="32"/>
      <c r="Q229" s="32"/>
    </row>
    <row r="230" spans="14:17" x14ac:dyDescent="0.25">
      <c r="N230" s="32"/>
      <c r="O230" s="32"/>
      <c r="Q230" s="32"/>
    </row>
    <row r="231" spans="14:17" x14ac:dyDescent="0.25">
      <c r="N231" s="32"/>
      <c r="O231" s="32"/>
      <c r="Q231" s="32"/>
    </row>
    <row r="232" spans="14:17" x14ac:dyDescent="0.25">
      <c r="N232" s="32"/>
      <c r="O232" s="32"/>
      <c r="Q232" s="32"/>
    </row>
    <row r="233" spans="14:17" x14ac:dyDescent="0.25">
      <c r="N233" s="32"/>
      <c r="O233" s="32"/>
      <c r="Q233" s="32"/>
    </row>
    <row r="234" spans="14:17" x14ac:dyDescent="0.25">
      <c r="N234" s="32"/>
      <c r="O234" s="32"/>
      <c r="Q234" s="32"/>
    </row>
    <row r="235" spans="14:17" x14ac:dyDescent="0.25">
      <c r="N235" s="32"/>
      <c r="O235" s="32"/>
      <c r="Q235" s="32"/>
    </row>
    <row r="236" spans="14:17" x14ac:dyDescent="0.25">
      <c r="N236" s="32"/>
      <c r="O236" s="32"/>
      <c r="Q236" s="32"/>
    </row>
    <row r="237" spans="14:17" x14ac:dyDescent="0.25">
      <c r="N237" s="32"/>
      <c r="O237" s="32"/>
      <c r="Q237" s="32"/>
    </row>
    <row r="238" spans="14:17" x14ac:dyDescent="0.25">
      <c r="N238" s="32"/>
      <c r="O238" s="32"/>
      <c r="Q238" s="32"/>
    </row>
    <row r="239" spans="14:17" x14ac:dyDescent="0.25">
      <c r="N239" s="32"/>
      <c r="O239" s="32"/>
      <c r="Q239" s="32"/>
    </row>
    <row r="240" spans="14:17" x14ac:dyDescent="0.25">
      <c r="N240" s="32"/>
      <c r="O240" s="32"/>
      <c r="Q240" s="32"/>
    </row>
    <row r="241" spans="14:17" x14ac:dyDescent="0.25">
      <c r="N241" s="32"/>
      <c r="O241" s="32"/>
      <c r="Q241" s="32"/>
    </row>
    <row r="242" spans="14:17" x14ac:dyDescent="0.25">
      <c r="N242" s="32"/>
      <c r="O242" s="32"/>
      <c r="Q242" s="32"/>
    </row>
    <row r="243" spans="14:17" x14ac:dyDescent="0.25">
      <c r="N243" s="32"/>
      <c r="O243" s="32"/>
      <c r="Q243" s="32"/>
    </row>
    <row r="244" spans="14:17" x14ac:dyDescent="0.25">
      <c r="N244" s="32"/>
      <c r="O244" s="32"/>
      <c r="Q244" s="32"/>
    </row>
    <row r="245" spans="14:17" x14ac:dyDescent="0.25">
      <c r="N245" s="32"/>
      <c r="O245" s="32"/>
      <c r="Q245" s="32"/>
    </row>
    <row r="246" spans="14:17" x14ac:dyDescent="0.25">
      <c r="N246" s="32"/>
      <c r="O246" s="32"/>
      <c r="Q246" s="32"/>
    </row>
    <row r="247" spans="14:17" x14ac:dyDescent="0.25">
      <c r="N247" s="32"/>
      <c r="O247" s="32"/>
      <c r="Q247" s="32"/>
    </row>
    <row r="248" spans="14:17" x14ac:dyDescent="0.25">
      <c r="N248" s="32"/>
      <c r="O248" s="32"/>
      <c r="Q248" s="32"/>
    </row>
    <row r="249" spans="14:17" x14ac:dyDescent="0.25">
      <c r="N249" s="32"/>
      <c r="O249" s="32"/>
      <c r="Q249" s="32"/>
    </row>
    <row r="250" spans="14:17" x14ac:dyDescent="0.25">
      <c r="N250" s="32"/>
      <c r="O250" s="32"/>
      <c r="Q250" s="32"/>
    </row>
    <row r="251" spans="14:17" x14ac:dyDescent="0.25">
      <c r="N251" s="32"/>
      <c r="O251" s="32"/>
      <c r="Q251" s="32"/>
    </row>
    <row r="252" spans="14:17" x14ac:dyDescent="0.25">
      <c r="N252" s="32"/>
      <c r="O252" s="32"/>
      <c r="Q252" s="32"/>
    </row>
    <row r="253" spans="14:17" x14ac:dyDescent="0.25">
      <c r="N253" s="32"/>
      <c r="O253" s="32"/>
      <c r="Q253" s="32"/>
    </row>
    <row r="254" spans="14:17" x14ac:dyDescent="0.25">
      <c r="N254" s="32"/>
      <c r="O254" s="32"/>
      <c r="Q254" s="32"/>
    </row>
    <row r="255" spans="14:17" x14ac:dyDescent="0.25">
      <c r="N255" s="32"/>
      <c r="O255" s="32"/>
      <c r="Q255" s="32"/>
    </row>
    <row r="256" spans="14:17" x14ac:dyDescent="0.25">
      <c r="N256" s="32"/>
      <c r="O256" s="32"/>
      <c r="Q256" s="32"/>
    </row>
    <row r="257" spans="14:17" x14ac:dyDescent="0.25">
      <c r="N257" s="32"/>
      <c r="O257" s="32"/>
      <c r="Q257" s="32"/>
    </row>
    <row r="258" spans="14:17" x14ac:dyDescent="0.25">
      <c r="N258" s="32"/>
      <c r="O258" s="32"/>
      <c r="Q258" s="32"/>
    </row>
    <row r="259" spans="14:17" x14ac:dyDescent="0.25">
      <c r="N259" s="32"/>
      <c r="O259" s="32"/>
      <c r="Q259" s="32"/>
    </row>
    <row r="260" spans="14:17" x14ac:dyDescent="0.25">
      <c r="N260" s="32"/>
      <c r="O260" s="32"/>
      <c r="Q260" s="32"/>
    </row>
    <row r="261" spans="14:17" x14ac:dyDescent="0.25">
      <c r="N261" s="32"/>
      <c r="O261" s="32"/>
      <c r="Q261" s="32"/>
    </row>
    <row r="262" spans="14:17" x14ac:dyDescent="0.25">
      <c r="N262" s="32"/>
      <c r="O262" s="32"/>
      <c r="Q262" s="32"/>
    </row>
    <row r="263" spans="14:17" x14ac:dyDescent="0.25">
      <c r="N263" s="32"/>
      <c r="O263" s="32"/>
      <c r="Q263" s="32"/>
    </row>
    <row r="264" spans="14:17" x14ac:dyDescent="0.25">
      <c r="N264" s="32"/>
      <c r="O264" s="32"/>
      <c r="Q264" s="32"/>
    </row>
    <row r="265" spans="14:17" x14ac:dyDescent="0.25">
      <c r="N265" s="32"/>
      <c r="O265" s="32"/>
      <c r="Q265" s="32"/>
    </row>
    <row r="266" spans="14:17" x14ac:dyDescent="0.25">
      <c r="N266" s="32"/>
      <c r="O266" s="32"/>
      <c r="Q266" s="32"/>
    </row>
    <row r="267" spans="14:17" x14ac:dyDescent="0.25">
      <c r="N267" s="32"/>
      <c r="O267" s="32"/>
      <c r="Q267" s="32"/>
    </row>
    <row r="268" spans="14:17" x14ac:dyDescent="0.25">
      <c r="N268" s="32"/>
      <c r="O268" s="32"/>
      <c r="Q268" s="32"/>
    </row>
    <row r="269" spans="14:17" x14ac:dyDescent="0.25">
      <c r="N269" s="32"/>
      <c r="O269" s="32"/>
      <c r="Q269" s="32"/>
    </row>
    <row r="270" spans="14:17" x14ac:dyDescent="0.25">
      <c r="N270" s="32"/>
      <c r="O270" s="32"/>
      <c r="Q270" s="32"/>
    </row>
    <row r="271" spans="14:17" x14ac:dyDescent="0.25">
      <c r="N271" s="32"/>
      <c r="O271" s="32"/>
      <c r="Q271" s="32"/>
    </row>
    <row r="272" spans="14:17" x14ac:dyDescent="0.25">
      <c r="N272" s="32"/>
      <c r="O272" s="32"/>
      <c r="Q272" s="32"/>
    </row>
    <row r="273" spans="14:17" x14ac:dyDescent="0.25">
      <c r="N273" s="32"/>
      <c r="O273" s="32"/>
      <c r="Q273" s="32"/>
    </row>
    <row r="274" spans="14:17" x14ac:dyDescent="0.25">
      <c r="N274" s="32"/>
      <c r="O274" s="32"/>
      <c r="Q274" s="32"/>
    </row>
    <row r="275" spans="14:17" x14ac:dyDescent="0.25">
      <c r="N275" s="32"/>
      <c r="O275" s="32"/>
      <c r="Q275" s="32"/>
    </row>
    <row r="276" spans="14:17" x14ac:dyDescent="0.25">
      <c r="N276" s="32"/>
      <c r="O276" s="32"/>
      <c r="Q276" s="32"/>
    </row>
    <row r="277" spans="14:17" x14ac:dyDescent="0.25">
      <c r="N277" s="32"/>
      <c r="O277" s="32"/>
      <c r="Q277" s="32"/>
    </row>
    <row r="278" spans="14:17" x14ac:dyDescent="0.25">
      <c r="N278" s="32"/>
      <c r="O278" s="32"/>
      <c r="Q278" s="32"/>
    </row>
    <row r="279" spans="14:17" x14ac:dyDescent="0.25">
      <c r="N279" s="32"/>
      <c r="O279" s="32"/>
      <c r="Q279" s="32"/>
    </row>
    <row r="280" spans="14:17" x14ac:dyDescent="0.25">
      <c r="N280" s="32"/>
      <c r="O280" s="32"/>
      <c r="Q280" s="32"/>
    </row>
    <row r="281" spans="14:17" x14ac:dyDescent="0.25">
      <c r="N281" s="32"/>
      <c r="O281" s="32"/>
      <c r="Q281" s="32"/>
    </row>
    <row r="282" spans="14:17" x14ac:dyDescent="0.25">
      <c r="N282" s="32"/>
      <c r="O282" s="32"/>
      <c r="Q282" s="32"/>
    </row>
    <row r="283" spans="14:17" x14ac:dyDescent="0.25">
      <c r="N283" s="32"/>
      <c r="O283" s="32"/>
      <c r="Q283" s="32"/>
    </row>
    <row r="284" spans="14:17" x14ac:dyDescent="0.25">
      <c r="N284" s="32"/>
      <c r="O284" s="32"/>
      <c r="Q284" s="32"/>
    </row>
    <row r="285" spans="14:17" x14ac:dyDescent="0.25">
      <c r="N285" s="32"/>
      <c r="O285" s="32"/>
      <c r="Q285" s="32"/>
    </row>
    <row r="286" spans="14:17" x14ac:dyDescent="0.25">
      <c r="N286" s="32"/>
      <c r="O286" s="32"/>
      <c r="Q286" s="32"/>
    </row>
    <row r="287" spans="14:17" x14ac:dyDescent="0.25">
      <c r="N287" s="32"/>
      <c r="O287" s="32"/>
      <c r="Q287" s="32"/>
    </row>
    <row r="288" spans="14:17" x14ac:dyDescent="0.25">
      <c r="N288" s="32"/>
      <c r="O288" s="32"/>
      <c r="Q288" s="32"/>
    </row>
    <row r="289" spans="14:17" x14ac:dyDescent="0.25">
      <c r="N289" s="32"/>
      <c r="O289" s="32"/>
      <c r="Q289" s="32"/>
    </row>
    <row r="290" spans="14:17" x14ac:dyDescent="0.25">
      <c r="N290" s="32"/>
      <c r="O290" s="32"/>
      <c r="Q290" s="32"/>
    </row>
    <row r="291" spans="14:17" x14ac:dyDescent="0.25">
      <c r="N291" s="32"/>
      <c r="O291" s="32"/>
      <c r="Q291" s="32"/>
    </row>
    <row r="292" spans="14:17" x14ac:dyDescent="0.25">
      <c r="N292" s="32"/>
      <c r="O292" s="32"/>
      <c r="Q292" s="32"/>
    </row>
    <row r="293" spans="14:17" x14ac:dyDescent="0.25">
      <c r="N293" s="32"/>
      <c r="O293" s="32"/>
      <c r="Q293" s="32"/>
    </row>
    <row r="294" spans="14:17" x14ac:dyDescent="0.25">
      <c r="N294" s="32"/>
      <c r="O294" s="32"/>
      <c r="Q294" s="32"/>
    </row>
    <row r="295" spans="14:17" x14ac:dyDescent="0.25">
      <c r="N295" s="32"/>
      <c r="O295" s="32"/>
      <c r="Q295" s="32"/>
    </row>
    <row r="296" spans="14:17" x14ac:dyDescent="0.25">
      <c r="N296" s="32"/>
      <c r="O296" s="32"/>
      <c r="Q296" s="32"/>
    </row>
    <row r="297" spans="14:17" x14ac:dyDescent="0.25">
      <c r="N297" s="32"/>
      <c r="O297" s="32"/>
      <c r="Q297" s="32"/>
    </row>
    <row r="298" spans="14:17" x14ac:dyDescent="0.25">
      <c r="N298" s="32"/>
      <c r="O298" s="32"/>
      <c r="Q298" s="32"/>
    </row>
    <row r="299" spans="14:17" x14ac:dyDescent="0.25">
      <c r="N299" s="32"/>
      <c r="O299" s="32"/>
      <c r="Q299" s="32"/>
    </row>
    <row r="300" spans="14:17" x14ac:dyDescent="0.25">
      <c r="N300" s="32"/>
      <c r="O300" s="32"/>
      <c r="Q300" s="32"/>
    </row>
    <row r="301" spans="14:17" x14ac:dyDescent="0.25">
      <c r="N301" s="32"/>
      <c r="O301" s="32"/>
      <c r="Q301" s="32"/>
    </row>
    <row r="302" spans="14:17" x14ac:dyDescent="0.25">
      <c r="N302" s="32"/>
      <c r="O302" s="32"/>
      <c r="Q302" s="32"/>
    </row>
    <row r="303" spans="14:17" x14ac:dyDescent="0.25">
      <c r="N303" s="32"/>
      <c r="O303" s="32"/>
      <c r="Q303" s="32"/>
    </row>
    <row r="304" spans="14:17" x14ac:dyDescent="0.25">
      <c r="N304" s="32"/>
      <c r="O304" s="32"/>
      <c r="Q304" s="32"/>
    </row>
    <row r="305" spans="14:17" x14ac:dyDescent="0.25">
      <c r="N305" s="32"/>
      <c r="O305" s="32"/>
      <c r="Q305" s="32"/>
    </row>
    <row r="306" spans="14:17" x14ac:dyDescent="0.25">
      <c r="N306" s="32"/>
      <c r="O306" s="32"/>
      <c r="Q306" s="32"/>
    </row>
    <row r="307" spans="14:17" x14ac:dyDescent="0.25">
      <c r="N307" s="32"/>
      <c r="O307" s="32"/>
      <c r="Q307" s="32"/>
    </row>
    <row r="308" spans="14:17" x14ac:dyDescent="0.25">
      <c r="N308" s="32"/>
      <c r="O308" s="32"/>
      <c r="Q308" s="32"/>
    </row>
    <row r="309" spans="14:17" x14ac:dyDescent="0.25">
      <c r="N309" s="32"/>
      <c r="O309" s="32"/>
      <c r="Q309" s="32"/>
    </row>
    <row r="310" spans="14:17" x14ac:dyDescent="0.25">
      <c r="N310" s="32"/>
      <c r="O310" s="32"/>
      <c r="Q310" s="32"/>
    </row>
    <row r="311" spans="14:17" x14ac:dyDescent="0.25">
      <c r="N311" s="32"/>
      <c r="O311" s="32"/>
      <c r="Q311" s="32"/>
    </row>
    <row r="312" spans="14:17" x14ac:dyDescent="0.25">
      <c r="N312" s="32"/>
      <c r="O312" s="32"/>
      <c r="Q312" s="32"/>
    </row>
    <row r="313" spans="14:17" x14ac:dyDescent="0.25">
      <c r="N313" s="32"/>
      <c r="O313" s="32"/>
      <c r="Q313" s="32"/>
    </row>
    <row r="314" spans="14:17" x14ac:dyDescent="0.25">
      <c r="N314" s="32"/>
      <c r="O314" s="32"/>
      <c r="Q314" s="32"/>
    </row>
    <row r="315" spans="14:17" x14ac:dyDescent="0.25">
      <c r="N315" s="32"/>
      <c r="O315" s="32"/>
      <c r="Q315" s="32"/>
    </row>
    <row r="316" spans="14:17" x14ac:dyDescent="0.25">
      <c r="N316" s="32"/>
      <c r="O316" s="32"/>
      <c r="Q316" s="32"/>
    </row>
    <row r="317" spans="14:17" x14ac:dyDescent="0.25">
      <c r="N317" s="32"/>
      <c r="O317" s="32"/>
      <c r="Q317" s="32"/>
    </row>
    <row r="318" spans="14:17" x14ac:dyDescent="0.25">
      <c r="N318" s="32"/>
      <c r="O318" s="32"/>
      <c r="Q318" s="32"/>
    </row>
    <row r="319" spans="14:17" x14ac:dyDescent="0.25">
      <c r="N319" s="32"/>
      <c r="O319" s="32"/>
      <c r="Q319" s="32"/>
    </row>
    <row r="320" spans="14:17" x14ac:dyDescent="0.25">
      <c r="N320" s="32"/>
      <c r="O320" s="32"/>
      <c r="Q320" s="32"/>
    </row>
    <row r="321" spans="14:17" x14ac:dyDescent="0.25">
      <c r="N321" s="32"/>
      <c r="O321" s="32"/>
      <c r="Q321" s="32"/>
    </row>
    <row r="322" spans="14:17" x14ac:dyDescent="0.25">
      <c r="N322" s="32"/>
      <c r="O322" s="32"/>
      <c r="Q322" s="32"/>
    </row>
    <row r="323" spans="14:17" x14ac:dyDescent="0.25">
      <c r="N323" s="32"/>
      <c r="O323" s="32"/>
      <c r="Q323" s="32"/>
    </row>
    <row r="324" spans="14:17" x14ac:dyDescent="0.25">
      <c r="N324" s="32"/>
      <c r="O324" s="32"/>
      <c r="Q324" s="32"/>
    </row>
    <row r="325" spans="14:17" x14ac:dyDescent="0.25">
      <c r="N325" s="32"/>
      <c r="O325" s="32"/>
      <c r="Q325" s="32"/>
    </row>
    <row r="326" spans="14:17" x14ac:dyDescent="0.25">
      <c r="N326" s="32"/>
      <c r="O326" s="32"/>
      <c r="Q326" s="32"/>
    </row>
    <row r="327" spans="14:17" x14ac:dyDescent="0.25">
      <c r="N327" s="32"/>
      <c r="O327" s="32"/>
      <c r="Q327" s="32"/>
    </row>
    <row r="328" spans="14:17" x14ac:dyDescent="0.25">
      <c r="N328" s="32"/>
      <c r="O328" s="32"/>
      <c r="Q328" s="32"/>
    </row>
    <row r="329" spans="14:17" x14ac:dyDescent="0.25">
      <c r="N329" s="32"/>
      <c r="O329" s="32"/>
      <c r="Q329" s="32"/>
    </row>
    <row r="330" spans="14:17" x14ac:dyDescent="0.25">
      <c r="N330" s="32"/>
      <c r="O330" s="32"/>
      <c r="Q330" s="32"/>
    </row>
    <row r="331" spans="14:17" x14ac:dyDescent="0.25">
      <c r="N331" s="32"/>
      <c r="O331" s="32"/>
      <c r="Q331" s="32"/>
    </row>
    <row r="332" spans="14:17" x14ac:dyDescent="0.25">
      <c r="N332" s="32"/>
      <c r="O332" s="32"/>
      <c r="Q332" s="32"/>
    </row>
    <row r="333" spans="14:17" x14ac:dyDescent="0.25">
      <c r="N333" s="32"/>
      <c r="O333" s="32"/>
      <c r="Q333" s="32"/>
    </row>
    <row r="334" spans="14:17" x14ac:dyDescent="0.25">
      <c r="N334" s="32"/>
      <c r="O334" s="32"/>
      <c r="Q334" s="32"/>
    </row>
    <row r="335" spans="14:17" x14ac:dyDescent="0.25">
      <c r="N335" s="32"/>
      <c r="O335" s="32"/>
      <c r="Q335" s="32"/>
    </row>
    <row r="336" spans="14:17" x14ac:dyDescent="0.25">
      <c r="N336" s="32"/>
      <c r="O336" s="32"/>
      <c r="Q336" s="32"/>
    </row>
    <row r="337" spans="14:17" x14ac:dyDescent="0.25">
      <c r="N337" s="32"/>
      <c r="O337" s="32"/>
      <c r="Q337" s="32"/>
    </row>
    <row r="338" spans="14:17" x14ac:dyDescent="0.25">
      <c r="N338" s="32"/>
      <c r="O338" s="32"/>
      <c r="Q338" s="32"/>
    </row>
    <row r="339" spans="14:17" x14ac:dyDescent="0.25">
      <c r="N339" s="32"/>
      <c r="O339" s="32"/>
      <c r="Q339" s="32"/>
    </row>
    <row r="340" spans="14:17" x14ac:dyDescent="0.25">
      <c r="N340" s="32"/>
      <c r="O340" s="32"/>
      <c r="Q340" s="32"/>
    </row>
    <row r="341" spans="14:17" x14ac:dyDescent="0.25">
      <c r="N341" s="32"/>
      <c r="O341" s="32"/>
      <c r="Q341" s="32"/>
    </row>
    <row r="342" spans="14:17" x14ac:dyDescent="0.25">
      <c r="N342" s="32"/>
      <c r="O342" s="32"/>
      <c r="Q342" s="32"/>
    </row>
    <row r="343" spans="14:17" x14ac:dyDescent="0.25">
      <c r="N343" s="32"/>
      <c r="O343" s="32"/>
      <c r="Q343" s="32"/>
    </row>
    <row r="344" spans="14:17" x14ac:dyDescent="0.25">
      <c r="N344" s="32"/>
      <c r="O344" s="32"/>
      <c r="Q344" s="32"/>
    </row>
    <row r="345" spans="14:17" x14ac:dyDescent="0.25">
      <c r="N345" s="32"/>
      <c r="O345" s="32"/>
      <c r="Q345" s="32"/>
    </row>
    <row r="346" spans="14:17" x14ac:dyDescent="0.25">
      <c r="N346" s="32"/>
      <c r="O346" s="32"/>
      <c r="Q346" s="32"/>
    </row>
    <row r="347" spans="14:17" x14ac:dyDescent="0.25">
      <c r="N347" s="32"/>
      <c r="O347" s="32"/>
      <c r="Q347" s="32"/>
    </row>
    <row r="348" spans="14:17" x14ac:dyDescent="0.25">
      <c r="N348" s="32"/>
      <c r="O348" s="32"/>
      <c r="Q348" s="32"/>
    </row>
    <row r="349" spans="14:17" x14ac:dyDescent="0.25">
      <c r="N349" s="32"/>
      <c r="O349" s="32"/>
      <c r="Q349" s="32"/>
    </row>
    <row r="350" spans="14:17" x14ac:dyDescent="0.25">
      <c r="N350" s="32"/>
      <c r="O350" s="32"/>
      <c r="Q350" s="32"/>
    </row>
    <row r="351" spans="14:17" x14ac:dyDescent="0.25">
      <c r="N351" s="32"/>
      <c r="O351" s="32"/>
      <c r="Q351" s="32"/>
    </row>
    <row r="352" spans="14:17" x14ac:dyDescent="0.25">
      <c r="N352" s="32"/>
      <c r="O352" s="32"/>
      <c r="Q352" s="32"/>
    </row>
    <row r="353" spans="14:17" x14ac:dyDescent="0.25">
      <c r="N353" s="32"/>
      <c r="O353" s="32"/>
      <c r="Q353" s="32"/>
    </row>
    <row r="354" spans="14:17" x14ac:dyDescent="0.25">
      <c r="N354" s="32"/>
      <c r="O354" s="32"/>
      <c r="Q354" s="32"/>
    </row>
    <row r="355" spans="14:17" x14ac:dyDescent="0.25">
      <c r="N355" s="32"/>
      <c r="O355" s="32"/>
      <c r="Q355" s="32"/>
    </row>
    <row r="356" spans="14:17" x14ac:dyDescent="0.25">
      <c r="N356" s="32"/>
      <c r="O356" s="32"/>
      <c r="Q356" s="32"/>
    </row>
    <row r="357" spans="14:17" x14ac:dyDescent="0.25">
      <c r="N357" s="32"/>
      <c r="O357" s="32"/>
      <c r="Q357" s="32"/>
    </row>
    <row r="358" spans="14:17" x14ac:dyDescent="0.25">
      <c r="N358" s="32"/>
      <c r="O358" s="32"/>
      <c r="Q358" s="32"/>
    </row>
    <row r="359" spans="14:17" x14ac:dyDescent="0.25">
      <c r="N359" s="32"/>
      <c r="O359" s="32"/>
      <c r="Q359" s="32"/>
    </row>
    <row r="360" spans="14:17" x14ac:dyDescent="0.25">
      <c r="N360" s="32"/>
      <c r="O360" s="32"/>
      <c r="Q360" s="32"/>
    </row>
    <row r="361" spans="14:17" x14ac:dyDescent="0.25">
      <c r="N361" s="32"/>
      <c r="O361" s="32"/>
      <c r="Q361" s="32"/>
    </row>
    <row r="362" spans="14:17" x14ac:dyDescent="0.25">
      <c r="N362" s="32"/>
      <c r="O362" s="32"/>
      <c r="Q362" s="32"/>
    </row>
    <row r="363" spans="14:17" x14ac:dyDescent="0.25">
      <c r="N363" s="32"/>
      <c r="O363" s="32"/>
      <c r="Q363" s="32"/>
    </row>
    <row r="364" spans="14:17" x14ac:dyDescent="0.25">
      <c r="N364" s="32"/>
      <c r="O364" s="32"/>
      <c r="Q364" s="32"/>
    </row>
    <row r="365" spans="14:17" x14ac:dyDescent="0.25">
      <c r="N365" s="32"/>
      <c r="O365" s="32"/>
      <c r="Q365" s="32"/>
    </row>
    <row r="366" spans="14:17" x14ac:dyDescent="0.25">
      <c r="N366" s="32"/>
      <c r="O366" s="32"/>
      <c r="Q366" s="32"/>
    </row>
    <row r="367" spans="14:17" x14ac:dyDescent="0.25">
      <c r="N367" s="32"/>
      <c r="O367" s="32"/>
      <c r="Q367" s="32"/>
    </row>
    <row r="368" spans="14:17" x14ac:dyDescent="0.25">
      <c r="N368" s="32"/>
      <c r="O368" s="32"/>
      <c r="Q368" s="32"/>
    </row>
    <row r="369" spans="14:17" x14ac:dyDescent="0.25">
      <c r="N369" s="32"/>
      <c r="O369" s="32"/>
      <c r="Q369" s="32"/>
    </row>
    <row r="370" spans="14:17" x14ac:dyDescent="0.25">
      <c r="N370" s="32"/>
      <c r="O370" s="32"/>
      <c r="Q370" s="32"/>
    </row>
    <row r="371" spans="14:17" x14ac:dyDescent="0.25">
      <c r="N371" s="32"/>
      <c r="O371" s="32"/>
      <c r="Q371" s="32"/>
    </row>
    <row r="372" spans="14:17" x14ac:dyDescent="0.25">
      <c r="N372" s="32"/>
      <c r="O372" s="32"/>
      <c r="Q372" s="32"/>
    </row>
    <row r="373" spans="14:17" x14ac:dyDescent="0.25">
      <c r="N373" s="32"/>
      <c r="O373" s="32"/>
      <c r="Q373" s="32"/>
    </row>
    <row r="374" spans="14:17" x14ac:dyDescent="0.25">
      <c r="N374" s="32"/>
      <c r="O374" s="32"/>
      <c r="Q374" s="32"/>
    </row>
    <row r="375" spans="14:17" x14ac:dyDescent="0.25">
      <c r="N375" s="32"/>
      <c r="O375" s="32"/>
      <c r="Q375" s="32"/>
    </row>
    <row r="376" spans="14:17" x14ac:dyDescent="0.25">
      <c r="N376" s="32"/>
      <c r="O376" s="32"/>
      <c r="Q376" s="32"/>
    </row>
    <row r="377" spans="14:17" x14ac:dyDescent="0.25">
      <c r="N377" s="32"/>
      <c r="O377" s="32"/>
      <c r="Q377" s="32"/>
    </row>
    <row r="378" spans="14:17" x14ac:dyDescent="0.25">
      <c r="N378" s="32"/>
      <c r="O378" s="32"/>
      <c r="Q378" s="32"/>
    </row>
    <row r="379" spans="14:17" x14ac:dyDescent="0.25">
      <c r="N379" s="32"/>
      <c r="O379" s="32"/>
      <c r="Q379" s="32"/>
    </row>
    <row r="380" spans="14:17" x14ac:dyDescent="0.25">
      <c r="N380" s="32"/>
      <c r="O380" s="32"/>
      <c r="Q380" s="32"/>
    </row>
    <row r="381" spans="14:17" x14ac:dyDescent="0.25">
      <c r="N381" s="32"/>
      <c r="O381" s="32"/>
      <c r="Q381" s="32"/>
    </row>
    <row r="382" spans="14:17" x14ac:dyDescent="0.25">
      <c r="N382" s="32"/>
      <c r="O382" s="32"/>
      <c r="Q382" s="32"/>
    </row>
    <row r="383" spans="14:17" x14ac:dyDescent="0.25">
      <c r="N383" s="32"/>
      <c r="O383" s="32"/>
      <c r="Q383" s="32"/>
    </row>
    <row r="384" spans="14:17" x14ac:dyDescent="0.25">
      <c r="N384" s="32"/>
      <c r="O384" s="32"/>
      <c r="Q384" s="32"/>
    </row>
    <row r="385" spans="14:17" x14ac:dyDescent="0.25">
      <c r="N385" s="32"/>
      <c r="O385" s="32"/>
      <c r="Q385" s="32"/>
    </row>
    <row r="386" spans="14:17" x14ac:dyDescent="0.25">
      <c r="N386" s="32"/>
      <c r="O386" s="32"/>
      <c r="Q386" s="32"/>
    </row>
    <row r="387" spans="14:17" x14ac:dyDescent="0.25">
      <c r="N387" s="32"/>
      <c r="O387" s="32"/>
      <c r="Q387" s="32"/>
    </row>
    <row r="388" spans="14:17" x14ac:dyDescent="0.25">
      <c r="N388" s="32"/>
      <c r="O388" s="32"/>
      <c r="Q388" s="32"/>
    </row>
    <row r="389" spans="14:17" x14ac:dyDescent="0.25">
      <c r="N389" s="32"/>
      <c r="O389" s="32"/>
      <c r="Q389" s="32"/>
    </row>
    <row r="390" spans="14:17" x14ac:dyDescent="0.25">
      <c r="N390" s="32"/>
      <c r="O390" s="32"/>
      <c r="Q390" s="32"/>
    </row>
    <row r="391" spans="14:17" x14ac:dyDescent="0.25">
      <c r="N391" s="32"/>
      <c r="O391" s="32"/>
      <c r="Q391" s="32"/>
    </row>
    <row r="392" spans="14:17" x14ac:dyDescent="0.25">
      <c r="N392" s="32"/>
      <c r="O392" s="32"/>
      <c r="Q392" s="32"/>
    </row>
    <row r="393" spans="14:17" x14ac:dyDescent="0.25">
      <c r="N393" s="32"/>
      <c r="O393" s="32"/>
      <c r="Q393" s="32"/>
    </row>
    <row r="394" spans="14:17" x14ac:dyDescent="0.25">
      <c r="N394" s="32"/>
      <c r="O394" s="32"/>
      <c r="Q394" s="32"/>
    </row>
    <row r="395" spans="14:17" x14ac:dyDescent="0.25">
      <c r="N395" s="32"/>
      <c r="O395" s="32"/>
      <c r="Q395" s="32"/>
    </row>
    <row r="396" spans="14:17" x14ac:dyDescent="0.25">
      <c r="N396" s="32"/>
      <c r="O396" s="32"/>
      <c r="Q396" s="32"/>
    </row>
    <row r="397" spans="14:17" x14ac:dyDescent="0.25">
      <c r="N397" s="32"/>
      <c r="O397" s="32"/>
      <c r="Q397" s="32"/>
    </row>
    <row r="398" spans="14:17" x14ac:dyDescent="0.25">
      <c r="N398" s="32"/>
      <c r="O398" s="32"/>
      <c r="Q398" s="32"/>
    </row>
    <row r="399" spans="14:17" x14ac:dyDescent="0.25">
      <c r="N399" s="32"/>
      <c r="O399" s="32"/>
      <c r="Q399" s="32"/>
    </row>
    <row r="400" spans="14:17" x14ac:dyDescent="0.25">
      <c r="N400" s="32"/>
      <c r="O400" s="32"/>
      <c r="Q400" s="32"/>
    </row>
    <row r="401" spans="14:17" x14ac:dyDescent="0.25">
      <c r="N401" s="32"/>
      <c r="O401" s="32"/>
      <c r="Q401" s="32"/>
    </row>
    <row r="402" spans="14:17" x14ac:dyDescent="0.25">
      <c r="N402" s="32"/>
      <c r="O402" s="32"/>
      <c r="Q402" s="32"/>
    </row>
    <row r="403" spans="14:17" x14ac:dyDescent="0.25">
      <c r="N403" s="32"/>
      <c r="O403" s="32"/>
      <c r="Q403" s="32"/>
    </row>
    <row r="404" spans="14:17" x14ac:dyDescent="0.25">
      <c r="N404" s="32"/>
      <c r="O404" s="32"/>
      <c r="Q404" s="32"/>
    </row>
    <row r="405" spans="14:17" x14ac:dyDescent="0.25">
      <c r="N405" s="32"/>
      <c r="O405" s="32"/>
      <c r="Q405" s="32"/>
    </row>
    <row r="406" spans="14:17" x14ac:dyDescent="0.25">
      <c r="N406" s="32"/>
      <c r="O406" s="32"/>
      <c r="Q406" s="32"/>
    </row>
    <row r="407" spans="14:17" x14ac:dyDescent="0.25">
      <c r="N407" s="32"/>
      <c r="O407" s="32"/>
      <c r="Q407" s="32"/>
    </row>
    <row r="408" spans="14:17" x14ac:dyDescent="0.25">
      <c r="N408" s="32"/>
      <c r="O408" s="32"/>
      <c r="Q408" s="32"/>
    </row>
    <row r="409" spans="14:17" x14ac:dyDescent="0.25">
      <c r="N409" s="32"/>
      <c r="O409" s="32"/>
      <c r="Q409" s="32"/>
    </row>
    <row r="410" spans="14:17" x14ac:dyDescent="0.25">
      <c r="N410" s="32"/>
      <c r="O410" s="32"/>
      <c r="Q410" s="32"/>
    </row>
    <row r="411" spans="14:17" x14ac:dyDescent="0.25">
      <c r="N411" s="32"/>
      <c r="O411" s="32"/>
      <c r="Q411" s="32"/>
    </row>
    <row r="412" spans="14:17" x14ac:dyDescent="0.25">
      <c r="N412" s="32"/>
      <c r="O412" s="32"/>
      <c r="Q412" s="32"/>
    </row>
    <row r="413" spans="14:17" x14ac:dyDescent="0.25">
      <c r="N413" s="32"/>
      <c r="O413" s="32"/>
      <c r="Q413" s="32"/>
    </row>
    <row r="414" spans="14:17" x14ac:dyDescent="0.25">
      <c r="N414" s="32"/>
      <c r="O414" s="32"/>
      <c r="Q414" s="32"/>
    </row>
    <row r="415" spans="14:17" x14ac:dyDescent="0.25">
      <c r="N415" s="32"/>
      <c r="O415" s="32"/>
      <c r="Q415" s="32"/>
    </row>
    <row r="416" spans="14:17" x14ac:dyDescent="0.25">
      <c r="N416" s="32"/>
      <c r="O416" s="32"/>
      <c r="Q416" s="32"/>
    </row>
    <row r="417" spans="14:17" x14ac:dyDescent="0.25">
      <c r="N417" s="32"/>
      <c r="O417" s="32"/>
      <c r="Q417" s="32"/>
    </row>
    <row r="418" spans="14:17" x14ac:dyDescent="0.25">
      <c r="N418" s="32"/>
      <c r="O418" s="32"/>
      <c r="Q418" s="32"/>
    </row>
    <row r="419" spans="14:17" x14ac:dyDescent="0.25">
      <c r="N419" s="32"/>
      <c r="O419" s="32"/>
      <c r="Q419" s="32"/>
    </row>
    <row r="420" spans="14:17" x14ac:dyDescent="0.25">
      <c r="N420" s="32"/>
      <c r="O420" s="32"/>
      <c r="Q420" s="32"/>
    </row>
    <row r="421" spans="14:17" x14ac:dyDescent="0.25">
      <c r="N421" s="32"/>
      <c r="O421" s="32"/>
      <c r="Q421" s="32"/>
    </row>
    <row r="422" spans="14:17" x14ac:dyDescent="0.25">
      <c r="N422" s="32"/>
      <c r="O422" s="32"/>
      <c r="Q422" s="32"/>
    </row>
    <row r="423" spans="14:17" x14ac:dyDescent="0.25">
      <c r="N423" s="32"/>
      <c r="O423" s="32"/>
      <c r="Q423" s="32"/>
    </row>
    <row r="424" spans="14:17" x14ac:dyDescent="0.25">
      <c r="N424" s="32"/>
      <c r="O424" s="32"/>
      <c r="Q424" s="32"/>
    </row>
    <row r="425" spans="14:17" x14ac:dyDescent="0.25">
      <c r="N425" s="32"/>
      <c r="O425" s="32"/>
      <c r="Q425" s="32"/>
    </row>
    <row r="426" spans="14:17" x14ac:dyDescent="0.25">
      <c r="N426" s="32"/>
      <c r="O426" s="32"/>
      <c r="Q426" s="32"/>
    </row>
    <row r="427" spans="14:17" x14ac:dyDescent="0.25">
      <c r="N427" s="32"/>
      <c r="O427" s="32"/>
      <c r="Q427" s="32"/>
    </row>
    <row r="428" spans="14:17" x14ac:dyDescent="0.25">
      <c r="N428" s="32"/>
      <c r="O428" s="32"/>
      <c r="Q428" s="32"/>
    </row>
    <row r="429" spans="14:17" x14ac:dyDescent="0.25">
      <c r="N429" s="32"/>
      <c r="O429" s="32"/>
      <c r="Q429" s="32"/>
    </row>
    <row r="430" spans="14:17" x14ac:dyDescent="0.25">
      <c r="N430" s="32"/>
      <c r="O430" s="32"/>
      <c r="Q430" s="32"/>
    </row>
    <row r="431" spans="14:17" x14ac:dyDescent="0.25">
      <c r="N431" s="32"/>
      <c r="O431" s="32"/>
      <c r="Q431" s="32"/>
    </row>
    <row r="432" spans="14:17" x14ac:dyDescent="0.25">
      <c r="N432" s="32"/>
      <c r="O432" s="32"/>
      <c r="Q432" s="32"/>
    </row>
    <row r="433" spans="14:17" x14ac:dyDescent="0.25">
      <c r="N433" s="32"/>
      <c r="O433" s="32"/>
      <c r="Q433" s="32"/>
    </row>
    <row r="434" spans="14:17" x14ac:dyDescent="0.25">
      <c r="N434" s="32"/>
      <c r="O434" s="32"/>
      <c r="Q434" s="32"/>
    </row>
    <row r="435" spans="14:17" x14ac:dyDescent="0.25">
      <c r="N435" s="32"/>
      <c r="O435" s="32"/>
      <c r="Q435" s="32"/>
    </row>
    <row r="436" spans="14:17" x14ac:dyDescent="0.25">
      <c r="N436" s="32"/>
      <c r="O436" s="32"/>
      <c r="Q436" s="32"/>
    </row>
    <row r="437" spans="14:17" x14ac:dyDescent="0.25">
      <c r="N437" s="32"/>
      <c r="O437" s="32"/>
      <c r="Q437" s="32"/>
    </row>
    <row r="438" spans="14:17" x14ac:dyDescent="0.25">
      <c r="N438" s="32"/>
      <c r="O438" s="32"/>
      <c r="Q438" s="32"/>
    </row>
    <row r="439" spans="14:17" x14ac:dyDescent="0.25">
      <c r="N439" s="32"/>
      <c r="O439" s="32"/>
      <c r="Q439" s="32"/>
    </row>
    <row r="440" spans="14:17" x14ac:dyDescent="0.25">
      <c r="N440" s="32"/>
      <c r="O440" s="32"/>
      <c r="Q440" s="32"/>
    </row>
    <row r="441" spans="14:17" x14ac:dyDescent="0.25">
      <c r="N441" s="32"/>
      <c r="O441" s="32"/>
      <c r="Q441" s="32"/>
    </row>
    <row r="442" spans="14:17" x14ac:dyDescent="0.25">
      <c r="N442" s="32"/>
      <c r="O442" s="32"/>
      <c r="Q442" s="32"/>
    </row>
    <row r="443" spans="14:17" x14ac:dyDescent="0.25">
      <c r="N443" s="32"/>
      <c r="O443" s="32"/>
      <c r="Q443" s="32"/>
    </row>
    <row r="444" spans="14:17" x14ac:dyDescent="0.25">
      <c r="N444" s="32"/>
      <c r="O444" s="32"/>
      <c r="Q444" s="32"/>
    </row>
    <row r="445" spans="14:17" x14ac:dyDescent="0.25">
      <c r="N445" s="32"/>
      <c r="O445" s="32"/>
      <c r="Q445" s="32"/>
    </row>
    <row r="446" spans="14:17" x14ac:dyDescent="0.25">
      <c r="N446" s="32"/>
      <c r="O446" s="32"/>
      <c r="Q446" s="32"/>
    </row>
    <row r="447" spans="14:17" x14ac:dyDescent="0.25">
      <c r="N447" s="32"/>
      <c r="O447" s="32"/>
      <c r="Q447" s="32"/>
    </row>
    <row r="448" spans="14:17" x14ac:dyDescent="0.25">
      <c r="N448" s="32"/>
      <c r="O448" s="32"/>
      <c r="Q448" s="32"/>
    </row>
    <row r="449" spans="14:17" x14ac:dyDescent="0.25">
      <c r="N449" s="32"/>
      <c r="O449" s="32"/>
      <c r="Q449" s="32"/>
    </row>
    <row r="450" spans="14:17" x14ac:dyDescent="0.25">
      <c r="N450" s="32"/>
      <c r="O450" s="32"/>
      <c r="Q450" s="32"/>
    </row>
    <row r="451" spans="14:17" x14ac:dyDescent="0.25">
      <c r="N451" s="32"/>
      <c r="O451" s="32"/>
      <c r="Q451" s="32"/>
    </row>
    <row r="452" spans="14:17" x14ac:dyDescent="0.25">
      <c r="N452" s="32"/>
      <c r="O452" s="32"/>
      <c r="Q452" s="32"/>
    </row>
    <row r="453" spans="14:17" x14ac:dyDescent="0.25">
      <c r="N453" s="32"/>
      <c r="O453" s="32"/>
      <c r="Q453" s="32"/>
    </row>
    <row r="454" spans="14:17" x14ac:dyDescent="0.25">
      <c r="N454" s="32"/>
      <c r="O454" s="32"/>
      <c r="Q454" s="32"/>
    </row>
    <row r="455" spans="14:17" x14ac:dyDescent="0.25">
      <c r="N455" s="32"/>
      <c r="O455" s="32"/>
      <c r="Q455" s="32"/>
    </row>
    <row r="456" spans="14:17" x14ac:dyDescent="0.25">
      <c r="N456" s="32"/>
      <c r="O456" s="32"/>
      <c r="Q456" s="32"/>
    </row>
    <row r="457" spans="14:17" x14ac:dyDescent="0.25">
      <c r="N457" s="32"/>
      <c r="O457" s="32"/>
      <c r="Q457" s="32"/>
    </row>
    <row r="458" spans="14:17" x14ac:dyDescent="0.25">
      <c r="N458" s="32"/>
      <c r="O458" s="32"/>
      <c r="Q458" s="32"/>
    </row>
    <row r="459" spans="14:17" x14ac:dyDescent="0.25">
      <c r="N459" s="32"/>
      <c r="O459" s="32"/>
      <c r="Q459" s="32"/>
    </row>
    <row r="460" spans="14:17" x14ac:dyDescent="0.25">
      <c r="N460" s="32"/>
      <c r="O460" s="32"/>
      <c r="Q460" s="32"/>
    </row>
    <row r="461" spans="14:17" x14ac:dyDescent="0.25">
      <c r="N461" s="32"/>
      <c r="O461" s="32"/>
      <c r="Q461" s="32"/>
    </row>
    <row r="462" spans="14:17" x14ac:dyDescent="0.25">
      <c r="N462" s="32"/>
      <c r="O462" s="32"/>
      <c r="Q462" s="32"/>
    </row>
    <row r="463" spans="14:17" x14ac:dyDescent="0.25">
      <c r="N463" s="32"/>
      <c r="O463" s="32"/>
      <c r="Q463" s="32"/>
    </row>
    <row r="464" spans="14:17" x14ac:dyDescent="0.25">
      <c r="N464" s="32"/>
      <c r="O464" s="32"/>
      <c r="Q464" s="32"/>
    </row>
    <row r="465" spans="14:17" x14ac:dyDescent="0.25">
      <c r="N465" s="32"/>
      <c r="O465" s="32"/>
      <c r="Q465" s="32"/>
    </row>
    <row r="466" spans="14:17" x14ac:dyDescent="0.25">
      <c r="N466" s="32"/>
      <c r="O466" s="32"/>
      <c r="Q466" s="32"/>
    </row>
    <row r="467" spans="14:17" x14ac:dyDescent="0.25">
      <c r="N467" s="32"/>
      <c r="O467" s="32"/>
      <c r="Q467" s="32"/>
    </row>
    <row r="468" spans="14:17" x14ac:dyDescent="0.25">
      <c r="N468" s="32"/>
      <c r="O468" s="32"/>
      <c r="Q468" s="32"/>
    </row>
    <row r="469" spans="14:17" x14ac:dyDescent="0.25">
      <c r="N469" s="32"/>
      <c r="O469" s="32"/>
      <c r="Q469" s="32"/>
    </row>
    <row r="470" spans="14:17" x14ac:dyDescent="0.25">
      <c r="N470" s="32"/>
      <c r="O470" s="32"/>
      <c r="Q470" s="32"/>
    </row>
    <row r="471" spans="14:17" x14ac:dyDescent="0.25">
      <c r="N471" s="32"/>
      <c r="O471" s="32"/>
      <c r="Q471" s="32"/>
    </row>
    <row r="472" spans="14:17" x14ac:dyDescent="0.25">
      <c r="N472" s="32"/>
      <c r="O472" s="32"/>
      <c r="Q472" s="32"/>
    </row>
    <row r="473" spans="14:17" x14ac:dyDescent="0.25">
      <c r="N473" s="32"/>
      <c r="O473" s="32"/>
      <c r="Q473" s="32"/>
    </row>
    <row r="474" spans="14:17" x14ac:dyDescent="0.25">
      <c r="N474" s="32"/>
      <c r="O474" s="32"/>
      <c r="Q474" s="32"/>
    </row>
    <row r="475" spans="14:17" x14ac:dyDescent="0.25">
      <c r="N475" s="32"/>
      <c r="O475" s="32"/>
      <c r="Q475" s="32"/>
    </row>
    <row r="476" spans="14:17" x14ac:dyDescent="0.25">
      <c r="N476" s="32"/>
      <c r="O476" s="32"/>
      <c r="Q476" s="32"/>
    </row>
    <row r="477" spans="14:17" x14ac:dyDescent="0.25">
      <c r="N477" s="32"/>
      <c r="O477" s="32"/>
      <c r="Q477" s="32"/>
    </row>
    <row r="478" spans="14:17" x14ac:dyDescent="0.25">
      <c r="N478" s="32"/>
      <c r="O478" s="32"/>
      <c r="Q478" s="32"/>
    </row>
    <row r="479" spans="14:17" x14ac:dyDescent="0.25">
      <c r="N479" s="32"/>
      <c r="O479" s="32"/>
      <c r="Q479" s="32"/>
    </row>
    <row r="480" spans="14:17" x14ac:dyDescent="0.25">
      <c r="N480" s="32"/>
      <c r="O480" s="32"/>
      <c r="Q480" s="32"/>
    </row>
    <row r="481" spans="14:17" x14ac:dyDescent="0.25">
      <c r="N481" s="32"/>
      <c r="O481" s="32"/>
      <c r="Q481" s="32"/>
    </row>
    <row r="482" spans="14:17" x14ac:dyDescent="0.25">
      <c r="N482" s="32"/>
      <c r="O482" s="32"/>
      <c r="Q482" s="32"/>
    </row>
    <row r="483" spans="14:17" x14ac:dyDescent="0.25">
      <c r="N483" s="32"/>
      <c r="O483" s="32"/>
      <c r="Q483" s="32"/>
    </row>
    <row r="484" spans="14:17" x14ac:dyDescent="0.25">
      <c r="N484" s="32"/>
      <c r="O484" s="32"/>
      <c r="Q484" s="32"/>
    </row>
    <row r="485" spans="14:17" x14ac:dyDescent="0.25">
      <c r="N485" s="32"/>
      <c r="O485" s="32"/>
      <c r="Q485" s="32"/>
    </row>
    <row r="486" spans="14:17" x14ac:dyDescent="0.25">
      <c r="N486" s="32"/>
      <c r="O486" s="32"/>
      <c r="Q486" s="32"/>
    </row>
    <row r="487" spans="14:17" x14ac:dyDescent="0.25">
      <c r="N487" s="32"/>
      <c r="O487" s="32"/>
      <c r="Q487" s="32"/>
    </row>
    <row r="488" spans="14:17" x14ac:dyDescent="0.25">
      <c r="N488" s="32"/>
      <c r="O488" s="32"/>
      <c r="Q488" s="32"/>
    </row>
    <row r="489" spans="14:17" x14ac:dyDescent="0.25">
      <c r="N489" s="32"/>
      <c r="O489" s="32"/>
      <c r="Q489" s="32"/>
    </row>
    <row r="490" spans="14:17" x14ac:dyDescent="0.25">
      <c r="N490" s="32"/>
      <c r="O490" s="32"/>
      <c r="Q490" s="32"/>
    </row>
    <row r="491" spans="14:17" x14ac:dyDescent="0.25">
      <c r="N491" s="32"/>
      <c r="O491" s="32"/>
      <c r="Q491" s="32"/>
    </row>
    <row r="492" spans="14:17" x14ac:dyDescent="0.25">
      <c r="N492" s="32"/>
      <c r="O492" s="32"/>
      <c r="Q492" s="32"/>
    </row>
    <row r="493" spans="14:17" x14ac:dyDescent="0.25">
      <c r="N493" s="32"/>
      <c r="O493" s="32"/>
      <c r="Q493" s="32"/>
    </row>
    <row r="494" spans="14:17" x14ac:dyDescent="0.25">
      <c r="N494" s="32"/>
      <c r="O494" s="32"/>
      <c r="Q494" s="32"/>
    </row>
    <row r="495" spans="14:17" x14ac:dyDescent="0.25">
      <c r="N495" s="32"/>
      <c r="O495" s="32"/>
      <c r="Q495" s="32"/>
    </row>
    <row r="496" spans="14:17" x14ac:dyDescent="0.25">
      <c r="N496" s="32"/>
      <c r="O496" s="32"/>
      <c r="Q496" s="32"/>
    </row>
    <row r="497" spans="14:17" x14ac:dyDescent="0.25">
      <c r="N497" s="32"/>
      <c r="O497" s="32"/>
      <c r="Q497" s="32"/>
    </row>
    <row r="498" spans="14:17" x14ac:dyDescent="0.25">
      <c r="N498" s="32"/>
      <c r="O498" s="32"/>
      <c r="Q498" s="32"/>
    </row>
  </sheetData>
  <conditionalFormatting sqref="B3:E498">
    <cfRule type="expression" dxfId="14" priority="26">
      <formula>IF(AND(NOT(ISBLANK($A3)),ISBLANK(B3)),TRUE,FALSE)</formula>
    </cfRule>
  </conditionalFormatting>
  <conditionalFormatting sqref="F3:F4 F7:F8">
    <cfRule type="expression" dxfId="0" priority="16">
      <formula>IF(AND(NOT(ISBLANK($A3)),ISBLANK(F3)),TRUE,FALSE)</formula>
    </cfRule>
  </conditionalFormatting>
  <conditionalFormatting sqref="G9:H9">
    <cfRule type="expression" dxfId="13" priority="156">
      <formula>AND(NOT(ISBLANK(#REF!)),#REF!="Specific month",ISBLANK(G9))</formula>
    </cfRule>
    <cfRule type="expression" dxfId="12" priority="157">
      <formula>#REF!="Immediately"</formula>
    </cfRule>
    <cfRule type="expression" dxfId="11" priority="158">
      <formula>#REF!="Never repair"</formula>
    </cfRule>
  </conditionalFormatting>
  <conditionalFormatting sqref="G10:H11">
    <cfRule type="expression" dxfId="10" priority="11">
      <formula>AND(NOT(ISBLANK($E9)),$E9="Specific month",ISBLANK(G10))</formula>
    </cfRule>
    <cfRule type="expression" dxfId="9" priority="12">
      <formula>$E9="Immediately"</formula>
    </cfRule>
    <cfRule type="expression" dxfId="8" priority="13">
      <formula>$E9="Never repair"</formula>
    </cfRule>
  </conditionalFormatting>
  <conditionalFormatting sqref="G3:I498">
    <cfRule type="expression" dxfId="7" priority="14">
      <formula>AND(NOT(ISBLANK($E3)),$E3="Specific month",ISBLANK(G3))</formula>
    </cfRule>
    <cfRule type="expression" dxfId="6" priority="15">
      <formula>$E3="Never repair"</formula>
    </cfRule>
  </conditionalFormatting>
  <conditionalFormatting sqref="I3:I498">
    <cfRule type="expression" dxfId="5" priority="24">
      <formula>$E3="Immediately"</formula>
    </cfRule>
  </conditionalFormatting>
  <conditionalFormatting sqref="J3:J1048576">
    <cfRule type="expression" dxfId="4" priority="1">
      <formula>AND($A3&lt;&gt;"",$I3="",$K3="")</formula>
    </cfRule>
  </conditionalFormatting>
  <conditionalFormatting sqref="K3:K1048576">
    <cfRule type="expression" dxfId="3" priority="6">
      <formula>$E3="Never repair"</formula>
    </cfRule>
    <cfRule type="expression" dxfId="2" priority="7">
      <formula>$E3="Specific month"</formula>
    </cfRule>
  </conditionalFormatting>
  <conditionalFormatting sqref="K9:K500">
    <cfRule type="expression" dxfId="1" priority="9">
      <formula>$E9="Immediately"</formula>
    </cfRule>
  </conditionalFormatting>
  <dataValidations count="10">
    <dataValidation type="list" allowBlank="1" showInputMessage="1" showErrorMessage="1" sqref="E3:E59" xr:uid="{544CC272-E406-4D13-A110-04F2C329C841}">
      <formula1>"Immediately, Specific month, Never repair"</formula1>
    </dataValidation>
    <dataValidation type="whole" allowBlank="1" showInputMessage="1" showErrorMessage="1" sqref="K9:K55 I3:I53" xr:uid="{DB518A26-C714-45F4-A673-A39D6999B950}">
      <formula1>1</formula1>
      <formula2>12</formula2>
    </dataValidation>
    <dataValidation type="decimal" operator="greaterThan" allowBlank="1" showInputMessage="1" showErrorMessage="1" sqref="D3:D71" xr:uid="{AD61F2B7-BE74-434B-ACF8-4F31E0724F0D}">
      <formula1>0</formula1>
    </dataValidation>
    <dataValidation type="whole" operator="greaterThanOrEqual" allowBlank="1" showInputMessage="1" showErrorMessage="1" sqref="L3:M138" xr:uid="{030B7424-D88F-42EF-921A-C45A1986C5E0}">
      <formula1>0</formula1>
    </dataValidation>
    <dataValidation type="list" allowBlank="1" showInputMessage="1" showErrorMessage="1" errorTitle="Wrong input" error="It must be a decimal between -90.0 and 90.0." sqref="N3:O498 Q3:Q498" xr:uid="{9DF2605E-9E7B-47A5-B4E4-4F90FB5375A2}">
      <formula1>"TRUE,FALSE"</formula1>
    </dataValidation>
    <dataValidation type="whole" allowBlank="1" showInputMessage="1" showErrorMessage="1" sqref="P3:P1048576" xr:uid="{6766821A-91FD-4249-AB52-52B3A847732B}">
      <formula1>0</formula1>
      <formula2>100</formula2>
    </dataValidation>
    <dataValidation type="list" allowBlank="1" showInputMessage="1" showErrorMessage="1" sqref="G3:G1048576" xr:uid="{5E1C9B0E-456E-40EC-85BE-2D86F1E0357F}">
      <formula1>"Major,Minor"</formula1>
    </dataValidation>
    <dataValidation type="list" allowBlank="1" showInputMessage="1" showErrorMessage="1" sqref="H3:H1048576" xr:uid="{B0DB70BB-68CB-4063-B799-5DC67AFB3F3F}">
      <formula1>INDIRECT(_xlfn.CONCAT("Corrective",$G3))</formula1>
    </dataValidation>
    <dataValidation type="whole" operator="greaterThanOrEqual" allowBlank="1" showInputMessage="1" showErrorMessage="1" sqref="J3:J1048576" xr:uid="{DCFAA0DF-DFB3-471C-8526-0968330B21BC}">
      <formula1>1</formula1>
    </dataValidation>
    <dataValidation type="list" allowBlank="1" showInputMessage="1" showErrorMessage="1" sqref="F3:F1048576" xr:uid="{A6289109-A1B6-4028-8E19-B75417F6B0F0}">
      <formula1>"exp_cable, exp_cable_island, dyn_cable-sub,last_string_device,array_cable, cable_cb, cable_transf, cable_switch,     cable_inv, string_cable, substation, mv_transformer,     circuit_braker, switcher, inverter, device, hub"</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whole" operator="lessThanOrEqual" allowBlank="1" showInputMessage="1" showErrorMessage="1" xr:uid="{B3093C92-EEA0-4B9B-A1BB-F35D5704FF45}">
          <x14:formula1>
            <xm:f>MAX(Gen_WEC!$C$2,Gen_PV!$C$3,Gen_WTG!$C$2)</xm:f>
          </x14:formula1>
          <xm:sqref>C3:C1048576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FC50-A779-4D69-AD89-82F527EA76D6}">
  <sheetPr>
    <tabColor theme="9" tint="0.39997558519241921"/>
  </sheetPr>
  <dimension ref="A1:C10"/>
  <sheetViews>
    <sheetView workbookViewId="0">
      <selection activeCell="O25" sqref="O25"/>
    </sheetView>
  </sheetViews>
  <sheetFormatPr defaultRowHeight="15" x14ac:dyDescent="0.25"/>
  <cols>
    <col min="1" max="1" width="40.7109375" customWidth="1"/>
    <col min="2" max="2" width="10.7109375" customWidth="1"/>
    <col min="3" max="3" width="12.7109375" customWidth="1"/>
  </cols>
  <sheetData>
    <row r="1" spans="1:3" x14ac:dyDescent="0.25">
      <c r="A1" t="s">
        <v>9</v>
      </c>
      <c r="B1" t="s">
        <v>10</v>
      </c>
      <c r="C1" t="s">
        <v>11</v>
      </c>
    </row>
    <row r="2" spans="1:3" x14ac:dyDescent="0.25">
      <c r="A2" t="s">
        <v>391</v>
      </c>
      <c r="B2" t="s">
        <v>392</v>
      </c>
      <c r="C2" s="22">
        <v>390</v>
      </c>
    </row>
    <row r="3" spans="1:3" x14ac:dyDescent="0.25">
      <c r="A3" t="s">
        <v>393</v>
      </c>
      <c r="B3" t="s">
        <v>392</v>
      </c>
      <c r="C3" s="22">
        <v>730</v>
      </c>
    </row>
    <row r="4" spans="1:3" x14ac:dyDescent="0.25">
      <c r="A4" t="s">
        <v>394</v>
      </c>
      <c r="B4" t="s">
        <v>392</v>
      </c>
      <c r="C4" s="22">
        <v>700</v>
      </c>
    </row>
    <row r="5" spans="1:3" x14ac:dyDescent="0.25">
      <c r="A5" t="s">
        <v>395</v>
      </c>
      <c r="B5" t="s">
        <v>337</v>
      </c>
      <c r="C5" s="22">
        <v>1500</v>
      </c>
    </row>
    <row r="6" spans="1:3" x14ac:dyDescent="0.25">
      <c r="A6" t="s">
        <v>396</v>
      </c>
      <c r="B6" t="s">
        <v>13</v>
      </c>
      <c r="C6" s="48" t="b">
        <v>0</v>
      </c>
    </row>
    <row r="7" spans="1:3" x14ac:dyDescent="0.25">
      <c r="A7" t="s">
        <v>397</v>
      </c>
      <c r="B7" t="s">
        <v>398</v>
      </c>
      <c r="C7" s="24">
        <v>30</v>
      </c>
    </row>
    <row r="8" spans="1:3" x14ac:dyDescent="0.25">
      <c r="A8" t="s">
        <v>399</v>
      </c>
      <c r="B8" t="s">
        <v>337</v>
      </c>
    </row>
    <row r="9" spans="1:3" x14ac:dyDescent="0.25">
      <c r="A9" t="s">
        <v>400</v>
      </c>
      <c r="B9" t="s">
        <v>401</v>
      </c>
      <c r="C9">
        <v>97</v>
      </c>
    </row>
    <row r="10" spans="1:3" x14ac:dyDescent="0.25">
      <c r="A10" t="s">
        <v>402</v>
      </c>
      <c r="B10" t="s">
        <v>337</v>
      </c>
      <c r="C10">
        <v>1230000</v>
      </c>
    </row>
  </sheetData>
  <dataValidations count="4">
    <dataValidation type="decimal" operator="greaterThan" allowBlank="1" showInputMessage="1" showErrorMessage="1" sqref="C2:C4" xr:uid="{0CC07426-0C7A-4DD7-AA18-B164F7DC69CD}">
      <formula1>0</formula1>
    </dataValidation>
    <dataValidation type="decimal" operator="greaterThanOrEqual" allowBlank="1" showInputMessage="1" showErrorMessage="1" errorTitle="Wrong input" error="It must be a decimal greater than or equal to 0.0." sqref="C5" xr:uid="{B8CDCE70-86B6-47B5-A5AC-EDD06176CB5C}">
      <formula1>0</formula1>
    </dataValidation>
    <dataValidation type="list" allowBlank="1" showInputMessage="1" showErrorMessage="1" errorTitle="Wrong input" error="It must be a decimal between -90.0 and 90.0." sqref="C6" xr:uid="{6B98F41F-CA43-4392-AA0C-D061B9CEEA2B}">
      <formula1>"TRUE,FALSE"</formula1>
    </dataValidation>
    <dataValidation type="whole" operator="greaterThanOrEqual" allowBlank="1" showInputMessage="1" showErrorMessage="1" sqref="C7" xr:uid="{6FBE1607-3F79-407B-8F12-F3BE87C8428D}">
      <formula1>1</formula1>
    </dataValidation>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4924E-CCB2-4E39-8405-E1D3F2C1F6D0}">
  <sheetPr>
    <tabColor rgb="FFFF0000"/>
  </sheetPr>
  <dimension ref="A1:D18"/>
  <sheetViews>
    <sheetView workbookViewId="0">
      <selection activeCell="C4" sqref="C4"/>
    </sheetView>
  </sheetViews>
  <sheetFormatPr defaultRowHeight="15" x14ac:dyDescent="0.25"/>
  <cols>
    <col min="1" max="1" width="18.28515625" bestFit="1" customWidth="1"/>
    <col min="2" max="2" width="8.28515625" bestFit="1" customWidth="1"/>
    <col min="3" max="3" width="11.42578125" bestFit="1" customWidth="1"/>
    <col min="4" max="4" width="5.28515625" bestFit="1" customWidth="1"/>
  </cols>
  <sheetData>
    <row r="1" spans="1:4" x14ac:dyDescent="0.25">
      <c r="A1" t="s">
        <v>403</v>
      </c>
      <c r="B1" t="s">
        <v>404</v>
      </c>
      <c r="C1" t="s">
        <v>405</v>
      </c>
      <c r="D1" t="s">
        <v>406</v>
      </c>
    </row>
    <row r="2" spans="1:4" x14ac:dyDescent="0.25">
      <c r="A2" t="s">
        <v>100</v>
      </c>
      <c r="B2" t="s">
        <v>407</v>
      </c>
      <c r="C2" s="1">
        <f>AVERAGE(2984,16000,4120,9000,9000)</f>
        <v>8220.7999999999993</v>
      </c>
      <c r="D2">
        <f>210</f>
        <v>210</v>
      </c>
    </row>
    <row r="3" spans="1:4" x14ac:dyDescent="0.25">
      <c r="A3" t="s">
        <v>408</v>
      </c>
      <c r="B3" t="s">
        <v>407</v>
      </c>
      <c r="C3" s="1">
        <f>AVERAGE(7883.625,10167,13440,28800,10167)</f>
        <v>14091.525</v>
      </c>
      <c r="D3">
        <f>210</f>
        <v>210</v>
      </c>
    </row>
    <row r="4" spans="1:4" x14ac:dyDescent="0.25">
      <c r="A4" t="s">
        <v>409</v>
      </c>
      <c r="B4" t="s">
        <v>407</v>
      </c>
      <c r="C4">
        <v>13360</v>
      </c>
      <c r="D4">
        <f>210</f>
        <v>210</v>
      </c>
    </row>
    <row r="5" spans="1:4" x14ac:dyDescent="0.25">
      <c r="A5" t="s">
        <v>104</v>
      </c>
      <c r="B5" t="s">
        <v>105</v>
      </c>
      <c r="C5" s="1">
        <f>AVERAGE(808.83,2058.42,1066.24,1790)</f>
        <v>1430.8724999999999</v>
      </c>
      <c r="D5">
        <f>210</f>
        <v>210</v>
      </c>
    </row>
    <row r="6" spans="1:4" x14ac:dyDescent="0.25">
      <c r="A6" t="s">
        <v>410</v>
      </c>
      <c r="B6" t="s">
        <v>407</v>
      </c>
      <c r="C6" s="1">
        <f>AVERAGE(736,8826,27300)</f>
        <v>12287.333333333334</v>
      </c>
      <c r="D6">
        <f>210</f>
        <v>210</v>
      </c>
    </row>
    <row r="7" spans="1:4" x14ac:dyDescent="0.25">
      <c r="A7" t="s">
        <v>102</v>
      </c>
      <c r="B7" t="s">
        <v>407</v>
      </c>
      <c r="C7" s="1">
        <f>AVERAGE(14390,5440,1250)</f>
        <v>7026.666666666667</v>
      </c>
      <c r="D7">
        <f>210</f>
        <v>210</v>
      </c>
    </row>
    <row r="8" spans="1:4" x14ac:dyDescent="0.25">
      <c r="A8" t="s">
        <v>411</v>
      </c>
      <c r="B8" t="s">
        <v>407</v>
      </c>
      <c r="C8" s="1">
        <f>AVERAGE(1783,662.5,3495,442)</f>
        <v>1595.625</v>
      </c>
      <c r="D8">
        <f>210</f>
        <v>210</v>
      </c>
    </row>
    <row r="9" spans="1:4" x14ac:dyDescent="0.25">
      <c r="A9" t="s">
        <v>412</v>
      </c>
      <c r="B9" t="s">
        <v>407</v>
      </c>
      <c r="C9" s="1">
        <f>AVERAGE(2400,4800,13400,4800)</f>
        <v>6350</v>
      </c>
      <c r="D9">
        <f>210</f>
        <v>210</v>
      </c>
    </row>
    <row r="10" spans="1:4" x14ac:dyDescent="0.25">
      <c r="A10" t="s">
        <v>98</v>
      </c>
      <c r="B10" t="s">
        <v>105</v>
      </c>
      <c r="C10" s="1">
        <f>AVERAGE(805.5,1862.345,2316.2,881)</f>
        <v>1466.26125</v>
      </c>
      <c r="D10">
        <f>210</f>
        <v>210</v>
      </c>
    </row>
    <row r="11" spans="1:4" x14ac:dyDescent="0.25">
      <c r="A11" t="s">
        <v>413</v>
      </c>
      <c r="B11" t="s">
        <v>407</v>
      </c>
      <c r="C11" s="1">
        <f>1413</f>
        <v>1413</v>
      </c>
      <c r="D11">
        <f>210</f>
        <v>210</v>
      </c>
    </row>
    <row r="12" spans="1:4" x14ac:dyDescent="0.25">
      <c r="A12" t="s">
        <v>414</v>
      </c>
      <c r="B12" t="s">
        <v>407</v>
      </c>
      <c r="C12" s="1">
        <f>AVERAGE(11380,20477.5,930,21125)</f>
        <v>13478.125</v>
      </c>
      <c r="D12">
        <f>210</f>
        <v>210</v>
      </c>
    </row>
    <row r="13" spans="1:4" x14ac:dyDescent="0.25">
      <c r="A13" t="s">
        <v>415</v>
      </c>
      <c r="B13" t="s">
        <v>407</v>
      </c>
      <c r="C13" s="1">
        <f>AVERAGE(4639.87,2868,7060,6905.9)</f>
        <v>5368.4424999999992</v>
      </c>
      <c r="D13">
        <f>210</f>
        <v>210</v>
      </c>
    </row>
    <row r="14" spans="1:4" x14ac:dyDescent="0.25">
      <c r="A14" t="s">
        <v>416</v>
      </c>
      <c r="B14" t="s">
        <v>407</v>
      </c>
      <c r="C14" s="1">
        <f>AVERAGE(588.24,257.355,147.797)</f>
        <v>331.13066666666668</v>
      </c>
      <c r="D14">
        <f>210</f>
        <v>210</v>
      </c>
    </row>
    <row r="15" spans="1:4" x14ac:dyDescent="0.25">
      <c r="A15" t="s">
        <v>417</v>
      </c>
      <c r="B15" t="s">
        <v>407</v>
      </c>
      <c r="C15" s="1">
        <f>AVERAGE(15250,5386,9022,6334)</f>
        <v>8998</v>
      </c>
      <c r="D15">
        <f>210</f>
        <v>210</v>
      </c>
    </row>
    <row r="16" spans="1:4" x14ac:dyDescent="0.25">
      <c r="A16" t="s">
        <v>418</v>
      </c>
      <c r="B16" t="s">
        <v>419</v>
      </c>
      <c r="C16" s="1">
        <f>AVERAGE(4665,9505,21200,6320,1470,5600,736,18409,3340,11150)</f>
        <v>8239.5</v>
      </c>
      <c r="D16">
        <f>210</f>
        <v>210</v>
      </c>
    </row>
    <row r="17" spans="1:4" x14ac:dyDescent="0.25">
      <c r="A17" t="s">
        <v>420</v>
      </c>
      <c r="B17" t="s">
        <v>407</v>
      </c>
      <c r="C17" s="1">
        <f>AVERAGE(1000,7040,4207)</f>
        <v>4082.3333333333335</v>
      </c>
      <c r="D17">
        <f>210</f>
        <v>210</v>
      </c>
    </row>
    <row r="18" spans="1:4" x14ac:dyDescent="0.25">
      <c r="A18" t="s">
        <v>96</v>
      </c>
      <c r="B18" t="s">
        <v>419</v>
      </c>
      <c r="C18" s="1">
        <f>AVERAGE(2329.127,3680,1880,11760,5040)</f>
        <v>4937.8253999999997</v>
      </c>
      <c r="D18">
        <f>210</f>
        <v>210</v>
      </c>
    </row>
  </sheetData>
  <dataValidations count="1">
    <dataValidation type="list" allowBlank="1" showInputMessage="1" showErrorMessage="1" sqref="B2:B18" xr:uid="{D77EC713-CDCC-4485-92CB-A5F649F2DECD}">
      <formula1>"MGO,HFO,MDO"</formula1>
    </dataValidation>
  </dataValidation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B402-9521-4EC5-BECB-65F00E7DCDC6}">
  <sheetPr>
    <tabColor rgb="FFFF0000"/>
  </sheetPr>
  <dimension ref="A1:B4"/>
  <sheetViews>
    <sheetView workbookViewId="0">
      <selection activeCell="B2" sqref="B2:B4"/>
    </sheetView>
  </sheetViews>
  <sheetFormatPr defaultRowHeight="15" x14ac:dyDescent="0.25"/>
  <cols>
    <col min="1" max="2" width="10.7109375" customWidth="1"/>
  </cols>
  <sheetData>
    <row r="1" spans="1:2" x14ac:dyDescent="0.25">
      <c r="A1" t="s">
        <v>421</v>
      </c>
      <c r="B1" t="s">
        <v>422</v>
      </c>
    </row>
    <row r="2" spans="1:2" x14ac:dyDescent="0.25">
      <c r="A2" t="s">
        <v>282</v>
      </c>
      <c r="B2">
        <v>0.8</v>
      </c>
    </row>
    <row r="3" spans="1:2" x14ac:dyDescent="0.25">
      <c r="A3" t="s">
        <v>423</v>
      </c>
      <c r="B3">
        <v>0.4</v>
      </c>
    </row>
    <row r="4" spans="1:2" x14ac:dyDescent="0.25">
      <c r="A4" t="s">
        <v>424</v>
      </c>
      <c r="B4">
        <v>0.2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1F72-7EEA-493D-BF04-CD5FC4278CBF}">
  <sheetPr>
    <tabColor rgb="FFFF0000"/>
  </sheetPr>
  <dimension ref="A1:B4"/>
  <sheetViews>
    <sheetView workbookViewId="0">
      <selection activeCell="I10" sqref="I10"/>
    </sheetView>
  </sheetViews>
  <sheetFormatPr defaultRowHeight="15" x14ac:dyDescent="0.25"/>
  <cols>
    <col min="1" max="2" width="10.7109375" customWidth="1"/>
  </cols>
  <sheetData>
    <row r="1" spans="1:2" x14ac:dyDescent="0.25">
      <c r="A1" t="s">
        <v>425</v>
      </c>
      <c r="B1" t="s">
        <v>426</v>
      </c>
    </row>
    <row r="2" spans="1:2" x14ac:dyDescent="0.25">
      <c r="A2" t="s">
        <v>427</v>
      </c>
      <c r="B2">
        <v>1010</v>
      </c>
    </row>
    <row r="3" spans="1:2" x14ac:dyDescent="0.25">
      <c r="A3" t="s">
        <v>428</v>
      </c>
      <c r="B3">
        <v>855</v>
      </c>
    </row>
    <row r="4" spans="1:2" x14ac:dyDescent="0.25">
      <c r="A4" t="s">
        <v>429</v>
      </c>
      <c r="B4">
        <v>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34</vt:i4>
      </vt:variant>
    </vt:vector>
  </HeadingPairs>
  <TitlesOfParts>
    <vt:vector size="56" baseType="lpstr">
      <vt:lpstr>Front_page</vt:lpstr>
      <vt:lpstr>Gen_inputs</vt:lpstr>
      <vt:lpstr>Gen_WTG</vt:lpstr>
      <vt:lpstr>Gen_WEC</vt:lpstr>
      <vt:lpstr>Gen_PV</vt:lpstr>
      <vt:lpstr>Gen_Vessels</vt:lpstr>
      <vt:lpstr>Gen_ROVs</vt:lpstr>
      <vt:lpstr>InspectionSite</vt:lpstr>
      <vt:lpstr>Operations_prev</vt:lpstr>
      <vt:lpstr>InspectionPort</vt:lpstr>
      <vt:lpstr>CorrectiveMinor</vt:lpstr>
      <vt:lpstr>CorrectiveMajor</vt:lpstr>
      <vt:lpstr>OperationTow</vt:lpstr>
      <vt:lpstr>Activities</vt:lpstr>
      <vt:lpstr>TSA_inputs</vt:lpstr>
      <vt:lpstr>SA_inputs</vt:lpstr>
      <vt:lpstr>SA_Scenarios</vt:lpstr>
      <vt:lpstr>SA_Failures</vt:lpstr>
      <vt:lpstr>C_inputs</vt:lpstr>
      <vt:lpstr>Vessel_fuel</vt:lpstr>
      <vt:lpstr>Vessel_load_factor</vt:lpstr>
      <vt:lpstr>Vessel_fuel_density</vt:lpstr>
      <vt:lpstr>CorrectiveMajor</vt:lpstr>
      <vt:lpstr>CorrectiveMinor</vt:lpstr>
      <vt:lpstr>inputs_distance</vt:lpstr>
      <vt:lpstr>inputs_export_length</vt:lpstr>
      <vt:lpstr>inputs_fail_ratio</vt:lpstr>
      <vt:lpstr>inputs_infant</vt:lpstr>
      <vt:lpstr>inputs_lat</vt:lpstr>
      <vt:lpstr>SA_inputs!inputs_lifetime</vt:lpstr>
      <vt:lpstr>inputs_lon</vt:lpstr>
      <vt:lpstr>inputs_max_wow</vt:lpstr>
      <vt:lpstr>inputs_metocean_file</vt:lpstr>
      <vt:lpstr>inputs_montecarlo</vt:lpstr>
      <vt:lpstr>inputs_port_costs_year</vt:lpstr>
      <vt:lpstr>inputs_roughness</vt:lpstr>
      <vt:lpstr>inputs_shift_dur</vt:lpstr>
      <vt:lpstr>inputs_speed_height</vt:lpstr>
      <vt:lpstr>inputs_surface_roughness</vt:lpstr>
      <vt:lpstr>inputs_terminal_daily_cost</vt:lpstr>
      <vt:lpstr>inputs_transit_between_devices</vt:lpstr>
      <vt:lpstr>inputs_wearout</vt:lpstr>
      <vt:lpstr>pv_devices</vt:lpstr>
      <vt:lpstr>pv_islands</vt:lpstr>
      <vt:lpstr>pv_power</vt:lpstr>
      <vt:lpstr>pv_power_file</vt:lpstr>
      <vt:lpstr>Tow</vt:lpstr>
      <vt:lpstr>wec_devices</vt:lpstr>
      <vt:lpstr>wec_power</vt:lpstr>
      <vt:lpstr>wec_power_file</vt:lpstr>
      <vt:lpstr>wtg_cutin</vt:lpstr>
      <vt:lpstr>wtg_cutoff</vt:lpstr>
      <vt:lpstr>wtg_devices</vt:lpstr>
      <vt:lpstr>wtg_moorings</vt:lpstr>
      <vt:lpstr>wtg_power</vt:lpstr>
      <vt:lpstr>wtg_power_file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2026-02-12T10:15:23Z</dcterms:created>
  <dcterms:modified xsi:type="dcterms:W3CDTF">2026-10-07T14:33:21Z</dcterms:modified>
  <cp:category/>
  <cp:contentStatus/>
</cp:coreProperties>
</file>