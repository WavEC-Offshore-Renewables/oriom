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9C62E476-91F8-4A68-BCCC-5F23A8A635D7}" xr6:coauthVersionLast="47" xr6:coauthVersionMax="47" xr10:uidLastSave="{00000000-0000-0000-0000-000000000000}"/>
  <bookViews>
    <workbookView xWindow="3030" yWindow="3030" windowWidth="21600" windowHeight="11175" tabRatio="828" firstSheet="4" activeTab="14"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<sst xmlns="http://schemas.openxmlformats.org/spreadsheetml/2006/main" count="1461" uniqueCount="456">
  <si>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</si>
  <si>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</si>
  <si>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</si>
  <si>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</si>
  <si>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</si>
  <si>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</si>
  <si>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</si>
  <si>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</si>
  <si>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</si>
  <si>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</si>
  <si>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</si>
  <si>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</si>
  <si>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</si>
  <si>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</si>
  <si>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</si>
  <si>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</si>
  <si>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</si>
  <si>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</si>
  <si>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</si>
  <si>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</si>
  <si>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</si>
  <si>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</si>
  <si>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</si>
  <si>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</si>
  <si>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</si>
  <si>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</si>
  <si>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</si>
  <si>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</si>
  <si>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</si>
  <si>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</si>
  <si>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</si>
  <si>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</si>
  <si>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</si>
  <si>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</si>
  <si>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</si>
  <si>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</si>
  <si>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</si>
  <si>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</si>
  <si>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</si>
  <si>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</si>
  <si>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</si>
  <si>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</si>
  <si>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</si>
  <si>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</si>
  <si>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</si>
  <si>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</si>
  <si>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</si>
  <si>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</si>
  <si>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</si>
  <si>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</si>
  <si>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</si>
  <si>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</si>
  <si>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</si>
  <si>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</si>
  <si>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</si>
  <si>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</si>
  <si>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</si>
  <si>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</si>
  <si>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</si>
  <si>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</si>
  <si>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</si>
  <si>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</si>
  <si>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</si>
  <si>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</si>
  <si>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</si>
  <si>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</si>
  <si>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</si>
  <si>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</si>
  <si>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</si>
  <si>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</si>
  <si>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</si>
  <si>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</si>
  <si>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</si>
  <si>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</si>
  <si>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</si>
  <si>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</si>
  <si>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</si>
  <si>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</si>
  <si>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</si>
  <si>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</si>
  <si>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</si>
  <si>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</si>
  <si>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</si>
  <si>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</si>
  <si>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</si>
  <si>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</si>
  <si>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</si>
  <si>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</si>
  <si>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</si>
  <si>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</si>
  <si>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</si>
  <si>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</si>
  <si>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</si>
  <si>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</si>
  <si>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</si>
  <si>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</si>
  <si>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</si>
  <si>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</si>
  <si>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</si>
  <si>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</si>
  <si>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</si>
  <si>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</si>
  <si>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</si>
  <si>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</si>
  <si>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</si>
  <si>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</si>
  <si>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</si>
  <si>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</si>
  <si>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</si>
  <si>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</si>
  <si>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</si>
  <si>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</si>
  <si>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</si>
  <si>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</si>
  <si>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</si>
  <si>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</si>
  <si>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</si>
  <si>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</si>
  <si>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</si>
  <si>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</si>
  <si>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</si>
  <si>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</si>
  <si>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</si>
  <si>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</si>
  <si>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</si>
  <si>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</si>
  <si>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</si>
  <si>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</si>
  <si>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</si>
  <si>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</si>
  <si>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</si>
  <si>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</si>
  <si>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</si>
  <si>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</si>
  <si>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</si>
  <si>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</si>
  <si>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</si>
  <si>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</si>
  <si>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</si>
  <si>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</si>
  <si>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</si>
  <si>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</si>
  <si>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</si>
  <si>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</si>
  <si>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</si>
  <si>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</si>
  <si>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</si>
  <si>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</si>
  <si>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</si>
  <si>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</si>
  <si>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</si>
  <si>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</si>
  <si>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</si>
  <si>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</si>
  <si>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</si>
  <si>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</si>
  <si>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</si>
  <si>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</si>
  <si>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</si>
  <si>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</si>
  <si>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</si>
  <si>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</si>
  <si>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</si>
  <si>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</si>
  <si>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</si>
  <si>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</si>
  <si>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</si>
  <si>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</si>
  <si>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</si>
  <si>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</si>
  <si>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</si>
  <si>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</si>
  <si>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</si>
  <si>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</si>
  <si>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</si>
  <si>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</si>
  <si>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</si>
  <si>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</si>
  <si>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</si>
  <si>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</si>
  <si>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</si>
  <si>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</si>
  <si>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</si>
  <si>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</si>
  <si>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</si>
  <si>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</si>
  <si>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</si>
  <si>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</si>
  <si>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</si>
  <si>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</si>
  <si>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</si>
  <si>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</si>
  <si>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</si>
  <si>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</si>
  <si>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</si>
  <si>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</si>
  <si>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</si>
  <si>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</si>
  <si>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</si>
  <si>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</si>
  <si>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</si>
  <si>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</si>
  <si>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</si>
  <si>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</si>
  <si>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</si>
  <si>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</si>
  <si>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</si>
  <si>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</si>
  <si>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</si>
  <si>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</si>
  <si>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</si>
  <si>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</si>
  <si>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</si>
  <si>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</si>
  <si>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</si>
  <si>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</si>
  <si>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</si>
  <si>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</si>
  <si>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</si>
  <si>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</si>
  <si>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</si>
  <si>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</si>
  <si>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</si>
  <si>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</si>
  <si>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</si>
  <si>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</si>
  <si>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</si>
  <si>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</si>
  <si>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</si>
  <si>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</si>
  <si>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</si>
  <si>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</si>
  <si>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</si>
  <si>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</si>
  <si>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</si>
  <si>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</si>
  <si>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</si>
  <si>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</si>
  <si>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</si>
  <si>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</si>
  <si>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</si>
  <si>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</si>
  <si>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</si>
  <si>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</si>
  <si>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</si>
  <si>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</si>
  <si>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</si>
  <si>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</si>
  <si>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</si>
  <si>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</si>
  <si>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</si>
  <si>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</si>
  <si>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</si>
  <si>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</si>
  <si>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</si>
  <si>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</si>
  <si>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</si>
  <si>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</si>
  <si>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</si>
  <si>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</si>
  <si>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</si>
  <si>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</si>
  <si>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</si>
  <si>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</si>
  <si>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</si>
  <si>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</si>
  <si>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</si>
  <si>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</si>
  <si>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</si>
  <si>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</si>
  <si>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</si>
  <si>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</si>
  <si>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</si>
  <si>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</si>
  <si>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</si>
  <si>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</si>
  <si>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</si>
  <si>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</si>
  <si>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</si>
  <si>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</si>
  <si>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</si>
  <si>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</si>
  <si>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</si>
  <si>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</si>
  <si>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</si>
  <si>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</si>
  <si>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</si>
  <si>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</si>
  <si>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</si>
  <si>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</si>
  <si>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</si>
  <si>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</si>
  <si>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</si>
  <si>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</si>
  <si>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</si>
  <si>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</si>
  <si>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</si>
  <si>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</si>
  <si>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</si>
  <si>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</si>
  <si>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</si>
  <si>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</si>
  <si>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</si>
  <si>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</si>
  <si>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</si>
  <si>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</si>
  <si>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</si>
  <si>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</si>
  <si>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</si>
  <si>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</si>
  <si>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</si>
  <si>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</si>
  <si>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</si>
  <si>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</si>
  <si>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</si>
  <si>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</si>
  <si>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</si>
  <si>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</si>
  <si>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</si>
  <si>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</si>
  <si>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</si>
  <si>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</si>
  <si>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</si>
  <si>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</si>
  <si>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</si>
  <si>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</si>
  <si>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</si>
  <si>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</si>
  <si>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</si>
  <si>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</si>
  <si>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</si>
  <si>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</si>
  <si>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</si>
  <si>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</si>
  <si>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</si>
  <si>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</si>
  <si>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</si>
  <si>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</si>
  <si>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</si>
  <si>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</si>
  <si>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</si>
  <si>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</si>
  <si>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</si>
  <si>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</si>
  <si>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</si>
  <si>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</si>
  <si>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</si>
  <si>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</si>
  <si>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</si>
  <si>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</si>
  <si>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</si>
  <si>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</si>
  <si>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</si>
  <si>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</si>
  <si>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</si>
  <si>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</si>
  <si>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</si>
  <si>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</si>
  <si>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</si>
  <si>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</si>
  <si>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</si>
  <si>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</si>
  <si>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</si>
  <si>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</si>
  <si>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</si>
  <si>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</si>
  <si>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</si>
  <si>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</si>
  <si>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</si>
  <si>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</si>
  <si>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</si>
  <si>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</si>
  <si>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</si>
  <si>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</si>
  <si>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</si>
  <si>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</si>
  <si>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</si>
  <si>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</si>
  <si>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</si>
  <si>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</si>
  <si>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</si>
  <si>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</si>
  <si>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</si>
  <si>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</si>
  <si>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</si>
  <si>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</si>
  <si>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</si>
  <si>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</si>
  <si>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</si>
  <si>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</si>
  <si>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</si>
  <si>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</si>
  <si>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</si>
  <si>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</si>
  <si>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</si>
  <si>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</si>
  <si>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</si>
  <si>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</si>
  <si>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</si>
  <si>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</si>
  <si>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</si>
  <si>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</si>
  <si>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</si>
  <si>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</si>
  <si>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</si>
  <si>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</si>
  <si>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</si>
  <si>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</si>
  <si>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</si>
  <si>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</si>
  <si>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</si>
  <si>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</si>
  <si>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</si>
  <si>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</si>
  <si>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</si>
  <si>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</si>
  <si>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</si>
  <si>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</si>
  <si>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</si>
  <si>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</si>
  <si>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</si>
  <si>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</si>
  <si>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</si>
  <si>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</si>
  <si>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</si>
  <si>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</si>
  <si>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</si>
  <si>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</si>
  <si>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</si>
  <si>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</si>
  <si>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</si>
  <si>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</si>
  <si>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</si>
  <si>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</si>
  <si>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</si>
  <si>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</si>
  <si>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</si>
  <si>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</si>
  <si>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</si>
  <si>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</si>
  <si>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</si>
  <si>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</si>
  <si>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</si>
  <si>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</si>
  <si>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</si>
  <si>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</si>
  <si>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</si>
  <si>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</si>
  <si>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</si>
  <si>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</si>
  <si>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</si>
  <si>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</si>
  <si>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file loc port</t>
  </si>
  <si>
    <t>Metocean tow distance to previous point 1</t>
  </si>
  <si>
    <t>Metocean tow distance to previous point 2</t>
  </si>
  <si>
    <t>Metocean tow dist port to previous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</si>
</sst>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7">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446</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6" priority="1">
      <formula>AND(ISBLANK($C$3),$C$5&lt;&gt;FALSE)</formula>
    </cfRule>
    <cfRule type="expression" dxfId="65"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440</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433</v>
      </c>
      <c r="B14" t="s">
        <v>13</v>
      </c>
    </row>
    <row r="15" spans="1:3" x14ac:dyDescent="0.25">
      <c r="A15" s="49" t="s">
        <v>438</v>
      </c>
      <c r="B15" t="s">
        <v>13</v>
      </c>
    </row>
    <row r="16" spans="1:3" x14ac:dyDescent="0.25">
      <c r="A16" s="49" t="s">
        <v>439</v>
      </c>
      <c r="B16" t="s">
        <v>13</v>
      </c>
    </row>
  </sheetData>
  <conditionalFormatting sqref="C9:C10">
    <cfRule type="expression" dxfId="64"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445</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433</v>
      </c>
      <c r="B12" t="s">
        <v>13</v>
      </c>
      <c r="C12" s="25"/>
    </row>
  </sheetData>
  <conditionalFormatting sqref="C7">
    <cfRule type="expression" dxfId="63"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62" priority="2">
      <formula>AND(ISBLANK($H$3:$H$1048576), NOT(ISBLANK($I$3:$I$1048576)))</formula>
    </cfRule>
  </conditionalFormatting>
  <conditionalFormatting sqref="I4">
    <cfRule type="expression" dxfId="61"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60" priority="1">
      <formula>AND(COUNTIF(A:A,$A1)&gt;1,$A1&lt;&gt;"")</formula>
    </cfRule>
  </conditionalFormatting>
  <conditionalFormatting sqref="D3:D500 L3:L500">
    <cfRule type="expression" dxfId="59" priority="11">
      <formula>AND(NOT(ISBLANK(D3)),D3=$A3)</formula>
    </cfRule>
  </conditionalFormatting>
  <conditionalFormatting sqref="H3:J500">
    <cfRule type="expression" dxfId="58" priority="79">
      <formula>AND(NOT(ISBLANK($B3)),$H3=0,$I3=0,$J3=0)</formula>
    </cfRule>
  </conditionalFormatting>
  <conditionalFormatting sqref="O3:Q500">
    <cfRule type="expression" dxfId="57" priority="12">
      <formula>AND(NOT(ISBLANK($O3)),NOT(ISBLANK($Q3)))</formula>
    </cfRule>
  </conditionalFormatting>
  <conditionalFormatting sqref="R3:R48">
    <cfRule type="expression" dxfId="56" priority="5">
      <formula>AND(NOT(ISBLANK(R3)),R3=$A3)</formula>
    </cfRule>
  </conditionalFormatting>
  <conditionalFormatting sqref="AD1:AD1048576">
    <cfRule type="expression" dxfId="55" priority="7">
      <formula>AND(NOT(ISBLANK($B1)),IF(AND(NOT(ISBLANK($A1)),ISBLANK(AD1)),TRUE,FALSE))</formula>
    </cfRule>
  </conditionalFormatting>
  <conditionalFormatting sqref="AE3:AE7">
    <cfRule type="expression" dxfId="54"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3" priority="5">
      <formula>AND(COUNTIF(A:A,$A1)&gt;1,$A1&lt;&gt;"")</formula>
    </cfRule>
  </conditionalFormatting>
  <conditionalFormatting sqref="D3:E496">
    <cfRule type="expression" dxfId="52" priority="7">
      <formula>AND(NOT(ISBLANK(D3)),D3=$A3)</formula>
    </cfRule>
  </conditionalFormatting>
  <conditionalFormatting sqref="H3:J496">
    <cfRule type="expression" dxfId="51"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50" priority="2">
      <formula>AND(COUNTIF(A:A,$A1)&gt;1,$A1&lt;&gt;"")</formula>
    </cfRule>
  </conditionalFormatting>
  <conditionalFormatting sqref="G1:G1048576">
    <cfRule type="expression" dxfId="49" priority="3">
      <formula>AND(NOT(ISBLANK($B1)),#REF!=0,$G1=0,#REF!=0)</formula>
    </cfRule>
  </conditionalFormatting>
  <conditionalFormatting sqref="K3:K8">
    <cfRule type="expression" dxfId="48"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7" priority="9">
      <formula>AND(COUNTIF(A:A,$A1)&gt;1,$A1&lt;&gt;"")</formula>
    </cfRule>
  </conditionalFormatting>
  <conditionalFormatting sqref="D6:F492">
    <cfRule type="expression" dxfId="46" priority="5">
      <formula>AND(NOT(ISBLANK($B6)),COUNTBLANK($D6:$F6)&lt;2)</formula>
    </cfRule>
    <cfRule type="expression" dxfId="45" priority="6">
      <formula>AND(NOT(ISBLANK($B6)),COUNTBLANK($D6:$F6)&gt;2)</formula>
    </cfRule>
  </conditionalFormatting>
  <conditionalFormatting sqref="J3:K492">
    <cfRule type="expression" dxfId="44" priority="2">
      <formula>AND(NOT(ISBLANK($K3)),NOT(ISBLANK($L3)))</formula>
    </cfRule>
  </conditionalFormatting>
  <conditionalFormatting sqref="Z3:Z492">
    <cfRule type="expression" dxfId="43"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E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42" priority="9">
      <formula>COUNTIF(B:B,$B1)&gt;1</formula>
    </cfRule>
  </conditionalFormatting>
  <conditionalFormatting sqref="B6:B498">
    <cfRule type="expression" dxfId="41"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0" priority="2">
      <formula>AND(COUNTIF(A:A,$A1)&gt;1,$A1&lt;&gt;"")</formula>
    </cfRule>
  </conditionalFormatting>
  <conditionalFormatting sqref="J3:K11">
    <cfRule type="expression" dxfId="39"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3" sqref="G1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28"/>
      <c r="G13" s="69"/>
      <c r="H13" s="28"/>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8" priority="56">
      <formula>COUNTIF(A:A,A1)&gt;1</formula>
    </cfRule>
  </conditionalFormatting>
  <conditionalFormatting sqref="A3:O500">
    <cfRule type="expression" dxfId="37" priority="103">
      <formula>$C3&lt;&gt;$C4</formula>
    </cfRule>
  </conditionalFormatting>
  <conditionalFormatting sqref="A13:O13">
    <cfRule type="expression" dxfId="36" priority="36">
      <formula>$C13&lt;&gt;#REF!</formula>
    </cfRule>
  </conditionalFormatting>
  <conditionalFormatting sqref="D17">
    <cfRule type="expression" dxfId="35" priority="8">
      <formula>$C17&lt;&gt;#REF!</formula>
    </cfRule>
  </conditionalFormatting>
  <conditionalFormatting sqref="F3:F496">
    <cfRule type="expression" dxfId="33" priority="5">
      <formula>AND(NOT(ISBLANK($F3)),$F3&gt;$I3)</formula>
    </cfRule>
  </conditionalFormatting>
  <conditionalFormatting sqref="G3:G18">
    <cfRule type="expression" dxfId="29" priority="18">
      <formula>AND(NOT(ISBLANK($G3)),$G3&gt;$I3)</formula>
    </cfRule>
  </conditionalFormatting>
  <conditionalFormatting sqref="G19:H496">
    <cfRule type="expression" dxfId="28" priority="22">
      <formula>AND(NOT(ISBLANK($F19)),$F19&gt;$I19)</formula>
    </cfRule>
  </conditionalFormatting>
  <conditionalFormatting sqref="H3:H14">
    <cfRule type="expression" dxfId="26" priority="23">
      <formula>AND(NOT(ISBLANK($H3)),$H3&gt;$I3)</formula>
    </cfRule>
  </conditionalFormatting>
  <conditionalFormatting sqref="H3:H17">
    <cfRule type="expression" dxfId="25" priority="1">
      <formula>AND(NOT(ISBLANK($F3)),$F3&gt;$I3)</formula>
    </cfRule>
  </conditionalFormatting>
  <conditionalFormatting sqref="H18">
    <cfRule type="expression" dxfId="23" priority="9">
      <formula>AND(NOT(ISBLANK($H18)),$H18&gt;$I18)</formula>
    </cfRule>
  </conditionalFormatting>
  <conditionalFormatting sqref="I3:I496">
    <cfRule type="expression" dxfId="22" priority="11">
      <formula>AND($O3,$I3&gt;10)</formula>
    </cfRule>
    <cfRule type="expression" dxfId="21" priority="12">
      <formula>OR(IF(AND(ISNUMBER(SEARCH("tow",LOWER($D3))),$E3="transit"),TRUE,FALSE),IF(ISNUMBER(SEARCH("transit",LOWER($D3))),TRUE,FALSE))</formula>
    </cfRule>
  </conditionalFormatting>
  <conditionalFormatting sqref="I15">
    <cfRule type="expression" dxfId="20" priority="16">
      <formula>$C15&lt;&gt;#REF!</formula>
    </cfRule>
  </conditionalFormatting>
  <conditionalFormatting sqref="I17">
    <cfRule type="expression" dxfId="19" priority="13">
      <formula>$C17&lt;&gt;#REF!</formula>
    </cfRule>
  </conditionalFormatting>
  <conditionalFormatting sqref="L3:M496">
    <cfRule type="expression" dxfId="18" priority="21">
      <formula>AND(NOT(ISBLANK($L3)),NOT(ISBLANK($M3)))</formula>
    </cfRule>
  </conditionalFormatting>
  <conditionalFormatting sqref="M3:M13 M15 M17 M19:M496">
    <cfRule type="expression" dxfId="17" priority="140">
      <formula>AND(AND(IFERROR(FIND("ofw",$C3)&gt;0=FALSE,TRUE),IFERROR(FIND("oce",$C3)&gt;0=FALSE,TRUE)),NOT(ISBLANK($A3)))</formula>
    </cfRule>
  </conditionalFormatting>
  <conditionalFormatting sqref="M14">
    <cfRule type="expression" dxfId="16" priority="123">
      <formula>AND(AND(IFERROR(FIND("ofw",$C14)&gt;0=FALSE,TRUE),IFERROR(FIND("oce",$C14)&gt;0=FALSE,TRUE)),NOT(ISBLANK(#REF!)))</formula>
    </cfRule>
  </conditionalFormatting>
  <conditionalFormatting sqref="M16">
    <cfRule type="expression" dxfId="15" priority="149">
      <formula>AND(AND(IFERROR(FIND("ofw",$C16)&gt;0=FALSE,TRUE),IFERROR(FIND("oce",$C16)&gt;0=FALSE,TRUE)),NOT(ISBLANK($A14)))</formula>
    </cfRule>
  </conditionalFormatting>
  <conditionalFormatting sqref="M18">
    <cfRule type="expression" dxfId="14"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3"/>
  <sheetViews>
    <sheetView tabSelected="1" topLeftCell="A13" workbookViewId="0">
      <selection activeCell="C22" sqref="C22"/>
    </sheetView>
  </sheetViews>
  <sheetFormatPr defaultRowHeight="15" x14ac:dyDescent="0.25"/>
  <cols>
    <col min="1" max="1" width="43.140625" bestFit="1"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434</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17</v>
      </c>
      <c r="B15" t="s">
        <v>13</v>
      </c>
      <c r="C15" s="17" t="b">
        <v>1</v>
      </c>
    </row>
    <row r="16" spans="1:3" x14ac:dyDescent="0.25">
      <c r="A16" t="s">
        <v>329</v>
      </c>
      <c r="B16" t="s">
        <v>13</v>
      </c>
    </row>
    <row r="17" spans="1:3" x14ac:dyDescent="0.25">
      <c r="A17" t="s">
        <v>451</v>
      </c>
      <c r="B17" t="s">
        <v>13</v>
      </c>
      <c r="C17">
        <v>2</v>
      </c>
    </row>
    <row r="18" spans="1:3" x14ac:dyDescent="0.25">
      <c r="A18" t="s">
        <v>448</v>
      </c>
      <c r="B18" t="s">
        <v>13</v>
      </c>
      <c r="C18" t="s">
        <v>449</v>
      </c>
    </row>
    <row r="19" spans="1:3" x14ac:dyDescent="0.25">
      <c r="A19" t="s">
        <v>450</v>
      </c>
      <c r="B19" t="s">
        <v>13</v>
      </c>
      <c r="C19" t="s">
        <v>449</v>
      </c>
    </row>
    <row r="20" spans="1:3" x14ac:dyDescent="0.25">
      <c r="A20" t="s">
        <v>452</v>
      </c>
      <c r="B20" t="s">
        <v>13</v>
      </c>
      <c r="C20" t="s">
        <v>449</v>
      </c>
    </row>
    <row r="21" spans="1:3" x14ac:dyDescent="0.25">
      <c r="A21" t="s">
        <v>453</v>
      </c>
      <c r="B21" t="s">
        <v>321</v>
      </c>
      <c r="C21">
        <v>50</v>
      </c>
    </row>
    <row r="22" spans="1:3" x14ac:dyDescent="0.25">
      <c r="A22" t="s">
        <v>454</v>
      </c>
      <c r="B22" t="s">
        <v>321</v>
      </c>
      <c r="C22">
        <v>100</v>
      </c>
    </row>
    <row r="23" spans="1:3" x14ac:dyDescent="0.25">
      <c r="A23" t="s">
        <v>455</v>
      </c>
      <c r="B23" t="s">
        <v>321</v>
      </c>
      <c r="C23">
        <v>50</v>
      </c>
    </row>
  </sheetData>
  <phoneticPr fontId="3" type="noConversion"/>
  <dataValidations count="6">
    <dataValidation type="custom" allowBlank="1" showInputMessage="1" showErrorMessage="1" errorTitle="Wrong input" error="It must be a decimal greater than 0 and less than or equal to 1." sqref="C12" xr:uid="{C4AFE880-D515-44F2-8F9B-D8F41618D9AA}">
      <formula1>AND(ISNUMBER(C12), C12&gt;0, C12&lt;=1)</formula1>
    </dataValidation>
    <dataValidation type="whole" operator="greaterThanOrEqual" allowBlank="1" showInputMessage="1" showErrorMessage="1" errorTitle="Wrong input" error="It must be an integer greater than or equal to 0." sqref="C11" xr:uid="{B14A503C-4D57-4490-9916-4863F511AFC0}">
      <formula1>0</formula1>
    </dataValidation>
    <dataValidation type="decimal" operator="greaterThanOrEqual" allowBlank="1" showInputMessage="1" showErrorMessage="1" sqref="C13" xr:uid="{848839A1-8BDA-4407-8BA3-5CEBACE82EA3}">
      <formula1>0</formula1>
    </dataValidation>
    <dataValidation type="whole" allowBlank="1" showInputMessage="1" showErrorMessage="1" sqref="C14" xr:uid="{68F28433-67CF-4CC8-A9EA-7536E64F05DD}">
      <formula1>1</formula1>
      <formula2>31</formula2>
    </dataValidation>
    <dataValidation type="decimal" operator="greaterThan" allowBlank="1" showInputMessage="1" showErrorMessage="1" sqref="C15:C16" xr:uid="{AFEC104E-B298-4DC5-B14E-132C0498F2D4}">
      <formula1>0</formula1>
    </dataValidation>
    <dataValidation type="decimal" operator="greaterThan" allowBlank="1" showInputMessage="1" showErrorMessage="1" errorTitle="Wrong input" error="It must be a decimal greater than 0.0." sqref="C7" xr:uid="{9D7C36CC-BBF7-4395-99D5-97015C8DEB25}">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J1" sqref="J1:J1048576"/>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2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2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2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25">
      <c r="A6" s="70" t="s">
        <v>386</v>
      </c>
      <c r="B6" s="62" t="s">
        <v>387</v>
      </c>
      <c r="C6" s="19">
        <v>1</v>
      </c>
      <c r="D6" s="19">
        <v>0.1</v>
      </c>
      <c r="E6" s="20" t="s">
        <v>443</v>
      </c>
      <c r="F6" s="44" t="s">
        <v>185</v>
      </c>
      <c r="G6" s="20" t="s">
        <v>381</v>
      </c>
      <c r="H6" s="20" t="s">
        <v>304</v>
      </c>
      <c r="I6" s="21">
        <v>6</v>
      </c>
      <c r="K6" s="30">
        <v>72</v>
      </c>
      <c r="L6" s="30">
        <v>2000</v>
      </c>
      <c r="M6" s="32"/>
      <c r="N6" s="32" t="b">
        <v>1</v>
      </c>
      <c r="O6">
        <v>100</v>
      </c>
      <c r="P6" s="32"/>
    </row>
    <row r="7" spans="1:16" x14ac:dyDescent="0.2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2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393</v>
      </c>
      <c r="B2" t="s">
        <v>394</v>
      </c>
      <c r="C2" s="22">
        <v>390</v>
      </c>
    </row>
    <row r="3" spans="1:3" x14ac:dyDescent="0.25">
      <c r="A3" t="s">
        <v>395</v>
      </c>
      <c r="B3" t="s">
        <v>394</v>
      </c>
      <c r="C3" s="22">
        <v>730</v>
      </c>
    </row>
    <row r="4" spans="1:3" x14ac:dyDescent="0.25">
      <c r="A4" t="s">
        <v>396</v>
      </c>
      <c r="B4" t="s">
        <v>394</v>
      </c>
      <c r="C4" s="22">
        <v>700</v>
      </c>
    </row>
    <row r="5" spans="1:3" x14ac:dyDescent="0.25">
      <c r="A5" t="s">
        <v>397</v>
      </c>
      <c r="B5" t="s">
        <v>337</v>
      </c>
      <c r="C5" s="22">
        <v>1500</v>
      </c>
    </row>
    <row r="6" spans="1:3" x14ac:dyDescent="0.25">
      <c r="A6" t="s">
        <v>398</v>
      </c>
      <c r="B6" t="s">
        <v>13</v>
      </c>
      <c r="C6" s="48" t="b">
        <v>0</v>
      </c>
    </row>
    <row r="7" spans="1:3" x14ac:dyDescent="0.25">
      <c r="A7" t="s">
        <v>399</v>
      </c>
      <c r="B7" t="s">
        <v>400</v>
      </c>
      <c r="C7" s="24">
        <v>30</v>
      </c>
    </row>
    <row r="8" spans="1:3" x14ac:dyDescent="0.25">
      <c r="A8" t="s">
        <v>401</v>
      </c>
      <c r="B8" t="s">
        <v>337</v>
      </c>
    </row>
    <row r="9" spans="1:3" x14ac:dyDescent="0.25">
      <c r="A9" t="s">
        <v>402</v>
      </c>
      <c r="B9" t="s">
        <v>403</v>
      </c>
      <c r="C9">
        <v>97</v>
      </c>
    </row>
    <row r="10" spans="1:3" x14ac:dyDescent="0.2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405</v>
      </c>
      <c r="B1" t="s">
        <v>406</v>
      </c>
      <c r="C1" t="s">
        <v>407</v>
      </c>
      <c r="D1" t="s">
        <v>408</v>
      </c>
    </row>
    <row r="2" spans="1:4" x14ac:dyDescent="0.25">
      <c r="A2" t="s">
        <v>100</v>
      </c>
      <c r="B2" t="s">
        <v>409</v>
      </c>
      <c r="C2" s="1">
        <f>AVERAGE(2984,16000,4120,9000,9000)</f>
        <v>8220.7999999999993</v>
      </c>
      <c r="D2">
        <f>210</f>
        <v>210</v>
      </c>
    </row>
    <row r="3" spans="1:4" x14ac:dyDescent="0.25">
      <c r="A3" t="s">
        <v>410</v>
      </c>
      <c r="B3" t="s">
        <v>409</v>
      </c>
      <c r="C3" s="1">
        <f>AVERAGE(7883.625,10167,13440,28800,10167)</f>
        <v>14091.525</v>
      </c>
      <c r="D3">
        <f>210</f>
        <v>210</v>
      </c>
    </row>
    <row r="4" spans="1:4" x14ac:dyDescent="0.25">
      <c r="A4" t="s">
        <v>411</v>
      </c>
      <c r="B4" t="s">
        <v>409</v>
      </c>
      <c r="C4">
        <v>13360</v>
      </c>
      <c r="D4">
        <f>210</f>
        <v>210</v>
      </c>
    </row>
    <row r="5" spans="1:4" x14ac:dyDescent="0.25">
      <c r="A5" t="s">
        <v>104</v>
      </c>
      <c r="B5" t="s">
        <v>105</v>
      </c>
      <c r="C5" s="1">
        <f>AVERAGE(808.83,2058.42,1066.24,1790)</f>
        <v>1430.8724999999999</v>
      </c>
      <c r="D5">
        <f>210</f>
        <v>210</v>
      </c>
    </row>
    <row r="6" spans="1:4" x14ac:dyDescent="0.25">
      <c r="A6" t="s">
        <v>412</v>
      </c>
      <c r="B6" t="s">
        <v>409</v>
      </c>
      <c r="C6" s="1">
        <f>AVERAGE(736,8826,27300)</f>
        <v>12287.333333333334</v>
      </c>
      <c r="D6">
        <f>210</f>
        <v>210</v>
      </c>
    </row>
    <row r="7" spans="1:4" x14ac:dyDescent="0.25">
      <c r="A7" t="s">
        <v>102</v>
      </c>
      <c r="B7" t="s">
        <v>409</v>
      </c>
      <c r="C7" s="1">
        <f>AVERAGE(14390,5440,1250)</f>
        <v>7026.666666666667</v>
      </c>
      <c r="D7">
        <f>210</f>
        <v>210</v>
      </c>
    </row>
    <row r="8" spans="1:4" x14ac:dyDescent="0.25">
      <c r="A8" t="s">
        <v>413</v>
      </c>
      <c r="B8" t="s">
        <v>409</v>
      </c>
      <c r="C8" s="1">
        <f>AVERAGE(1783,662.5,3495,442)</f>
        <v>1595.625</v>
      </c>
      <c r="D8">
        <f>210</f>
        <v>210</v>
      </c>
    </row>
    <row r="9" spans="1:4" x14ac:dyDescent="0.25">
      <c r="A9" t="s">
        <v>414</v>
      </c>
      <c r="B9" t="s">
        <v>409</v>
      </c>
      <c r="C9" s="1">
        <f>AVERAGE(2400,4800,13400,4800)</f>
        <v>6350</v>
      </c>
      <c r="D9">
        <f>210</f>
        <v>210</v>
      </c>
    </row>
    <row r="10" spans="1:4" x14ac:dyDescent="0.25">
      <c r="A10" t="s">
        <v>98</v>
      </c>
      <c r="B10" t="s">
        <v>105</v>
      </c>
      <c r="C10" s="1">
        <f>AVERAGE(805.5,1862.345,2316.2,881)</f>
        <v>1466.26125</v>
      </c>
      <c r="D10">
        <f>210</f>
        <v>210</v>
      </c>
    </row>
    <row r="11" spans="1:4" x14ac:dyDescent="0.25">
      <c r="A11" t="s">
        <v>415</v>
      </c>
      <c r="B11" t="s">
        <v>409</v>
      </c>
      <c r="C11" s="1">
        <f>1413</f>
        <v>1413</v>
      </c>
      <c r="D11">
        <f>210</f>
        <v>210</v>
      </c>
    </row>
    <row r="12" spans="1:4" x14ac:dyDescent="0.25">
      <c r="A12" t="s">
        <v>416</v>
      </c>
      <c r="B12" t="s">
        <v>409</v>
      </c>
      <c r="C12" s="1">
        <f>AVERAGE(11380,20477.5,930,21125)</f>
        <v>13478.125</v>
      </c>
      <c r="D12">
        <f>210</f>
        <v>210</v>
      </c>
    </row>
    <row r="13" spans="1:4" x14ac:dyDescent="0.25">
      <c r="A13" t="s">
        <v>417</v>
      </c>
      <c r="B13" t="s">
        <v>409</v>
      </c>
      <c r="C13" s="1">
        <f>AVERAGE(4639.87,2868,7060,6905.9)</f>
        <v>5368.4424999999992</v>
      </c>
      <c r="D13">
        <f>210</f>
        <v>210</v>
      </c>
    </row>
    <row r="14" spans="1:4" x14ac:dyDescent="0.25">
      <c r="A14" t="s">
        <v>418</v>
      </c>
      <c r="B14" t="s">
        <v>409</v>
      </c>
      <c r="C14" s="1">
        <f>AVERAGE(588.24,257.355,147.797)</f>
        <v>331.13066666666668</v>
      </c>
      <c r="D14">
        <f>210</f>
        <v>210</v>
      </c>
    </row>
    <row r="15" spans="1:4" x14ac:dyDescent="0.25">
      <c r="A15" t="s">
        <v>419</v>
      </c>
      <c r="B15" t="s">
        <v>409</v>
      </c>
      <c r="C15" s="1">
        <f>AVERAGE(15250,5386,9022,6334)</f>
        <v>8998</v>
      </c>
      <c r="D15">
        <f>210</f>
        <v>210</v>
      </c>
    </row>
    <row r="16" spans="1:4" x14ac:dyDescent="0.25">
      <c r="A16" t="s">
        <v>420</v>
      </c>
      <c r="B16" t="s">
        <v>421</v>
      </c>
      <c r="C16" s="1">
        <f>AVERAGE(4665,9505,21200,6320,1470,5600,736,18409,3340,11150)</f>
        <v>8239.5</v>
      </c>
      <c r="D16">
        <f>210</f>
        <v>210</v>
      </c>
    </row>
    <row r="17" spans="1:4" x14ac:dyDescent="0.25">
      <c r="A17" t="s">
        <v>422</v>
      </c>
      <c r="B17" t="s">
        <v>409</v>
      </c>
      <c r="C17" s="1">
        <f>AVERAGE(1000,7040,4207)</f>
        <v>4082.3333333333335</v>
      </c>
      <c r="D17">
        <f>210</f>
        <v>210</v>
      </c>
    </row>
    <row r="18" spans="1:4" x14ac:dyDescent="0.2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423</v>
      </c>
      <c r="B1" t="s">
        <v>424</v>
      </c>
    </row>
    <row r="2" spans="1:2" x14ac:dyDescent="0.25">
      <c r="A2" t="s">
        <v>282</v>
      </c>
      <c r="B2">
        <v>0.8</v>
      </c>
    </row>
    <row r="3" spans="1:2" x14ac:dyDescent="0.25">
      <c r="A3" t="s">
        <v>425</v>
      </c>
      <c r="B3">
        <v>0.4</v>
      </c>
    </row>
    <row r="4" spans="1:2" x14ac:dyDescent="0.2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427</v>
      </c>
      <c r="B1" t="s">
        <v>428</v>
      </c>
    </row>
    <row r="2" spans="1:2" x14ac:dyDescent="0.25">
      <c r="A2" t="s">
        <v>429</v>
      </c>
      <c r="B2">
        <v>1010</v>
      </c>
    </row>
    <row r="3" spans="1:2" x14ac:dyDescent="0.25">
      <c r="A3" t="s">
        <v>430</v>
      </c>
      <c r="B3">
        <v>855</v>
      </c>
    </row>
    <row r="4" spans="1:2" x14ac:dyDescent="0.2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2026-05-26T17:35:21Z</dcterms:modified>
  <cp:category/>
  <cp:contentStatus/>
</cp:coreProperties>
</file>