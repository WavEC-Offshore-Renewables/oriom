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66925"/>
  <xr:revisionPtr revIDLastSave="0" documentId="13_ncr:1_{43A4F070-B14B-4FAE-AE30-0D8A045754A8}" xr6:coauthVersionLast="47" xr6:coauthVersionMax="47" xr10:uidLastSave="{00000000-0000-0000-0000-000000000000}"/>
  <bookViews>
    <workbookView xWindow="-103" yWindow="-103" windowWidth="24892" windowHeight="14914" tabRatio="828" activeTab="5" xr2:uid="{74C9B259-FD41-4C34-8501-00BB07545177}"/>
  </bookViews>
  <sheets>
    <sheet name="Gen_Vessels" sheetId="26" r:id="rId1"/>
    <sheet name="Front_page" sheetId="15" r:id="rId2"/>
    <sheet name="Gen_inputs" sheetId="30" r:id="rId3"/>
    <sheet name="Gen_WTG" sheetId="5" r:id="rId4"/>
    <sheet name="Gen_WEC" sheetId="6" r:id="rId5"/>
    <sheet name="Gen_PV" sheetId="7"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l="1"/>
  <c r="C17"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<sst xmlns="http://schemas.openxmlformats.org/spreadsheetml/2006/main" count="1470" uniqueCount="460">
  <si>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</si>
  <si>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</si>
  <si>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</si>
  <si>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</si>
  <si>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</si>
  <si>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</si>
  <si>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</si>
  <si>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</si>
  <si>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</si>
  <si>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</si>
  <si>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</si>
  <si>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</si>
  <si>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</si>
  <si>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</si>
  <si>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</si>
  <si>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</si>
  <si>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</si>
  <si>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</si>
  <si>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</si>
  <si>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</si>
  <si>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</si>
  <si>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</si>
  <si>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</si>
  <si>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</si>
  <si>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</si>
  <si>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</si>
  <si>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</si>
  <si>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</si>
  <si>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</si>
  <si>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</si>
  <si>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</si>
  <si>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</si>
  <si>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</si>
  <si>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</si>
  <si>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</si>
  <si>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</si>
  <si>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</si>
  <si>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</si>
  <si>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</si>
  <si>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</si>
  <si>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</si>
  <si>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</si>
  <si>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</si>
  <si>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</si>
  <si>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</si>
  <si>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</si>
  <si>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</si>
  <si>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</si>
  <si>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</si>
  <si>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</si>
  <si>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</si>
  <si>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</si>
  <si>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</si>
  <si>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</si>
  <si>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</si>
  <si>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</si>
  <si>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</si>
  <si>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</si>
  <si>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</si>
  <si>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</si>
  <si>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</si>
  <si>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</si>
  <si>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</si>
  <si>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</si>
  <si>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</si>
  <si>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</si>
  <si>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</si>
  <si>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</si>
  <si>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</si>
  <si>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</si>
  <si>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</si>
  <si>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</si>
  <si>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</si>
  <si>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</si>
  <si>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</si>
  <si>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</si>
  <si>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</si>
  <si>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</si>
  <si>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</si>
  <si>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</si>
  <si>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</si>
  <si>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</si>
  <si>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</si>
  <si>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</si>
  <si>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</si>
  <si>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</si>
  <si>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</si>
  <si>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</si>
  <si>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</si>
  <si>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</si>
  <si>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</si>
  <si>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</si>
  <si>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</si>
  <si>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</si>
  <si>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</si>
  <si>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</si>
  <si>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</si>
  <si>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</si>
  <si>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</si>
  <si>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</si>
  <si>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</si>
  <si>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</si>
  <si>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</si>
  <si>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</si>
  <si>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</si>
  <si>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</si>
  <si>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</si>
  <si>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</si>
  <si>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</si>
  <si>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</si>
  <si>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</si>
  <si>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</si>
  <si>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</si>
  <si>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</si>
  <si>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</si>
  <si>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</si>
  <si>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</si>
  <si>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</si>
  <si>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</si>
  <si>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</si>
  <si>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</si>
  <si>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</si>
  <si>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</si>
  <si>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</si>
  <si>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</si>
  <si>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</si>
  <si>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</si>
  <si>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</si>
  <si>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</si>
  <si>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</si>
  <si>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</si>
  <si>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</si>
  <si>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</si>
  <si>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</si>
  <si>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</si>
  <si>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</si>
  <si>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</si>
  <si>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</si>
  <si>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</si>
  <si>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</si>
  <si>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</si>
  <si>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</si>
  <si>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</si>
  <si>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</si>
  <si>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</si>
  <si>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</si>
  <si>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</si>
  <si>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</si>
  <si>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</si>
  <si>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</si>
  <si>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</si>
  <si>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</si>
  <si>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</si>
  <si>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</si>
  <si>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</si>
  <si>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</si>
  <si>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</si>
  <si>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</si>
  <si>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</si>
  <si>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</si>
  <si>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</si>
  <si>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</si>
  <si>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</si>
  <si>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</si>
  <si>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</si>
  <si>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</si>
  <si>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</si>
  <si>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</si>
  <si>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</si>
  <si>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</si>
  <si>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</si>
  <si>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</si>
  <si>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</si>
  <si>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</si>
  <si>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</si>
  <si>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</si>
  <si>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</si>
  <si>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</si>
  <si>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</si>
  <si>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</si>
  <si>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</si>
  <si>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</si>
  <si>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</si>
  <si>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</si>
  <si>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</si>
  <si>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</si>
  <si>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</si>
  <si>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</si>
  <si>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</si>
  <si>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</si>
  <si>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</si>
  <si>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</si>
  <si>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</si>
  <si>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</si>
  <si>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</si>
  <si>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</si>
  <si>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</si>
  <si>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</si>
  <si>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</si>
  <si>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</si>
  <si>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</si>
  <si>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</si>
  <si>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</si>
  <si>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</si>
  <si>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</si>
  <si>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</si>
  <si>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</si>
  <si>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</si>
  <si>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</si>
  <si>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</si>
  <si>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</si>
  <si>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</si>
  <si>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</si>
  <si>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</si>
  <si>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</si>
  <si>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</si>
  <si>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</si>
  <si>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</si>
  <si>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</si>
  <si>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</si>
  <si>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</si>
  <si>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</si>
  <si>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</si>
  <si>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</si>
  <si>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</si>
  <si>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</si>
  <si>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</si>
  <si>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</si>
  <si>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</si>
  <si>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</si>
  <si>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</si>
  <si>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</si>
  <si>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</si>
  <si>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</si>
  <si>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</si>
  <si>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</si>
  <si>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</si>
  <si>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</si>
  <si>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</si>
  <si>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</si>
  <si>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</si>
  <si>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</si>
  <si>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</si>
  <si>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</si>
  <si>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</si>
  <si>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</si>
  <si>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</si>
  <si>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</si>
  <si>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</si>
  <si>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</si>
  <si>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</si>
  <si>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</si>
  <si>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</si>
  <si>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</si>
  <si>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</si>
  <si>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</si>
  <si>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</si>
  <si>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</si>
  <si>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</si>
  <si>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</si>
  <si>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</si>
  <si>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</si>
  <si>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</si>
  <si>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</si>
  <si>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</si>
  <si>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</si>
  <si>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</si>
  <si>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</si>
  <si>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</si>
  <si>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</si>
  <si>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</si>
  <si>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</si>
  <si>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</si>
  <si>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</si>
  <si>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</si>
  <si>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</si>
  <si>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</si>
  <si>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</si>
  <si>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</si>
  <si>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</si>
  <si>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</si>
  <si>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</si>
  <si>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</si>
  <si>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</si>
  <si>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</si>
  <si>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</si>
  <si>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</si>
  <si>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</si>
  <si>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</si>
  <si>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</si>
  <si>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</si>
  <si>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</si>
  <si>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</si>
  <si>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</si>
  <si>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</si>
  <si>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</si>
  <si>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</si>
  <si>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</si>
  <si>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</si>
  <si>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</si>
  <si>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</si>
  <si>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</si>
  <si>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</si>
  <si>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</si>
  <si>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</si>
  <si>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</si>
  <si>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</si>
  <si>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</si>
  <si>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</si>
  <si>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</si>
  <si>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</si>
  <si>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</si>
  <si>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</si>
  <si>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</si>
  <si>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</si>
  <si>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</si>
  <si>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</si>
  <si>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</si>
  <si>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</si>
  <si>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</si>
  <si>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</si>
  <si>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</si>
  <si>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</si>
  <si>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</si>
  <si>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</si>
  <si>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</si>
  <si>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</si>
  <si>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</si>
  <si>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</si>
  <si>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</si>
  <si>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</si>
  <si>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</si>
  <si>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</si>
  <si>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</si>
  <si>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</si>
  <si>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</si>
  <si>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</si>
  <si>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</si>
  <si>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</si>
  <si>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</si>
  <si>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</si>
  <si>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</si>
  <si>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</si>
  <si>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</si>
  <si>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</si>
  <si>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</si>
  <si>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</si>
  <si>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</si>
  <si>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</si>
  <si>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</si>
  <si>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</si>
  <si>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</si>
  <si>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</si>
  <si>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</si>
  <si>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</si>
  <si>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</si>
  <si>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</si>
  <si>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</si>
  <si>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</si>
  <si>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</si>
  <si>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</si>
  <si>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</si>
  <si>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</si>
  <si>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</si>
  <si>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</si>
  <si>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</si>
  <si>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</si>
  <si>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</si>
  <si>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</si>
  <si>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</si>
  <si>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</si>
  <si>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</si>
  <si>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</si>
  <si>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</si>
  <si>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</si>
  <si>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</si>
  <si>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</si>
  <si>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</si>
  <si>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</si>
  <si>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</si>
  <si>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</si>
  <si>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</si>
  <si>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</si>
  <si>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</si>
  <si>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</si>
  <si>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</si>
  <si>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</si>
  <si>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</si>
  <si>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</si>
  <si>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</si>
  <si>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</si>
  <si>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</si>
  <si>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</si>
  <si>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</si>
  <si>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</si>
  <si>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</si>
  <si>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</si>
  <si>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</si>
  <si>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</si>
  <si>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</si>
  <si>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</si>
  <si>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</si>
  <si>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</si>
  <si>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</si>
  <si>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</si>
  <si>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</si>
  <si>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</si>
  <si>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</si>
  <si>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</si>
  <si>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</si>
  <si>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</si>
  <si>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</si>
  <si>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</si>
  <si>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</si>
  <si>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</si>
  <si>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</si>
  <si>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</si>
  <si>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</si>
  <si>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</si>
  <si>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</si>
  <si>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</si>
  <si>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</si>
  <si>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</si>
  <si>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</si>
  <si>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</si>
  <si>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</si>
  <si>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</si>
  <si>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</si>
  <si>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</si>
  <si>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</si>
  <si>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</si>
  <si>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</si>
  <si>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</si>
  <si>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</si>
  <si>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</si>
  <si>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</si>
  <si>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</si>
  <si>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</si>
  <si>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</si>
  <si>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</si>
  <si>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</si>
  <si>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</si>
  <si>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</si>
  <si>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</si>
  <si>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</si>
  <si>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</si>
  <si>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</si>
  <si>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</si>
  <si>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</si>
  <si>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</si>
  <si>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</si>
  <si>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</si>
  <si>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</si>
  <si>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</si>
  <si>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</si>
  <si>
    <t>Failure scenario selection</t>
  </si>
  <si>
    <t>preferred_day</t>
  </si>
  <si>
    <t>WTG distances</t>
  </si>
  <si>
    <t>WEC distances</t>
  </si>
  <si>
    <t>PV distances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</si>
</sst>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4">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0" fontId="11" fillId="0" borderId="0" xfId="0" applyFont="1" applyAlignment="1">
      <alignment horizontal="right" indent="1"/>
    </xf>
  </cellXfs>
  <cellStyles count="2">
    <cellStyle name="Normal" xfId="0" builtinId="0"/>
    <cellStyle name="Percent" xfId="1" builtinId="5"/>
  </cellStyles>
  <dxfs count="68">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4.6" x14ac:dyDescent="0.4"/>
  <cols>
    <col min="3" max="3" width="14.69140625" bestFit="1" customWidth="1"/>
    <col min="4" max="4" width="16.69140625" customWidth="1"/>
    <col min="5" max="5" width="15.23046875" customWidth="1"/>
    <col min="6" max="6" width="20.23046875" style="2" customWidth="1"/>
    <col min="7" max="7" width="14.53515625" customWidth="1"/>
    <col min="8" max="8" width="17.15234375" bestFit="1" customWidth="1"/>
    <col min="9" max="9" width="14.53515625" customWidth="1"/>
    <col min="10" max="11" width="14.53515625" style="1" customWidth="1"/>
    <col min="16" max="23" width="18.69140625" customWidth="1"/>
    <col min="24" max="24" width="50.69140625" customWidth="1"/>
  </cols>
  <sheetData>
    <row r="1" spans="1:24" x14ac:dyDescent="0.4">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4">
      <c r="A2" t="s">
        <v>13</v>
      </c>
      <c r="E2" t="s">
        <v>27</v>
      </c>
      <c r="F2" t="s">
        <v>27</v>
      </c>
      <c r="G2" t="s">
        <v>90</v>
      </c>
      <c r="H2" t="s">
        <v>91</v>
      </c>
      <c r="I2" t="s">
        <v>90</v>
      </c>
      <c r="J2" t="s">
        <v>13</v>
      </c>
      <c r="K2" t="s">
        <v>13</v>
      </c>
      <c r="L2" t="s">
        <v>92</v>
      </c>
      <c r="M2" t="s">
        <v>13</v>
      </c>
      <c r="N2" t="s">
        <v>13</v>
      </c>
      <c r="O2" t="s">
        <v>13</v>
      </c>
      <c r="P2" t="s">
        <v>445</v>
      </c>
      <c r="Q2" t="s">
        <v>445</v>
      </c>
      <c r="R2" t="s">
        <v>445</v>
      </c>
      <c r="S2" t="s">
        <v>93</v>
      </c>
      <c r="T2" s="50" t="s">
        <v>13</v>
      </c>
      <c r="U2" s="50" t="s">
        <v>13</v>
      </c>
      <c r="V2" s="49" t="s">
        <v>94</v>
      </c>
      <c r="W2" s="49" t="s">
        <v>13</v>
      </c>
    </row>
    <row r="3" spans="1:24" x14ac:dyDescent="0.4">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4">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4">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4">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4">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4">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4">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4">
      <c r="A10" t="s">
        <v>110</v>
      </c>
      <c r="B10" t="s">
        <v>104</v>
      </c>
      <c r="C10" t="str">
        <f t="shared" si="0"/>
        <v>V201 - CTV</v>
      </c>
      <c r="D10">
        <v>3</v>
      </c>
      <c r="E10">
        <v>10.3</v>
      </c>
      <c r="G10">
        <v>3800</v>
      </c>
      <c r="H10" s="2">
        <v>24</v>
      </c>
      <c r="I10">
        <v>500</v>
      </c>
      <c r="J10" s="1">
        <v>12</v>
      </c>
      <c r="L10">
        <v>1500</v>
      </c>
      <c r="M10" t="s">
        <v>105</v>
      </c>
      <c r="N10" t="b">
        <v>0</v>
      </c>
      <c r="O10" t="b">
        <v>0</v>
      </c>
    </row>
    <row r="11" spans="1:24" x14ac:dyDescent="0.4">
      <c r="H11" s="2"/>
    </row>
    <row r="12" spans="1:24" x14ac:dyDescent="0.4">
      <c r="H12" s="2"/>
    </row>
    <row r="13" spans="1:24" x14ac:dyDescent="0.4">
      <c r="H13" s="2"/>
    </row>
    <row r="14" spans="1:24" x14ac:dyDescent="0.4">
      <c r="H14" s="2"/>
    </row>
    <row r="15" spans="1:24" x14ac:dyDescent="0.4">
      <c r="H15" s="2"/>
    </row>
    <row r="16" spans="1:24" x14ac:dyDescent="0.4">
      <c r="H16" s="2"/>
    </row>
    <row r="17" spans="8:8" x14ac:dyDescent="0.4">
      <c r="H17" s="2"/>
    </row>
    <row r="18" spans="8:8" x14ac:dyDescent="0.4">
      <c r="H18" s="2"/>
    </row>
    <row r="19" spans="8:8" x14ac:dyDescent="0.4">
      <c r="H19" s="2"/>
    </row>
    <row r="20" spans="8:8" x14ac:dyDescent="0.4">
      <c r="H20" s="2"/>
    </row>
    <row r="21" spans="8:8" x14ac:dyDescent="0.4">
      <c r="H21" s="2"/>
    </row>
    <row r="22" spans="8:8" x14ac:dyDescent="0.4">
      <c r="H22" s="2"/>
    </row>
    <row r="23" spans="8:8" x14ac:dyDescent="0.4">
      <c r="H23" s="2"/>
    </row>
    <row r="24" spans="8:8" x14ac:dyDescent="0.4">
      <c r="H24" s="2"/>
    </row>
    <row r="25" spans="8:8" x14ac:dyDescent="0.4">
      <c r="H25" s="2"/>
    </row>
    <row r="26" spans="8:8" x14ac:dyDescent="0.4">
      <c r="H26" s="2"/>
    </row>
    <row r="27" spans="8:8" x14ac:dyDescent="0.4">
      <c r="H27" s="2"/>
    </row>
    <row r="28" spans="8:8" x14ac:dyDescent="0.4">
      <c r="H28" s="2"/>
    </row>
    <row r="29" spans="8:8" x14ac:dyDescent="0.4">
      <c r="H29" s="2"/>
    </row>
    <row r="30" spans="8:8" x14ac:dyDescent="0.4">
      <c r="H30" s="2"/>
    </row>
    <row r="31" spans="8:8" x14ac:dyDescent="0.4">
      <c r="H31" s="2"/>
    </row>
    <row r="32" spans="8:8" x14ac:dyDescent="0.4">
      <c r="H32" s="2"/>
    </row>
    <row r="33" spans="8:8" x14ac:dyDescent="0.4">
      <c r="H33" s="2"/>
    </row>
    <row r="34" spans="8:8" x14ac:dyDescent="0.4">
      <c r="H34" s="2"/>
    </row>
    <row r="35" spans="8:8" x14ac:dyDescent="0.4">
      <c r="H35" s="2"/>
    </row>
    <row r="36" spans="8:8" x14ac:dyDescent="0.4">
      <c r="H36" s="2"/>
    </row>
    <row r="37" spans="8:8" x14ac:dyDescent="0.4">
      <c r="H37" s="2"/>
    </row>
    <row r="38" spans="8:8" x14ac:dyDescent="0.4">
      <c r="H38" s="2"/>
    </row>
    <row r="39" spans="8:8" x14ac:dyDescent="0.4">
      <c r="H39" s="2"/>
    </row>
    <row r="40" spans="8:8" x14ac:dyDescent="0.4">
      <c r="H40" s="2"/>
    </row>
    <row r="41" spans="8:8" x14ac:dyDescent="0.4">
      <c r="H41" s="2"/>
    </row>
    <row r="42" spans="8:8" x14ac:dyDescent="0.4">
      <c r="H42" s="2"/>
    </row>
    <row r="43" spans="8:8" x14ac:dyDescent="0.4">
      <c r="H43" s="2"/>
    </row>
    <row r="44" spans="8:8" x14ac:dyDescent="0.4">
      <c r="H44" s="2"/>
    </row>
    <row r="45" spans="8:8" x14ac:dyDescent="0.4">
      <c r="H45" s="2"/>
    </row>
    <row r="46" spans="8:8" x14ac:dyDescent="0.4">
      <c r="H46" s="2"/>
    </row>
    <row r="47" spans="8:8" x14ac:dyDescent="0.4">
      <c r="H47" s="2"/>
    </row>
    <row r="48" spans="8:8" x14ac:dyDescent="0.4">
      <c r="H48" s="2"/>
    </row>
    <row r="49" spans="8:8" x14ac:dyDescent="0.4">
      <c r="H49" s="2"/>
    </row>
    <row r="50" spans="8:8" x14ac:dyDescent="0.4">
      <c r="H50" s="2"/>
    </row>
    <row r="51" spans="8:8" x14ac:dyDescent="0.4">
      <c r="H51" s="2"/>
    </row>
    <row r="52" spans="8:8" x14ac:dyDescent="0.4">
      <c r="H52" s="2"/>
    </row>
    <row r="53" spans="8:8" x14ac:dyDescent="0.4">
      <c r="H53" s="2"/>
    </row>
    <row r="54" spans="8:8" x14ac:dyDescent="0.4">
      <c r="H54" s="2"/>
    </row>
    <row r="55" spans="8:8" x14ac:dyDescent="0.4">
      <c r="H55" s="2"/>
    </row>
    <row r="56" spans="8:8" x14ac:dyDescent="0.4">
      <c r="H56" s="2"/>
    </row>
    <row r="57" spans="8:8" x14ac:dyDescent="0.4">
      <c r="H57" s="2"/>
    </row>
    <row r="58" spans="8:8" x14ac:dyDescent="0.4">
      <c r="H58" s="2"/>
    </row>
    <row r="59" spans="8:8" x14ac:dyDescent="0.4">
      <c r="H59" s="2"/>
    </row>
    <row r="60" spans="8:8" x14ac:dyDescent="0.4">
      <c r="H60" s="2"/>
    </row>
    <row r="61" spans="8:8" x14ac:dyDescent="0.4">
      <c r="H61" s="2"/>
    </row>
    <row r="62" spans="8:8" x14ac:dyDescent="0.4">
      <c r="H62" s="2"/>
    </row>
    <row r="63" spans="8:8" x14ac:dyDescent="0.4">
      <c r="H63" s="2"/>
    </row>
    <row r="64" spans="8:8" x14ac:dyDescent="0.4">
      <c r="H64" s="2"/>
    </row>
    <row r="65" spans="8:8" x14ac:dyDescent="0.4">
      <c r="H65" s="2"/>
    </row>
    <row r="66" spans="8:8" x14ac:dyDescent="0.4">
      <c r="H66" s="2"/>
    </row>
    <row r="67" spans="8:8" x14ac:dyDescent="0.4">
      <c r="H67" s="2"/>
    </row>
    <row r="68" spans="8:8" x14ac:dyDescent="0.4">
      <c r="H68" s="2"/>
    </row>
    <row r="69" spans="8:8" x14ac:dyDescent="0.4">
      <c r="H69" s="2"/>
    </row>
    <row r="70" spans="8:8" x14ac:dyDescent="0.4">
      <c r="H70" s="2"/>
    </row>
    <row r="71" spans="8:8" x14ac:dyDescent="0.4">
      <c r="H71" s="2"/>
    </row>
    <row r="72" spans="8:8" x14ac:dyDescent="0.4">
      <c r="H72" s="2"/>
    </row>
    <row r="73" spans="8:8" x14ac:dyDescent="0.4">
      <c r="H73" s="2"/>
    </row>
    <row r="74" spans="8:8" x14ac:dyDescent="0.4">
      <c r="H74" s="2"/>
    </row>
    <row r="75" spans="8:8" x14ac:dyDescent="0.4">
      <c r="H75" s="2"/>
    </row>
    <row r="76" spans="8:8" x14ac:dyDescent="0.4">
      <c r="H76" s="2"/>
    </row>
    <row r="77" spans="8:8" x14ac:dyDescent="0.4">
      <c r="H77" s="2"/>
    </row>
    <row r="78" spans="8:8" x14ac:dyDescent="0.4">
      <c r="H78" s="2"/>
    </row>
    <row r="79" spans="8:8" x14ac:dyDescent="0.4">
      <c r="H79" s="2"/>
    </row>
    <row r="80" spans="8:8" x14ac:dyDescent="0.4">
      <c r="H80" s="2"/>
    </row>
    <row r="81" spans="8:8" x14ac:dyDescent="0.4">
      <c r="H81" s="2"/>
    </row>
    <row r="82" spans="8:8" x14ac:dyDescent="0.4">
      <c r="H82" s="2"/>
    </row>
    <row r="83" spans="8:8" x14ac:dyDescent="0.4">
      <c r="H83" s="2"/>
    </row>
    <row r="84" spans="8:8" x14ac:dyDescent="0.4">
      <c r="H84" s="2"/>
    </row>
    <row r="85" spans="8:8" x14ac:dyDescent="0.4">
      <c r="H85" s="2"/>
    </row>
    <row r="86" spans="8:8" x14ac:dyDescent="0.4">
      <c r="H86" s="2"/>
    </row>
    <row r="87" spans="8:8" x14ac:dyDescent="0.4">
      <c r="H87" s="2"/>
    </row>
    <row r="88" spans="8:8" x14ac:dyDescent="0.4">
      <c r="H88" s="2"/>
    </row>
    <row r="89" spans="8:8" x14ac:dyDescent="0.4">
      <c r="H89" s="2"/>
    </row>
    <row r="90" spans="8:8" x14ac:dyDescent="0.4">
      <c r="H90" s="2"/>
    </row>
    <row r="91" spans="8:8" x14ac:dyDescent="0.4">
      <c r="H91" s="2"/>
    </row>
    <row r="92" spans="8:8" x14ac:dyDescent="0.4">
      <c r="H92" s="2"/>
    </row>
    <row r="93" spans="8:8" x14ac:dyDescent="0.4">
      <c r="H93" s="2"/>
    </row>
    <row r="94" spans="8:8" x14ac:dyDescent="0.4">
      <c r="H94" s="2"/>
    </row>
    <row r="95" spans="8:8" x14ac:dyDescent="0.4">
      <c r="H95" s="2"/>
    </row>
    <row r="96" spans="8:8" x14ac:dyDescent="0.4">
      <c r="H96" s="2"/>
    </row>
    <row r="97" spans="8:8" x14ac:dyDescent="0.4">
      <c r="H97" s="2"/>
    </row>
    <row r="98" spans="8:8" x14ac:dyDescent="0.4">
      <c r="H98" s="2"/>
    </row>
    <row r="99" spans="8:8" x14ac:dyDescent="0.4">
      <c r="H99" s="2"/>
    </row>
    <row r="100" spans="8:8" x14ac:dyDescent="0.4">
      <c r="H100" s="2"/>
    </row>
    <row r="101" spans="8:8" x14ac:dyDescent="0.4">
      <c r="H101" s="2"/>
    </row>
    <row r="102" spans="8:8" x14ac:dyDescent="0.4">
      <c r="H102" s="2"/>
    </row>
    <row r="103" spans="8:8" x14ac:dyDescent="0.4">
      <c r="H103" s="2"/>
    </row>
    <row r="104" spans="8:8" x14ac:dyDescent="0.4">
      <c r="H104" s="2"/>
    </row>
    <row r="105" spans="8:8" x14ac:dyDescent="0.4">
      <c r="H105" s="2"/>
    </row>
    <row r="106" spans="8:8" x14ac:dyDescent="0.4">
      <c r="H106" s="2"/>
    </row>
    <row r="107" spans="8:8" x14ac:dyDescent="0.4">
      <c r="H107" s="2"/>
    </row>
    <row r="108" spans="8:8" x14ac:dyDescent="0.4">
      <c r="H108" s="2"/>
    </row>
    <row r="109" spans="8:8" x14ac:dyDescent="0.4">
      <c r="H109" s="2"/>
    </row>
    <row r="110" spans="8:8" x14ac:dyDescent="0.4">
      <c r="H110" s="2"/>
    </row>
    <row r="111" spans="8:8" x14ac:dyDescent="0.4">
      <c r="H111" s="2"/>
    </row>
    <row r="112" spans="8:8" x14ac:dyDescent="0.4">
      <c r="H112" s="2"/>
    </row>
    <row r="113" spans="8:8" x14ac:dyDescent="0.4">
      <c r="H113" s="2"/>
    </row>
    <row r="114" spans="8:8" x14ac:dyDescent="0.4">
      <c r="H114" s="2"/>
    </row>
    <row r="115" spans="8:8" x14ac:dyDescent="0.4">
      <c r="H115" s="2"/>
    </row>
    <row r="116" spans="8:8" x14ac:dyDescent="0.4">
      <c r="H116" s="2"/>
    </row>
    <row r="117" spans="8:8" x14ac:dyDescent="0.4">
      <c r="H117" s="2"/>
    </row>
    <row r="118" spans="8:8" x14ac:dyDescent="0.4">
      <c r="H118" s="2"/>
    </row>
    <row r="119" spans="8:8" x14ac:dyDescent="0.4">
      <c r="H119" s="2"/>
    </row>
    <row r="120" spans="8:8" x14ac:dyDescent="0.4">
      <c r="H120" s="2"/>
    </row>
    <row r="121" spans="8:8" x14ac:dyDescent="0.4">
      <c r="H121" s="2"/>
    </row>
    <row r="122" spans="8:8" x14ac:dyDescent="0.4">
      <c r="H122" s="2"/>
    </row>
    <row r="123" spans="8:8" x14ac:dyDescent="0.4">
      <c r="H123" s="2"/>
    </row>
    <row r="124" spans="8:8" x14ac:dyDescent="0.4">
      <c r="H124" s="2"/>
    </row>
    <row r="125" spans="8:8" x14ac:dyDescent="0.4">
      <c r="H125" s="2"/>
    </row>
    <row r="126" spans="8:8" x14ac:dyDescent="0.4">
      <c r="H126" s="2"/>
    </row>
    <row r="127" spans="8:8" x14ac:dyDescent="0.4">
      <c r="H127" s="2"/>
    </row>
    <row r="128" spans="8:8" x14ac:dyDescent="0.4">
      <c r="H128" s="2"/>
    </row>
    <row r="129" spans="8:8" x14ac:dyDescent="0.4">
      <c r="H129" s="2"/>
    </row>
    <row r="130" spans="8:8" x14ac:dyDescent="0.4">
      <c r="H130" s="2"/>
    </row>
    <row r="131" spans="8:8" x14ac:dyDescent="0.4">
      <c r="H131" s="2"/>
    </row>
    <row r="132" spans="8:8" x14ac:dyDescent="0.4">
      <c r="H132" s="2"/>
    </row>
    <row r="133" spans="8:8" x14ac:dyDescent="0.4">
      <c r="H133" s="2"/>
    </row>
    <row r="134" spans="8:8" x14ac:dyDescent="0.4">
      <c r="H134" s="2"/>
    </row>
    <row r="135" spans="8:8" x14ac:dyDescent="0.4">
      <c r="H135" s="2"/>
    </row>
    <row r="136" spans="8:8" x14ac:dyDescent="0.4">
      <c r="H136" s="2"/>
    </row>
    <row r="137" spans="8:8" x14ac:dyDescent="0.4">
      <c r="H137" s="2"/>
    </row>
    <row r="138" spans="8:8" x14ac:dyDescent="0.4">
      <c r="H138" s="2"/>
    </row>
    <row r="139" spans="8:8" x14ac:dyDescent="0.4">
      <c r="H139" s="2"/>
    </row>
    <row r="140" spans="8:8" x14ac:dyDescent="0.4">
      <c r="H140" s="2"/>
    </row>
    <row r="141" spans="8:8" x14ac:dyDescent="0.4">
      <c r="H141" s="2"/>
    </row>
    <row r="142" spans="8:8" x14ac:dyDescent="0.4">
      <c r="H142" s="2"/>
    </row>
    <row r="143" spans="8:8" x14ac:dyDescent="0.4">
      <c r="H143" s="2"/>
    </row>
    <row r="144" spans="8:8" x14ac:dyDescent="0.4">
      <c r="H144" s="2"/>
    </row>
    <row r="145" spans="8:8" x14ac:dyDescent="0.4">
      <c r="H145" s="2"/>
    </row>
    <row r="146" spans="8:8" x14ac:dyDescent="0.4">
      <c r="H146" s="2"/>
    </row>
    <row r="147" spans="8:8" x14ac:dyDescent="0.4">
      <c r="H147" s="2"/>
    </row>
    <row r="148" spans="8:8" x14ac:dyDescent="0.4">
      <c r="H148" s="2"/>
    </row>
    <row r="149" spans="8:8" x14ac:dyDescent="0.4">
      <c r="H149" s="2"/>
    </row>
    <row r="150" spans="8:8" x14ac:dyDescent="0.4">
      <c r="H150" s="2"/>
    </row>
    <row r="151" spans="8:8" x14ac:dyDescent="0.4">
      <c r="H151" s="2"/>
    </row>
    <row r="152" spans="8:8" x14ac:dyDescent="0.4">
      <c r="H152" s="2"/>
    </row>
    <row r="153" spans="8:8" x14ac:dyDescent="0.4">
      <c r="H153" s="2"/>
    </row>
    <row r="154" spans="8:8" x14ac:dyDescent="0.4">
      <c r="H154" s="2"/>
    </row>
    <row r="155" spans="8:8" x14ac:dyDescent="0.4">
      <c r="H155" s="2"/>
    </row>
    <row r="156" spans="8:8" x14ac:dyDescent="0.4">
      <c r="H156" s="2"/>
    </row>
    <row r="157" spans="8:8" x14ac:dyDescent="0.4">
      <c r="H157" s="2"/>
    </row>
    <row r="158" spans="8:8" x14ac:dyDescent="0.4">
      <c r="H158" s="2"/>
    </row>
    <row r="159" spans="8:8" x14ac:dyDescent="0.4">
      <c r="H159" s="2"/>
    </row>
    <row r="160" spans="8:8" x14ac:dyDescent="0.4">
      <c r="H160" s="2"/>
    </row>
    <row r="161" spans="8:8" x14ac:dyDescent="0.4">
      <c r="H161" s="2"/>
    </row>
    <row r="162" spans="8:8" x14ac:dyDescent="0.4">
      <c r="H162" s="2"/>
    </row>
    <row r="163" spans="8:8" x14ac:dyDescent="0.4">
      <c r="H163" s="2"/>
    </row>
    <row r="164" spans="8:8" x14ac:dyDescent="0.4">
      <c r="H164" s="2"/>
    </row>
    <row r="165" spans="8:8" x14ac:dyDescent="0.4">
      <c r="H165" s="2"/>
    </row>
    <row r="166" spans="8:8" x14ac:dyDescent="0.4">
      <c r="H166" s="2"/>
    </row>
    <row r="167" spans="8:8" x14ac:dyDescent="0.4">
      <c r="H167" s="2"/>
    </row>
    <row r="168" spans="8:8" x14ac:dyDescent="0.4">
      <c r="H168" s="2"/>
    </row>
    <row r="169" spans="8:8" x14ac:dyDescent="0.4">
      <c r="H169" s="2"/>
    </row>
    <row r="170" spans="8:8" x14ac:dyDescent="0.4">
      <c r="H170" s="2"/>
    </row>
    <row r="171" spans="8:8" x14ac:dyDescent="0.4">
      <c r="H171" s="2"/>
    </row>
    <row r="172" spans="8:8" x14ac:dyDescent="0.4">
      <c r="H172" s="2"/>
    </row>
    <row r="173" spans="8:8" x14ac:dyDescent="0.4">
      <c r="H173" s="2"/>
    </row>
    <row r="174" spans="8:8" x14ac:dyDescent="0.4">
      <c r="H174" s="2"/>
    </row>
    <row r="175" spans="8:8" x14ac:dyDescent="0.4">
      <c r="H175" s="2"/>
    </row>
    <row r="176" spans="8:8" x14ac:dyDescent="0.4">
      <c r="H176" s="2"/>
    </row>
    <row r="177" spans="8:8" x14ac:dyDescent="0.4">
      <c r="H177" s="2"/>
    </row>
    <row r="178" spans="8:8" x14ac:dyDescent="0.4">
      <c r="H178" s="2"/>
    </row>
    <row r="179" spans="8:8" x14ac:dyDescent="0.4">
      <c r="H179" s="2"/>
    </row>
    <row r="180" spans="8:8" x14ac:dyDescent="0.4">
      <c r="H180" s="2"/>
    </row>
    <row r="181" spans="8:8" x14ac:dyDescent="0.4">
      <c r="H181" s="2"/>
    </row>
    <row r="182" spans="8:8" x14ac:dyDescent="0.4">
      <c r="H182" s="2"/>
    </row>
    <row r="183" spans="8:8" x14ac:dyDescent="0.4">
      <c r="H183" s="2"/>
    </row>
    <row r="184" spans="8:8" x14ac:dyDescent="0.4">
      <c r="H184" s="2"/>
    </row>
    <row r="185" spans="8:8" x14ac:dyDescent="0.4">
      <c r="H185" s="2"/>
    </row>
    <row r="186" spans="8:8" x14ac:dyDescent="0.4">
      <c r="H186" s="2"/>
    </row>
    <row r="187" spans="8:8" x14ac:dyDescent="0.4">
      <c r="H187" s="2"/>
    </row>
    <row r="188" spans="8:8" x14ac:dyDescent="0.4">
      <c r="H188" s="2"/>
    </row>
    <row r="189" spans="8:8" x14ac:dyDescent="0.4">
      <c r="H189" s="2"/>
    </row>
    <row r="190" spans="8:8" x14ac:dyDescent="0.4">
      <c r="H190" s="2"/>
    </row>
    <row r="191" spans="8:8" x14ac:dyDescent="0.4">
      <c r="H191" s="2"/>
    </row>
    <row r="192" spans="8:8" x14ac:dyDescent="0.4">
      <c r="H192" s="2"/>
    </row>
    <row r="193" spans="8:8" x14ac:dyDescent="0.4">
      <c r="H193" s="2"/>
    </row>
    <row r="194" spans="8:8" x14ac:dyDescent="0.4">
      <c r="H194" s="2"/>
    </row>
    <row r="195" spans="8:8" x14ac:dyDescent="0.4">
      <c r="H195" s="2"/>
    </row>
    <row r="196" spans="8:8" x14ac:dyDescent="0.4">
      <c r="H196" s="2"/>
    </row>
    <row r="197" spans="8:8" x14ac:dyDescent="0.4">
      <c r="H197" s="2"/>
    </row>
    <row r="198" spans="8:8" x14ac:dyDescent="0.4">
      <c r="H198" s="2"/>
    </row>
    <row r="199" spans="8:8" x14ac:dyDescent="0.4">
      <c r="H199" s="2"/>
    </row>
    <row r="200" spans="8:8" x14ac:dyDescent="0.4">
      <c r="H200" s="2"/>
    </row>
    <row r="201" spans="8:8" x14ac:dyDescent="0.4">
      <c r="H201" s="2"/>
    </row>
    <row r="202" spans="8:8" x14ac:dyDescent="0.4">
      <c r="H202" s="2"/>
    </row>
    <row r="203" spans="8:8" x14ac:dyDescent="0.4">
      <c r="H203" s="2"/>
    </row>
    <row r="204" spans="8:8" x14ac:dyDescent="0.4">
      <c r="H204" s="2"/>
    </row>
    <row r="205" spans="8:8" x14ac:dyDescent="0.4">
      <c r="H205" s="2"/>
    </row>
    <row r="206" spans="8:8" x14ac:dyDescent="0.4">
      <c r="H206" s="2"/>
    </row>
    <row r="207" spans="8:8" x14ac:dyDescent="0.4">
      <c r="H207" s="2"/>
    </row>
    <row r="208" spans="8:8" x14ac:dyDescent="0.4">
      <c r="H208" s="2"/>
    </row>
    <row r="209" spans="8:8" x14ac:dyDescent="0.4">
      <c r="H209" s="2"/>
    </row>
    <row r="210" spans="8:8" x14ac:dyDescent="0.4">
      <c r="H210" s="2"/>
    </row>
    <row r="211" spans="8:8" x14ac:dyDescent="0.4">
      <c r="H211" s="2"/>
    </row>
    <row r="212" spans="8:8" x14ac:dyDescent="0.4">
      <c r="H212" s="2"/>
    </row>
    <row r="213" spans="8:8" x14ac:dyDescent="0.4">
      <c r="H213" s="2"/>
    </row>
    <row r="214" spans="8:8" x14ac:dyDescent="0.4">
      <c r="H214" s="2"/>
    </row>
    <row r="215" spans="8:8" x14ac:dyDescent="0.4">
      <c r="H215" s="2"/>
    </row>
    <row r="216" spans="8:8" x14ac:dyDescent="0.4">
      <c r="H216" s="2"/>
    </row>
    <row r="217" spans="8:8" x14ac:dyDescent="0.4">
      <c r="H217" s="2"/>
    </row>
    <row r="218" spans="8:8" x14ac:dyDescent="0.4">
      <c r="H218" s="2"/>
    </row>
    <row r="219" spans="8:8" x14ac:dyDescent="0.4">
      <c r="H219" s="2"/>
    </row>
    <row r="220" spans="8:8" x14ac:dyDescent="0.4">
      <c r="H220" s="2"/>
    </row>
    <row r="221" spans="8:8" x14ac:dyDescent="0.4">
      <c r="H221" s="2"/>
    </row>
    <row r="222" spans="8:8" x14ac:dyDescent="0.4">
      <c r="H222" s="2"/>
    </row>
    <row r="223" spans="8:8" x14ac:dyDescent="0.4">
      <c r="H223" s="2"/>
    </row>
    <row r="224" spans="8:8" x14ac:dyDescent="0.4">
      <c r="H224" s="2"/>
    </row>
    <row r="225" spans="8:8" x14ac:dyDescent="0.4">
      <c r="H225" s="2"/>
    </row>
    <row r="226" spans="8:8" x14ac:dyDescent="0.4">
      <c r="H226" s="2"/>
    </row>
    <row r="227" spans="8:8" x14ac:dyDescent="0.4">
      <c r="H227" s="2"/>
    </row>
    <row r="228" spans="8:8" x14ac:dyDescent="0.4">
      <c r="H228" s="2"/>
    </row>
    <row r="229" spans="8:8" x14ac:dyDescent="0.4">
      <c r="H229" s="2"/>
    </row>
    <row r="230" spans="8:8" x14ac:dyDescent="0.4">
      <c r="H230" s="2"/>
    </row>
    <row r="231" spans="8:8" x14ac:dyDescent="0.4">
      <c r="H231" s="2"/>
    </row>
    <row r="232" spans="8:8" x14ac:dyDescent="0.4">
      <c r="H232" s="2"/>
    </row>
    <row r="233" spans="8:8" x14ac:dyDescent="0.4">
      <c r="H233" s="2"/>
    </row>
    <row r="234" spans="8:8" x14ac:dyDescent="0.4">
      <c r="H234" s="2"/>
    </row>
    <row r="235" spans="8:8" x14ac:dyDescent="0.4">
      <c r="H235" s="2"/>
    </row>
    <row r="236" spans="8:8" x14ac:dyDescent="0.4">
      <c r="H236" s="2"/>
    </row>
    <row r="237" spans="8:8" x14ac:dyDescent="0.4">
      <c r="H237" s="2"/>
    </row>
    <row r="238" spans="8:8" x14ac:dyDescent="0.4">
      <c r="H238" s="2"/>
    </row>
    <row r="239" spans="8:8" x14ac:dyDescent="0.4">
      <c r="H239" s="2"/>
    </row>
    <row r="240" spans="8:8" x14ac:dyDescent="0.4">
      <c r="H240" s="2"/>
    </row>
    <row r="241" spans="8:8" x14ac:dyDescent="0.4">
      <c r="H241" s="2"/>
    </row>
    <row r="242" spans="8:8" x14ac:dyDescent="0.4">
      <c r="H242" s="2"/>
    </row>
    <row r="243" spans="8:8" x14ac:dyDescent="0.4">
      <c r="H243" s="2"/>
    </row>
    <row r="244" spans="8:8" x14ac:dyDescent="0.4">
      <c r="H244" s="2"/>
    </row>
    <row r="245" spans="8:8" x14ac:dyDescent="0.4">
      <c r="H245" s="2"/>
    </row>
    <row r="246" spans="8:8" x14ac:dyDescent="0.4">
      <c r="H246" s="2"/>
    </row>
    <row r="247" spans="8:8" x14ac:dyDescent="0.4">
      <c r="H247" s="2"/>
    </row>
    <row r="248" spans="8:8" x14ac:dyDescent="0.4">
      <c r="H248" s="2"/>
    </row>
    <row r="249" spans="8:8" x14ac:dyDescent="0.4">
      <c r="H249" s="2"/>
    </row>
    <row r="250" spans="8:8" x14ac:dyDescent="0.4">
      <c r="H250" s="2"/>
    </row>
    <row r="251" spans="8:8" x14ac:dyDescent="0.4">
      <c r="H251" s="2"/>
    </row>
    <row r="252" spans="8:8" x14ac:dyDescent="0.4">
      <c r="H252" s="2"/>
    </row>
    <row r="253" spans="8:8" x14ac:dyDescent="0.4">
      <c r="H253" s="2"/>
    </row>
    <row r="254" spans="8:8" x14ac:dyDescent="0.4">
      <c r="H254" s="2"/>
    </row>
    <row r="255" spans="8:8" x14ac:dyDescent="0.4">
      <c r="H255" s="2"/>
    </row>
    <row r="256" spans="8:8" x14ac:dyDescent="0.4">
      <c r="H256" s="2"/>
    </row>
    <row r="257" spans="8:8" x14ac:dyDescent="0.4">
      <c r="H257" s="2"/>
    </row>
    <row r="258" spans="8:8" x14ac:dyDescent="0.4">
      <c r="H258" s="2"/>
    </row>
    <row r="259" spans="8:8" x14ac:dyDescent="0.4">
      <c r="H259" s="2"/>
    </row>
    <row r="260" spans="8:8" x14ac:dyDescent="0.4">
      <c r="H260" s="2"/>
    </row>
    <row r="261" spans="8:8" x14ac:dyDescent="0.4">
      <c r="H261" s="2"/>
    </row>
    <row r="262" spans="8:8" x14ac:dyDescent="0.4">
      <c r="H262" s="2"/>
    </row>
    <row r="263" spans="8:8" x14ac:dyDescent="0.4">
      <c r="H263" s="2"/>
    </row>
    <row r="264" spans="8:8" x14ac:dyDescent="0.4">
      <c r="H264" s="2"/>
    </row>
    <row r="265" spans="8:8" x14ac:dyDescent="0.4">
      <c r="H265" s="2"/>
    </row>
    <row r="266" spans="8:8" x14ac:dyDescent="0.4">
      <c r="H266" s="2"/>
    </row>
    <row r="267" spans="8:8" x14ac:dyDescent="0.4">
      <c r="H267" s="2"/>
    </row>
    <row r="268" spans="8:8" x14ac:dyDescent="0.4">
      <c r="H268" s="2"/>
    </row>
    <row r="269" spans="8:8" x14ac:dyDescent="0.4">
      <c r="H269" s="2"/>
    </row>
    <row r="270" spans="8:8" x14ac:dyDescent="0.4">
      <c r="H270" s="2"/>
    </row>
    <row r="271" spans="8:8" x14ac:dyDescent="0.4">
      <c r="H271" s="2"/>
    </row>
    <row r="272" spans="8:8" x14ac:dyDescent="0.4">
      <c r="H272" s="2"/>
    </row>
    <row r="273" spans="8:8" x14ac:dyDescent="0.4">
      <c r="H273" s="2"/>
    </row>
    <row r="274" spans="8:8" x14ac:dyDescent="0.4">
      <c r="H274" s="2"/>
    </row>
    <row r="275" spans="8:8" x14ac:dyDescent="0.4">
      <c r="H275" s="2"/>
    </row>
    <row r="276" spans="8:8" x14ac:dyDescent="0.4">
      <c r="H276" s="2"/>
    </row>
    <row r="277" spans="8:8" x14ac:dyDescent="0.4">
      <c r="H277" s="2"/>
    </row>
    <row r="278" spans="8:8" x14ac:dyDescent="0.4">
      <c r="H278" s="2"/>
    </row>
    <row r="279" spans="8:8" x14ac:dyDescent="0.4">
      <c r="H279" s="2"/>
    </row>
    <row r="280" spans="8:8" x14ac:dyDescent="0.4">
      <c r="H280" s="2"/>
    </row>
    <row r="281" spans="8:8" x14ac:dyDescent="0.4">
      <c r="H281" s="2"/>
    </row>
    <row r="282" spans="8:8" x14ac:dyDescent="0.4">
      <c r="H282" s="2"/>
    </row>
    <row r="283" spans="8:8" x14ac:dyDescent="0.4">
      <c r="H283" s="2"/>
    </row>
    <row r="284" spans="8:8" x14ac:dyDescent="0.4">
      <c r="H284" s="2"/>
    </row>
    <row r="285" spans="8:8" x14ac:dyDescent="0.4">
      <c r="H285" s="2"/>
    </row>
    <row r="286" spans="8:8" x14ac:dyDescent="0.4">
      <c r="H286" s="2"/>
    </row>
    <row r="287" spans="8:8" x14ac:dyDescent="0.4">
      <c r="H287" s="2"/>
    </row>
    <row r="288" spans="8:8" x14ac:dyDescent="0.4">
      <c r="H288" s="2"/>
    </row>
    <row r="289" spans="8:8" x14ac:dyDescent="0.4">
      <c r="H289" s="2"/>
    </row>
    <row r="290" spans="8:8" x14ac:dyDescent="0.4">
      <c r="H290" s="2"/>
    </row>
    <row r="291" spans="8:8" x14ac:dyDescent="0.4">
      <c r="H291" s="2"/>
    </row>
    <row r="292" spans="8:8" x14ac:dyDescent="0.4">
      <c r="H292" s="2"/>
    </row>
    <row r="293" spans="8:8" x14ac:dyDescent="0.4">
      <c r="H293" s="2"/>
    </row>
    <row r="294" spans="8:8" x14ac:dyDescent="0.4">
      <c r="H294" s="2"/>
    </row>
    <row r="295" spans="8:8" x14ac:dyDescent="0.4">
      <c r="H295" s="2"/>
    </row>
    <row r="296" spans="8:8" x14ac:dyDescent="0.4">
      <c r="H296" s="2"/>
    </row>
    <row r="297" spans="8:8" x14ac:dyDescent="0.4">
      <c r="H297" s="2"/>
    </row>
    <row r="298" spans="8:8" x14ac:dyDescent="0.4">
      <c r="H298" s="2"/>
    </row>
    <row r="299" spans="8:8" x14ac:dyDescent="0.4">
      <c r="H299" s="2"/>
    </row>
    <row r="300" spans="8:8" x14ac:dyDescent="0.4">
      <c r="H300" s="2"/>
    </row>
    <row r="301" spans="8:8" x14ac:dyDescent="0.4">
      <c r="H301" s="2"/>
    </row>
    <row r="302" spans="8:8" x14ac:dyDescent="0.4">
      <c r="H302" s="2"/>
    </row>
    <row r="303" spans="8:8" x14ac:dyDescent="0.4">
      <c r="H303" s="2"/>
    </row>
    <row r="304" spans="8:8" x14ac:dyDescent="0.4">
      <c r="H304" s="2"/>
    </row>
    <row r="305" spans="8:8" x14ac:dyDescent="0.4">
      <c r="H305" s="2"/>
    </row>
    <row r="306" spans="8:8" x14ac:dyDescent="0.4">
      <c r="H306" s="2"/>
    </row>
    <row r="307" spans="8:8" x14ac:dyDescent="0.4">
      <c r="H307" s="2"/>
    </row>
    <row r="308" spans="8:8" x14ac:dyDescent="0.4">
      <c r="H308" s="2"/>
    </row>
    <row r="309" spans="8:8" x14ac:dyDescent="0.4">
      <c r="H309" s="2"/>
    </row>
    <row r="310" spans="8:8" x14ac:dyDescent="0.4">
      <c r="H310" s="2"/>
    </row>
    <row r="311" spans="8:8" x14ac:dyDescent="0.4">
      <c r="H311" s="2"/>
    </row>
    <row r="312" spans="8:8" x14ac:dyDescent="0.4">
      <c r="H312" s="2"/>
    </row>
    <row r="313" spans="8:8" x14ac:dyDescent="0.4">
      <c r="H313" s="2"/>
    </row>
    <row r="314" spans="8:8" x14ac:dyDescent="0.4">
      <c r="H314" s="2"/>
    </row>
    <row r="315" spans="8:8" x14ac:dyDescent="0.4">
      <c r="H315" s="2"/>
    </row>
    <row r="316" spans="8:8" x14ac:dyDescent="0.4">
      <c r="H316" s="2"/>
    </row>
    <row r="317" spans="8:8" x14ac:dyDescent="0.4">
      <c r="H317" s="2"/>
    </row>
    <row r="318" spans="8:8" x14ac:dyDescent="0.4">
      <c r="H318" s="2"/>
    </row>
    <row r="319" spans="8:8" x14ac:dyDescent="0.4">
      <c r="H319" s="2"/>
    </row>
    <row r="320" spans="8:8" x14ac:dyDescent="0.4">
      <c r="H320" s="2"/>
    </row>
    <row r="321" spans="8:8" x14ac:dyDescent="0.4">
      <c r="H321" s="2"/>
    </row>
    <row r="322" spans="8:8" x14ac:dyDescent="0.4">
      <c r="H322" s="2"/>
    </row>
    <row r="323" spans="8:8" x14ac:dyDescent="0.4">
      <c r="H323" s="2"/>
    </row>
    <row r="324" spans="8:8" x14ac:dyDescent="0.4">
      <c r="H324" s="2"/>
    </row>
    <row r="325" spans="8:8" x14ac:dyDescent="0.4">
      <c r="H325" s="2"/>
    </row>
    <row r="326" spans="8:8" x14ac:dyDescent="0.4">
      <c r="H326" s="2"/>
    </row>
    <row r="327" spans="8:8" x14ac:dyDescent="0.4">
      <c r="H327" s="2"/>
    </row>
    <row r="328" spans="8:8" x14ac:dyDescent="0.4">
      <c r="H328" s="2"/>
    </row>
    <row r="329" spans="8:8" x14ac:dyDescent="0.4">
      <c r="H329" s="2"/>
    </row>
    <row r="330" spans="8:8" x14ac:dyDescent="0.4">
      <c r="H330" s="2"/>
    </row>
    <row r="331" spans="8:8" x14ac:dyDescent="0.4">
      <c r="H331" s="2"/>
    </row>
    <row r="332" spans="8:8" x14ac:dyDescent="0.4">
      <c r="H332" s="2"/>
    </row>
    <row r="333" spans="8:8" x14ac:dyDescent="0.4">
      <c r="H333" s="2"/>
    </row>
    <row r="334" spans="8:8" x14ac:dyDescent="0.4">
      <c r="H334" s="2"/>
    </row>
    <row r="335" spans="8:8" x14ac:dyDescent="0.4">
      <c r="H335" s="2"/>
    </row>
    <row r="336" spans="8:8" x14ac:dyDescent="0.4">
      <c r="H336" s="2"/>
    </row>
    <row r="337" spans="8:8" x14ac:dyDescent="0.4">
      <c r="H337" s="2"/>
    </row>
    <row r="338" spans="8:8" x14ac:dyDescent="0.4">
      <c r="H338" s="2"/>
    </row>
    <row r="339" spans="8:8" x14ac:dyDescent="0.4">
      <c r="H339" s="2"/>
    </row>
    <row r="340" spans="8:8" x14ac:dyDescent="0.4">
      <c r="H340" s="2"/>
    </row>
    <row r="341" spans="8:8" x14ac:dyDescent="0.4">
      <c r="H341" s="2"/>
    </row>
    <row r="342" spans="8:8" x14ac:dyDescent="0.4">
      <c r="H342" s="2"/>
    </row>
    <row r="343" spans="8:8" x14ac:dyDescent="0.4">
      <c r="H343" s="2"/>
    </row>
    <row r="344" spans="8:8" x14ac:dyDescent="0.4">
      <c r="H344" s="2"/>
    </row>
    <row r="345" spans="8:8" x14ac:dyDescent="0.4">
      <c r="H345" s="2"/>
    </row>
    <row r="346" spans="8:8" x14ac:dyDescent="0.4">
      <c r="H346" s="2"/>
    </row>
    <row r="347" spans="8:8" x14ac:dyDescent="0.4">
      <c r="H347" s="2"/>
    </row>
    <row r="348" spans="8:8" x14ac:dyDescent="0.4">
      <c r="H348" s="2"/>
    </row>
    <row r="349" spans="8:8" x14ac:dyDescent="0.4">
      <c r="H349" s="2"/>
    </row>
    <row r="350" spans="8:8" x14ac:dyDescent="0.4">
      <c r="H350" s="2"/>
    </row>
    <row r="351" spans="8:8" x14ac:dyDescent="0.4">
      <c r="H351" s="2"/>
    </row>
    <row r="352" spans="8:8" x14ac:dyDescent="0.4">
      <c r="H352" s="2"/>
    </row>
    <row r="353" spans="8:8" x14ac:dyDescent="0.4">
      <c r="H353" s="2"/>
    </row>
    <row r="354" spans="8:8" x14ac:dyDescent="0.4">
      <c r="H354" s="2"/>
    </row>
    <row r="355" spans="8:8" x14ac:dyDescent="0.4">
      <c r="H355" s="2"/>
    </row>
    <row r="356" spans="8:8" x14ac:dyDescent="0.4">
      <c r="H356" s="2"/>
    </row>
    <row r="357" spans="8:8" x14ac:dyDescent="0.4">
      <c r="H357" s="2"/>
    </row>
    <row r="358" spans="8:8" x14ac:dyDescent="0.4">
      <c r="H358" s="2"/>
    </row>
    <row r="359" spans="8:8" x14ac:dyDescent="0.4">
      <c r="H359" s="2"/>
    </row>
    <row r="360" spans="8:8" x14ac:dyDescent="0.4">
      <c r="H360" s="2"/>
    </row>
    <row r="361" spans="8:8" x14ac:dyDescent="0.4">
      <c r="H361" s="2"/>
    </row>
  </sheetData>
  <conditionalFormatting sqref="H3:H1048576">
    <cfRule type="expression" dxfId="63" priority="2">
      <formula>AND(ISBLANK($H$3:$H$1048576), NOT(ISBLANK($I$3:$I$1048576)))</formula>
    </cfRule>
  </conditionalFormatting>
  <conditionalFormatting sqref="I4">
    <cfRule type="expression" dxfId="62"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4.6" x14ac:dyDescent="0.4"/>
  <sheetData>
    <row r="2" spans="2:3" x14ac:dyDescent="0.4">
      <c r="B2" s="3"/>
      <c r="C2" t="s">
        <v>0</v>
      </c>
    </row>
    <row r="3" spans="2:3" x14ac:dyDescent="0.4">
      <c r="B3" t="s">
        <v>1</v>
      </c>
      <c r="C3" t="s">
        <v>2</v>
      </c>
    </row>
    <row r="4" spans="2:3" x14ac:dyDescent="0.4">
      <c r="B4" t="s">
        <v>3</v>
      </c>
      <c r="C4" t="s">
        <v>4</v>
      </c>
    </row>
    <row r="5" spans="2:3" x14ac:dyDescent="0.4">
      <c r="B5" t="s">
        <v>5</v>
      </c>
      <c r="C5" t="s">
        <v>6</v>
      </c>
    </row>
    <row r="6" spans="2:3" x14ac:dyDescent="0.4">
      <c r="B6" t="s">
        <v>7</v>
      </c>
      <c r="C6" t="s">
        <v>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4.6" x14ac:dyDescent="0.4"/>
  <cols>
    <col min="1" max="1" width="41.53515625" customWidth="1"/>
    <col min="2" max="2" width="10.69140625" customWidth="1"/>
    <col min="3" max="3" width="12.69140625" customWidth="1"/>
  </cols>
  <sheetData>
    <row r="1" spans="1:3" x14ac:dyDescent="0.4">
      <c r="A1" t="s">
        <v>9</v>
      </c>
      <c r="B1" t="s">
        <v>10</v>
      </c>
      <c r="C1" t="s">
        <v>11</v>
      </c>
    </row>
    <row r="2" spans="1:3" x14ac:dyDescent="0.4">
      <c r="A2" t="s">
        <v>12</v>
      </c>
      <c r="B2" t="s">
        <v>13</v>
      </c>
      <c r="C2" s="74"/>
    </row>
    <row r="3" spans="1:3" x14ac:dyDescent="0.4">
      <c r="A3" t="s">
        <v>14</v>
      </c>
      <c r="B3" t="s">
        <v>13</v>
      </c>
      <c r="C3" s="32" t="b">
        <v>0</v>
      </c>
    </row>
    <row r="4" spans="1:3" x14ac:dyDescent="0.4">
      <c r="A4" t="s">
        <v>15</v>
      </c>
      <c r="B4" t="s">
        <v>13</v>
      </c>
      <c r="C4" s="32">
        <v>10</v>
      </c>
    </row>
    <row r="5" spans="1:3" x14ac:dyDescent="0.4">
      <c r="A5" s="49" t="s">
        <v>16</v>
      </c>
      <c r="B5" s="50" t="s">
        <v>13</v>
      </c>
      <c r="C5" s="49"/>
    </row>
    <row r="6" spans="1:3" x14ac:dyDescent="0.4">
      <c r="A6" t="s">
        <v>17</v>
      </c>
      <c r="B6" t="s">
        <v>13</v>
      </c>
      <c r="C6" s="32"/>
    </row>
    <row r="7" spans="1:3" x14ac:dyDescent="0.4">
      <c r="A7" s="49" t="s">
        <v>18</v>
      </c>
      <c r="B7" s="50" t="s">
        <v>13</v>
      </c>
      <c r="C7" s="51"/>
    </row>
    <row r="8" spans="1:3" x14ac:dyDescent="0.4">
      <c r="A8" s="49" t="s">
        <v>19</v>
      </c>
      <c r="B8" t="s">
        <v>13</v>
      </c>
      <c r="C8" s="74"/>
    </row>
    <row r="9" spans="1:3" x14ac:dyDescent="0.4">
      <c r="A9" s="49" t="s">
        <v>444</v>
      </c>
      <c r="B9" s="49" t="s">
        <v>13</v>
      </c>
      <c r="C9" s="21"/>
    </row>
    <row r="10" spans="1:3" x14ac:dyDescent="0.4">
      <c r="C10" s="21"/>
    </row>
    <row r="11" spans="1:3" x14ac:dyDescent="0.4">
      <c r="C11" s="22"/>
    </row>
    <row r="12" spans="1:3" x14ac:dyDescent="0.4">
      <c r="C12" s="24"/>
    </row>
    <row r="13" spans="1:3" x14ac:dyDescent="0.4">
      <c r="C13" s="24"/>
    </row>
    <row r="14" spans="1:3" x14ac:dyDescent="0.4">
      <c r="C14" s="24"/>
    </row>
    <row r="15" spans="1:3" x14ac:dyDescent="0.4">
      <c r="C15" s="24"/>
    </row>
    <row r="16" spans="1:3" x14ac:dyDescent="0.4">
      <c r="C16" s="24"/>
    </row>
    <row r="17" spans="3:3" x14ac:dyDescent="0.4">
      <c r="C17" s="22"/>
    </row>
    <row r="18" spans="3:3" x14ac:dyDescent="0.4">
      <c r="C18" s="22"/>
    </row>
    <row r="19" spans="3:3" x14ac:dyDescent="0.4">
      <c r="C19" s="21"/>
    </row>
    <row r="20" spans="3:3" x14ac:dyDescent="0.4">
      <c r="C20" s="21"/>
    </row>
    <row r="21" spans="3:3" x14ac:dyDescent="0.4">
      <c r="C21" s="17"/>
    </row>
    <row r="22" spans="3:3" x14ac:dyDescent="0.4">
      <c r="C22" s="22"/>
    </row>
    <row r="23" spans="3:3" x14ac:dyDescent="0.4">
      <c r="C23" s="24"/>
    </row>
    <row r="24" spans="3:3" x14ac:dyDescent="0.4">
      <c r="C24" s="17"/>
    </row>
    <row r="25" spans="3:3" x14ac:dyDescent="0.4">
      <c r="C25" s="17"/>
    </row>
    <row r="26" spans="3:3" x14ac:dyDescent="0.4">
      <c r="C26" s="17"/>
    </row>
  </sheetData>
  <conditionalFormatting sqref="C5">
    <cfRule type="expression" dxfId="67" priority="1">
      <formula>AND(ISBLANK($C$3),$C$5&lt;&gt;FALSE)</formula>
    </cfRule>
    <cfRule type="expression" dxfId="66"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7"/>
  <sheetViews>
    <sheetView workbookViewId="0">
      <selection activeCell="B17" sqref="B17"/>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23</v>
      </c>
      <c r="B2" t="s">
        <v>13</v>
      </c>
      <c r="C2">
        <v>0</v>
      </c>
    </row>
    <row r="3" spans="1:3" x14ac:dyDescent="0.4">
      <c r="A3" t="s">
        <v>24</v>
      </c>
      <c r="B3" t="s">
        <v>25</v>
      </c>
    </row>
    <row r="4" spans="1:3" x14ac:dyDescent="0.4">
      <c r="A4" t="s">
        <v>26</v>
      </c>
      <c r="B4" t="s">
        <v>27</v>
      </c>
      <c r="C4" s="2"/>
    </row>
    <row r="5" spans="1:3" x14ac:dyDescent="0.4">
      <c r="A5" t="s">
        <v>28</v>
      </c>
      <c r="B5" t="s">
        <v>27</v>
      </c>
      <c r="C5" s="2"/>
    </row>
    <row r="6" spans="1:3" x14ac:dyDescent="0.4">
      <c r="A6" t="s">
        <v>29</v>
      </c>
      <c r="B6" t="s">
        <v>30</v>
      </c>
      <c r="C6" s="2"/>
    </row>
    <row r="7" spans="1:3" x14ac:dyDescent="0.4">
      <c r="A7" t="s">
        <v>31</v>
      </c>
      <c r="B7" t="s">
        <v>13</v>
      </c>
    </row>
    <row r="8" spans="1:3" x14ac:dyDescent="0.4">
      <c r="A8" t="s">
        <v>32</v>
      </c>
      <c r="B8" t="s">
        <v>13</v>
      </c>
      <c r="C8" s="1"/>
    </row>
    <row r="9" spans="1:3" x14ac:dyDescent="0.4">
      <c r="A9" t="s">
        <v>33</v>
      </c>
      <c r="B9" t="s">
        <v>13</v>
      </c>
      <c r="C9" s="1"/>
    </row>
    <row r="10" spans="1:3" x14ac:dyDescent="0.4">
      <c r="A10" t="s">
        <v>438</v>
      </c>
      <c r="B10" t="s">
        <v>13</v>
      </c>
      <c r="C10" s="1"/>
    </row>
    <row r="11" spans="1:3" x14ac:dyDescent="0.4">
      <c r="A11" t="s">
        <v>34</v>
      </c>
      <c r="B11" t="s">
        <v>13</v>
      </c>
    </row>
    <row r="12" spans="1:3" x14ac:dyDescent="0.4">
      <c r="A12" t="s">
        <v>35</v>
      </c>
      <c r="B12" t="s">
        <v>13</v>
      </c>
    </row>
    <row r="13" spans="1:3" x14ac:dyDescent="0.4">
      <c r="A13" t="s">
        <v>36</v>
      </c>
      <c r="B13" t="s">
        <v>13</v>
      </c>
      <c r="C13" s="25"/>
    </row>
    <row r="14" spans="1:3" x14ac:dyDescent="0.4">
      <c r="A14" t="s">
        <v>431</v>
      </c>
      <c r="B14" t="s">
        <v>13</v>
      </c>
    </row>
    <row r="15" spans="1:3" x14ac:dyDescent="0.4">
      <c r="A15" s="49" t="s">
        <v>436</v>
      </c>
      <c r="B15" t="s">
        <v>13</v>
      </c>
    </row>
    <row r="16" spans="1:3" x14ac:dyDescent="0.4">
      <c r="A16" s="49" t="s">
        <v>437</v>
      </c>
      <c r="B16" t="s">
        <v>13</v>
      </c>
    </row>
    <row r="17" spans="1:2" x14ac:dyDescent="0.4">
      <c r="A17" t="s">
        <v>457</v>
      </c>
      <c r="B17" t="s">
        <v>321</v>
      </c>
    </row>
  </sheetData>
  <conditionalFormatting sqref="C9:C10">
    <cfRule type="expression" dxfId="65"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3"/>
  <sheetViews>
    <sheetView workbookViewId="0">
      <selection activeCell="B13" sqref="B13"/>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37</v>
      </c>
      <c r="B2" t="s">
        <v>13</v>
      </c>
      <c r="C2">
        <v>1</v>
      </c>
    </row>
    <row r="3" spans="1:3" x14ac:dyDescent="0.4">
      <c r="A3" t="s">
        <v>38</v>
      </c>
      <c r="B3" t="s">
        <v>39</v>
      </c>
      <c r="C3" s="2">
        <v>400</v>
      </c>
    </row>
    <row r="4" spans="1:3" x14ac:dyDescent="0.4">
      <c r="A4" t="s">
        <v>40</v>
      </c>
      <c r="B4" t="s">
        <v>13</v>
      </c>
      <c r="C4" t="s">
        <v>41</v>
      </c>
    </row>
    <row r="5" spans="1:3" x14ac:dyDescent="0.4">
      <c r="A5" t="s">
        <v>42</v>
      </c>
      <c r="B5" t="s">
        <v>13</v>
      </c>
      <c r="C5" s="2">
        <v>1</v>
      </c>
    </row>
    <row r="6" spans="1:3" x14ac:dyDescent="0.4">
      <c r="A6" t="s">
        <v>443</v>
      </c>
      <c r="B6" t="s">
        <v>13</v>
      </c>
      <c r="C6" s="2"/>
    </row>
    <row r="7" spans="1:3" x14ac:dyDescent="0.4">
      <c r="A7" t="s">
        <v>43</v>
      </c>
      <c r="B7" t="s">
        <v>13</v>
      </c>
      <c r="C7" s="2">
        <v>5</v>
      </c>
    </row>
    <row r="8" spans="1:3" x14ac:dyDescent="0.4">
      <c r="A8" t="s">
        <v>44</v>
      </c>
      <c r="B8" t="s">
        <v>13</v>
      </c>
      <c r="C8">
        <v>1</v>
      </c>
    </row>
    <row r="9" spans="1:3" x14ac:dyDescent="0.4">
      <c r="A9" t="s">
        <v>45</v>
      </c>
      <c r="B9" t="s">
        <v>13</v>
      </c>
      <c r="C9">
        <v>1</v>
      </c>
    </row>
    <row r="10" spans="1:3" x14ac:dyDescent="0.4">
      <c r="A10" s="49" t="s">
        <v>46</v>
      </c>
      <c r="B10" s="50" t="s">
        <v>13</v>
      </c>
      <c r="C10" s="49">
        <v>1</v>
      </c>
    </row>
    <row r="11" spans="1:3" x14ac:dyDescent="0.4">
      <c r="A11" s="49" t="s">
        <v>47</v>
      </c>
      <c r="B11" s="50" t="s">
        <v>13</v>
      </c>
      <c r="C11" s="49">
        <v>0</v>
      </c>
    </row>
    <row r="12" spans="1:3" x14ac:dyDescent="0.4">
      <c r="A12" t="s">
        <v>431</v>
      </c>
      <c r="B12" t="s">
        <v>13</v>
      </c>
      <c r="C12" s="25"/>
    </row>
    <row r="13" spans="1:3" x14ac:dyDescent="0.4">
      <c r="A13" t="s">
        <v>458</v>
      </c>
      <c r="B13" t="s">
        <v>321</v>
      </c>
    </row>
  </sheetData>
  <conditionalFormatting sqref="C7">
    <cfRule type="expression" dxfId="64"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20"/>
  <sheetViews>
    <sheetView tabSelected="1" workbookViewId="0">
      <selection activeCell="G15" sqref="G15"/>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s="49" t="s">
        <v>48</v>
      </c>
      <c r="B2" s="50" t="s">
        <v>13</v>
      </c>
      <c r="C2" s="76"/>
    </row>
    <row r="3" spans="1:3" x14ac:dyDescent="0.4">
      <c r="A3" s="49" t="s">
        <v>49</v>
      </c>
      <c r="B3" s="50" t="s">
        <v>13</v>
      </c>
      <c r="C3" s="77"/>
    </row>
    <row r="4" spans="1:3" x14ac:dyDescent="0.4">
      <c r="A4" s="49" t="s">
        <v>50</v>
      </c>
      <c r="B4" s="50" t="s">
        <v>13</v>
      </c>
      <c r="C4" s="76"/>
    </row>
    <row r="5" spans="1:3" x14ac:dyDescent="0.4">
      <c r="A5" s="49" t="s">
        <v>51</v>
      </c>
      <c r="B5" s="50" t="s">
        <v>13</v>
      </c>
      <c r="C5" s="76"/>
    </row>
    <row r="6" spans="1:3" x14ac:dyDescent="0.4">
      <c r="A6" s="49" t="s">
        <v>52</v>
      </c>
      <c r="B6" s="49" t="s">
        <v>39</v>
      </c>
      <c r="C6" s="76"/>
    </row>
    <row r="7" spans="1:3" x14ac:dyDescent="0.4">
      <c r="A7" s="49" t="s">
        <v>53</v>
      </c>
      <c r="B7" s="50" t="s">
        <v>13</v>
      </c>
      <c r="C7" s="76"/>
    </row>
    <row r="8" spans="1:3" x14ac:dyDescent="0.4">
      <c r="A8" s="49" t="s">
        <v>54</v>
      </c>
      <c r="B8" s="49"/>
      <c r="C8" s="76"/>
    </row>
    <row r="9" spans="1:3" x14ac:dyDescent="0.4">
      <c r="A9" s="49" t="s">
        <v>55</v>
      </c>
      <c r="B9" s="50" t="s">
        <v>13</v>
      </c>
      <c r="C9" s="78"/>
    </row>
    <row r="10" spans="1:3" x14ac:dyDescent="0.4">
      <c r="A10" s="49" t="s">
        <v>56</v>
      </c>
      <c r="B10" s="50" t="s">
        <v>13</v>
      </c>
      <c r="C10" s="75"/>
    </row>
    <row r="11" spans="1:3" x14ac:dyDescent="0.4">
      <c r="A11" s="49" t="s">
        <v>57</v>
      </c>
      <c r="B11" s="49" t="s">
        <v>58</v>
      </c>
      <c r="C11" s="76"/>
    </row>
    <row r="12" spans="1:3" x14ac:dyDescent="0.4">
      <c r="A12" s="49" t="s">
        <v>59</v>
      </c>
      <c r="B12" s="50" t="s">
        <v>13</v>
      </c>
      <c r="C12" s="76"/>
    </row>
    <row r="13" spans="1:3" x14ac:dyDescent="0.4">
      <c r="A13" s="49" t="s">
        <v>60</v>
      </c>
      <c r="B13" s="50" t="s">
        <v>13</v>
      </c>
      <c r="C13" s="76"/>
    </row>
    <row r="14" spans="1:3" x14ac:dyDescent="0.4">
      <c r="A14" s="49" t="s">
        <v>61</v>
      </c>
      <c r="B14" s="50" t="s">
        <v>13</v>
      </c>
      <c r="C14" s="76"/>
    </row>
    <row r="15" spans="1:3" x14ac:dyDescent="0.4">
      <c r="A15" s="49" t="s">
        <v>62</v>
      </c>
      <c r="B15" s="50" t="s">
        <v>13</v>
      </c>
      <c r="C15" s="76"/>
    </row>
    <row r="16" spans="1:3" x14ac:dyDescent="0.4">
      <c r="A16" s="49" t="s">
        <v>63</v>
      </c>
      <c r="B16" s="50" t="s">
        <v>13</v>
      </c>
      <c r="C16" s="76"/>
    </row>
    <row r="17" spans="1:3" x14ac:dyDescent="0.4">
      <c r="A17" s="49" t="s">
        <v>64</v>
      </c>
      <c r="B17" s="50" t="s">
        <v>13</v>
      </c>
      <c r="C17" s="76"/>
    </row>
    <row r="18" spans="1:3" x14ac:dyDescent="0.4">
      <c r="A18" s="49" t="s">
        <v>65</v>
      </c>
      <c r="B18" s="50" t="s">
        <v>13</v>
      </c>
      <c r="C18" s="76"/>
    </row>
    <row r="19" spans="1:3" x14ac:dyDescent="0.4">
      <c r="A19" t="s">
        <v>431</v>
      </c>
      <c r="B19" t="s">
        <v>13</v>
      </c>
      <c r="C19" s="25"/>
    </row>
    <row r="20" spans="1:3" x14ac:dyDescent="0.4">
      <c r="A20" t="s">
        <v>459</v>
      </c>
      <c r="B20" t="s">
        <v>321</v>
      </c>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4.6" x14ac:dyDescent="0.4"/>
  <cols>
    <col min="1" max="1" width="11.4609375" bestFit="1" customWidth="1"/>
    <col min="2" max="2" width="10" bestFit="1" customWidth="1"/>
    <col min="4" max="4" width="20.69140625" hidden="1" customWidth="1"/>
    <col min="5" max="5" width="19" customWidth="1"/>
    <col min="6" max="6" width="15.23046875" customWidth="1"/>
    <col min="7" max="7" width="20.23046875" customWidth="1"/>
    <col min="8" max="8" width="14.53515625" customWidth="1"/>
    <col min="9" max="9" width="15" bestFit="1" customWidth="1"/>
    <col min="10" max="10" width="18.4609375" bestFit="1" customWidth="1"/>
    <col min="11" max="13" width="18.69140625" customWidth="1"/>
    <col min="14" max="14" width="14" bestFit="1" customWidth="1"/>
    <col min="15" max="15" width="14.23046875" bestFit="1" customWidth="1"/>
    <col min="18" max="18" width="7.23046875" bestFit="1" customWidth="1"/>
    <col min="19" max="19" width="17.69140625" bestFit="1" customWidth="1"/>
    <col min="20" max="20" width="17.23046875" bestFit="1" customWidth="1"/>
    <col min="22" max="22" width="15.53515625" customWidth="1"/>
  </cols>
  <sheetData>
    <row r="1" spans="1:22" x14ac:dyDescent="0.4">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4">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4">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4">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4">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4">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4">
      <c r="A7" t="s">
        <v>147</v>
      </c>
      <c r="B7" t="s">
        <v>147</v>
      </c>
      <c r="C7" t="s">
        <v>144</v>
      </c>
      <c r="D7" t="str">
        <f t="shared" si="0"/>
        <v>IRIS_AUV - IRIS_AUV (Water)</v>
      </c>
      <c r="F7" s="2"/>
      <c r="G7" s="2"/>
      <c r="H7" s="2"/>
      <c r="I7" s="2"/>
      <c r="J7" s="2"/>
      <c r="K7" s="2"/>
      <c r="L7" s="2"/>
      <c r="M7" s="2"/>
      <c r="S7" s="2"/>
      <c r="V7">
        <v>7800</v>
      </c>
    </row>
    <row r="8" spans="1:22" x14ac:dyDescent="0.4">
      <c r="A8" t="s">
        <v>148</v>
      </c>
      <c r="B8" t="s">
        <v>148</v>
      </c>
      <c r="C8" t="s">
        <v>144</v>
      </c>
      <c r="D8" t="str">
        <f t="shared" si="0"/>
        <v>IRIS_ROV - IRIS_ROV (Water)</v>
      </c>
      <c r="H8" s="2"/>
      <c r="J8" s="2"/>
      <c r="M8" s="2"/>
      <c r="S8" s="2"/>
      <c r="V8">
        <v>7800</v>
      </c>
    </row>
    <row r="9" spans="1:22" x14ac:dyDescent="0.4">
      <c r="D9" t="str">
        <f t="shared" si="0"/>
        <v xml:space="preserve"> -  ()</v>
      </c>
      <c r="H9" s="2"/>
      <c r="J9" s="2"/>
      <c r="M9" s="2"/>
      <c r="S9" s="2"/>
    </row>
    <row r="10" spans="1:22" x14ac:dyDescent="0.4">
      <c r="D10" t="str">
        <f t="shared" si="0"/>
        <v xml:space="preserve"> -  ()</v>
      </c>
      <c r="H10" s="2"/>
      <c r="J10" s="2"/>
      <c r="M10" s="2"/>
      <c r="S10" s="2"/>
    </row>
    <row r="11" spans="1:22" x14ac:dyDescent="0.4">
      <c r="D11" t="str">
        <f t="shared" si="0"/>
        <v xml:space="preserve"> -  ()</v>
      </c>
      <c r="H11" s="2"/>
      <c r="J11" s="2"/>
      <c r="M11" s="2"/>
      <c r="S11" s="2"/>
    </row>
    <row r="12" spans="1:22" x14ac:dyDescent="0.4">
      <c r="D12" t="str">
        <f t="shared" si="0"/>
        <v xml:space="preserve"> -  ()</v>
      </c>
      <c r="H12" s="2"/>
      <c r="J12" s="2"/>
      <c r="M12" s="2"/>
      <c r="S12" s="2"/>
    </row>
    <row r="13" spans="1:22" x14ac:dyDescent="0.4">
      <c r="D13" t="str">
        <f t="shared" si="0"/>
        <v xml:space="preserve"> -  ()</v>
      </c>
      <c r="H13" s="2"/>
      <c r="J13" s="2"/>
      <c r="M13" s="2"/>
      <c r="S13" s="2"/>
    </row>
    <row r="14" spans="1:22" x14ac:dyDescent="0.4">
      <c r="D14" t="str">
        <f t="shared" si="0"/>
        <v xml:space="preserve"> -  ()</v>
      </c>
      <c r="H14" s="2"/>
      <c r="J14" s="2"/>
      <c r="M14" s="2"/>
      <c r="S14" s="2"/>
    </row>
    <row r="15" spans="1:22" x14ac:dyDescent="0.4">
      <c r="D15" t="str">
        <f t="shared" si="0"/>
        <v xml:space="preserve"> -  ()</v>
      </c>
      <c r="H15" s="2"/>
      <c r="J15" s="2"/>
      <c r="M15" s="2"/>
      <c r="S15" s="2"/>
    </row>
    <row r="16" spans="1:22" x14ac:dyDescent="0.4">
      <c r="D16" t="str">
        <f t="shared" si="0"/>
        <v xml:space="preserve"> -  ()</v>
      </c>
      <c r="H16" s="2"/>
      <c r="J16" s="2"/>
      <c r="M16" s="2"/>
      <c r="S16" s="2"/>
    </row>
    <row r="17" spans="4:10" x14ac:dyDescent="0.4">
      <c r="D17" t="str">
        <f t="shared" si="0"/>
        <v xml:space="preserve"> -  ()</v>
      </c>
      <c r="H17" s="2"/>
      <c r="J17" s="2"/>
    </row>
    <row r="18" spans="4:10" x14ac:dyDescent="0.4">
      <c r="D18" t="str">
        <f t="shared" si="0"/>
        <v xml:space="preserve"> -  ()</v>
      </c>
      <c r="H18" s="2"/>
      <c r="J18" s="2"/>
    </row>
    <row r="19" spans="4:10" x14ac:dyDescent="0.4">
      <c r="D19" t="str">
        <f t="shared" si="0"/>
        <v xml:space="preserve"> -  ()</v>
      </c>
      <c r="H19" s="2"/>
      <c r="J19" s="2"/>
    </row>
    <row r="20" spans="4:10" x14ac:dyDescent="0.4">
      <c r="D20" t="str">
        <f t="shared" si="0"/>
        <v xml:space="preserve"> -  ()</v>
      </c>
      <c r="H20" s="2"/>
      <c r="J20" s="2"/>
    </row>
    <row r="21" spans="4:10" x14ac:dyDescent="0.4">
      <c r="D21" t="str">
        <f t="shared" si="0"/>
        <v xml:space="preserve"> -  ()</v>
      </c>
      <c r="H21" s="2"/>
      <c r="J21" s="2"/>
    </row>
    <row r="22" spans="4:10" x14ac:dyDescent="0.4">
      <c r="D22" t="str">
        <f t="shared" si="0"/>
        <v xml:space="preserve"> -  ()</v>
      </c>
      <c r="H22" s="2"/>
      <c r="J22" s="2"/>
    </row>
    <row r="23" spans="4:10" x14ac:dyDescent="0.4">
      <c r="D23" t="str">
        <f t="shared" si="0"/>
        <v xml:space="preserve"> -  ()</v>
      </c>
      <c r="H23" s="2"/>
      <c r="J23" s="2"/>
    </row>
    <row r="24" spans="4:10" x14ac:dyDescent="0.4">
      <c r="D24" t="str">
        <f t="shared" si="0"/>
        <v xml:space="preserve"> -  ()</v>
      </c>
      <c r="H24" s="2"/>
      <c r="J24" s="2"/>
    </row>
    <row r="25" spans="4:10" x14ac:dyDescent="0.4">
      <c r="D25" t="str">
        <f t="shared" si="0"/>
        <v xml:space="preserve"> -  ()</v>
      </c>
      <c r="H25" s="2"/>
      <c r="J25" s="2"/>
    </row>
    <row r="26" spans="4:10" x14ac:dyDescent="0.4">
      <c r="D26" t="str">
        <f t="shared" si="0"/>
        <v xml:space="preserve"> -  ()</v>
      </c>
      <c r="H26" s="2"/>
      <c r="J26" s="2"/>
    </row>
    <row r="27" spans="4:10" x14ac:dyDescent="0.4">
      <c r="D27" t="str">
        <f t="shared" si="0"/>
        <v xml:space="preserve"> -  ()</v>
      </c>
      <c r="H27" s="2"/>
      <c r="J27" s="2"/>
    </row>
    <row r="28" spans="4:10" x14ac:dyDescent="0.4">
      <c r="D28" t="str">
        <f t="shared" si="0"/>
        <v xml:space="preserve"> -  ()</v>
      </c>
      <c r="H28" s="2"/>
      <c r="J28" s="2"/>
    </row>
    <row r="29" spans="4:10" x14ac:dyDescent="0.4">
      <c r="D29" t="str">
        <f t="shared" si="0"/>
        <v xml:space="preserve"> -  ()</v>
      </c>
      <c r="H29" s="2"/>
      <c r="J29" s="2"/>
    </row>
    <row r="30" spans="4:10" x14ac:dyDescent="0.4">
      <c r="D30" t="str">
        <f t="shared" si="0"/>
        <v xml:space="preserve"> -  ()</v>
      </c>
      <c r="H30" s="2"/>
      <c r="J30" s="2"/>
    </row>
    <row r="31" spans="4:10" x14ac:dyDescent="0.4">
      <c r="D31" t="str">
        <f t="shared" si="0"/>
        <v xml:space="preserve"> -  ()</v>
      </c>
    </row>
    <row r="32" spans="4:10" x14ac:dyDescent="0.4">
      <c r="D32" t="str">
        <f t="shared" si="0"/>
        <v xml:space="preserve"> -  ()</v>
      </c>
    </row>
    <row r="33" spans="4:4" x14ac:dyDescent="0.4">
      <c r="D33" t="str">
        <f t="shared" si="0"/>
        <v xml:space="preserve"> -  ()</v>
      </c>
    </row>
    <row r="34" spans="4:4" x14ac:dyDescent="0.4">
      <c r="D34" t="str">
        <f t="shared" si="0"/>
        <v xml:space="preserve"> -  ()</v>
      </c>
    </row>
    <row r="35" spans="4:4" x14ac:dyDescent="0.4">
      <c r="D35" t="str">
        <f t="shared" si="0"/>
        <v xml:space="preserve"> -  ()</v>
      </c>
    </row>
    <row r="36" spans="4:4" x14ac:dyDescent="0.4">
      <c r="D36" t="str">
        <f t="shared" si="0"/>
        <v xml:space="preserve"> -  ()</v>
      </c>
    </row>
    <row r="37" spans="4:4" x14ac:dyDescent="0.4">
      <c r="D37" t="str">
        <f t="shared" si="0"/>
        <v xml:space="preserve"> -  ()</v>
      </c>
    </row>
    <row r="38" spans="4:4" x14ac:dyDescent="0.4">
      <c r="D38" t="str">
        <f t="shared" si="0"/>
        <v xml:space="preserve"> -  ()</v>
      </c>
    </row>
    <row r="39" spans="4:4" x14ac:dyDescent="0.4">
      <c r="D39" t="str">
        <f t="shared" si="0"/>
        <v xml:space="preserve"> -  ()</v>
      </c>
    </row>
    <row r="40" spans="4:4" x14ac:dyDescent="0.4">
      <c r="D40" t="str">
        <f t="shared" si="0"/>
        <v xml:space="preserve"> -  ()</v>
      </c>
    </row>
    <row r="41" spans="4:4" x14ac:dyDescent="0.4">
      <c r="D41" t="str">
        <f t="shared" si="0"/>
        <v xml:space="preserve"> -  ()</v>
      </c>
    </row>
    <row r="42" spans="4:4" x14ac:dyDescent="0.4">
      <c r="D42" t="str">
        <f t="shared" si="0"/>
        <v xml:space="preserve"> -  ()</v>
      </c>
    </row>
    <row r="43" spans="4:4" x14ac:dyDescent="0.4">
      <c r="D43" t="str">
        <f t="shared" si="0"/>
        <v xml:space="preserve"> -  ()</v>
      </c>
    </row>
    <row r="44" spans="4:4" x14ac:dyDescent="0.4">
      <c r="D44" t="str">
        <f t="shared" si="0"/>
        <v xml:space="preserve"> -  ()</v>
      </c>
    </row>
    <row r="45" spans="4:4" x14ac:dyDescent="0.4">
      <c r="D45" t="str">
        <f t="shared" si="0"/>
        <v xml:space="preserve"> -  ()</v>
      </c>
    </row>
    <row r="46" spans="4:4" x14ac:dyDescent="0.4">
      <c r="D46" t="str">
        <f t="shared" si="0"/>
        <v xml:space="preserve"> -  ()</v>
      </c>
    </row>
    <row r="47" spans="4:4" x14ac:dyDescent="0.4">
      <c r="D47" t="str">
        <f t="shared" si="0"/>
        <v xml:space="preserve"> -  ()</v>
      </c>
    </row>
    <row r="48" spans="4:4" x14ac:dyDescent="0.4">
      <c r="D48" t="str">
        <f t="shared" si="0"/>
        <v xml:space="preserve"> -  ()</v>
      </c>
    </row>
    <row r="49" spans="4:4" x14ac:dyDescent="0.4">
      <c r="D49" t="str">
        <f t="shared" si="0"/>
        <v xml:space="preserve"> -  ()</v>
      </c>
    </row>
    <row r="50" spans="4:4" x14ac:dyDescent="0.4">
      <c r="D50" t="str">
        <f t="shared" si="0"/>
        <v xml:space="preserve"> -  ()</v>
      </c>
    </row>
    <row r="51" spans="4:4" x14ac:dyDescent="0.4">
      <c r="D51" t="str">
        <f t="shared" si="0"/>
        <v xml:space="preserve"> -  ()</v>
      </c>
    </row>
    <row r="52" spans="4:4" x14ac:dyDescent="0.4">
      <c r="D52" t="str">
        <f t="shared" si="0"/>
        <v xml:space="preserve"> -  ()</v>
      </c>
    </row>
    <row r="53" spans="4:4" x14ac:dyDescent="0.4">
      <c r="D53" t="str">
        <f t="shared" si="0"/>
        <v xml:space="preserve"> -  ()</v>
      </c>
    </row>
    <row r="54" spans="4:4" x14ac:dyDescent="0.4">
      <c r="D54" t="str">
        <f t="shared" si="0"/>
        <v xml:space="preserve"> -  ()</v>
      </c>
    </row>
    <row r="55" spans="4:4" x14ac:dyDescent="0.4">
      <c r="D55" t="str">
        <f t="shared" si="0"/>
        <v xml:space="preserve"> -  ()</v>
      </c>
    </row>
    <row r="56" spans="4:4" x14ac:dyDescent="0.4">
      <c r="D56" t="str">
        <f t="shared" si="0"/>
        <v xml:space="preserve"> -  ()</v>
      </c>
    </row>
    <row r="57" spans="4:4" x14ac:dyDescent="0.4">
      <c r="D57" t="str">
        <f t="shared" si="0"/>
        <v xml:space="preserve"> -  ()</v>
      </c>
    </row>
    <row r="58" spans="4:4" x14ac:dyDescent="0.4">
      <c r="D58" t="str">
        <f t="shared" si="0"/>
        <v xml:space="preserve"> -  ()</v>
      </c>
    </row>
    <row r="59" spans="4:4" x14ac:dyDescent="0.4">
      <c r="D59" t="str">
        <f t="shared" si="0"/>
        <v xml:space="preserve"> -  ()</v>
      </c>
    </row>
    <row r="60" spans="4:4" x14ac:dyDescent="0.4">
      <c r="D60" t="str">
        <f t="shared" si="0"/>
        <v xml:space="preserve"> -  ()</v>
      </c>
    </row>
    <row r="61" spans="4:4" x14ac:dyDescent="0.4">
      <c r="D61" t="str">
        <f t="shared" si="0"/>
        <v xml:space="preserve"> -  ()</v>
      </c>
    </row>
    <row r="62" spans="4:4" x14ac:dyDescent="0.4">
      <c r="D62" t="str">
        <f t="shared" si="0"/>
        <v xml:space="preserve"> -  ()</v>
      </c>
    </row>
    <row r="63" spans="4:4" x14ac:dyDescent="0.4">
      <c r="D63" t="str">
        <f t="shared" si="0"/>
        <v xml:space="preserve"> -  ()</v>
      </c>
    </row>
    <row r="1048576" spans="13:13" x14ac:dyDescent="0.4">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X1048554" activePane="bottomRight" state="frozen"/>
      <selection pane="topRight" activeCell="C1" sqref="C1"/>
      <selection pane="bottomLeft" activeCell="A3" sqref="A3"/>
      <selection pane="bottomRight" activeCell="AE1048556" sqref="AE1048556"/>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2.69140625" style="18" customWidth="1"/>
    <col min="6" max="7" width="19.4609375" style="18" customWidth="1"/>
    <col min="8" max="8" width="18.69140625" style="35" customWidth="1"/>
    <col min="9" max="9" width="18.69140625" style="18" customWidth="1"/>
    <col min="10" max="10" width="18.69140625" style="36" customWidth="1"/>
    <col min="11" max="11" width="13.69140625" style="18" customWidth="1"/>
    <col min="12" max="12" width="16.23046875" style="42" bestFit="1" customWidth="1"/>
    <col min="13" max="13" width="6.69140625" style="35" customWidth="1"/>
    <col min="14" max="17" width="6.69140625" style="18" customWidth="1"/>
    <col min="18" max="18" width="6.69140625" style="36" customWidth="1"/>
    <col min="19" max="19" width="15.53515625" style="18" customWidth="1"/>
    <col min="20" max="20" width="10.84375" style="18" bestFit="1" customWidth="1"/>
    <col min="21" max="25" width="15.53515625" style="18" customWidth="1"/>
    <col min="26" max="26" width="23.15234375" style="18" bestFit="1" customWidth="1"/>
    <col min="27" max="27" width="21.4609375" style="18" customWidth="1"/>
    <col min="28" max="28" width="13.53515625" style="18" customWidth="1"/>
    <col min="29" max="29" width="12.69140625" style="18" customWidth="1"/>
    <col min="30" max="30" width="15.4609375" bestFit="1" customWidth="1"/>
    <col min="31" max="31" width="15.15234375" style="18" customWidth="1"/>
    <col min="32" max="16384" width="9.23046875" style="18"/>
  </cols>
  <sheetData>
    <row r="1" spans="1:37" x14ac:dyDescent="0.4">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430</v>
      </c>
      <c r="Y1" s="18" t="s">
        <v>170</v>
      </c>
      <c r="Z1" s="18" t="s">
        <v>171</v>
      </c>
      <c r="AA1" s="18" t="s">
        <v>172</v>
      </c>
      <c r="AB1" s="18" t="s">
        <v>173</v>
      </c>
      <c r="AC1" s="18" t="s">
        <v>174</v>
      </c>
      <c r="AD1" s="18" t="s">
        <v>175</v>
      </c>
      <c r="AE1" s="18" t="s">
        <v>176</v>
      </c>
      <c r="AF1" s="49" t="s">
        <v>177</v>
      </c>
      <c r="AG1" s="18" t="s">
        <v>178</v>
      </c>
    </row>
    <row r="2" spans="1:37" x14ac:dyDescent="0.4">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4">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4">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4">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4">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4">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4">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4">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4">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4">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4">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4">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4">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4">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4">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4">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4">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4">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4">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4">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4">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4">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4">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4">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4">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4">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4">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4">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4">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4">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4">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4">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4">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4">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4">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4">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4">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4">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4">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4">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4">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4">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4">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4">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4">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4">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4">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4">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4">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4">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4">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4">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4">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4">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4">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4">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4">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4">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4">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4">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4">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4">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4">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4">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4">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4">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4">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4">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4">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4">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4">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4">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4">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4">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4">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4">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4">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4">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4">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4">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4">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4">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4">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4">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4">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4">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4">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4">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4">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4">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4">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4">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4">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4">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4">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4">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4">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4">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4">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4">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4">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4">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4">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4">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4">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4">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4">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4">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4">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4">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4">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4">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4">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4">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4">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4">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4">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4">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4">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4">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4">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4">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4">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4">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4">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4">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4">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4">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4">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4">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4">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4">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4">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4">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4">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4">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4">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4">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4">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4">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4">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4">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4">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4">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4">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4">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4">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4">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4">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4">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4">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4">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4">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4">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4">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4">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4">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4">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4">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4">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4">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4">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4">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4">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4">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4">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4">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4">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4">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4">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4">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4">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4">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4">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4">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4">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4">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4">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4">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4">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4">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4">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4">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4">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4">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4">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4">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4">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4">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4">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4">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4">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4">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4">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4">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4">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4">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4">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4">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4">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4">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4">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4">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4">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4">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4">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4">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4">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4">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4">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4">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4">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4">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4">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4">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4">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4">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4">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4">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4">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4">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4">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4">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4">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4">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4">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4">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4">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4">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4">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4">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4">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4">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4">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4">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4">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4">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4">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4">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4">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4">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4">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4">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4">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4">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4">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4">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4">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4">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4">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4">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4">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4">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4">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4">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4">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4">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4">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4">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4">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4">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4">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4">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4">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4">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4">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4">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4">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4">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4">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4">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4">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4">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4">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4">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4">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4">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4">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4">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4">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4">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4">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4">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4">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4">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4">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4">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4">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4">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4">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4">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4">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4">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4">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4">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4">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4">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4">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4">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4">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4">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4">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4">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4">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4">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4">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4">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4">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4">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4">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4">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4">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4">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4">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4">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4">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4">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4">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4">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4">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4">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4">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4">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4">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4">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4">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4">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4">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4">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4">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4">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4">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4">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4">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4">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4">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4">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4">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4">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4">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4">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4">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4">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4">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4">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4">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4">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4">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4">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4">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4">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4">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4">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4">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4">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4">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4">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4">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4">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4">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4">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4">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4">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4">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4">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4">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4">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4">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4">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4">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4">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4">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4">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4">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4">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4">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4">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4">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4">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4">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4">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4">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4">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4">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4">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4">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4">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4">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4">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4">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4">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4">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4">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4">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4">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4">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4">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4">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4">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4">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4">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4">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4">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4">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4">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4">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4">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4">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4">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4">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4">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4">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4">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4">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4">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4">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4">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4">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4">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4">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4">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4">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4">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4">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4">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4">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4">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4">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4">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4">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4">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4">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4">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4">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4">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4">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4">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4">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4">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4">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4">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4">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4">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4">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4">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4">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4">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4">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4">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4">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4">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4">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4">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4">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4">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4">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4">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4">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4">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4">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4">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4">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4">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4">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4">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4">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4">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4">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4">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4">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4">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4">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4">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4">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4">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4">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4">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4">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4">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4">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4">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4">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4">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4">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4">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4">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4">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4">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4">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4">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4">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4">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4">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4">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4">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4">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4">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4">
      <c r="U499" s="25"/>
      <c r="X499" s="25"/>
    </row>
    <row r="500" spans="20:32" x14ac:dyDescent="0.4">
      <c r="U500" s="25"/>
      <c r="X500" s="25"/>
    </row>
  </sheetData>
  <conditionalFormatting sqref="A1:B1048576">
    <cfRule type="expression" dxfId="61" priority="1">
      <formula>AND(COUNTIF(A:A,$A1)&gt;1,$A1&lt;&gt;"")</formula>
    </cfRule>
  </conditionalFormatting>
  <conditionalFormatting sqref="D3:D500 L3:L500">
    <cfRule type="expression" dxfId="60" priority="11">
      <formula>AND(NOT(ISBLANK(D3)),D3=$A3)</formula>
    </cfRule>
  </conditionalFormatting>
  <conditionalFormatting sqref="H3:J500">
    <cfRule type="expression" dxfId="59" priority="79">
      <formula>AND(NOT(ISBLANK($B3)),$H3=0,$I3=0,$J3=0)</formula>
    </cfRule>
  </conditionalFormatting>
  <conditionalFormatting sqref="O3:Q500">
    <cfRule type="expression" dxfId="58" priority="12">
      <formula>AND(NOT(ISBLANK($O3)),NOT(ISBLANK($Q3)))</formula>
    </cfRule>
  </conditionalFormatting>
  <conditionalFormatting sqref="R3:R48">
    <cfRule type="expression" dxfId="57" priority="5">
      <formula>AND(NOT(ISBLANK(R3)),R3=$A3)</formula>
    </cfRule>
  </conditionalFormatting>
  <conditionalFormatting sqref="AD1:AD1048576">
    <cfRule type="expression" dxfId="56" priority="7">
      <formula>AND(NOT(ISBLANK($B1)),IF(AND(NOT(ISBLANK($A1)),ISBLANK(AD1)),TRUE,FALSE))</formula>
    </cfRule>
  </conditionalFormatting>
  <conditionalFormatting sqref="AE3:AE7">
    <cfRule type="expression" dxfId="55"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35" bestFit="1" customWidth="1"/>
    <col min="5" max="5" width="13.84375" style="18" bestFit="1" customWidth="1"/>
    <col min="6" max="6" width="12.69140625" style="18" customWidth="1"/>
    <col min="7" max="7" width="19.4609375" style="36" customWidth="1"/>
    <col min="8" max="8" width="18.69140625" style="35" customWidth="1"/>
    <col min="9" max="9" width="18.69140625" style="18" customWidth="1"/>
    <col min="10" max="10" width="18.69140625" style="36" customWidth="1"/>
    <col min="11" max="14" width="6.69140625" style="18" customWidth="1"/>
    <col min="15" max="15" width="15.53515625" style="35" customWidth="1"/>
    <col min="16" max="16" width="15.53515625" style="18" customWidth="1"/>
    <col min="17" max="17" width="15.53515625" style="36" customWidth="1"/>
    <col min="18" max="18" width="21.4609375" style="35" customWidth="1"/>
    <col min="19" max="19" width="21.4609375" style="18" customWidth="1"/>
    <col min="20" max="20" width="13.53515625" style="18" customWidth="1"/>
    <col min="21" max="21" width="12.69140625" style="36" customWidth="1"/>
    <col min="22" max="22" width="17.23046875" bestFit="1" customWidth="1"/>
    <col min="23" max="16384" width="9.23046875" style="18"/>
  </cols>
  <sheetData>
    <row r="1" spans="1:30" x14ac:dyDescent="0.4">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4">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4">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4">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4">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4">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4">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4">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4">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4">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4">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4">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4">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4">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4">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4">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4">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4">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4">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4">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4">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4">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4">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4">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4">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4">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4">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4">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4">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4">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4">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4">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4">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4">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4">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4">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4">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4">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4">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4">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4">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4">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4">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4">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4">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4">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4">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4">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4">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4">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4">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4">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4">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4">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4">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4">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4">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4">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4">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4">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4">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4">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4">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4">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4">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4">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4">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4">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4">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4">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4">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4">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4">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4">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4">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4">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4">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4">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4">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4">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4">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4">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4">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4">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4">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4">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4">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4">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4">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4">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4">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4">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4">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4">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4">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4">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4">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4">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4">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4">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4">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4">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4">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4">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4">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4">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4">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4">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4">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4">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4">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4">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4">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4">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4">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4">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4">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4">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4">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4">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4">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4">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4">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4">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4">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4">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4">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4">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4">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4">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4">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4">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4">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4">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4">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4">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4">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4">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4">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4">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4">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4">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4">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4">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4">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4">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4">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4">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4">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4">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4">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4">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4">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4">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4">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4">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4">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4">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4">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4">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4">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4">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4">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4">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4">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4">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4">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4">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4">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4">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4">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4">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4">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4">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4">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4">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4">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4">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4">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4">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4">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4">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4">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4">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4">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4">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4">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4">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4">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4">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4">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4">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4">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4">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4">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4">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4">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4">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4">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4">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4">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4">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4">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4">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4">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4">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4">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4">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4">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4">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4">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4">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4">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4">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4">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4">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4">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4">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4">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4">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4">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4">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4">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4">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4">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4">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4">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4">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4">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4">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4">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4">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4">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4">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4">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4">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4">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4">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4">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4">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4">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4">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4">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4">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4">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4">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4">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4">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4">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4">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4">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4">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4">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4">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4">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4">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4">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4">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4">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4">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4">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4">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4">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4">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4">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4">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4">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4">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4">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4">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4">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4">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4">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4">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4">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4">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4">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4">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4">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4">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4">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4">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4">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4">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4">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4">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4">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4">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4">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4">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4">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4">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4">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4">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4">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4">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4">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4">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4">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4">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4">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4">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4">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4">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4">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4">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4">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4">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4">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4">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4">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4">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4">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4">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4">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4">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4">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4">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4">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4">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4">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4">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4">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4">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4">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4">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4">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4">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4">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4">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4">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4">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4">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4">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4">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4">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4">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4">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4">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4">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4">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4">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4">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4">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4">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4">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4">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4">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4">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4">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4">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4">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4">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4">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4">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4">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4">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4">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4">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4">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4">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4">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4">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4">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4">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4">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4">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4">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4">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4">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4">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4">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4">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4">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4">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4">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4">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4">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4">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4">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4">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4">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4">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4">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4">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4">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4">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4">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4">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4">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4">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4">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4">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4">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4">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4">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4">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4">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4">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4">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4">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4">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4">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4">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4">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4">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4">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4">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4">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4">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4">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4">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4">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4">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4">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4">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4">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4">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4">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4">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4">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4">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4">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4">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4">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4">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4">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4">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4">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4">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4">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4">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4">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4">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4">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4">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4">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4">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4">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4">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4">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4">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4">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4">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4">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4">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4">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4">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4">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4">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4">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4">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4">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4">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4">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4">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4">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4">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4">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4">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4">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4">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4">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4">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4">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4">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4">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4">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4">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4">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4">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4">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4">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4">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4">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4">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4">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4">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4">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4">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4">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4">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4">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4">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4">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4">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4">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4">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4">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4">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4">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4">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4">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4">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4" priority="5">
      <formula>AND(COUNTIF(A:A,$A1)&gt;1,$A1&lt;&gt;"")</formula>
    </cfRule>
  </conditionalFormatting>
  <conditionalFormatting sqref="D3:E496">
    <cfRule type="expression" dxfId="53" priority="7">
      <formula>AND(NOT(ISBLANK(D3)),D3=$A3)</formula>
    </cfRule>
  </conditionalFormatting>
  <conditionalFormatting sqref="H3:J496">
    <cfRule type="expression" dxfId="52"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12.69140625" style="18" customWidth="1"/>
    <col min="5" max="6" width="19.4609375" style="18" customWidth="1"/>
    <col min="7" max="7" width="18.69140625" style="18" customWidth="1"/>
    <col min="8" max="9" width="13.69140625" style="18" customWidth="1"/>
    <col min="10" max="11" width="6.69140625" style="18" customWidth="1"/>
    <col min="12" max="12" width="15.53515625" style="18" customWidth="1"/>
    <col min="13" max="14" width="21.4609375" style="18" customWidth="1"/>
    <col min="15" max="15" width="13.53515625" style="18" customWidth="1"/>
    <col min="16" max="16" width="12.69140625" style="18" customWidth="1"/>
    <col min="17" max="16384" width="9.23046875" style="18"/>
  </cols>
  <sheetData>
    <row r="1" spans="1:24" x14ac:dyDescent="0.4">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4">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4">
      <c r="A3" s="18" t="str">
        <f>IF(ISBLANK($B3)=FALSE,_xlfn.CONCAT("owc_",$B3),"")</f>
        <v>owc_CPO_P1</v>
      </c>
      <c r="B3" s="25" t="s">
        <v>241</v>
      </c>
      <c r="C3" s="25" t="s">
        <v>242</v>
      </c>
      <c r="D3" s="25">
        <v>1</v>
      </c>
      <c r="E3" s="25"/>
      <c r="F3" s="49"/>
      <c r="G3" s="25">
        <v>1</v>
      </c>
      <c r="H3" s="73">
        <v>168</v>
      </c>
      <c r="I3" s="25" t="s">
        <v>442</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4">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4">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4">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4">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4">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4">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4">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4">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4">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4">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4">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4">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4">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4">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4">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4">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4">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4">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4">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4">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4">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4">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4">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4">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4">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4">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4">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4">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4">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4">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4">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4">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4">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4">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4">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4">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4">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4">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4">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4">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4">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4">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4">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4">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4">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4">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4">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4">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4">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4">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4">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4">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4">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4">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4">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4">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4">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4">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4">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4">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4">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4">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4">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4">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4">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4">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4">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4">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4">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4">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4">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4">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4">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4">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4">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4">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4">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4">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4">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4">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4">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4">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4">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4">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4">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4">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4">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4">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4">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4">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4">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4">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4">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4">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4">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4">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4">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4">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4">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4">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4">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4">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4">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4">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4">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4">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4">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4">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4">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4">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4">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4">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4">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4">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4">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4">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4">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4">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4">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4">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4">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4">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4">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4">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4">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4">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4">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4">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4">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4">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4">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4">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4">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4">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4">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4">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4">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4">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4">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4">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4">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4">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4">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4">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4">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4">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4">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4">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4">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4">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4">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4">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4">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4">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4">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4">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4">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4">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4">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4">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4">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4">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4">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4">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4">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4">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4">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4">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4">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4">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4">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4">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4">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4">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4">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4">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4">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4">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4">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4">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4">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4">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4">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4">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4">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4">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4">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4">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4">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4">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4">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4">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4">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4">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4">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4">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4">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4">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4">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4">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4">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4">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4">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4">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4">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4">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4">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4">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4">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4">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4">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4">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4">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4">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4">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4">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4">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4">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4">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4">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4">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4">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4">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4">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4">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4">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4">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4">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4">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4">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4">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4">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4">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4">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4">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4">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4">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4">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4">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4">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4">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4">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4">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4">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4">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4">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4">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4">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4">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4">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4">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4">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4">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4">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4">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4">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4">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4">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4">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4">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4">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4">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4">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4">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4">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4">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4">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4">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4">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4">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4">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4">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4">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4">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4">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4">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4">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4">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4">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4">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4">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4">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4">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4">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4">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4">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4">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4">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4">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4">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4">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4">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4">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4">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4">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4">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4">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4">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4">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4">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4">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4">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4">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4">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4">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4">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4">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4">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4">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4">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4">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4">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4">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4">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4">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4">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4">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4">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4">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4">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4">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4">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4">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4">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4">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4">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4">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4">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4">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4">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4">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4">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4">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4">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4">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4">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4">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4">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4">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4">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4">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4">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4">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4">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4">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4">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4">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4">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4">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4">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4">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4">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4">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4">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4">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4">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4">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4">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4">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4">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4">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4">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4">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4">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4">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4">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4">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4">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4">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4">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4">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4">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4">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4">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4">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4">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4">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4">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4">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4">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4">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4">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4">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4">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4">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4">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4">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4">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4">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4">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4">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4">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4">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4">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4">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4">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4">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4">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4">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4">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4">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4">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4">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4">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4">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4">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4">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4">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4">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4">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4">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4">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4">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4">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4">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4">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4">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4">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4">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4">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4">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4">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4">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4">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4">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4">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4">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4">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4">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4">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4">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4">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4">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4">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4">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4">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4">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4">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4">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4">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4">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4">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4">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4">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4">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4">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4">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4">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4">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4">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4">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4">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4">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4">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4">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4">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4">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4">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4">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4">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4">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4">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4">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4">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4">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4">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4">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4">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4">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4">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4">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4">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4">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4">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4">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4">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4">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4">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4">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4">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4">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4">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4">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4">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4">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4">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4">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4">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4">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4">
      <c r="F493" s="49"/>
      <c r="I493" s="49"/>
      <c r="K493" s="36"/>
      <c r="L493" s="25" t="str">
        <f>IFERROR(IF(ISBLANK(#REF!),"",INDEX(Gen_Vessels!$A$3:$C$500,MATCH(InspectionPort!#REF!,Gen_Vessels!$C$3:$C$500,0),1)),"")</f>
        <v/>
      </c>
    </row>
    <row r="494" spans="2:24" x14ac:dyDescent="0.4">
      <c r="F494" s="49"/>
      <c r="I494" s="49"/>
      <c r="K494" s="36"/>
      <c r="L494" s="25" t="str">
        <f>IFERROR(IF(ISBLANK(#REF!),"",INDEX(Gen_Vessels!$A$3:$C$500,MATCH(InspectionPort!#REF!,Gen_Vessels!$C$3:$C$500,0),1)),"")</f>
        <v/>
      </c>
    </row>
    <row r="495" spans="2:24" x14ac:dyDescent="0.4">
      <c r="F495" s="49"/>
      <c r="I495" s="49"/>
      <c r="K495" s="36"/>
      <c r="L495" s="25" t="str">
        <f>IFERROR(IF(ISBLANK(#REF!),"",INDEX(Gen_Vessels!$A$3:$C$500,MATCH(InspectionPort!#REF!,Gen_Vessels!$C$3:$C$500,0),1)),"")</f>
        <v/>
      </c>
    </row>
    <row r="496" spans="2:24" x14ac:dyDescent="0.4">
      <c r="F496" s="49"/>
      <c r="I496" s="49"/>
      <c r="K496" s="36"/>
      <c r="L496" s="25" t="str">
        <f>IFERROR(IF(ISBLANK(#REF!),"",INDEX(Gen_Vessels!$A$3:$C$500,MATCH(InspectionPort!#REF!,Gen_Vessels!$C$3:$C$500,0),1)),"")</f>
        <v/>
      </c>
    </row>
    <row r="497" spans="6:12" x14ac:dyDescent="0.4">
      <c r="F497" s="49"/>
      <c r="I497" s="49"/>
      <c r="K497" s="36"/>
      <c r="L497" s="25" t="str">
        <f>IFERROR(IF(ISBLANK(#REF!),"",INDEX(Gen_Vessels!$A$3:$C$500,MATCH(InspectionPort!#REF!,Gen_Vessels!$C$3:$C$500,0),1)),"")</f>
        <v/>
      </c>
    </row>
    <row r="498" spans="6:12" x14ac:dyDescent="0.4">
      <c r="F498" s="49"/>
      <c r="I498" s="49"/>
      <c r="K498" s="36"/>
      <c r="L498" s="25" t="str">
        <f>IFERROR(IF(ISBLANK(#REF!),"",INDEX(Gen_Vessels!$A$3:$C$500,MATCH(InspectionPort!#REF!,Gen_Vessels!$C$3:$C$500,0),1)),"")</f>
        <v/>
      </c>
    </row>
    <row r="499" spans="6:12" x14ac:dyDescent="0.4">
      <c r="F499" s="49"/>
      <c r="I499" s="49"/>
      <c r="K499" s="36"/>
      <c r="L499" s="25" t="str">
        <f>IFERROR(IF(ISBLANK(#REF!),"",INDEX(Gen_Vessels!$A$3:$C$500,MATCH(InspectionPort!#REF!,Gen_Vessels!$C$3:$C$500,0),1)),"")</f>
        <v/>
      </c>
    </row>
    <row r="500" spans="6:12" x14ac:dyDescent="0.4">
      <c r="I500" s="49"/>
      <c r="K500" s="36"/>
      <c r="L500" s="25" t="str">
        <f>IFERROR(IF(ISBLANK(#REF!),"",INDEX(Gen_Vessels!$A$3:$C$500,MATCH(InspectionPort!#REF!,Gen_Vessels!$C$3:$C$500,0),1)),"")</f>
        <v/>
      </c>
    </row>
  </sheetData>
  <conditionalFormatting sqref="A1:B1048576">
    <cfRule type="expression" dxfId="51" priority="2">
      <formula>AND(COUNTIF(A:A,$A1)&gt;1,$A1&lt;&gt;"")</formula>
    </cfRule>
  </conditionalFormatting>
  <conditionalFormatting sqref="G1:G1048576">
    <cfRule type="expression" dxfId="50" priority="3">
      <formula>AND(NOT(ISBLANK($B1)),#REF!=0,$G1=0,#REF!=0)</formula>
    </cfRule>
  </conditionalFormatting>
  <conditionalFormatting sqref="K3:K8">
    <cfRule type="expression" dxfId="49"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W3" activePane="bottomRight" state="frozen"/>
      <selection pane="topRight" activeCell="C1" sqref="C1"/>
      <selection pane="bottomLeft" activeCell="A3" sqref="A3"/>
      <selection pane="bottomRight" activeCell="Z3" sqref="Z3:Z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6.69140625" style="46" customWidth="1"/>
    <col min="5" max="5" width="6.69140625" style="13" customWidth="1"/>
    <col min="6" max="6" width="6.69140625" style="47" customWidth="1"/>
    <col min="7" max="8" width="13.69140625" style="18" customWidth="1"/>
    <col min="9" max="9" width="6.69140625" style="35" customWidth="1"/>
    <col min="10" max="14" width="6.69140625" style="18" customWidth="1"/>
    <col min="15" max="21" width="15.53515625" style="18" customWidth="1"/>
    <col min="22" max="23" width="21.4609375" style="18" customWidth="1"/>
    <col min="24" max="24" width="13.53515625" style="18" customWidth="1"/>
    <col min="25" max="25" width="12.69140625" style="18" customWidth="1"/>
    <col min="26" max="26" width="15.4609375" bestFit="1" customWidth="1"/>
    <col min="27" max="27" width="11.84375" style="18" bestFit="1" customWidth="1"/>
    <col min="28" max="16384" width="9.23046875" style="18"/>
  </cols>
  <sheetData>
    <row r="1" spans="1:33" ht="29.15" x14ac:dyDescent="0.4">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430</v>
      </c>
      <c r="U1" s="18" t="s">
        <v>170</v>
      </c>
      <c r="V1" s="18" t="s">
        <v>247</v>
      </c>
      <c r="W1" s="18" t="s">
        <v>172</v>
      </c>
      <c r="X1" s="18" t="s">
        <v>173</v>
      </c>
      <c r="Y1" s="18" t="s">
        <v>174</v>
      </c>
      <c r="Z1" s="18" t="s">
        <v>175</v>
      </c>
      <c r="AA1" s="18" t="s">
        <v>178</v>
      </c>
    </row>
    <row r="2" spans="1:33" x14ac:dyDescent="0.4">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4">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4">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4">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4">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4">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4">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4">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4">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4">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4">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4">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4">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4">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4">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4">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4">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4">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4">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4">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4">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4">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4">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4">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4">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4">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4">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4">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4">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4">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4">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4">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4">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4">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4">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4">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4">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4">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4">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4">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4">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4">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4">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4">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4">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4">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4">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4">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4">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4">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4">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4">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4">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4">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4">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4">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4">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4">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4">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4">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4">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4">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4">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4">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4">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4">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4">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4">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4">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4">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4">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4">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4">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4">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4">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4">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4">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4">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4">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4">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4">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4">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4">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4">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4">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4">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4">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4">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4">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4">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4">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4">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4">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4">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4">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4">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4">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4">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4">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4">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4">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4">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4">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4">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4">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4">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4">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4">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4">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4">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4">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4">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4">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4">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4">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4">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4">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4">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4">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4">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4">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4">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4">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4">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4">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4">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4">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4">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4">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4">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4">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4">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4">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4">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4">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4">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4">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4">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4">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4">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4">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4">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4">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4">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4">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4">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4">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4">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4">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4">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4">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4">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4">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4">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4">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4">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4">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4">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4">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4">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4">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4">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4">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4">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4">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4">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4">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4">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4">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4">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4">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4">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4">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4">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4">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4">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4">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4">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4">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4">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4">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4">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4">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4">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4">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4">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4">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4">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4">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4">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4">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4">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4">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4">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4">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4">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4">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4">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4">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4">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4">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4">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4">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4">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4">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4">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4">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4">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4">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4">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4">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4">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4">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4">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4">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4">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4">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4">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4">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4">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4">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4">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4">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4">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4">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4">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4">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4">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4">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4">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4">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4">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4">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4">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4">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4">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4">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4">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4">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4">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4">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4">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4">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4">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4">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4">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4">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4">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4">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4">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4">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4">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4">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4">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4">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4">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4">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4">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4">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4">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4">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4">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4">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4">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4">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4">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4">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4">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4">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4">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4">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4">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4">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4">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4">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4">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4">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4">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4">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4">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4">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4">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4">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4">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4">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4">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4">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4">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4">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4">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4">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4">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4">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4">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4">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4">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4">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4">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4">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4">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4">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4">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4">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4">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4">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4">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4">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4">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4">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4">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4">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4">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4">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4">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4">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4">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4">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4">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4">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4">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4">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4">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4">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4">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4">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4">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4">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4">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4">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4">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4">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4">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4">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4">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4">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4">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4">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4">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4">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4">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4">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4">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4">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4">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4">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4">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4">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4">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4">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4">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4">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4">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4">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4">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4">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4">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4">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4">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4">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4">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4">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4">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4">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4">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4">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4">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4">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4">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4">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4">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4">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4">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4">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4">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4">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4">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4">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4">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4">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4">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4">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4">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4">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4">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4">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4">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4">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4">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4">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4">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4">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4">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4">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4">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4">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4">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4">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4">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4">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4">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4">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4">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4">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4">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4">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4">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4">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4">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4">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4">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4">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4">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4">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4">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4">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4">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4">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4">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4">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4">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4">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4">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4">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4">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4">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4">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4">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4">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4">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4">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4">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4">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4">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4">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4">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4">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4">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4">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4">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4">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4">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4">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4">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4">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4">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4">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4">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4">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4">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4">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4">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4">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4">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4">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4">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4">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4">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4">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4">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4">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4">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4">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4">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4">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4">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4">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4">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4">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4">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4">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4">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4">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4">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4">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4">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4">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4">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4">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4">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4">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4">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4">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4">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4">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4">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4">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4">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4">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4">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4">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4">
      <c r="P492" s="72" t="str">
        <f>IFERROR(IF(ISBLANK(O492),"",INDEX(Gen_Vessels!$A$3:$C$500,MATCH(O492,Gen_Vessels!$C$3:$C$500,0),1)),"")</f>
        <v/>
      </c>
      <c r="Q492" s="25"/>
      <c r="S492" s="25" t="str">
        <f>IFERROR(IF(ISBLANK(R492),"",INDEX(Gen_Vessels!$A$3:$C$500,MATCH(CorrectiveMinor!$R492,Gen_Vessels!$C$3:$C$500,0),1)),"")</f>
        <v/>
      </c>
      <c r="T492" s="25"/>
    </row>
    <row r="493" spans="1:33" x14ac:dyDescent="0.4">
      <c r="Q493" s="25"/>
      <c r="T493" s="25"/>
    </row>
    <row r="494" spans="1:33" x14ac:dyDescent="0.4">
      <c r="Q494" s="25"/>
      <c r="T494" s="25"/>
    </row>
    <row r="495" spans="1:33" x14ac:dyDescent="0.4">
      <c r="Q495" s="25"/>
      <c r="T495" s="25"/>
    </row>
    <row r="496" spans="1:33" x14ac:dyDescent="0.4">
      <c r="Q496" s="25"/>
      <c r="T496" s="25"/>
    </row>
    <row r="497" spans="17:20" x14ac:dyDescent="0.4">
      <c r="Q497" s="25"/>
      <c r="T497" s="25"/>
    </row>
    <row r="498" spans="17:20" x14ac:dyDescent="0.4">
      <c r="Q498" s="25"/>
      <c r="T498" s="25"/>
    </row>
    <row r="499" spans="17:20" x14ac:dyDescent="0.4">
      <c r="Q499" s="25"/>
      <c r="T499" s="25"/>
    </row>
    <row r="500" spans="17:20" x14ac:dyDescent="0.4">
      <c r="Q500" s="25"/>
      <c r="T500" s="25"/>
    </row>
  </sheetData>
  <conditionalFormatting sqref="A1:B2 A3:A5 A6:B1048576">
    <cfRule type="expression" dxfId="48" priority="9">
      <formula>AND(COUNTIF(A:A,$A1)&gt;1,$A1&lt;&gt;"")</formula>
    </cfRule>
  </conditionalFormatting>
  <conditionalFormatting sqref="D6:F492">
    <cfRule type="expression" dxfId="47" priority="5">
      <formula>AND(NOT(ISBLANK($B6)),COUNTBLANK($D6:$F6)&lt;2)</formula>
    </cfRule>
    <cfRule type="expression" dxfId="46" priority="6">
      <formula>AND(NOT(ISBLANK($B6)),COUNTBLANK($D6:$F6)&gt;2)</formula>
    </cfRule>
  </conditionalFormatting>
  <conditionalFormatting sqref="J3:K492">
    <cfRule type="expression" dxfId="45" priority="2">
      <formula>AND(NOT(ISBLANK($K3)),NOT(ISBLANK($L3)))</formula>
    </cfRule>
  </conditionalFormatting>
  <conditionalFormatting sqref="Z3:Z492">
    <cfRule type="expression" dxfId="44"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 shore"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5.53515625" style="18" customWidth="1"/>
    <col min="6" max="6" width="9.84375" style="18" bestFit="1" customWidth="1"/>
    <col min="7" max="11" width="15.53515625" style="18" customWidth="1"/>
    <col min="12" max="13" width="21.4609375" style="18" customWidth="1"/>
    <col min="14" max="14" width="13.53515625" style="18" customWidth="1"/>
    <col min="15" max="15" width="12.69140625" style="18" customWidth="1"/>
    <col min="16" max="16" width="17.23046875" style="18" bestFit="1" customWidth="1"/>
    <col min="17" max="16384" width="9.23046875" style="18"/>
  </cols>
  <sheetData>
    <row r="1" spans="1:16" x14ac:dyDescent="0.4">
      <c r="A1" s="18" t="s">
        <v>66</v>
      </c>
      <c r="B1" s="18" t="s">
        <v>149</v>
      </c>
      <c r="C1" s="18" t="s">
        <v>150</v>
      </c>
      <c r="D1" s="18" t="s">
        <v>256</v>
      </c>
      <c r="E1" s="18" t="s">
        <v>166</v>
      </c>
      <c r="F1" s="18" t="s">
        <v>167</v>
      </c>
      <c r="G1" s="18" t="s">
        <v>265</v>
      </c>
      <c r="H1" s="18" t="s">
        <v>168</v>
      </c>
      <c r="I1" s="18" t="s">
        <v>169</v>
      </c>
      <c r="J1" s="18" t="s">
        <v>430</v>
      </c>
      <c r="K1" s="18" t="s">
        <v>170</v>
      </c>
      <c r="L1" s="18" t="s">
        <v>257</v>
      </c>
      <c r="M1" s="18" t="s">
        <v>172</v>
      </c>
      <c r="N1" s="18" t="s">
        <v>173</v>
      </c>
      <c r="O1" s="18" t="s">
        <v>174</v>
      </c>
      <c r="P1" s="18" t="s">
        <v>239</v>
      </c>
    </row>
    <row r="2" spans="1:16" x14ac:dyDescent="0.4">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4">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4">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4">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4">
      <c r="A6" s="18" t="str">
        <f t="shared" si="0"/>
        <v/>
      </c>
      <c r="D6" s="25"/>
      <c r="F6" s="25" t="str">
        <f>IFERROR(IF(ISBLANK(E6),"",INDEX(Gen_Vessels!$A$3:$C$500,MATCH(E6,Gen_Vessels!$C$3:$C$500,0),1)),"")</f>
        <v/>
      </c>
      <c r="G6" s="25"/>
      <c r="I6" s="25" t="str">
        <f>IFERROR(IF(ISBLANK(H6),"",INDEX(Gen_Vessels!$A$3:$C$500,MATCH(H6,Gen_Vessels!$C$3:$C$500,0),1)),"")</f>
        <v/>
      </c>
      <c r="J6" s="25"/>
    </row>
    <row r="7" spans="1:16" x14ac:dyDescent="0.4">
      <c r="A7" s="18" t="str">
        <f t="shared" si="0"/>
        <v/>
      </c>
      <c r="D7" s="25"/>
      <c r="F7" s="25" t="str">
        <f>IFERROR(IF(ISBLANK(E7),"",INDEX(Gen_Vessels!$A$3:$C$500,MATCH(E7,Gen_Vessels!$C$3:$C$500,0),1)),"")</f>
        <v/>
      </c>
      <c r="G7" s="25"/>
      <c r="I7" s="25" t="str">
        <f>IFERROR(IF(ISBLANK(H7),"",INDEX(Gen_Vessels!$A$3:$C$500,MATCH(H7,Gen_Vessels!$C$3:$C$500,0),1)),"")</f>
        <v/>
      </c>
      <c r="J7" s="25"/>
    </row>
    <row r="8" spans="1:16" x14ac:dyDescent="0.4">
      <c r="A8" s="18" t="str">
        <f t="shared" si="0"/>
        <v/>
      </c>
      <c r="D8" s="25"/>
      <c r="F8" s="25" t="str">
        <f>IFERROR(IF(ISBLANK(E8),"",INDEX(Gen_Vessels!$A$3:$C$500,MATCH(E8,Gen_Vessels!$C$3:$C$500,0),1)),"")</f>
        <v/>
      </c>
      <c r="G8" s="25"/>
      <c r="I8" s="25" t="str">
        <f>IFERROR(IF(ISBLANK(H8),"",INDEX(Gen_Vessels!$A$3:$C$500,MATCH(H8,Gen_Vessels!$C$3:$C$500,0),1)),"")</f>
        <v/>
      </c>
      <c r="J8" s="25"/>
    </row>
    <row r="9" spans="1:16" x14ac:dyDescent="0.4">
      <c r="A9" s="18" t="str">
        <f t="shared" si="0"/>
        <v/>
      </c>
      <c r="D9" s="25"/>
      <c r="F9" s="25" t="str">
        <f>IFERROR(IF(ISBLANK(E9),"",INDEX(Gen_Vessels!$A$3:$C$500,MATCH(E9,Gen_Vessels!$C$3:$C$500,0),1)),"")</f>
        <v/>
      </c>
      <c r="G9" s="25"/>
      <c r="I9" s="25" t="str">
        <f>IFERROR(IF(ISBLANK(H9),"",INDEX(Gen_Vessels!$A$3:$C$500,MATCH(H9,Gen_Vessels!$C$3:$C$500,0),1)),"")</f>
        <v/>
      </c>
      <c r="J9" s="25"/>
    </row>
    <row r="10" spans="1:16" x14ac:dyDescent="0.4">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4">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4">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4">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4">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4">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4">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4">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4">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4">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4">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4">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4">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4">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4">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4">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4">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4">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4">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4">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4">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4">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4">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4">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4">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4">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4">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4">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4">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4">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4">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4">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4">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4">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4">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4">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4">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4">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4">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4">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4">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4">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4">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4">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4">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4">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4">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4">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4">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4">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4">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4">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4">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4">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4">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4">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4">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4">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4">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4">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4">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4">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4">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4">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4">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4">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4">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4">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4">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4">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4">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4">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4">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4">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4">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4">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4">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4">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4">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4">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4">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4">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4">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4">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4">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4">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4">
      <c r="D96" s="25"/>
      <c r="F96" s="25" t="str">
        <f>IFERROR(IF(ISBLANK(E96),"",INDEX(Gen_Vessels!$A$3:$C$500,MATCH(E96,Gen_Vessels!$C$3:$C$500,0),1)),"")</f>
        <v/>
      </c>
      <c r="G96" s="25"/>
      <c r="I96" s="25" t="str">
        <f>IFERROR(IF(ISBLANK(H96),"",INDEX(Gen_Vessels!$A$3:$C$500,MATCH(H96,Gen_Vessels!$C$3:$C$500,0),1)),"")</f>
        <v/>
      </c>
      <c r="J96" s="25"/>
    </row>
    <row r="97" spans="4:10" x14ac:dyDescent="0.4">
      <c r="D97" s="25"/>
      <c r="F97" s="25" t="str">
        <f>IFERROR(IF(ISBLANK(E97),"",INDEX(Gen_Vessels!$A$3:$C$500,MATCH(E97,Gen_Vessels!$C$3:$C$500,0),1)),"")</f>
        <v/>
      </c>
      <c r="G97" s="25"/>
      <c r="I97" s="25" t="str">
        <f>IFERROR(IF(ISBLANK(H97),"",INDEX(Gen_Vessels!$A$3:$C$500,MATCH(H97,Gen_Vessels!$C$3:$C$500,0),1)),"")</f>
        <v/>
      </c>
      <c r="J97" s="25"/>
    </row>
    <row r="98" spans="4:10" x14ac:dyDescent="0.4">
      <c r="D98" s="25"/>
      <c r="F98" s="25" t="str">
        <f>IFERROR(IF(ISBLANK(E98),"",INDEX(Gen_Vessels!$A$3:$C$500,MATCH(E98,Gen_Vessels!$C$3:$C$500,0),1)),"")</f>
        <v/>
      </c>
      <c r="G98" s="25"/>
      <c r="I98" s="25" t="str">
        <f>IFERROR(IF(ISBLANK(H98),"",INDEX(Gen_Vessels!$A$3:$C$500,MATCH(H98,Gen_Vessels!$C$3:$C$500,0),1)),"")</f>
        <v/>
      </c>
      <c r="J98" s="25"/>
    </row>
    <row r="99" spans="4:10" x14ac:dyDescent="0.4">
      <c r="D99" s="25"/>
      <c r="F99" s="25" t="str">
        <f>IFERROR(IF(ISBLANK(E99),"",INDEX(Gen_Vessels!$A$3:$C$500,MATCH(E99,Gen_Vessels!$C$3:$C$500,0),1)),"")</f>
        <v/>
      </c>
      <c r="G99" s="25"/>
      <c r="I99" s="25" t="str">
        <f>IFERROR(IF(ISBLANK(H99),"",INDEX(Gen_Vessels!$A$3:$C$500,MATCH(H99,Gen_Vessels!$C$3:$C$500,0),1)),"")</f>
        <v/>
      </c>
      <c r="J99" s="25"/>
    </row>
    <row r="100" spans="4:10" x14ac:dyDescent="0.4">
      <c r="D100" s="25"/>
      <c r="F100" s="25" t="str">
        <f>IFERROR(IF(ISBLANK(E100),"",INDEX(Gen_Vessels!$A$3:$C$500,MATCH(E100,Gen_Vessels!$C$3:$C$500,0),1)),"")</f>
        <v/>
      </c>
      <c r="G100" s="25"/>
      <c r="I100" s="25" t="str">
        <f>IFERROR(IF(ISBLANK(H100),"",INDEX(Gen_Vessels!$A$3:$C$500,MATCH(H100,Gen_Vessels!$C$3:$C$500,0),1)),"")</f>
        <v/>
      </c>
      <c r="J100" s="25"/>
    </row>
    <row r="101" spans="4:10" x14ac:dyDescent="0.4">
      <c r="D101" s="25"/>
      <c r="F101" s="25" t="str">
        <f>IFERROR(IF(ISBLANK(E101),"",INDEX(Gen_Vessels!$A$3:$C$500,MATCH(E101,Gen_Vessels!$C$3:$C$500,0),1)),"")</f>
        <v/>
      </c>
      <c r="G101" s="25"/>
      <c r="I101" s="25" t="str">
        <f>IFERROR(IF(ISBLANK(H101),"",INDEX(Gen_Vessels!$A$3:$C$500,MATCH(H101,Gen_Vessels!$C$3:$C$500,0),1)),"")</f>
        <v/>
      </c>
      <c r="J101" s="25"/>
    </row>
    <row r="102" spans="4:10" x14ac:dyDescent="0.4">
      <c r="D102" s="25"/>
      <c r="F102" s="25" t="str">
        <f>IFERROR(IF(ISBLANK(E102),"",INDEX(Gen_Vessels!$A$3:$C$500,MATCH(E102,Gen_Vessels!$C$3:$C$500,0),1)),"")</f>
        <v/>
      </c>
      <c r="G102" s="25"/>
      <c r="I102" s="25" t="str">
        <f>IFERROR(IF(ISBLANK(H102),"",INDEX(Gen_Vessels!$A$3:$C$500,MATCH(H102,Gen_Vessels!$C$3:$C$500,0),1)),"")</f>
        <v/>
      </c>
      <c r="J102" s="25"/>
    </row>
    <row r="103" spans="4:10" x14ac:dyDescent="0.4">
      <c r="D103" s="25"/>
      <c r="F103" s="25" t="str">
        <f>IFERROR(IF(ISBLANK(E103),"",INDEX(Gen_Vessels!$A$3:$C$500,MATCH(E103,Gen_Vessels!$C$3:$C$500,0),1)),"")</f>
        <v/>
      </c>
      <c r="G103" s="25"/>
      <c r="I103" s="25" t="str">
        <f>IFERROR(IF(ISBLANK(H103),"",INDEX(Gen_Vessels!$A$3:$C$500,MATCH(H103,Gen_Vessels!$C$3:$C$500,0),1)),"")</f>
        <v/>
      </c>
      <c r="J103" s="25"/>
    </row>
    <row r="104" spans="4:10" x14ac:dyDescent="0.4">
      <c r="D104" s="25"/>
      <c r="F104" s="25" t="str">
        <f>IFERROR(IF(ISBLANK(E104),"",INDEX(Gen_Vessels!$A$3:$C$500,MATCH(E104,Gen_Vessels!$C$3:$C$500,0),1)),"")</f>
        <v/>
      </c>
      <c r="G104" s="25"/>
      <c r="I104" s="25" t="str">
        <f>IFERROR(IF(ISBLANK(H104),"",INDEX(Gen_Vessels!$A$3:$C$500,MATCH(H104,Gen_Vessels!$C$3:$C$500,0),1)),"")</f>
        <v/>
      </c>
      <c r="J104" s="25"/>
    </row>
    <row r="105" spans="4:10" x14ac:dyDescent="0.4">
      <c r="D105" s="25"/>
      <c r="F105" s="25" t="str">
        <f>IFERROR(IF(ISBLANK(E105),"",INDEX(Gen_Vessels!$A$3:$C$500,MATCH(E105,Gen_Vessels!$C$3:$C$500,0),1)),"")</f>
        <v/>
      </c>
      <c r="G105" s="25"/>
      <c r="I105" s="25" t="str">
        <f>IFERROR(IF(ISBLANK(H105),"",INDEX(Gen_Vessels!$A$3:$C$500,MATCH(H105,Gen_Vessels!$C$3:$C$500,0),1)),"")</f>
        <v/>
      </c>
      <c r="J105" s="25"/>
    </row>
    <row r="106" spans="4:10" x14ac:dyDescent="0.4">
      <c r="D106" s="25"/>
      <c r="F106" s="25" t="str">
        <f>IFERROR(IF(ISBLANK(E106),"",INDEX(Gen_Vessels!$A$3:$C$500,MATCH(E106,Gen_Vessels!$C$3:$C$500,0),1)),"")</f>
        <v/>
      </c>
      <c r="G106" s="25"/>
      <c r="I106" s="25" t="str">
        <f>IFERROR(IF(ISBLANK(H106),"",INDEX(Gen_Vessels!$A$3:$C$500,MATCH(H106,Gen_Vessels!$C$3:$C$500,0),1)),"")</f>
        <v/>
      </c>
      <c r="J106" s="25"/>
    </row>
    <row r="107" spans="4:10" x14ac:dyDescent="0.4">
      <c r="D107" s="25"/>
      <c r="F107" s="25" t="str">
        <f>IFERROR(IF(ISBLANK(E107),"",INDEX(Gen_Vessels!$A$3:$C$500,MATCH(E107,Gen_Vessels!$C$3:$C$500,0),1)),"")</f>
        <v/>
      </c>
      <c r="G107" s="25"/>
      <c r="I107" s="25" t="str">
        <f>IFERROR(IF(ISBLANK(H107),"",INDEX(Gen_Vessels!$A$3:$C$500,MATCH(H107,Gen_Vessels!$C$3:$C$500,0),1)),"")</f>
        <v/>
      </c>
      <c r="J107" s="25"/>
    </row>
    <row r="108" spans="4:10" x14ac:dyDescent="0.4">
      <c r="D108" s="25"/>
      <c r="F108" s="25" t="str">
        <f>IFERROR(IF(ISBLANK(E108),"",INDEX(Gen_Vessels!$A$3:$C$500,MATCH(E108,Gen_Vessels!$C$3:$C$500,0),1)),"")</f>
        <v/>
      </c>
      <c r="G108" s="25"/>
      <c r="I108" s="25" t="str">
        <f>IFERROR(IF(ISBLANK(H108),"",INDEX(Gen_Vessels!$A$3:$C$500,MATCH(H108,Gen_Vessels!$C$3:$C$500,0),1)),"")</f>
        <v/>
      </c>
      <c r="J108" s="25"/>
    </row>
    <row r="109" spans="4:10" x14ac:dyDescent="0.4">
      <c r="D109" s="25"/>
      <c r="F109" s="25" t="str">
        <f>IFERROR(IF(ISBLANK(E109),"",INDEX(Gen_Vessels!$A$3:$C$500,MATCH(E109,Gen_Vessels!$C$3:$C$500,0),1)),"")</f>
        <v/>
      </c>
      <c r="G109" s="25"/>
      <c r="I109" s="25" t="str">
        <f>IFERROR(IF(ISBLANK(H109),"",INDEX(Gen_Vessels!$A$3:$C$500,MATCH(H109,Gen_Vessels!$C$3:$C$500,0),1)),"")</f>
        <v/>
      </c>
      <c r="J109" s="25"/>
    </row>
    <row r="110" spans="4:10" x14ac:dyDescent="0.4">
      <c r="D110" s="25"/>
      <c r="F110" s="25" t="str">
        <f>IFERROR(IF(ISBLANK(E110),"",INDEX(Gen_Vessels!$A$3:$C$500,MATCH(E110,Gen_Vessels!$C$3:$C$500,0),1)),"")</f>
        <v/>
      </c>
      <c r="G110" s="25"/>
      <c r="I110" s="25" t="str">
        <f>IFERROR(IF(ISBLANK(H110),"",INDEX(Gen_Vessels!$A$3:$C$500,MATCH(H110,Gen_Vessels!$C$3:$C$500,0),1)),"")</f>
        <v/>
      </c>
      <c r="J110" s="25"/>
    </row>
    <row r="111" spans="4:10" x14ac:dyDescent="0.4">
      <c r="D111" s="25"/>
      <c r="F111" s="25" t="str">
        <f>IFERROR(IF(ISBLANK(E111),"",INDEX(Gen_Vessels!$A$3:$C$500,MATCH(E111,Gen_Vessels!$C$3:$C$500,0),1)),"")</f>
        <v/>
      </c>
      <c r="G111" s="25"/>
      <c r="I111" s="25" t="str">
        <f>IFERROR(IF(ISBLANK(H111),"",INDEX(Gen_Vessels!$A$3:$C$500,MATCH(H111,Gen_Vessels!$C$3:$C$500,0),1)),"")</f>
        <v/>
      </c>
      <c r="J111" s="25"/>
    </row>
    <row r="112" spans="4:10" x14ac:dyDescent="0.4">
      <c r="D112" s="25"/>
      <c r="F112" s="25" t="str">
        <f>IFERROR(IF(ISBLANK(E112),"",INDEX(Gen_Vessels!$A$3:$C$500,MATCH(E112,Gen_Vessels!$C$3:$C$500,0),1)),"")</f>
        <v/>
      </c>
      <c r="G112" s="25"/>
      <c r="I112" s="25" t="str">
        <f>IFERROR(IF(ISBLANK(H112),"",INDEX(Gen_Vessels!$A$3:$C$500,MATCH(H112,Gen_Vessels!$C$3:$C$500,0),1)),"")</f>
        <v/>
      </c>
      <c r="J112" s="25"/>
    </row>
    <row r="113" spans="4:10" x14ac:dyDescent="0.4">
      <c r="D113" s="25"/>
      <c r="F113" s="25" t="str">
        <f>IFERROR(IF(ISBLANK(E113),"",INDEX(Gen_Vessels!$A$3:$C$500,MATCH(E113,Gen_Vessels!$C$3:$C$500,0),1)),"")</f>
        <v/>
      </c>
      <c r="G113" s="25"/>
      <c r="I113" s="25" t="str">
        <f>IFERROR(IF(ISBLANK(H113),"",INDEX(Gen_Vessels!$A$3:$C$500,MATCH(H113,Gen_Vessels!$C$3:$C$500,0),1)),"")</f>
        <v/>
      </c>
      <c r="J113" s="25"/>
    </row>
    <row r="114" spans="4:10" x14ac:dyDescent="0.4">
      <c r="D114" s="25"/>
      <c r="F114" s="25" t="str">
        <f>IFERROR(IF(ISBLANK(E114),"",INDEX(Gen_Vessels!$A$3:$C$500,MATCH(E114,Gen_Vessels!$C$3:$C$500,0),1)),"")</f>
        <v/>
      </c>
      <c r="G114" s="25"/>
      <c r="I114" s="25" t="str">
        <f>IFERROR(IF(ISBLANK(H114),"",INDEX(Gen_Vessels!$A$3:$C$500,MATCH(H114,Gen_Vessels!$C$3:$C$500,0),1)),"")</f>
        <v/>
      </c>
      <c r="J114" s="25"/>
    </row>
    <row r="115" spans="4:10" x14ac:dyDescent="0.4">
      <c r="D115" s="25"/>
      <c r="F115" s="25" t="str">
        <f>IFERROR(IF(ISBLANK(E115),"",INDEX(Gen_Vessels!$A$3:$C$500,MATCH(E115,Gen_Vessels!$C$3:$C$500,0),1)),"")</f>
        <v/>
      </c>
      <c r="G115" s="25"/>
      <c r="I115" s="25" t="str">
        <f>IFERROR(IF(ISBLANK(H115),"",INDEX(Gen_Vessels!$A$3:$C$500,MATCH(H115,Gen_Vessels!$C$3:$C$500,0),1)),"")</f>
        <v/>
      </c>
      <c r="J115" s="25"/>
    </row>
    <row r="116" spans="4:10" x14ac:dyDescent="0.4">
      <c r="D116" s="25"/>
      <c r="F116" s="25" t="str">
        <f>IFERROR(IF(ISBLANK(E116),"",INDEX(Gen_Vessels!$A$3:$C$500,MATCH(E116,Gen_Vessels!$C$3:$C$500,0),1)),"")</f>
        <v/>
      </c>
      <c r="G116" s="25"/>
      <c r="I116" s="25" t="str">
        <f>IFERROR(IF(ISBLANK(H116),"",INDEX(Gen_Vessels!$A$3:$C$500,MATCH(H116,Gen_Vessels!$C$3:$C$500,0),1)),"")</f>
        <v/>
      </c>
      <c r="J116" s="25"/>
    </row>
    <row r="117" spans="4:10" x14ac:dyDescent="0.4">
      <c r="D117" s="25"/>
      <c r="F117" s="25" t="str">
        <f>IFERROR(IF(ISBLANK(E117),"",INDEX(Gen_Vessels!$A$3:$C$500,MATCH(E117,Gen_Vessels!$C$3:$C$500,0),1)),"")</f>
        <v/>
      </c>
      <c r="G117" s="25"/>
      <c r="I117" s="25" t="str">
        <f>IFERROR(IF(ISBLANK(H117),"",INDEX(Gen_Vessels!$A$3:$C$500,MATCH(H117,Gen_Vessels!$C$3:$C$500,0),1)),"")</f>
        <v/>
      </c>
      <c r="J117" s="25"/>
    </row>
    <row r="118" spans="4:10" x14ac:dyDescent="0.4">
      <c r="D118" s="25"/>
      <c r="F118" s="25" t="str">
        <f>IFERROR(IF(ISBLANK(E118),"",INDEX(Gen_Vessels!$A$3:$C$500,MATCH(E118,Gen_Vessels!$C$3:$C$500,0),1)),"")</f>
        <v/>
      </c>
      <c r="G118" s="25"/>
      <c r="I118" s="25" t="str">
        <f>IFERROR(IF(ISBLANK(H118),"",INDEX(Gen_Vessels!$A$3:$C$500,MATCH(H118,Gen_Vessels!$C$3:$C$500,0),1)),"")</f>
        <v/>
      </c>
      <c r="J118" s="25"/>
    </row>
    <row r="119" spans="4:10" x14ac:dyDescent="0.4">
      <c r="D119" s="25"/>
      <c r="F119" s="25" t="str">
        <f>IFERROR(IF(ISBLANK(E119),"",INDEX(Gen_Vessels!$A$3:$C$500,MATCH(E119,Gen_Vessels!$C$3:$C$500,0),1)),"")</f>
        <v/>
      </c>
      <c r="G119" s="25"/>
      <c r="I119" s="25" t="str">
        <f>IFERROR(IF(ISBLANK(H119),"",INDEX(Gen_Vessels!$A$3:$C$500,MATCH(H119,Gen_Vessels!$C$3:$C$500,0),1)),"")</f>
        <v/>
      </c>
      <c r="J119" s="25"/>
    </row>
    <row r="120" spans="4:10" x14ac:dyDescent="0.4">
      <c r="D120" s="25"/>
      <c r="F120" s="25" t="str">
        <f>IFERROR(IF(ISBLANK(E120),"",INDEX(Gen_Vessels!$A$3:$C$500,MATCH(E120,Gen_Vessels!$C$3:$C$500,0),1)),"")</f>
        <v/>
      </c>
      <c r="G120" s="25"/>
      <c r="I120" s="25" t="str">
        <f>IFERROR(IF(ISBLANK(H120),"",INDEX(Gen_Vessels!$A$3:$C$500,MATCH(H120,Gen_Vessels!$C$3:$C$500,0),1)),"")</f>
        <v/>
      </c>
      <c r="J120" s="25"/>
    </row>
    <row r="121" spans="4:10" x14ac:dyDescent="0.4">
      <c r="D121" s="25"/>
      <c r="F121" s="25" t="str">
        <f>IFERROR(IF(ISBLANK(E121),"",INDEX(Gen_Vessels!$A$3:$C$500,MATCH(E121,Gen_Vessels!$C$3:$C$500,0),1)),"")</f>
        <v/>
      </c>
      <c r="G121" s="25"/>
      <c r="I121" s="25" t="str">
        <f>IFERROR(IF(ISBLANK(H121),"",INDEX(Gen_Vessels!$A$3:$C$500,MATCH(H121,Gen_Vessels!$C$3:$C$500,0),1)),"")</f>
        <v/>
      </c>
      <c r="J121" s="25"/>
    </row>
    <row r="122" spans="4:10" x14ac:dyDescent="0.4">
      <c r="D122" s="25"/>
      <c r="F122" s="25" t="str">
        <f>IFERROR(IF(ISBLANK(E122),"",INDEX(Gen_Vessels!$A$3:$C$500,MATCH(E122,Gen_Vessels!$C$3:$C$500,0),1)),"")</f>
        <v/>
      </c>
      <c r="G122" s="25"/>
      <c r="I122" s="25" t="str">
        <f>IFERROR(IF(ISBLANK(H122),"",INDEX(Gen_Vessels!$A$3:$C$500,MATCH(H122,Gen_Vessels!$C$3:$C$500,0),1)),"")</f>
        <v/>
      </c>
      <c r="J122" s="25"/>
    </row>
    <row r="123" spans="4:10" x14ac:dyDescent="0.4">
      <c r="D123" s="25"/>
      <c r="F123" s="25" t="str">
        <f>IFERROR(IF(ISBLANK(E123),"",INDEX(Gen_Vessels!$A$3:$C$500,MATCH(E123,Gen_Vessels!$C$3:$C$500,0),1)),"")</f>
        <v/>
      </c>
      <c r="G123" s="25"/>
      <c r="I123" s="25" t="str">
        <f>IFERROR(IF(ISBLANK(H123),"",INDEX(Gen_Vessels!$A$3:$C$500,MATCH(H123,Gen_Vessels!$C$3:$C$500,0),1)),"")</f>
        <v/>
      </c>
      <c r="J123" s="25"/>
    </row>
    <row r="124" spans="4:10" x14ac:dyDescent="0.4">
      <c r="D124" s="25"/>
      <c r="F124" s="25" t="str">
        <f>IFERROR(IF(ISBLANK(E124),"",INDEX(Gen_Vessels!$A$3:$C$500,MATCH(E124,Gen_Vessels!$C$3:$C$500,0),1)),"")</f>
        <v/>
      </c>
      <c r="G124" s="25"/>
      <c r="I124" s="25" t="str">
        <f>IFERROR(IF(ISBLANK(H124),"",INDEX(Gen_Vessels!$A$3:$C$500,MATCH(H124,Gen_Vessels!$C$3:$C$500,0),1)),"")</f>
        <v/>
      </c>
      <c r="J124" s="25"/>
    </row>
    <row r="125" spans="4:10" x14ac:dyDescent="0.4">
      <c r="D125" s="25"/>
      <c r="F125" s="25" t="str">
        <f>IFERROR(IF(ISBLANK(E125),"",INDEX(Gen_Vessels!$A$3:$C$500,MATCH(E125,Gen_Vessels!$C$3:$C$500,0),1)),"")</f>
        <v/>
      </c>
      <c r="G125" s="25"/>
      <c r="I125" s="25" t="str">
        <f>IFERROR(IF(ISBLANK(H125),"",INDEX(Gen_Vessels!$A$3:$C$500,MATCH(H125,Gen_Vessels!$C$3:$C$500,0),1)),"")</f>
        <v/>
      </c>
      <c r="J125" s="25"/>
    </row>
    <row r="126" spans="4:10" x14ac:dyDescent="0.4">
      <c r="D126" s="25"/>
      <c r="F126" s="25" t="str">
        <f>IFERROR(IF(ISBLANK(E126),"",INDEX(Gen_Vessels!$A$3:$C$500,MATCH(E126,Gen_Vessels!$C$3:$C$500,0),1)),"")</f>
        <v/>
      </c>
      <c r="G126" s="25"/>
      <c r="I126" s="25" t="str">
        <f>IFERROR(IF(ISBLANK(H126),"",INDEX(Gen_Vessels!$A$3:$C$500,MATCH(H126,Gen_Vessels!$C$3:$C$500,0),1)),"")</f>
        <v/>
      </c>
      <c r="J126" s="25"/>
    </row>
    <row r="127" spans="4:10" x14ac:dyDescent="0.4">
      <c r="D127" s="25"/>
      <c r="F127" s="25" t="str">
        <f>IFERROR(IF(ISBLANK(E127),"",INDEX(Gen_Vessels!$A$3:$C$500,MATCH(E127,Gen_Vessels!$C$3:$C$500,0),1)),"")</f>
        <v/>
      </c>
      <c r="G127" s="25"/>
      <c r="I127" s="25" t="str">
        <f>IFERROR(IF(ISBLANK(H127),"",INDEX(Gen_Vessels!$A$3:$C$500,MATCH(H127,Gen_Vessels!$C$3:$C$500,0),1)),"")</f>
        <v/>
      </c>
      <c r="J127" s="25"/>
    </row>
    <row r="128" spans="4:10" x14ac:dyDescent="0.4">
      <c r="D128" s="25"/>
      <c r="F128" s="25" t="str">
        <f>IFERROR(IF(ISBLANK(E128),"",INDEX(Gen_Vessels!$A$3:$C$500,MATCH(E128,Gen_Vessels!$C$3:$C$500,0),1)),"")</f>
        <v/>
      </c>
      <c r="G128" s="25"/>
      <c r="I128" s="25" t="str">
        <f>IFERROR(IF(ISBLANK(H128),"",INDEX(Gen_Vessels!$A$3:$C$500,MATCH(H128,Gen_Vessels!$C$3:$C$500,0),1)),"")</f>
        <v/>
      </c>
      <c r="J128" s="25"/>
    </row>
    <row r="129" spans="4:10" x14ac:dyDescent="0.4">
      <c r="D129" s="25"/>
      <c r="F129" s="25" t="str">
        <f>IFERROR(IF(ISBLANK(E129),"",INDEX(Gen_Vessels!$A$3:$C$500,MATCH(E129,Gen_Vessels!$C$3:$C$500,0),1)),"")</f>
        <v/>
      </c>
      <c r="G129" s="25"/>
      <c r="I129" s="25" t="str">
        <f>IFERROR(IF(ISBLANK(H129),"",INDEX(Gen_Vessels!$A$3:$C$500,MATCH(H129,Gen_Vessels!$C$3:$C$500,0),1)),"")</f>
        <v/>
      </c>
      <c r="J129" s="25"/>
    </row>
    <row r="130" spans="4:10" x14ac:dyDescent="0.4">
      <c r="D130" s="25"/>
      <c r="F130" s="25" t="str">
        <f>IFERROR(IF(ISBLANK(E130),"",INDEX(Gen_Vessels!$A$3:$C$500,MATCH(E130,Gen_Vessels!$C$3:$C$500,0),1)),"")</f>
        <v/>
      </c>
      <c r="G130" s="25"/>
      <c r="I130" s="25" t="str">
        <f>IFERROR(IF(ISBLANK(H130),"",INDEX(Gen_Vessels!$A$3:$C$500,MATCH(H130,Gen_Vessels!$C$3:$C$500,0),1)),"")</f>
        <v/>
      </c>
      <c r="J130" s="25"/>
    </row>
    <row r="131" spans="4:10" x14ac:dyDescent="0.4">
      <c r="D131" s="25"/>
      <c r="F131" s="25" t="str">
        <f>IFERROR(IF(ISBLANK(E131),"",INDEX(Gen_Vessels!$A$3:$C$500,MATCH(E131,Gen_Vessels!$C$3:$C$500,0),1)),"")</f>
        <v/>
      </c>
      <c r="G131" s="25"/>
      <c r="I131" s="25" t="str">
        <f>IFERROR(IF(ISBLANK(H131),"",INDEX(Gen_Vessels!$A$3:$C$500,MATCH(H131,Gen_Vessels!$C$3:$C$500,0),1)),"")</f>
        <v/>
      </c>
      <c r="J131" s="25"/>
    </row>
    <row r="132" spans="4:10" x14ac:dyDescent="0.4">
      <c r="D132" s="25"/>
      <c r="F132" s="25" t="str">
        <f>IFERROR(IF(ISBLANK(E132),"",INDEX(Gen_Vessels!$A$3:$C$500,MATCH(E132,Gen_Vessels!$C$3:$C$500,0),1)),"")</f>
        <v/>
      </c>
      <c r="G132" s="25"/>
      <c r="I132" s="25" t="str">
        <f>IFERROR(IF(ISBLANK(H132),"",INDEX(Gen_Vessels!$A$3:$C$500,MATCH(H132,Gen_Vessels!$C$3:$C$500,0),1)),"")</f>
        <v/>
      </c>
      <c r="J132" s="25"/>
    </row>
    <row r="133" spans="4:10" x14ac:dyDescent="0.4">
      <c r="D133" s="25"/>
      <c r="F133" s="25" t="str">
        <f>IFERROR(IF(ISBLANK(E133),"",INDEX(Gen_Vessels!$A$3:$C$500,MATCH(E133,Gen_Vessels!$C$3:$C$500,0),1)),"")</f>
        <v/>
      </c>
      <c r="G133" s="25"/>
      <c r="I133" s="25" t="str">
        <f>IFERROR(IF(ISBLANK(H133),"",INDEX(Gen_Vessels!$A$3:$C$500,MATCH(H133,Gen_Vessels!$C$3:$C$500,0),1)),"")</f>
        <v/>
      </c>
      <c r="J133" s="25"/>
    </row>
    <row r="134" spans="4:10" x14ac:dyDescent="0.4">
      <c r="D134" s="25"/>
      <c r="F134" s="25" t="str">
        <f>IFERROR(IF(ISBLANK(E134),"",INDEX(Gen_Vessels!$A$3:$C$500,MATCH(E134,Gen_Vessels!$C$3:$C$500,0),1)),"")</f>
        <v/>
      </c>
      <c r="G134" s="25"/>
      <c r="I134" s="25" t="str">
        <f>IFERROR(IF(ISBLANK(H134),"",INDEX(Gen_Vessels!$A$3:$C$500,MATCH(H134,Gen_Vessels!$C$3:$C$500,0),1)),"")</f>
        <v/>
      </c>
      <c r="J134" s="25"/>
    </row>
    <row r="135" spans="4:10" x14ac:dyDescent="0.4">
      <c r="D135" s="25"/>
      <c r="F135" s="25" t="str">
        <f>IFERROR(IF(ISBLANK(E135),"",INDEX(Gen_Vessels!$A$3:$C$500,MATCH(E135,Gen_Vessels!$C$3:$C$500,0),1)),"")</f>
        <v/>
      </c>
      <c r="G135" s="25"/>
      <c r="I135" s="25" t="str">
        <f>IFERROR(IF(ISBLANK(H135),"",INDEX(Gen_Vessels!$A$3:$C$500,MATCH(H135,Gen_Vessels!$C$3:$C$500,0),1)),"")</f>
        <v/>
      </c>
      <c r="J135" s="25"/>
    </row>
    <row r="136" spans="4:10" x14ac:dyDescent="0.4">
      <c r="D136" s="25"/>
      <c r="F136" s="25" t="str">
        <f>IFERROR(IF(ISBLANK(E136),"",INDEX(Gen_Vessels!$A$3:$C$500,MATCH(E136,Gen_Vessels!$C$3:$C$500,0),1)),"")</f>
        <v/>
      </c>
      <c r="G136" s="25"/>
      <c r="I136" s="25" t="str">
        <f>IFERROR(IF(ISBLANK(H136),"",INDEX(Gen_Vessels!$A$3:$C$500,MATCH(H136,Gen_Vessels!$C$3:$C$500,0),1)),"")</f>
        <v/>
      </c>
      <c r="J136" s="25"/>
    </row>
    <row r="137" spans="4:10" x14ac:dyDescent="0.4">
      <c r="D137" s="25"/>
      <c r="F137" s="25" t="str">
        <f>IFERROR(IF(ISBLANK(E137),"",INDEX(Gen_Vessels!$A$3:$C$500,MATCH(E137,Gen_Vessels!$C$3:$C$500,0),1)),"")</f>
        <v/>
      </c>
      <c r="G137" s="25"/>
      <c r="I137" s="25" t="str">
        <f>IFERROR(IF(ISBLANK(H137),"",INDEX(Gen_Vessels!$A$3:$C$500,MATCH(H137,Gen_Vessels!$C$3:$C$500,0),1)),"")</f>
        <v/>
      </c>
      <c r="J137" s="25"/>
    </row>
    <row r="138" spans="4:10" x14ac:dyDescent="0.4">
      <c r="D138" s="25"/>
      <c r="F138" s="25" t="str">
        <f>IFERROR(IF(ISBLANK(E138),"",INDEX(Gen_Vessels!$A$3:$C$500,MATCH(E138,Gen_Vessels!$C$3:$C$500,0),1)),"")</f>
        <v/>
      </c>
      <c r="G138" s="25"/>
      <c r="I138" s="25" t="str">
        <f>IFERROR(IF(ISBLANK(H138),"",INDEX(Gen_Vessels!$A$3:$C$500,MATCH(H138,Gen_Vessels!$C$3:$C$500,0),1)),"")</f>
        <v/>
      </c>
      <c r="J138" s="25"/>
    </row>
    <row r="139" spans="4:10" x14ac:dyDescent="0.4">
      <c r="D139" s="25"/>
      <c r="F139" s="25" t="str">
        <f>IFERROR(IF(ISBLANK(E139),"",INDEX(Gen_Vessels!$A$3:$C$500,MATCH(E139,Gen_Vessels!$C$3:$C$500,0),1)),"")</f>
        <v/>
      </c>
      <c r="G139" s="25"/>
      <c r="I139" s="25" t="str">
        <f>IFERROR(IF(ISBLANK(H139),"",INDEX(Gen_Vessels!$A$3:$C$500,MATCH(H139,Gen_Vessels!$C$3:$C$500,0),1)),"")</f>
        <v/>
      </c>
      <c r="J139" s="25"/>
    </row>
    <row r="140" spans="4:10" x14ac:dyDescent="0.4">
      <c r="D140" s="25"/>
      <c r="F140" s="25" t="str">
        <f>IFERROR(IF(ISBLANK(E140),"",INDEX(Gen_Vessels!$A$3:$C$500,MATCH(E140,Gen_Vessels!$C$3:$C$500,0),1)),"")</f>
        <v/>
      </c>
      <c r="G140" s="25"/>
      <c r="I140" s="25" t="str">
        <f>IFERROR(IF(ISBLANK(H140),"",INDEX(Gen_Vessels!$A$3:$C$500,MATCH(H140,Gen_Vessels!$C$3:$C$500,0),1)),"")</f>
        <v/>
      </c>
      <c r="J140" s="25"/>
    </row>
    <row r="141" spans="4:10" x14ac:dyDescent="0.4">
      <c r="D141" s="25"/>
      <c r="F141" s="25" t="str">
        <f>IFERROR(IF(ISBLANK(E141),"",INDEX(Gen_Vessels!$A$3:$C$500,MATCH(E141,Gen_Vessels!$C$3:$C$500,0),1)),"")</f>
        <v/>
      </c>
      <c r="G141" s="25"/>
      <c r="I141" s="25" t="str">
        <f>IFERROR(IF(ISBLANK(H141),"",INDEX(Gen_Vessels!$A$3:$C$500,MATCH(H141,Gen_Vessels!$C$3:$C$500,0),1)),"")</f>
        <v/>
      </c>
      <c r="J141" s="25"/>
    </row>
    <row r="142" spans="4:10" x14ac:dyDescent="0.4">
      <c r="D142" s="25"/>
      <c r="F142" s="25" t="str">
        <f>IFERROR(IF(ISBLANK(E142),"",INDEX(Gen_Vessels!$A$3:$C$500,MATCH(E142,Gen_Vessels!$C$3:$C$500,0),1)),"")</f>
        <v/>
      </c>
      <c r="G142" s="25"/>
      <c r="I142" s="25" t="str">
        <f>IFERROR(IF(ISBLANK(H142),"",INDEX(Gen_Vessels!$A$3:$C$500,MATCH(H142,Gen_Vessels!$C$3:$C$500,0),1)),"")</f>
        <v/>
      </c>
      <c r="J142" s="25"/>
    </row>
    <row r="143" spans="4:10" x14ac:dyDescent="0.4">
      <c r="D143" s="25"/>
      <c r="F143" s="25" t="str">
        <f>IFERROR(IF(ISBLANK(E143),"",INDEX(Gen_Vessels!$A$3:$C$500,MATCH(E143,Gen_Vessels!$C$3:$C$500,0),1)),"")</f>
        <v/>
      </c>
      <c r="G143" s="25"/>
      <c r="I143" s="25" t="str">
        <f>IFERROR(IF(ISBLANK(H143),"",INDEX(Gen_Vessels!$A$3:$C$500,MATCH(H143,Gen_Vessels!$C$3:$C$500,0),1)),"")</f>
        <v/>
      </c>
      <c r="J143" s="25"/>
    </row>
    <row r="144" spans="4:10" x14ac:dyDescent="0.4">
      <c r="D144" s="25"/>
      <c r="F144" s="25" t="str">
        <f>IFERROR(IF(ISBLANK(E144),"",INDEX(Gen_Vessels!$A$3:$C$500,MATCH(E144,Gen_Vessels!$C$3:$C$500,0),1)),"")</f>
        <v/>
      </c>
      <c r="G144" s="25"/>
      <c r="I144" s="25" t="str">
        <f>IFERROR(IF(ISBLANK(H144),"",INDEX(Gen_Vessels!$A$3:$C$500,MATCH(H144,Gen_Vessels!$C$3:$C$500,0),1)),"")</f>
        <v/>
      </c>
      <c r="J144" s="25"/>
    </row>
    <row r="145" spans="4:10" x14ac:dyDescent="0.4">
      <c r="D145" s="25"/>
      <c r="F145" s="25" t="str">
        <f>IFERROR(IF(ISBLANK(E145),"",INDEX(Gen_Vessels!$A$3:$C$500,MATCH(E145,Gen_Vessels!$C$3:$C$500,0),1)),"")</f>
        <v/>
      </c>
      <c r="G145" s="25"/>
      <c r="I145" s="25" t="str">
        <f>IFERROR(IF(ISBLANK(H145),"",INDEX(Gen_Vessels!$A$3:$C$500,MATCH(H145,Gen_Vessels!$C$3:$C$500,0),1)),"")</f>
        <v/>
      </c>
      <c r="J145" s="25"/>
    </row>
    <row r="146" spans="4:10" x14ac:dyDescent="0.4">
      <c r="D146" s="25"/>
      <c r="F146" s="25" t="str">
        <f>IFERROR(IF(ISBLANK(E146),"",INDEX(Gen_Vessels!$A$3:$C$500,MATCH(E146,Gen_Vessels!$C$3:$C$500,0),1)),"")</f>
        <v/>
      </c>
      <c r="G146" s="25"/>
      <c r="I146" s="25" t="str">
        <f>IFERROR(IF(ISBLANK(H146),"",INDEX(Gen_Vessels!$A$3:$C$500,MATCH(H146,Gen_Vessels!$C$3:$C$500,0),1)),"")</f>
        <v/>
      </c>
      <c r="J146" s="25"/>
    </row>
    <row r="147" spans="4:10" x14ac:dyDescent="0.4">
      <c r="D147" s="25"/>
      <c r="F147" s="25" t="str">
        <f>IFERROR(IF(ISBLANK(E147),"",INDEX(Gen_Vessels!$A$3:$C$500,MATCH(E147,Gen_Vessels!$C$3:$C$500,0),1)),"")</f>
        <v/>
      </c>
      <c r="G147" s="25"/>
      <c r="I147" s="25" t="str">
        <f>IFERROR(IF(ISBLANK(H147),"",INDEX(Gen_Vessels!$A$3:$C$500,MATCH(H147,Gen_Vessels!$C$3:$C$500,0),1)),"")</f>
        <v/>
      </c>
      <c r="J147" s="25"/>
    </row>
    <row r="148" spans="4:10" x14ac:dyDescent="0.4">
      <c r="D148" s="25"/>
      <c r="F148" s="25" t="str">
        <f>IFERROR(IF(ISBLANK(E148),"",INDEX(Gen_Vessels!$A$3:$C$500,MATCH(E148,Gen_Vessels!$C$3:$C$500,0),1)),"")</f>
        <v/>
      </c>
      <c r="G148" s="25"/>
      <c r="I148" s="25" t="str">
        <f>IFERROR(IF(ISBLANK(H148),"",INDEX(Gen_Vessels!$A$3:$C$500,MATCH(H148,Gen_Vessels!$C$3:$C$500,0),1)),"")</f>
        <v/>
      </c>
      <c r="J148" s="25"/>
    </row>
    <row r="149" spans="4:10" x14ac:dyDescent="0.4">
      <c r="D149" s="25"/>
      <c r="F149" s="25" t="str">
        <f>IFERROR(IF(ISBLANK(E149),"",INDEX(Gen_Vessels!$A$3:$C$500,MATCH(E149,Gen_Vessels!$C$3:$C$500,0),1)),"")</f>
        <v/>
      </c>
      <c r="G149" s="25"/>
      <c r="I149" s="25" t="str">
        <f>IFERROR(IF(ISBLANK(H149),"",INDEX(Gen_Vessels!$A$3:$C$500,MATCH(H149,Gen_Vessels!$C$3:$C$500,0),1)),"")</f>
        <v/>
      </c>
      <c r="J149" s="25"/>
    </row>
    <row r="150" spans="4:10" x14ac:dyDescent="0.4">
      <c r="D150" s="25"/>
      <c r="F150" s="25" t="str">
        <f>IFERROR(IF(ISBLANK(E150),"",INDEX(Gen_Vessels!$A$3:$C$500,MATCH(E150,Gen_Vessels!$C$3:$C$500,0),1)),"")</f>
        <v/>
      </c>
      <c r="G150" s="25"/>
      <c r="I150" s="25" t="str">
        <f>IFERROR(IF(ISBLANK(H150),"",INDEX(Gen_Vessels!$A$3:$C$500,MATCH(H150,Gen_Vessels!$C$3:$C$500,0),1)),"")</f>
        <v/>
      </c>
      <c r="J150" s="25"/>
    </row>
    <row r="151" spans="4:10" x14ac:dyDescent="0.4">
      <c r="D151" s="25"/>
      <c r="F151" s="25" t="str">
        <f>IFERROR(IF(ISBLANK(E151),"",INDEX(Gen_Vessels!$A$3:$C$500,MATCH(E151,Gen_Vessels!$C$3:$C$500,0),1)),"")</f>
        <v/>
      </c>
      <c r="G151" s="25"/>
      <c r="I151" s="25" t="str">
        <f>IFERROR(IF(ISBLANK(H151),"",INDEX(Gen_Vessels!$A$3:$C$500,MATCH(H151,Gen_Vessels!$C$3:$C$500,0),1)),"")</f>
        <v/>
      </c>
      <c r="J151" s="25"/>
    </row>
    <row r="152" spans="4:10" x14ac:dyDescent="0.4">
      <c r="D152" s="25"/>
      <c r="F152" s="25" t="str">
        <f>IFERROR(IF(ISBLANK(E152),"",INDEX(Gen_Vessels!$A$3:$C$500,MATCH(E152,Gen_Vessels!$C$3:$C$500,0),1)),"")</f>
        <v/>
      </c>
      <c r="G152" s="25"/>
      <c r="I152" s="25" t="str">
        <f>IFERROR(IF(ISBLANK(H152),"",INDEX(Gen_Vessels!$A$3:$C$500,MATCH(H152,Gen_Vessels!$C$3:$C$500,0),1)),"")</f>
        <v/>
      </c>
      <c r="J152" s="25"/>
    </row>
    <row r="153" spans="4:10" x14ac:dyDescent="0.4">
      <c r="D153" s="25"/>
      <c r="F153" s="25" t="str">
        <f>IFERROR(IF(ISBLANK(E153),"",INDEX(Gen_Vessels!$A$3:$C$500,MATCH(E153,Gen_Vessels!$C$3:$C$500,0),1)),"")</f>
        <v/>
      </c>
      <c r="G153" s="25"/>
      <c r="I153" s="25" t="str">
        <f>IFERROR(IF(ISBLANK(H153),"",INDEX(Gen_Vessels!$A$3:$C$500,MATCH(H153,Gen_Vessels!$C$3:$C$500,0),1)),"")</f>
        <v/>
      </c>
      <c r="J153" s="25"/>
    </row>
    <row r="154" spans="4:10" x14ac:dyDescent="0.4">
      <c r="D154" s="25"/>
      <c r="F154" s="25" t="str">
        <f>IFERROR(IF(ISBLANK(E154),"",INDEX(Gen_Vessels!$A$3:$C$500,MATCH(E154,Gen_Vessels!$C$3:$C$500,0),1)),"")</f>
        <v/>
      </c>
      <c r="G154" s="25"/>
      <c r="I154" s="25" t="str">
        <f>IFERROR(IF(ISBLANK(H154),"",INDEX(Gen_Vessels!$A$3:$C$500,MATCH(H154,Gen_Vessels!$C$3:$C$500,0),1)),"")</f>
        <v/>
      </c>
      <c r="J154" s="25"/>
    </row>
    <row r="155" spans="4:10" x14ac:dyDescent="0.4">
      <c r="D155" s="25"/>
      <c r="F155" s="25" t="str">
        <f>IFERROR(IF(ISBLANK(E155),"",INDEX(Gen_Vessels!$A$3:$C$500,MATCH(E155,Gen_Vessels!$C$3:$C$500,0),1)),"")</f>
        <v/>
      </c>
      <c r="G155" s="25"/>
      <c r="I155" s="25" t="str">
        <f>IFERROR(IF(ISBLANK(H155),"",INDEX(Gen_Vessels!$A$3:$C$500,MATCH(H155,Gen_Vessels!$C$3:$C$500,0),1)),"")</f>
        <v/>
      </c>
      <c r="J155" s="25"/>
    </row>
    <row r="156" spans="4:10" x14ac:dyDescent="0.4">
      <c r="D156" s="25"/>
      <c r="F156" s="25" t="str">
        <f>IFERROR(IF(ISBLANK(E156),"",INDEX(Gen_Vessels!$A$3:$C$500,MATCH(E156,Gen_Vessels!$C$3:$C$500,0),1)),"")</f>
        <v/>
      </c>
      <c r="G156" s="25"/>
      <c r="I156" s="25" t="str">
        <f>IFERROR(IF(ISBLANK(H156),"",INDEX(Gen_Vessels!$A$3:$C$500,MATCH(H156,Gen_Vessels!$C$3:$C$500,0),1)),"")</f>
        <v/>
      </c>
      <c r="J156" s="25"/>
    </row>
    <row r="157" spans="4:10" x14ac:dyDescent="0.4">
      <c r="D157" s="25"/>
      <c r="F157" s="25" t="str">
        <f>IFERROR(IF(ISBLANK(E157),"",INDEX(Gen_Vessels!$A$3:$C$500,MATCH(E157,Gen_Vessels!$C$3:$C$500,0),1)),"")</f>
        <v/>
      </c>
      <c r="G157" s="25"/>
      <c r="I157" s="25" t="str">
        <f>IFERROR(IF(ISBLANK(H157),"",INDEX(Gen_Vessels!$A$3:$C$500,MATCH(H157,Gen_Vessels!$C$3:$C$500,0),1)),"")</f>
        <v/>
      </c>
      <c r="J157" s="25"/>
    </row>
    <row r="158" spans="4:10" x14ac:dyDescent="0.4">
      <c r="D158" s="25"/>
      <c r="F158" s="25" t="str">
        <f>IFERROR(IF(ISBLANK(E158),"",INDEX(Gen_Vessels!$A$3:$C$500,MATCH(E158,Gen_Vessels!$C$3:$C$500,0),1)),"")</f>
        <v/>
      </c>
      <c r="G158" s="25"/>
      <c r="I158" s="25" t="str">
        <f>IFERROR(IF(ISBLANK(H158),"",INDEX(Gen_Vessels!$A$3:$C$500,MATCH(H158,Gen_Vessels!$C$3:$C$500,0),1)),"")</f>
        <v/>
      </c>
      <c r="J158" s="25"/>
    </row>
    <row r="159" spans="4:10" x14ac:dyDescent="0.4">
      <c r="D159" s="25"/>
      <c r="F159" s="25" t="str">
        <f>IFERROR(IF(ISBLANK(E159),"",INDEX(Gen_Vessels!$A$3:$C$500,MATCH(E159,Gen_Vessels!$C$3:$C$500,0),1)),"")</f>
        <v/>
      </c>
      <c r="G159" s="25"/>
      <c r="I159" s="25" t="str">
        <f>IFERROR(IF(ISBLANK(H159),"",INDEX(Gen_Vessels!$A$3:$C$500,MATCH(H159,Gen_Vessels!$C$3:$C$500,0),1)),"")</f>
        <v/>
      </c>
      <c r="J159" s="25"/>
    </row>
    <row r="160" spans="4:10" x14ac:dyDescent="0.4">
      <c r="D160" s="25"/>
      <c r="F160" s="25" t="str">
        <f>IFERROR(IF(ISBLANK(E160),"",INDEX(Gen_Vessels!$A$3:$C$500,MATCH(E160,Gen_Vessels!$C$3:$C$500,0),1)),"")</f>
        <v/>
      </c>
      <c r="G160" s="25"/>
      <c r="I160" s="25" t="str">
        <f>IFERROR(IF(ISBLANK(H160),"",INDEX(Gen_Vessels!$A$3:$C$500,MATCH(H160,Gen_Vessels!$C$3:$C$500,0),1)),"")</f>
        <v/>
      </c>
      <c r="J160" s="25"/>
    </row>
    <row r="161" spans="4:10" x14ac:dyDescent="0.4">
      <c r="D161" s="25"/>
      <c r="F161" s="25" t="str">
        <f>IFERROR(IF(ISBLANK(E161),"",INDEX(Gen_Vessels!$A$3:$C$500,MATCH(E161,Gen_Vessels!$C$3:$C$500,0),1)),"")</f>
        <v/>
      </c>
      <c r="G161" s="25"/>
      <c r="I161" s="25" t="str">
        <f>IFERROR(IF(ISBLANK(H161),"",INDEX(Gen_Vessels!$A$3:$C$500,MATCH(H161,Gen_Vessels!$C$3:$C$500,0),1)),"")</f>
        <v/>
      </c>
      <c r="J161" s="25"/>
    </row>
    <row r="162" spans="4:10" x14ac:dyDescent="0.4">
      <c r="D162" s="25"/>
      <c r="F162" s="25" t="str">
        <f>IFERROR(IF(ISBLANK(E162),"",INDEX(Gen_Vessels!$A$3:$C$500,MATCH(E162,Gen_Vessels!$C$3:$C$500,0),1)),"")</f>
        <v/>
      </c>
      <c r="G162" s="25"/>
      <c r="I162" s="25" t="str">
        <f>IFERROR(IF(ISBLANK(H162),"",INDEX(Gen_Vessels!$A$3:$C$500,MATCH(H162,Gen_Vessels!$C$3:$C$500,0),1)),"")</f>
        <v/>
      </c>
      <c r="J162" s="25"/>
    </row>
    <row r="163" spans="4:10" x14ac:dyDescent="0.4">
      <c r="D163" s="25"/>
      <c r="F163" s="25" t="str">
        <f>IFERROR(IF(ISBLANK(E163),"",INDEX(Gen_Vessels!$A$3:$C$500,MATCH(E163,Gen_Vessels!$C$3:$C$500,0),1)),"")</f>
        <v/>
      </c>
      <c r="G163" s="25"/>
      <c r="I163" s="25" t="str">
        <f>IFERROR(IF(ISBLANK(H163),"",INDEX(Gen_Vessels!$A$3:$C$500,MATCH(H163,Gen_Vessels!$C$3:$C$500,0),1)),"")</f>
        <v/>
      </c>
      <c r="J163" s="25"/>
    </row>
    <row r="164" spans="4:10" x14ac:dyDescent="0.4">
      <c r="D164" s="25"/>
      <c r="F164" s="25" t="str">
        <f>IFERROR(IF(ISBLANK(E164),"",INDEX(Gen_Vessels!$A$3:$C$500,MATCH(E164,Gen_Vessels!$C$3:$C$500,0),1)),"")</f>
        <v/>
      </c>
      <c r="G164" s="25"/>
      <c r="I164" s="25" t="str">
        <f>IFERROR(IF(ISBLANK(H164),"",INDEX(Gen_Vessels!$A$3:$C$500,MATCH(H164,Gen_Vessels!$C$3:$C$500,0),1)),"")</f>
        <v/>
      </c>
      <c r="J164" s="25"/>
    </row>
    <row r="165" spans="4:10" x14ac:dyDescent="0.4">
      <c r="D165" s="25"/>
      <c r="F165" s="25" t="str">
        <f>IFERROR(IF(ISBLANK(E165),"",INDEX(Gen_Vessels!$A$3:$C$500,MATCH(E165,Gen_Vessels!$C$3:$C$500,0),1)),"")</f>
        <v/>
      </c>
      <c r="G165" s="25"/>
      <c r="I165" s="25" t="str">
        <f>IFERROR(IF(ISBLANK(H165),"",INDEX(Gen_Vessels!$A$3:$C$500,MATCH(H165,Gen_Vessels!$C$3:$C$500,0),1)),"")</f>
        <v/>
      </c>
      <c r="J165" s="25"/>
    </row>
    <row r="166" spans="4:10" x14ac:dyDescent="0.4">
      <c r="D166" s="25"/>
      <c r="F166" s="25" t="str">
        <f>IFERROR(IF(ISBLANK(E166),"",INDEX(Gen_Vessels!$A$3:$C$500,MATCH(E166,Gen_Vessels!$C$3:$C$500,0),1)),"")</f>
        <v/>
      </c>
      <c r="G166" s="25"/>
      <c r="I166" s="25" t="str">
        <f>IFERROR(IF(ISBLANK(H166),"",INDEX(Gen_Vessels!$A$3:$C$500,MATCH(H166,Gen_Vessels!$C$3:$C$500,0),1)),"")</f>
        <v/>
      </c>
      <c r="J166" s="25"/>
    </row>
    <row r="167" spans="4:10" x14ac:dyDescent="0.4">
      <c r="D167" s="25"/>
      <c r="F167" s="25" t="str">
        <f>IFERROR(IF(ISBLANK(E167),"",INDEX(Gen_Vessels!$A$3:$C$500,MATCH(E167,Gen_Vessels!$C$3:$C$500,0),1)),"")</f>
        <v/>
      </c>
      <c r="G167" s="25"/>
      <c r="I167" s="25" t="str">
        <f>IFERROR(IF(ISBLANK(H167),"",INDEX(Gen_Vessels!$A$3:$C$500,MATCH(H167,Gen_Vessels!$C$3:$C$500,0),1)),"")</f>
        <v/>
      </c>
      <c r="J167" s="25"/>
    </row>
    <row r="168" spans="4:10" x14ac:dyDescent="0.4">
      <c r="D168" s="25"/>
      <c r="F168" s="25" t="str">
        <f>IFERROR(IF(ISBLANK(E168),"",INDEX(Gen_Vessels!$A$3:$C$500,MATCH(E168,Gen_Vessels!$C$3:$C$500,0),1)),"")</f>
        <v/>
      </c>
      <c r="G168" s="25"/>
      <c r="I168" s="25" t="str">
        <f>IFERROR(IF(ISBLANK(H168),"",INDEX(Gen_Vessels!$A$3:$C$500,MATCH(H168,Gen_Vessels!$C$3:$C$500,0),1)),"")</f>
        <v/>
      </c>
      <c r="J168" s="25"/>
    </row>
    <row r="169" spans="4:10" x14ac:dyDescent="0.4">
      <c r="D169" s="25"/>
      <c r="F169" s="25" t="str">
        <f>IFERROR(IF(ISBLANK(E169),"",INDEX(Gen_Vessels!$A$3:$C$500,MATCH(E169,Gen_Vessels!$C$3:$C$500,0),1)),"")</f>
        <v/>
      </c>
      <c r="G169" s="25"/>
      <c r="I169" s="25" t="str">
        <f>IFERROR(IF(ISBLANK(H169),"",INDEX(Gen_Vessels!$A$3:$C$500,MATCH(H169,Gen_Vessels!$C$3:$C$500,0),1)),"")</f>
        <v/>
      </c>
      <c r="J169" s="25"/>
    </row>
    <row r="170" spans="4:10" x14ac:dyDescent="0.4">
      <c r="D170" s="25"/>
      <c r="F170" s="25" t="str">
        <f>IFERROR(IF(ISBLANK(E170),"",INDEX(Gen_Vessels!$A$3:$C$500,MATCH(E170,Gen_Vessels!$C$3:$C$500,0),1)),"")</f>
        <v/>
      </c>
      <c r="G170" s="25"/>
      <c r="I170" s="25" t="str">
        <f>IFERROR(IF(ISBLANK(H170),"",INDEX(Gen_Vessels!$A$3:$C$500,MATCH(H170,Gen_Vessels!$C$3:$C$500,0),1)),"")</f>
        <v/>
      </c>
      <c r="J170" s="25"/>
    </row>
    <row r="171" spans="4:10" x14ac:dyDescent="0.4">
      <c r="D171" s="25"/>
      <c r="F171" s="25" t="str">
        <f>IFERROR(IF(ISBLANK(E171),"",INDEX(Gen_Vessels!$A$3:$C$500,MATCH(E171,Gen_Vessels!$C$3:$C$500,0),1)),"")</f>
        <v/>
      </c>
      <c r="G171" s="25"/>
      <c r="I171" s="25" t="str">
        <f>IFERROR(IF(ISBLANK(H171),"",INDEX(Gen_Vessels!$A$3:$C$500,MATCH(H171,Gen_Vessels!$C$3:$C$500,0),1)),"")</f>
        <v/>
      </c>
      <c r="J171" s="25"/>
    </row>
    <row r="172" spans="4:10" x14ac:dyDescent="0.4">
      <c r="D172" s="25"/>
      <c r="F172" s="25" t="str">
        <f>IFERROR(IF(ISBLANK(E172),"",INDEX(Gen_Vessels!$A$3:$C$500,MATCH(E172,Gen_Vessels!$C$3:$C$500,0),1)),"")</f>
        <v/>
      </c>
      <c r="G172" s="25"/>
      <c r="I172" s="25" t="str">
        <f>IFERROR(IF(ISBLANK(H172),"",INDEX(Gen_Vessels!$A$3:$C$500,MATCH(H172,Gen_Vessels!$C$3:$C$500,0),1)),"")</f>
        <v/>
      </c>
      <c r="J172" s="25"/>
    </row>
    <row r="173" spans="4:10" x14ac:dyDescent="0.4">
      <c r="D173" s="25"/>
      <c r="F173" s="25" t="str">
        <f>IFERROR(IF(ISBLANK(E173),"",INDEX(Gen_Vessels!$A$3:$C$500,MATCH(E173,Gen_Vessels!$C$3:$C$500,0),1)),"")</f>
        <v/>
      </c>
      <c r="G173" s="25"/>
      <c r="I173" s="25" t="str">
        <f>IFERROR(IF(ISBLANK(H173),"",INDEX(Gen_Vessels!$A$3:$C$500,MATCH(H173,Gen_Vessels!$C$3:$C$500,0),1)),"")</f>
        <v/>
      </c>
      <c r="J173" s="25"/>
    </row>
    <row r="174" spans="4:10" x14ac:dyDescent="0.4">
      <c r="D174" s="25"/>
      <c r="F174" s="25" t="str">
        <f>IFERROR(IF(ISBLANK(E174),"",INDEX(Gen_Vessels!$A$3:$C$500,MATCH(E174,Gen_Vessels!$C$3:$C$500,0),1)),"")</f>
        <v/>
      </c>
      <c r="G174" s="25"/>
      <c r="I174" s="25" t="str">
        <f>IFERROR(IF(ISBLANK(H174),"",INDEX(Gen_Vessels!$A$3:$C$500,MATCH(H174,Gen_Vessels!$C$3:$C$500,0),1)),"")</f>
        <v/>
      </c>
      <c r="J174" s="25"/>
    </row>
    <row r="175" spans="4:10" x14ac:dyDescent="0.4">
      <c r="D175" s="25"/>
      <c r="F175" s="25" t="str">
        <f>IFERROR(IF(ISBLANK(E175),"",INDEX(Gen_Vessels!$A$3:$C$500,MATCH(E175,Gen_Vessels!$C$3:$C$500,0),1)),"")</f>
        <v/>
      </c>
      <c r="G175" s="25"/>
      <c r="I175" s="25" t="str">
        <f>IFERROR(IF(ISBLANK(H175),"",INDEX(Gen_Vessels!$A$3:$C$500,MATCH(H175,Gen_Vessels!$C$3:$C$500,0),1)),"")</f>
        <v/>
      </c>
      <c r="J175" s="25"/>
    </row>
    <row r="176" spans="4:10" x14ac:dyDescent="0.4">
      <c r="D176" s="25"/>
      <c r="F176" s="25" t="str">
        <f>IFERROR(IF(ISBLANK(E176),"",INDEX(Gen_Vessels!$A$3:$C$500,MATCH(E176,Gen_Vessels!$C$3:$C$500,0),1)),"")</f>
        <v/>
      </c>
      <c r="G176" s="25"/>
      <c r="I176" s="25" t="str">
        <f>IFERROR(IF(ISBLANK(H176),"",INDEX(Gen_Vessels!$A$3:$C$500,MATCH(H176,Gen_Vessels!$C$3:$C$500,0),1)),"")</f>
        <v/>
      </c>
      <c r="J176" s="25"/>
    </row>
    <row r="177" spans="4:10" x14ac:dyDescent="0.4">
      <c r="D177" s="25"/>
      <c r="F177" s="25" t="str">
        <f>IFERROR(IF(ISBLANK(E177),"",INDEX(Gen_Vessels!$A$3:$C$500,MATCH(E177,Gen_Vessels!$C$3:$C$500,0),1)),"")</f>
        <v/>
      </c>
      <c r="G177" s="25"/>
      <c r="I177" s="25" t="str">
        <f>IFERROR(IF(ISBLANK(H177),"",INDEX(Gen_Vessels!$A$3:$C$500,MATCH(H177,Gen_Vessels!$C$3:$C$500,0),1)),"")</f>
        <v/>
      </c>
      <c r="J177" s="25"/>
    </row>
    <row r="178" spans="4:10" x14ac:dyDescent="0.4">
      <c r="D178" s="25"/>
      <c r="F178" s="25" t="str">
        <f>IFERROR(IF(ISBLANK(E178),"",INDEX(Gen_Vessels!$A$3:$C$500,MATCH(E178,Gen_Vessels!$C$3:$C$500,0),1)),"")</f>
        <v/>
      </c>
      <c r="G178" s="25"/>
      <c r="I178" s="25" t="str">
        <f>IFERROR(IF(ISBLANK(H178),"",INDEX(Gen_Vessels!$A$3:$C$500,MATCH(H178,Gen_Vessels!$C$3:$C$500,0),1)),"")</f>
        <v/>
      </c>
      <c r="J178" s="25"/>
    </row>
    <row r="179" spans="4:10" x14ac:dyDescent="0.4">
      <c r="D179" s="25"/>
      <c r="F179" s="25" t="str">
        <f>IFERROR(IF(ISBLANK(E179),"",INDEX(Gen_Vessels!$A$3:$C$500,MATCH(E179,Gen_Vessels!$C$3:$C$500,0),1)),"")</f>
        <v/>
      </c>
      <c r="G179" s="25"/>
      <c r="I179" s="25" t="str">
        <f>IFERROR(IF(ISBLANK(H179),"",INDEX(Gen_Vessels!$A$3:$C$500,MATCH(H179,Gen_Vessels!$C$3:$C$500,0),1)),"")</f>
        <v/>
      </c>
      <c r="J179" s="25"/>
    </row>
    <row r="180" spans="4:10" x14ac:dyDescent="0.4">
      <c r="D180" s="25"/>
      <c r="F180" s="25" t="str">
        <f>IFERROR(IF(ISBLANK(E180),"",INDEX(Gen_Vessels!$A$3:$C$500,MATCH(E180,Gen_Vessels!$C$3:$C$500,0),1)),"")</f>
        <v/>
      </c>
      <c r="G180" s="25"/>
      <c r="I180" s="25" t="str">
        <f>IFERROR(IF(ISBLANK(H180),"",INDEX(Gen_Vessels!$A$3:$C$500,MATCH(H180,Gen_Vessels!$C$3:$C$500,0),1)),"")</f>
        <v/>
      </c>
      <c r="J180" s="25"/>
    </row>
    <row r="181" spans="4:10" x14ac:dyDescent="0.4">
      <c r="D181" s="25"/>
      <c r="F181" s="25" t="str">
        <f>IFERROR(IF(ISBLANK(E181),"",INDEX(Gen_Vessels!$A$3:$C$500,MATCH(E181,Gen_Vessels!$C$3:$C$500,0),1)),"")</f>
        <v/>
      </c>
      <c r="G181" s="25"/>
      <c r="I181" s="25" t="str">
        <f>IFERROR(IF(ISBLANK(H181),"",INDEX(Gen_Vessels!$A$3:$C$500,MATCH(H181,Gen_Vessels!$C$3:$C$500,0),1)),"")</f>
        <v/>
      </c>
      <c r="J181" s="25"/>
    </row>
    <row r="182" spans="4:10" x14ac:dyDescent="0.4">
      <c r="D182" s="25"/>
      <c r="F182" s="25" t="str">
        <f>IFERROR(IF(ISBLANK(E182),"",INDEX(Gen_Vessels!$A$3:$C$500,MATCH(E182,Gen_Vessels!$C$3:$C$500,0),1)),"")</f>
        <v/>
      </c>
      <c r="G182" s="25"/>
      <c r="I182" s="25" t="str">
        <f>IFERROR(IF(ISBLANK(H182),"",INDEX(Gen_Vessels!$A$3:$C$500,MATCH(H182,Gen_Vessels!$C$3:$C$500,0),1)),"")</f>
        <v/>
      </c>
      <c r="J182" s="25"/>
    </row>
    <row r="183" spans="4:10" x14ac:dyDescent="0.4">
      <c r="D183" s="25"/>
      <c r="F183" s="25" t="str">
        <f>IFERROR(IF(ISBLANK(E183),"",INDEX(Gen_Vessels!$A$3:$C$500,MATCH(E183,Gen_Vessels!$C$3:$C$500,0),1)),"")</f>
        <v/>
      </c>
      <c r="G183" s="25"/>
      <c r="I183" s="25" t="str">
        <f>IFERROR(IF(ISBLANK(H183),"",INDEX(Gen_Vessels!$A$3:$C$500,MATCH(H183,Gen_Vessels!$C$3:$C$500,0),1)),"")</f>
        <v/>
      </c>
      <c r="J183" s="25"/>
    </row>
    <row r="184" spans="4:10" x14ac:dyDescent="0.4">
      <c r="D184" s="25"/>
      <c r="F184" s="25" t="str">
        <f>IFERROR(IF(ISBLANK(E184),"",INDEX(Gen_Vessels!$A$3:$C$500,MATCH(E184,Gen_Vessels!$C$3:$C$500,0),1)),"")</f>
        <v/>
      </c>
      <c r="G184" s="25"/>
      <c r="I184" s="25" t="str">
        <f>IFERROR(IF(ISBLANK(H184),"",INDEX(Gen_Vessels!$A$3:$C$500,MATCH(H184,Gen_Vessels!$C$3:$C$500,0),1)),"")</f>
        <v/>
      </c>
      <c r="J184" s="25"/>
    </row>
    <row r="185" spans="4:10" x14ac:dyDescent="0.4">
      <c r="D185" s="25"/>
      <c r="F185" s="25" t="str">
        <f>IFERROR(IF(ISBLANK(E185),"",INDEX(Gen_Vessels!$A$3:$C$500,MATCH(E185,Gen_Vessels!$C$3:$C$500,0),1)),"")</f>
        <v/>
      </c>
      <c r="G185" s="25"/>
      <c r="I185" s="25" t="str">
        <f>IFERROR(IF(ISBLANK(H185),"",INDEX(Gen_Vessels!$A$3:$C$500,MATCH(H185,Gen_Vessels!$C$3:$C$500,0),1)),"")</f>
        <v/>
      </c>
      <c r="J185" s="25"/>
    </row>
    <row r="186" spans="4:10" x14ac:dyDescent="0.4">
      <c r="D186" s="25"/>
      <c r="F186" s="25" t="str">
        <f>IFERROR(IF(ISBLANK(E186),"",INDEX(Gen_Vessels!$A$3:$C$500,MATCH(E186,Gen_Vessels!$C$3:$C$500,0),1)),"")</f>
        <v/>
      </c>
      <c r="G186" s="25"/>
      <c r="I186" s="25" t="str">
        <f>IFERROR(IF(ISBLANK(H186),"",INDEX(Gen_Vessels!$A$3:$C$500,MATCH(H186,Gen_Vessels!$C$3:$C$500,0),1)),"")</f>
        <v/>
      </c>
      <c r="J186" s="25"/>
    </row>
    <row r="187" spans="4:10" x14ac:dyDescent="0.4">
      <c r="D187" s="25"/>
      <c r="F187" s="25" t="str">
        <f>IFERROR(IF(ISBLANK(E187),"",INDEX(Gen_Vessels!$A$3:$C$500,MATCH(E187,Gen_Vessels!$C$3:$C$500,0),1)),"")</f>
        <v/>
      </c>
      <c r="G187" s="25"/>
      <c r="I187" s="25" t="str">
        <f>IFERROR(IF(ISBLANK(H187),"",INDEX(Gen_Vessels!$A$3:$C$500,MATCH(H187,Gen_Vessels!$C$3:$C$500,0),1)),"")</f>
        <v/>
      </c>
      <c r="J187" s="25"/>
    </row>
    <row r="188" spans="4:10" x14ac:dyDescent="0.4">
      <c r="D188" s="25"/>
      <c r="F188" s="25" t="str">
        <f>IFERROR(IF(ISBLANK(E188),"",INDEX(Gen_Vessels!$A$3:$C$500,MATCH(E188,Gen_Vessels!$C$3:$C$500,0),1)),"")</f>
        <v/>
      </c>
      <c r="G188" s="25"/>
      <c r="I188" s="25" t="str">
        <f>IFERROR(IF(ISBLANK(H188),"",INDEX(Gen_Vessels!$A$3:$C$500,MATCH(H188,Gen_Vessels!$C$3:$C$500,0),1)),"")</f>
        <v/>
      </c>
      <c r="J188" s="25"/>
    </row>
    <row r="189" spans="4:10" x14ac:dyDescent="0.4">
      <c r="D189" s="25"/>
      <c r="F189" s="25" t="str">
        <f>IFERROR(IF(ISBLANK(E189),"",INDEX(Gen_Vessels!$A$3:$C$500,MATCH(E189,Gen_Vessels!$C$3:$C$500,0),1)),"")</f>
        <v/>
      </c>
      <c r="G189" s="25"/>
      <c r="I189" s="25" t="str">
        <f>IFERROR(IF(ISBLANK(H189),"",INDEX(Gen_Vessels!$A$3:$C$500,MATCH(H189,Gen_Vessels!$C$3:$C$500,0),1)),"")</f>
        <v/>
      </c>
      <c r="J189" s="25"/>
    </row>
    <row r="190" spans="4:10" x14ac:dyDescent="0.4">
      <c r="D190" s="25"/>
      <c r="F190" s="25" t="str">
        <f>IFERROR(IF(ISBLANK(E190),"",INDEX(Gen_Vessels!$A$3:$C$500,MATCH(E190,Gen_Vessels!$C$3:$C$500,0),1)),"")</f>
        <v/>
      </c>
      <c r="G190" s="25"/>
      <c r="I190" s="25" t="str">
        <f>IFERROR(IF(ISBLANK(H190),"",INDEX(Gen_Vessels!$A$3:$C$500,MATCH(H190,Gen_Vessels!$C$3:$C$500,0),1)),"")</f>
        <v/>
      </c>
      <c r="J190" s="25"/>
    </row>
    <row r="191" spans="4:10" x14ac:dyDescent="0.4">
      <c r="D191" s="25"/>
      <c r="F191" s="25" t="str">
        <f>IFERROR(IF(ISBLANK(E191),"",INDEX(Gen_Vessels!$A$3:$C$500,MATCH(E191,Gen_Vessels!$C$3:$C$500,0),1)),"")</f>
        <v/>
      </c>
      <c r="G191" s="25"/>
      <c r="I191" s="25" t="str">
        <f>IFERROR(IF(ISBLANK(H191),"",INDEX(Gen_Vessels!$A$3:$C$500,MATCH(H191,Gen_Vessels!$C$3:$C$500,0),1)),"")</f>
        <v/>
      </c>
      <c r="J191" s="25"/>
    </row>
    <row r="192" spans="4:10" x14ac:dyDescent="0.4">
      <c r="D192" s="25"/>
      <c r="F192" s="25" t="str">
        <f>IFERROR(IF(ISBLANK(E192),"",INDEX(Gen_Vessels!$A$3:$C$500,MATCH(E192,Gen_Vessels!$C$3:$C$500,0),1)),"")</f>
        <v/>
      </c>
      <c r="G192" s="25"/>
      <c r="I192" s="25" t="str">
        <f>IFERROR(IF(ISBLANK(H192),"",INDEX(Gen_Vessels!$A$3:$C$500,MATCH(H192,Gen_Vessels!$C$3:$C$500,0),1)),"")</f>
        <v/>
      </c>
      <c r="J192" s="25"/>
    </row>
    <row r="193" spans="4:10" x14ac:dyDescent="0.4">
      <c r="D193" s="25"/>
      <c r="F193" s="25" t="str">
        <f>IFERROR(IF(ISBLANK(E193),"",INDEX(Gen_Vessels!$A$3:$C$500,MATCH(E193,Gen_Vessels!$C$3:$C$500,0),1)),"")</f>
        <v/>
      </c>
      <c r="G193" s="25"/>
      <c r="I193" s="25" t="str">
        <f>IFERROR(IF(ISBLANK(H193),"",INDEX(Gen_Vessels!$A$3:$C$500,MATCH(H193,Gen_Vessels!$C$3:$C$500,0),1)),"")</f>
        <v/>
      </c>
      <c r="J193" s="25"/>
    </row>
    <row r="194" spans="4:10" x14ac:dyDescent="0.4">
      <c r="D194" s="25"/>
      <c r="F194" s="25" t="str">
        <f>IFERROR(IF(ISBLANK(E194),"",INDEX(Gen_Vessels!$A$3:$C$500,MATCH(E194,Gen_Vessels!$C$3:$C$500,0),1)),"")</f>
        <v/>
      </c>
      <c r="G194" s="25"/>
      <c r="I194" s="25" t="str">
        <f>IFERROR(IF(ISBLANK(H194),"",INDEX(Gen_Vessels!$A$3:$C$500,MATCH(H194,Gen_Vessels!$C$3:$C$500,0),1)),"")</f>
        <v/>
      </c>
      <c r="J194" s="25"/>
    </row>
    <row r="195" spans="4:10" x14ac:dyDescent="0.4">
      <c r="D195" s="25"/>
      <c r="F195" s="25" t="str">
        <f>IFERROR(IF(ISBLANK(E195),"",INDEX(Gen_Vessels!$A$3:$C$500,MATCH(E195,Gen_Vessels!$C$3:$C$500,0),1)),"")</f>
        <v/>
      </c>
      <c r="G195" s="25"/>
      <c r="I195" s="25" t="str">
        <f>IFERROR(IF(ISBLANK(H195),"",INDEX(Gen_Vessels!$A$3:$C$500,MATCH(H195,Gen_Vessels!$C$3:$C$500,0),1)),"")</f>
        <v/>
      </c>
      <c r="J195" s="25"/>
    </row>
    <row r="196" spans="4:10" x14ac:dyDescent="0.4">
      <c r="D196" s="25"/>
      <c r="F196" s="25" t="str">
        <f>IFERROR(IF(ISBLANK(E196),"",INDEX(Gen_Vessels!$A$3:$C$500,MATCH(E196,Gen_Vessels!$C$3:$C$500,0),1)),"")</f>
        <v/>
      </c>
      <c r="G196" s="25"/>
      <c r="I196" s="25" t="str">
        <f>IFERROR(IF(ISBLANK(H196),"",INDEX(Gen_Vessels!$A$3:$C$500,MATCH(H196,Gen_Vessels!$C$3:$C$500,0),1)),"")</f>
        <v/>
      </c>
      <c r="J196" s="25"/>
    </row>
    <row r="197" spans="4:10" x14ac:dyDescent="0.4">
      <c r="D197" s="25"/>
      <c r="F197" s="25" t="str">
        <f>IFERROR(IF(ISBLANK(E197),"",INDEX(Gen_Vessels!$A$3:$C$500,MATCH(E197,Gen_Vessels!$C$3:$C$500,0),1)),"")</f>
        <v/>
      </c>
      <c r="G197" s="25"/>
      <c r="I197" s="25" t="str">
        <f>IFERROR(IF(ISBLANK(H197),"",INDEX(Gen_Vessels!$A$3:$C$500,MATCH(H197,Gen_Vessels!$C$3:$C$500,0),1)),"")</f>
        <v/>
      </c>
      <c r="J197" s="25"/>
    </row>
    <row r="198" spans="4:10" x14ac:dyDescent="0.4">
      <c r="D198" s="25"/>
      <c r="F198" s="25" t="str">
        <f>IFERROR(IF(ISBLANK(E198),"",INDEX(Gen_Vessels!$A$3:$C$500,MATCH(E198,Gen_Vessels!$C$3:$C$500,0),1)),"")</f>
        <v/>
      </c>
      <c r="G198" s="25"/>
      <c r="I198" s="25" t="str">
        <f>IFERROR(IF(ISBLANK(H198),"",INDEX(Gen_Vessels!$A$3:$C$500,MATCH(H198,Gen_Vessels!$C$3:$C$500,0),1)),"")</f>
        <v/>
      </c>
      <c r="J198" s="25"/>
    </row>
    <row r="199" spans="4:10" x14ac:dyDescent="0.4">
      <c r="D199" s="25"/>
      <c r="F199" s="25" t="str">
        <f>IFERROR(IF(ISBLANK(E199),"",INDEX(Gen_Vessels!$A$3:$C$500,MATCH(E199,Gen_Vessels!$C$3:$C$500,0),1)),"")</f>
        <v/>
      </c>
      <c r="G199" s="25"/>
      <c r="I199" s="25" t="str">
        <f>IFERROR(IF(ISBLANK(H199),"",INDEX(Gen_Vessels!$A$3:$C$500,MATCH(H199,Gen_Vessels!$C$3:$C$500,0),1)),"")</f>
        <v/>
      </c>
      <c r="J199" s="25"/>
    </row>
    <row r="200" spans="4:10" x14ac:dyDescent="0.4">
      <c r="D200" s="25"/>
      <c r="F200" s="25" t="str">
        <f>IFERROR(IF(ISBLANK(E200),"",INDEX(Gen_Vessels!$A$3:$C$500,MATCH(E200,Gen_Vessels!$C$3:$C$500,0),1)),"")</f>
        <v/>
      </c>
      <c r="G200" s="25"/>
      <c r="I200" s="25" t="str">
        <f>IFERROR(IF(ISBLANK(H200),"",INDEX(Gen_Vessels!$A$3:$C$500,MATCH(H200,Gen_Vessels!$C$3:$C$500,0),1)),"")</f>
        <v/>
      </c>
      <c r="J200" s="25"/>
    </row>
    <row r="201" spans="4:10" x14ac:dyDescent="0.4">
      <c r="D201" s="25"/>
      <c r="F201" s="25" t="str">
        <f>IFERROR(IF(ISBLANK(E201),"",INDEX(Gen_Vessels!$A$3:$C$500,MATCH(E201,Gen_Vessels!$C$3:$C$500,0),1)),"")</f>
        <v/>
      </c>
      <c r="G201" s="25"/>
      <c r="I201" s="25" t="str">
        <f>IFERROR(IF(ISBLANK(H201),"",INDEX(Gen_Vessels!$A$3:$C$500,MATCH(H201,Gen_Vessels!$C$3:$C$500,0),1)),"")</f>
        <v/>
      </c>
      <c r="J201" s="25"/>
    </row>
    <row r="202" spans="4:10" x14ac:dyDescent="0.4">
      <c r="D202" s="25"/>
      <c r="F202" s="25" t="str">
        <f>IFERROR(IF(ISBLANK(E202),"",INDEX(Gen_Vessels!$A$3:$C$500,MATCH(E202,Gen_Vessels!$C$3:$C$500,0),1)),"")</f>
        <v/>
      </c>
      <c r="G202" s="25"/>
      <c r="I202" s="25" t="str">
        <f>IFERROR(IF(ISBLANK(H202),"",INDEX(Gen_Vessels!$A$3:$C$500,MATCH(H202,Gen_Vessels!$C$3:$C$500,0),1)),"")</f>
        <v/>
      </c>
      <c r="J202" s="25"/>
    </row>
    <row r="203" spans="4:10" x14ac:dyDescent="0.4">
      <c r="D203" s="25"/>
      <c r="F203" s="25" t="str">
        <f>IFERROR(IF(ISBLANK(E203),"",INDEX(Gen_Vessels!$A$3:$C$500,MATCH(E203,Gen_Vessels!$C$3:$C$500,0),1)),"")</f>
        <v/>
      </c>
      <c r="G203" s="25"/>
      <c r="I203" s="25" t="str">
        <f>IFERROR(IF(ISBLANK(H203),"",INDEX(Gen_Vessels!$A$3:$C$500,MATCH(H203,Gen_Vessels!$C$3:$C$500,0),1)),"")</f>
        <v/>
      </c>
      <c r="J203" s="25"/>
    </row>
    <row r="204" spans="4:10" x14ac:dyDescent="0.4">
      <c r="D204" s="25"/>
      <c r="F204" s="25" t="str">
        <f>IFERROR(IF(ISBLANK(E204),"",INDEX(Gen_Vessels!$A$3:$C$500,MATCH(E204,Gen_Vessels!$C$3:$C$500,0),1)),"")</f>
        <v/>
      </c>
      <c r="G204" s="25"/>
      <c r="I204" s="25" t="str">
        <f>IFERROR(IF(ISBLANK(H204),"",INDEX(Gen_Vessels!$A$3:$C$500,MATCH(H204,Gen_Vessels!$C$3:$C$500,0),1)),"")</f>
        <v/>
      </c>
      <c r="J204" s="25"/>
    </row>
    <row r="205" spans="4:10" x14ac:dyDescent="0.4">
      <c r="D205" s="25"/>
      <c r="F205" s="25" t="str">
        <f>IFERROR(IF(ISBLANK(E205),"",INDEX(Gen_Vessels!$A$3:$C$500,MATCH(E205,Gen_Vessels!$C$3:$C$500,0),1)),"")</f>
        <v/>
      </c>
      <c r="G205" s="25"/>
      <c r="I205" s="25" t="str">
        <f>IFERROR(IF(ISBLANK(H205),"",INDEX(Gen_Vessels!$A$3:$C$500,MATCH(H205,Gen_Vessels!$C$3:$C$500,0),1)),"")</f>
        <v/>
      </c>
      <c r="J205" s="25"/>
    </row>
    <row r="206" spans="4:10" x14ac:dyDescent="0.4">
      <c r="D206" s="25"/>
      <c r="F206" s="25" t="str">
        <f>IFERROR(IF(ISBLANK(E206),"",INDEX(Gen_Vessels!$A$3:$C$500,MATCH(E206,Gen_Vessels!$C$3:$C$500,0),1)),"")</f>
        <v/>
      </c>
      <c r="G206" s="25"/>
      <c r="I206" s="25" t="str">
        <f>IFERROR(IF(ISBLANK(H206),"",INDEX(Gen_Vessels!$A$3:$C$500,MATCH(H206,Gen_Vessels!$C$3:$C$500,0),1)),"")</f>
        <v/>
      </c>
      <c r="J206" s="25"/>
    </row>
    <row r="207" spans="4:10" x14ac:dyDescent="0.4">
      <c r="D207" s="25"/>
      <c r="F207" s="25" t="str">
        <f>IFERROR(IF(ISBLANK(E207),"",INDEX(Gen_Vessels!$A$3:$C$500,MATCH(E207,Gen_Vessels!$C$3:$C$500,0),1)),"")</f>
        <v/>
      </c>
      <c r="G207" s="25"/>
      <c r="I207" s="25" t="str">
        <f>IFERROR(IF(ISBLANK(H207),"",INDEX(Gen_Vessels!$A$3:$C$500,MATCH(H207,Gen_Vessels!$C$3:$C$500,0),1)),"")</f>
        <v/>
      </c>
      <c r="J207" s="25"/>
    </row>
    <row r="208" spans="4:10" x14ac:dyDescent="0.4">
      <c r="D208" s="25"/>
      <c r="F208" s="25" t="str">
        <f>IFERROR(IF(ISBLANK(E208),"",INDEX(Gen_Vessels!$A$3:$C$500,MATCH(E208,Gen_Vessels!$C$3:$C$500,0),1)),"")</f>
        <v/>
      </c>
      <c r="G208" s="25"/>
      <c r="I208" s="25" t="str">
        <f>IFERROR(IF(ISBLANK(H208),"",INDEX(Gen_Vessels!$A$3:$C$500,MATCH(H208,Gen_Vessels!$C$3:$C$500,0),1)),"")</f>
        <v/>
      </c>
      <c r="J208" s="25"/>
    </row>
    <row r="209" spans="4:10" x14ac:dyDescent="0.4">
      <c r="D209" s="25"/>
      <c r="F209" s="25" t="str">
        <f>IFERROR(IF(ISBLANK(E209),"",INDEX(Gen_Vessels!$A$3:$C$500,MATCH(E209,Gen_Vessels!$C$3:$C$500,0),1)),"")</f>
        <v/>
      </c>
      <c r="G209" s="25"/>
      <c r="I209" s="25" t="str">
        <f>IFERROR(IF(ISBLANK(H209),"",INDEX(Gen_Vessels!$A$3:$C$500,MATCH(H209,Gen_Vessels!$C$3:$C$500,0),1)),"")</f>
        <v/>
      </c>
      <c r="J209" s="25"/>
    </row>
    <row r="210" spans="4:10" x14ac:dyDescent="0.4">
      <c r="D210" s="25"/>
      <c r="F210" s="25" t="str">
        <f>IFERROR(IF(ISBLANK(E210),"",INDEX(Gen_Vessels!$A$3:$C$500,MATCH(E210,Gen_Vessels!$C$3:$C$500,0),1)),"")</f>
        <v/>
      </c>
      <c r="G210" s="25"/>
      <c r="I210" s="25" t="str">
        <f>IFERROR(IF(ISBLANK(H210),"",INDEX(Gen_Vessels!$A$3:$C$500,MATCH(H210,Gen_Vessels!$C$3:$C$500,0),1)),"")</f>
        <v/>
      </c>
      <c r="J210" s="25"/>
    </row>
    <row r="211" spans="4:10" x14ac:dyDescent="0.4">
      <c r="D211" s="25"/>
      <c r="F211" s="25" t="str">
        <f>IFERROR(IF(ISBLANK(E211),"",INDEX(Gen_Vessels!$A$3:$C$500,MATCH(E211,Gen_Vessels!$C$3:$C$500,0),1)),"")</f>
        <v/>
      </c>
      <c r="G211" s="25"/>
      <c r="I211" s="25" t="str">
        <f>IFERROR(IF(ISBLANK(H211),"",INDEX(Gen_Vessels!$A$3:$C$500,MATCH(H211,Gen_Vessels!$C$3:$C$500,0),1)),"")</f>
        <v/>
      </c>
      <c r="J211" s="25"/>
    </row>
    <row r="212" spans="4:10" x14ac:dyDescent="0.4">
      <c r="D212" s="25"/>
      <c r="F212" s="25" t="str">
        <f>IFERROR(IF(ISBLANK(E212),"",INDEX(Gen_Vessels!$A$3:$C$500,MATCH(E212,Gen_Vessels!$C$3:$C$500,0),1)),"")</f>
        <v/>
      </c>
      <c r="G212" s="25"/>
      <c r="I212" s="25" t="str">
        <f>IFERROR(IF(ISBLANK(H212),"",INDEX(Gen_Vessels!$A$3:$C$500,MATCH(H212,Gen_Vessels!$C$3:$C$500,0),1)),"")</f>
        <v/>
      </c>
      <c r="J212" s="25"/>
    </row>
    <row r="213" spans="4:10" x14ac:dyDescent="0.4">
      <c r="D213" s="25"/>
      <c r="F213" s="25" t="str">
        <f>IFERROR(IF(ISBLANK(E213),"",INDEX(Gen_Vessels!$A$3:$C$500,MATCH(E213,Gen_Vessels!$C$3:$C$500,0),1)),"")</f>
        <v/>
      </c>
      <c r="G213" s="25"/>
      <c r="I213" s="25" t="str">
        <f>IFERROR(IF(ISBLANK(H213),"",INDEX(Gen_Vessels!$A$3:$C$500,MATCH(H213,Gen_Vessels!$C$3:$C$500,0),1)),"")</f>
        <v/>
      </c>
      <c r="J213" s="25"/>
    </row>
    <row r="214" spans="4:10" x14ac:dyDescent="0.4">
      <c r="D214" s="25"/>
      <c r="F214" s="25" t="str">
        <f>IFERROR(IF(ISBLANK(E214),"",INDEX(Gen_Vessels!$A$3:$C$500,MATCH(E214,Gen_Vessels!$C$3:$C$500,0),1)),"")</f>
        <v/>
      </c>
      <c r="G214" s="25"/>
      <c r="I214" s="25" t="str">
        <f>IFERROR(IF(ISBLANK(H214),"",INDEX(Gen_Vessels!$A$3:$C$500,MATCH(H214,Gen_Vessels!$C$3:$C$500,0),1)),"")</f>
        <v/>
      </c>
      <c r="J214" s="25"/>
    </row>
    <row r="215" spans="4:10" x14ac:dyDescent="0.4">
      <c r="D215" s="25"/>
      <c r="F215" s="25" t="str">
        <f>IFERROR(IF(ISBLANK(E215),"",INDEX(Gen_Vessels!$A$3:$C$500,MATCH(E215,Gen_Vessels!$C$3:$C$500,0),1)),"")</f>
        <v/>
      </c>
      <c r="G215" s="25"/>
      <c r="I215" s="25" t="str">
        <f>IFERROR(IF(ISBLANK(H215),"",INDEX(Gen_Vessels!$A$3:$C$500,MATCH(H215,Gen_Vessels!$C$3:$C$500,0),1)),"")</f>
        <v/>
      </c>
      <c r="J215" s="25"/>
    </row>
    <row r="216" spans="4:10" x14ac:dyDescent="0.4">
      <c r="D216" s="25"/>
      <c r="F216" s="25" t="str">
        <f>IFERROR(IF(ISBLANK(E216),"",INDEX(Gen_Vessels!$A$3:$C$500,MATCH(E216,Gen_Vessels!$C$3:$C$500,0),1)),"")</f>
        <v/>
      </c>
      <c r="G216" s="25"/>
      <c r="I216" s="25" t="str">
        <f>IFERROR(IF(ISBLANK(H216),"",INDEX(Gen_Vessels!$A$3:$C$500,MATCH(H216,Gen_Vessels!$C$3:$C$500,0),1)),"")</f>
        <v/>
      </c>
      <c r="J216" s="25"/>
    </row>
    <row r="217" spans="4:10" x14ac:dyDescent="0.4">
      <c r="D217" s="25"/>
      <c r="F217" s="25" t="str">
        <f>IFERROR(IF(ISBLANK(E217),"",INDEX(Gen_Vessels!$A$3:$C$500,MATCH(E217,Gen_Vessels!$C$3:$C$500,0),1)),"")</f>
        <v/>
      </c>
      <c r="G217" s="25"/>
      <c r="I217" s="25" t="str">
        <f>IFERROR(IF(ISBLANK(H217),"",INDEX(Gen_Vessels!$A$3:$C$500,MATCH(H217,Gen_Vessels!$C$3:$C$500,0),1)),"")</f>
        <v/>
      </c>
      <c r="J217" s="25"/>
    </row>
    <row r="218" spans="4:10" x14ac:dyDescent="0.4">
      <c r="D218" s="25"/>
      <c r="F218" s="25" t="str">
        <f>IFERROR(IF(ISBLANK(E218),"",INDEX(Gen_Vessels!$A$3:$C$500,MATCH(E218,Gen_Vessels!$C$3:$C$500,0),1)),"")</f>
        <v/>
      </c>
      <c r="G218" s="25"/>
      <c r="I218" s="25" t="str">
        <f>IFERROR(IF(ISBLANK(H218),"",INDEX(Gen_Vessels!$A$3:$C$500,MATCH(H218,Gen_Vessels!$C$3:$C$500,0),1)),"")</f>
        <v/>
      </c>
      <c r="J218" s="25"/>
    </row>
    <row r="219" spans="4:10" x14ac:dyDescent="0.4">
      <c r="D219" s="25"/>
      <c r="F219" s="25" t="str">
        <f>IFERROR(IF(ISBLANK(E219),"",INDEX(Gen_Vessels!$A$3:$C$500,MATCH(E219,Gen_Vessels!$C$3:$C$500,0),1)),"")</f>
        <v/>
      </c>
      <c r="G219" s="25"/>
      <c r="I219" s="25" t="str">
        <f>IFERROR(IF(ISBLANK(H219),"",INDEX(Gen_Vessels!$A$3:$C$500,MATCH(H219,Gen_Vessels!$C$3:$C$500,0),1)),"")</f>
        <v/>
      </c>
      <c r="J219" s="25"/>
    </row>
    <row r="220" spans="4:10" x14ac:dyDescent="0.4">
      <c r="D220" s="25"/>
      <c r="F220" s="25" t="str">
        <f>IFERROR(IF(ISBLANK(E220),"",INDEX(Gen_Vessels!$A$3:$C$500,MATCH(E220,Gen_Vessels!$C$3:$C$500,0),1)),"")</f>
        <v/>
      </c>
      <c r="G220" s="25"/>
      <c r="I220" s="25" t="str">
        <f>IFERROR(IF(ISBLANK(H220),"",INDEX(Gen_Vessels!$A$3:$C$500,MATCH(H220,Gen_Vessels!$C$3:$C$500,0),1)),"")</f>
        <v/>
      </c>
      <c r="J220" s="25"/>
    </row>
    <row r="221" spans="4:10" x14ac:dyDescent="0.4">
      <c r="D221" s="25"/>
      <c r="F221" s="25" t="str">
        <f>IFERROR(IF(ISBLANK(E221),"",INDEX(Gen_Vessels!$A$3:$C$500,MATCH(E221,Gen_Vessels!$C$3:$C$500,0),1)),"")</f>
        <v/>
      </c>
      <c r="G221" s="25"/>
      <c r="I221" s="25" t="str">
        <f>IFERROR(IF(ISBLANK(H221),"",INDEX(Gen_Vessels!$A$3:$C$500,MATCH(H221,Gen_Vessels!$C$3:$C$500,0),1)),"")</f>
        <v/>
      </c>
      <c r="J221" s="25"/>
    </row>
    <row r="222" spans="4:10" x14ac:dyDescent="0.4">
      <c r="D222" s="25"/>
      <c r="F222" s="25" t="str">
        <f>IFERROR(IF(ISBLANK(E222),"",INDEX(Gen_Vessels!$A$3:$C$500,MATCH(E222,Gen_Vessels!$C$3:$C$500,0),1)),"")</f>
        <v/>
      </c>
      <c r="G222" s="25"/>
      <c r="I222" s="25" t="str">
        <f>IFERROR(IF(ISBLANK(H222),"",INDEX(Gen_Vessels!$A$3:$C$500,MATCH(H222,Gen_Vessels!$C$3:$C$500,0),1)),"")</f>
        <v/>
      </c>
      <c r="J222" s="25"/>
    </row>
    <row r="223" spans="4:10" x14ac:dyDescent="0.4">
      <c r="D223" s="25"/>
      <c r="F223" s="25" t="str">
        <f>IFERROR(IF(ISBLANK(E223),"",INDEX(Gen_Vessels!$A$3:$C$500,MATCH(E223,Gen_Vessels!$C$3:$C$500,0),1)),"")</f>
        <v/>
      </c>
      <c r="G223" s="25"/>
      <c r="I223" s="25" t="str">
        <f>IFERROR(IF(ISBLANK(H223),"",INDEX(Gen_Vessels!$A$3:$C$500,MATCH(H223,Gen_Vessels!$C$3:$C$500,0),1)),"")</f>
        <v/>
      </c>
      <c r="J223" s="25"/>
    </row>
    <row r="224" spans="4:10" x14ac:dyDescent="0.4">
      <c r="D224" s="25"/>
      <c r="F224" s="25" t="str">
        <f>IFERROR(IF(ISBLANK(E224),"",INDEX(Gen_Vessels!$A$3:$C$500,MATCH(E224,Gen_Vessels!$C$3:$C$500,0),1)),"")</f>
        <v/>
      </c>
      <c r="G224" s="25"/>
      <c r="I224" s="25" t="str">
        <f>IFERROR(IF(ISBLANK(H224),"",INDEX(Gen_Vessels!$A$3:$C$500,MATCH(H224,Gen_Vessels!$C$3:$C$500,0),1)),"")</f>
        <v/>
      </c>
      <c r="J224" s="25"/>
    </row>
    <row r="225" spans="4:10" x14ac:dyDescent="0.4">
      <c r="D225" s="25"/>
      <c r="F225" s="25" t="str">
        <f>IFERROR(IF(ISBLANK(E225),"",INDEX(Gen_Vessels!$A$3:$C$500,MATCH(E225,Gen_Vessels!$C$3:$C$500,0),1)),"")</f>
        <v/>
      </c>
      <c r="G225" s="25"/>
      <c r="I225" s="25" t="str">
        <f>IFERROR(IF(ISBLANK(H225),"",INDEX(Gen_Vessels!$A$3:$C$500,MATCH(H225,Gen_Vessels!$C$3:$C$500,0),1)),"")</f>
        <v/>
      </c>
      <c r="J225" s="25"/>
    </row>
    <row r="226" spans="4:10" x14ac:dyDescent="0.4">
      <c r="D226" s="25"/>
      <c r="F226" s="25" t="str">
        <f>IFERROR(IF(ISBLANK(E226),"",INDEX(Gen_Vessels!$A$3:$C$500,MATCH(E226,Gen_Vessels!$C$3:$C$500,0),1)),"")</f>
        <v/>
      </c>
      <c r="G226" s="25"/>
      <c r="I226" s="25" t="str">
        <f>IFERROR(IF(ISBLANK(H226),"",INDEX(Gen_Vessels!$A$3:$C$500,MATCH(H226,Gen_Vessels!$C$3:$C$500,0),1)),"")</f>
        <v/>
      </c>
      <c r="J226" s="25"/>
    </row>
    <row r="227" spans="4:10" x14ac:dyDescent="0.4">
      <c r="D227" s="25"/>
      <c r="F227" s="25" t="str">
        <f>IFERROR(IF(ISBLANK(E227),"",INDEX(Gen_Vessels!$A$3:$C$500,MATCH(E227,Gen_Vessels!$C$3:$C$500,0),1)),"")</f>
        <v/>
      </c>
      <c r="G227" s="25"/>
      <c r="I227" s="25" t="str">
        <f>IFERROR(IF(ISBLANK(H227),"",INDEX(Gen_Vessels!$A$3:$C$500,MATCH(H227,Gen_Vessels!$C$3:$C$500,0),1)),"")</f>
        <v/>
      </c>
      <c r="J227" s="25"/>
    </row>
    <row r="228" spans="4:10" x14ac:dyDescent="0.4">
      <c r="D228" s="25"/>
      <c r="F228" s="25" t="str">
        <f>IFERROR(IF(ISBLANK(E228),"",INDEX(Gen_Vessels!$A$3:$C$500,MATCH(E228,Gen_Vessels!$C$3:$C$500,0),1)),"")</f>
        <v/>
      </c>
      <c r="G228" s="25"/>
      <c r="I228" s="25" t="str">
        <f>IFERROR(IF(ISBLANK(H228),"",INDEX(Gen_Vessels!$A$3:$C$500,MATCH(H228,Gen_Vessels!$C$3:$C$500,0),1)),"")</f>
        <v/>
      </c>
      <c r="J228" s="25"/>
    </row>
    <row r="229" spans="4:10" x14ac:dyDescent="0.4">
      <c r="D229" s="25"/>
      <c r="F229" s="25" t="str">
        <f>IFERROR(IF(ISBLANK(E229),"",INDEX(Gen_Vessels!$A$3:$C$500,MATCH(E229,Gen_Vessels!$C$3:$C$500,0),1)),"")</f>
        <v/>
      </c>
      <c r="G229" s="25"/>
      <c r="I229" s="25" t="str">
        <f>IFERROR(IF(ISBLANK(H229),"",INDEX(Gen_Vessels!$A$3:$C$500,MATCH(H229,Gen_Vessels!$C$3:$C$500,0),1)),"")</f>
        <v/>
      </c>
      <c r="J229" s="25"/>
    </row>
    <row r="230" spans="4:10" x14ac:dyDescent="0.4">
      <c r="D230" s="25"/>
      <c r="F230" s="25" t="str">
        <f>IFERROR(IF(ISBLANK(E230),"",INDEX(Gen_Vessels!$A$3:$C$500,MATCH(E230,Gen_Vessels!$C$3:$C$500,0),1)),"")</f>
        <v/>
      </c>
      <c r="G230" s="25"/>
      <c r="I230" s="25" t="str">
        <f>IFERROR(IF(ISBLANK(H230),"",INDEX(Gen_Vessels!$A$3:$C$500,MATCH(H230,Gen_Vessels!$C$3:$C$500,0),1)),"")</f>
        <v/>
      </c>
      <c r="J230" s="25"/>
    </row>
    <row r="231" spans="4:10" x14ac:dyDescent="0.4">
      <c r="D231" s="25"/>
      <c r="F231" s="25" t="str">
        <f>IFERROR(IF(ISBLANK(E231),"",INDEX(Gen_Vessels!$A$3:$C$500,MATCH(E231,Gen_Vessels!$C$3:$C$500,0),1)),"")</f>
        <v/>
      </c>
      <c r="G231" s="25"/>
      <c r="I231" s="25" t="str">
        <f>IFERROR(IF(ISBLANK(H231),"",INDEX(Gen_Vessels!$A$3:$C$500,MATCH(H231,Gen_Vessels!$C$3:$C$500,0),1)),"")</f>
        <v/>
      </c>
      <c r="J231" s="25"/>
    </row>
    <row r="232" spans="4:10" x14ac:dyDescent="0.4">
      <c r="D232" s="25"/>
      <c r="F232" s="25" t="str">
        <f>IFERROR(IF(ISBLANK(E232),"",INDEX(Gen_Vessels!$A$3:$C$500,MATCH(E232,Gen_Vessels!$C$3:$C$500,0),1)),"")</f>
        <v/>
      </c>
      <c r="G232" s="25"/>
      <c r="I232" s="25" t="str">
        <f>IFERROR(IF(ISBLANK(H232),"",INDEX(Gen_Vessels!$A$3:$C$500,MATCH(H232,Gen_Vessels!$C$3:$C$500,0),1)),"")</f>
        <v/>
      </c>
      <c r="J232" s="25"/>
    </row>
    <row r="233" spans="4:10" x14ac:dyDescent="0.4">
      <c r="D233" s="25"/>
      <c r="F233" s="25" t="str">
        <f>IFERROR(IF(ISBLANK(E233),"",INDEX(Gen_Vessels!$A$3:$C$500,MATCH(E233,Gen_Vessels!$C$3:$C$500,0),1)),"")</f>
        <v/>
      </c>
      <c r="G233" s="25"/>
      <c r="I233" s="25" t="str">
        <f>IFERROR(IF(ISBLANK(H233),"",INDEX(Gen_Vessels!$A$3:$C$500,MATCH(H233,Gen_Vessels!$C$3:$C$500,0),1)),"")</f>
        <v/>
      </c>
      <c r="J233" s="25"/>
    </row>
    <row r="234" spans="4:10" x14ac:dyDescent="0.4">
      <c r="D234" s="25"/>
      <c r="F234" s="25" t="str">
        <f>IFERROR(IF(ISBLANK(E234),"",INDEX(Gen_Vessels!$A$3:$C$500,MATCH(E234,Gen_Vessels!$C$3:$C$500,0),1)),"")</f>
        <v/>
      </c>
      <c r="G234" s="25"/>
      <c r="I234" s="25" t="str">
        <f>IFERROR(IF(ISBLANK(H234),"",INDEX(Gen_Vessels!$A$3:$C$500,MATCH(H234,Gen_Vessels!$C$3:$C$500,0),1)),"")</f>
        <v/>
      </c>
      <c r="J234" s="25"/>
    </row>
    <row r="235" spans="4:10" x14ac:dyDescent="0.4">
      <c r="D235" s="25"/>
      <c r="F235" s="25" t="str">
        <f>IFERROR(IF(ISBLANK(E235),"",INDEX(Gen_Vessels!$A$3:$C$500,MATCH(E235,Gen_Vessels!$C$3:$C$500,0),1)),"")</f>
        <v/>
      </c>
      <c r="G235" s="25"/>
      <c r="I235" s="25" t="str">
        <f>IFERROR(IF(ISBLANK(H235),"",INDEX(Gen_Vessels!$A$3:$C$500,MATCH(H235,Gen_Vessels!$C$3:$C$500,0),1)),"")</f>
        <v/>
      </c>
      <c r="J235" s="25"/>
    </row>
    <row r="236" spans="4:10" x14ac:dyDescent="0.4">
      <c r="D236" s="25"/>
      <c r="F236" s="25" t="str">
        <f>IFERROR(IF(ISBLANK(E236),"",INDEX(Gen_Vessels!$A$3:$C$500,MATCH(E236,Gen_Vessels!$C$3:$C$500,0),1)),"")</f>
        <v/>
      </c>
      <c r="G236" s="25"/>
      <c r="I236" s="25" t="str">
        <f>IFERROR(IF(ISBLANK(H236),"",INDEX(Gen_Vessels!$A$3:$C$500,MATCH(H236,Gen_Vessels!$C$3:$C$500,0),1)),"")</f>
        <v/>
      </c>
      <c r="J236" s="25"/>
    </row>
    <row r="237" spans="4:10" x14ac:dyDescent="0.4">
      <c r="D237" s="25"/>
      <c r="F237" s="25" t="str">
        <f>IFERROR(IF(ISBLANK(E237),"",INDEX(Gen_Vessels!$A$3:$C$500,MATCH(E237,Gen_Vessels!$C$3:$C$500,0),1)),"")</f>
        <v/>
      </c>
      <c r="G237" s="25"/>
      <c r="I237" s="25" t="str">
        <f>IFERROR(IF(ISBLANK(H237),"",INDEX(Gen_Vessels!$A$3:$C$500,MATCH(H237,Gen_Vessels!$C$3:$C$500,0),1)),"")</f>
        <v/>
      </c>
      <c r="J237" s="25"/>
    </row>
    <row r="238" spans="4:10" x14ac:dyDescent="0.4">
      <c r="D238" s="25"/>
      <c r="F238" s="25" t="str">
        <f>IFERROR(IF(ISBLANK(E238),"",INDEX(Gen_Vessels!$A$3:$C$500,MATCH(E238,Gen_Vessels!$C$3:$C$500,0),1)),"")</f>
        <v/>
      </c>
      <c r="G238" s="25"/>
      <c r="I238" s="25" t="str">
        <f>IFERROR(IF(ISBLANK(H238),"",INDEX(Gen_Vessels!$A$3:$C$500,MATCH(H238,Gen_Vessels!$C$3:$C$500,0),1)),"")</f>
        <v/>
      </c>
      <c r="J238" s="25"/>
    </row>
    <row r="239" spans="4:10" x14ac:dyDescent="0.4">
      <c r="D239" s="25"/>
      <c r="F239" s="25" t="str">
        <f>IFERROR(IF(ISBLANK(E239),"",INDEX(Gen_Vessels!$A$3:$C$500,MATCH(E239,Gen_Vessels!$C$3:$C$500,0),1)),"")</f>
        <v/>
      </c>
      <c r="G239" s="25"/>
      <c r="I239" s="25" t="str">
        <f>IFERROR(IF(ISBLANK(H239),"",INDEX(Gen_Vessels!$A$3:$C$500,MATCH(H239,Gen_Vessels!$C$3:$C$500,0),1)),"")</f>
        <v/>
      </c>
      <c r="J239" s="25"/>
    </row>
    <row r="240" spans="4:10" x14ac:dyDescent="0.4">
      <c r="D240" s="25"/>
      <c r="F240" s="25" t="str">
        <f>IFERROR(IF(ISBLANK(E240),"",INDEX(Gen_Vessels!$A$3:$C$500,MATCH(E240,Gen_Vessels!$C$3:$C$500,0),1)),"")</f>
        <v/>
      </c>
      <c r="G240" s="25"/>
      <c r="I240" s="25" t="str">
        <f>IFERROR(IF(ISBLANK(H240),"",INDEX(Gen_Vessels!$A$3:$C$500,MATCH(H240,Gen_Vessels!$C$3:$C$500,0),1)),"")</f>
        <v/>
      </c>
      <c r="J240" s="25"/>
    </row>
    <row r="241" spans="4:10" x14ac:dyDescent="0.4">
      <c r="D241" s="25"/>
      <c r="F241" s="25" t="str">
        <f>IFERROR(IF(ISBLANK(E241),"",INDEX(Gen_Vessels!$A$3:$C$500,MATCH(E241,Gen_Vessels!$C$3:$C$500,0),1)),"")</f>
        <v/>
      </c>
      <c r="G241" s="25"/>
      <c r="I241" s="25" t="str">
        <f>IFERROR(IF(ISBLANK(H241),"",INDEX(Gen_Vessels!$A$3:$C$500,MATCH(H241,Gen_Vessels!$C$3:$C$500,0),1)),"")</f>
        <v/>
      </c>
      <c r="J241" s="25"/>
    </row>
    <row r="242" spans="4:10" x14ac:dyDescent="0.4">
      <c r="D242" s="25"/>
      <c r="F242" s="25" t="str">
        <f>IFERROR(IF(ISBLANK(E242),"",INDEX(Gen_Vessels!$A$3:$C$500,MATCH(E242,Gen_Vessels!$C$3:$C$500,0),1)),"")</f>
        <v/>
      </c>
      <c r="G242" s="25"/>
      <c r="I242" s="25" t="str">
        <f>IFERROR(IF(ISBLANK(H242),"",INDEX(Gen_Vessels!$A$3:$C$500,MATCH(H242,Gen_Vessels!$C$3:$C$500,0),1)),"")</f>
        <v/>
      </c>
      <c r="J242" s="25"/>
    </row>
    <row r="243" spans="4:10" x14ac:dyDescent="0.4">
      <c r="D243" s="25"/>
      <c r="F243" s="25" t="str">
        <f>IFERROR(IF(ISBLANK(E243),"",INDEX(Gen_Vessels!$A$3:$C$500,MATCH(E243,Gen_Vessels!$C$3:$C$500,0),1)),"")</f>
        <v/>
      </c>
      <c r="G243" s="25"/>
      <c r="I243" s="25" t="str">
        <f>IFERROR(IF(ISBLANK(H243),"",INDEX(Gen_Vessels!$A$3:$C$500,MATCH(H243,Gen_Vessels!$C$3:$C$500,0),1)),"")</f>
        <v/>
      </c>
      <c r="J243" s="25"/>
    </row>
    <row r="244" spans="4:10" x14ac:dyDescent="0.4">
      <c r="D244" s="25"/>
      <c r="F244" s="25" t="str">
        <f>IFERROR(IF(ISBLANK(E244),"",INDEX(Gen_Vessels!$A$3:$C$500,MATCH(E244,Gen_Vessels!$C$3:$C$500,0),1)),"")</f>
        <v/>
      </c>
      <c r="G244" s="25"/>
      <c r="I244" s="25" t="str">
        <f>IFERROR(IF(ISBLANK(H244),"",INDEX(Gen_Vessels!$A$3:$C$500,MATCH(H244,Gen_Vessels!$C$3:$C$500,0),1)),"")</f>
        <v/>
      </c>
      <c r="J244" s="25"/>
    </row>
    <row r="245" spans="4:10" x14ac:dyDescent="0.4">
      <c r="D245" s="25"/>
      <c r="F245" s="25" t="str">
        <f>IFERROR(IF(ISBLANK(E245),"",INDEX(Gen_Vessels!$A$3:$C$500,MATCH(E245,Gen_Vessels!$C$3:$C$500,0),1)),"")</f>
        <v/>
      </c>
      <c r="G245" s="25"/>
      <c r="I245" s="25" t="str">
        <f>IFERROR(IF(ISBLANK(H245),"",INDEX(Gen_Vessels!$A$3:$C$500,MATCH(H245,Gen_Vessels!$C$3:$C$500,0),1)),"")</f>
        <v/>
      </c>
      <c r="J245" s="25"/>
    </row>
    <row r="246" spans="4:10" x14ac:dyDescent="0.4">
      <c r="D246" s="25"/>
      <c r="F246" s="25" t="str">
        <f>IFERROR(IF(ISBLANK(E246),"",INDEX(Gen_Vessels!$A$3:$C$500,MATCH(E246,Gen_Vessels!$C$3:$C$500,0),1)),"")</f>
        <v/>
      </c>
      <c r="G246" s="25"/>
      <c r="I246" s="25" t="str">
        <f>IFERROR(IF(ISBLANK(H246),"",INDEX(Gen_Vessels!$A$3:$C$500,MATCH(H246,Gen_Vessels!$C$3:$C$500,0),1)),"")</f>
        <v/>
      </c>
      <c r="J246" s="25"/>
    </row>
    <row r="247" spans="4:10" x14ac:dyDescent="0.4">
      <c r="D247" s="25"/>
      <c r="F247" s="25" t="str">
        <f>IFERROR(IF(ISBLANK(E247),"",INDEX(Gen_Vessels!$A$3:$C$500,MATCH(E247,Gen_Vessels!$C$3:$C$500,0),1)),"")</f>
        <v/>
      </c>
      <c r="G247" s="25"/>
      <c r="I247" s="25" t="str">
        <f>IFERROR(IF(ISBLANK(H247),"",INDEX(Gen_Vessels!$A$3:$C$500,MATCH(H247,Gen_Vessels!$C$3:$C$500,0),1)),"")</f>
        <v/>
      </c>
      <c r="J247" s="25"/>
    </row>
    <row r="248" spans="4:10" x14ac:dyDescent="0.4">
      <c r="D248" s="25"/>
      <c r="F248" s="25" t="str">
        <f>IFERROR(IF(ISBLANK(E248),"",INDEX(Gen_Vessels!$A$3:$C$500,MATCH(E248,Gen_Vessels!$C$3:$C$500,0),1)),"")</f>
        <v/>
      </c>
      <c r="G248" s="25"/>
      <c r="I248" s="25" t="str">
        <f>IFERROR(IF(ISBLANK(H248),"",INDEX(Gen_Vessels!$A$3:$C$500,MATCH(H248,Gen_Vessels!$C$3:$C$500,0),1)),"")</f>
        <v/>
      </c>
      <c r="J248" s="25"/>
    </row>
    <row r="249" spans="4:10" x14ac:dyDescent="0.4">
      <c r="D249" s="25"/>
      <c r="F249" s="25" t="str">
        <f>IFERROR(IF(ISBLANK(E249),"",INDEX(Gen_Vessels!$A$3:$C$500,MATCH(E249,Gen_Vessels!$C$3:$C$500,0),1)),"")</f>
        <v/>
      </c>
      <c r="G249" s="25"/>
      <c r="I249" s="25" t="str">
        <f>IFERROR(IF(ISBLANK(H249),"",INDEX(Gen_Vessels!$A$3:$C$500,MATCH(H249,Gen_Vessels!$C$3:$C$500,0),1)),"")</f>
        <v/>
      </c>
      <c r="J249" s="25"/>
    </row>
    <row r="250" spans="4:10" x14ac:dyDescent="0.4">
      <c r="D250" s="25"/>
      <c r="F250" s="25" t="str">
        <f>IFERROR(IF(ISBLANK(E250),"",INDEX(Gen_Vessels!$A$3:$C$500,MATCH(E250,Gen_Vessels!$C$3:$C$500,0),1)),"")</f>
        <v/>
      </c>
      <c r="G250" s="25"/>
      <c r="I250" s="25" t="str">
        <f>IFERROR(IF(ISBLANK(H250),"",INDEX(Gen_Vessels!$A$3:$C$500,MATCH(H250,Gen_Vessels!$C$3:$C$500,0),1)),"")</f>
        <v/>
      </c>
      <c r="J250" s="25"/>
    </row>
    <row r="251" spans="4:10" x14ac:dyDescent="0.4">
      <c r="D251" s="25"/>
      <c r="F251" s="25" t="str">
        <f>IFERROR(IF(ISBLANK(E251),"",INDEX(Gen_Vessels!$A$3:$C$500,MATCH(E251,Gen_Vessels!$C$3:$C$500,0),1)),"")</f>
        <v/>
      </c>
      <c r="G251" s="25"/>
      <c r="I251" s="25" t="str">
        <f>IFERROR(IF(ISBLANK(H251),"",INDEX(Gen_Vessels!$A$3:$C$500,MATCH(H251,Gen_Vessels!$C$3:$C$500,0),1)),"")</f>
        <v/>
      </c>
      <c r="J251" s="25"/>
    </row>
    <row r="252" spans="4:10" x14ac:dyDescent="0.4">
      <c r="D252" s="25"/>
      <c r="F252" s="25" t="str">
        <f>IFERROR(IF(ISBLANK(E252),"",INDEX(Gen_Vessels!$A$3:$C$500,MATCH(E252,Gen_Vessels!$C$3:$C$500,0),1)),"")</f>
        <v/>
      </c>
      <c r="G252" s="25"/>
      <c r="I252" s="25" t="str">
        <f>IFERROR(IF(ISBLANK(H252),"",INDEX(Gen_Vessels!$A$3:$C$500,MATCH(H252,Gen_Vessels!$C$3:$C$500,0),1)),"")</f>
        <v/>
      </c>
      <c r="J252" s="25"/>
    </row>
    <row r="253" spans="4:10" x14ac:dyDescent="0.4">
      <c r="D253" s="25"/>
      <c r="F253" s="25" t="str">
        <f>IFERROR(IF(ISBLANK(E253),"",INDEX(Gen_Vessels!$A$3:$C$500,MATCH(E253,Gen_Vessels!$C$3:$C$500,0),1)),"")</f>
        <v/>
      </c>
      <c r="G253" s="25"/>
      <c r="I253" s="25" t="str">
        <f>IFERROR(IF(ISBLANK(H253),"",INDEX(Gen_Vessels!$A$3:$C$500,MATCH(H253,Gen_Vessels!$C$3:$C$500,0),1)),"")</f>
        <v/>
      </c>
      <c r="J253" s="25"/>
    </row>
    <row r="254" spans="4:10" x14ac:dyDescent="0.4">
      <c r="D254" s="25"/>
      <c r="F254" s="25" t="str">
        <f>IFERROR(IF(ISBLANK(E254),"",INDEX(Gen_Vessels!$A$3:$C$500,MATCH(E254,Gen_Vessels!$C$3:$C$500,0),1)),"")</f>
        <v/>
      </c>
      <c r="G254" s="25"/>
      <c r="I254" s="25" t="str">
        <f>IFERROR(IF(ISBLANK(H254),"",INDEX(Gen_Vessels!$A$3:$C$500,MATCH(H254,Gen_Vessels!$C$3:$C$500,0),1)),"")</f>
        <v/>
      </c>
      <c r="J254" s="25"/>
    </row>
    <row r="255" spans="4:10" x14ac:dyDescent="0.4">
      <c r="D255" s="25"/>
      <c r="F255" s="25" t="str">
        <f>IFERROR(IF(ISBLANK(E255),"",INDEX(Gen_Vessels!$A$3:$C$500,MATCH(E255,Gen_Vessels!$C$3:$C$500,0),1)),"")</f>
        <v/>
      </c>
      <c r="G255" s="25"/>
      <c r="I255" s="25" t="str">
        <f>IFERROR(IF(ISBLANK(H255),"",INDEX(Gen_Vessels!$A$3:$C$500,MATCH(H255,Gen_Vessels!$C$3:$C$500,0),1)),"")</f>
        <v/>
      </c>
      <c r="J255" s="25"/>
    </row>
    <row r="256" spans="4:10" x14ac:dyDescent="0.4">
      <c r="D256" s="25"/>
      <c r="F256" s="25" t="str">
        <f>IFERROR(IF(ISBLANK(E256),"",INDEX(Gen_Vessels!$A$3:$C$500,MATCH(E256,Gen_Vessels!$C$3:$C$500,0),1)),"")</f>
        <v/>
      </c>
      <c r="G256" s="25"/>
      <c r="I256" s="25" t="str">
        <f>IFERROR(IF(ISBLANK(H256),"",INDEX(Gen_Vessels!$A$3:$C$500,MATCH(H256,Gen_Vessels!$C$3:$C$500,0),1)),"")</f>
        <v/>
      </c>
      <c r="J256" s="25"/>
    </row>
    <row r="257" spans="4:10" x14ac:dyDescent="0.4">
      <c r="D257" s="25"/>
      <c r="F257" s="25" t="str">
        <f>IFERROR(IF(ISBLANK(E257),"",INDEX(Gen_Vessels!$A$3:$C$500,MATCH(E257,Gen_Vessels!$C$3:$C$500,0),1)),"")</f>
        <v/>
      </c>
      <c r="G257" s="25"/>
      <c r="I257" s="25" t="str">
        <f>IFERROR(IF(ISBLANK(H257),"",INDEX(Gen_Vessels!$A$3:$C$500,MATCH(H257,Gen_Vessels!$C$3:$C$500,0),1)),"")</f>
        <v/>
      </c>
      <c r="J257" s="25"/>
    </row>
    <row r="258" spans="4:10" x14ac:dyDescent="0.4">
      <c r="D258" s="25"/>
      <c r="F258" s="25" t="str">
        <f>IFERROR(IF(ISBLANK(E258),"",INDEX(Gen_Vessels!$A$3:$C$500,MATCH(E258,Gen_Vessels!$C$3:$C$500,0),1)),"")</f>
        <v/>
      </c>
      <c r="G258" s="25"/>
      <c r="I258" s="25" t="str">
        <f>IFERROR(IF(ISBLANK(H258),"",INDEX(Gen_Vessels!$A$3:$C$500,MATCH(H258,Gen_Vessels!$C$3:$C$500,0),1)),"")</f>
        <v/>
      </c>
      <c r="J258" s="25"/>
    </row>
    <row r="259" spans="4:10" x14ac:dyDescent="0.4">
      <c r="D259" s="25"/>
      <c r="F259" s="25" t="str">
        <f>IFERROR(IF(ISBLANK(E259),"",INDEX(Gen_Vessels!$A$3:$C$500,MATCH(E259,Gen_Vessels!$C$3:$C$500,0),1)),"")</f>
        <v/>
      </c>
      <c r="G259" s="25"/>
      <c r="I259" s="25" t="str">
        <f>IFERROR(IF(ISBLANK(H259),"",INDEX(Gen_Vessels!$A$3:$C$500,MATCH(H259,Gen_Vessels!$C$3:$C$500,0),1)),"")</f>
        <v/>
      </c>
      <c r="J259" s="25"/>
    </row>
    <row r="260" spans="4:10" x14ac:dyDescent="0.4">
      <c r="D260" s="25"/>
      <c r="F260" s="25" t="str">
        <f>IFERROR(IF(ISBLANK(E260),"",INDEX(Gen_Vessels!$A$3:$C$500,MATCH(E260,Gen_Vessels!$C$3:$C$500,0),1)),"")</f>
        <v/>
      </c>
      <c r="G260" s="25"/>
      <c r="I260" s="25" t="str">
        <f>IFERROR(IF(ISBLANK(H260),"",INDEX(Gen_Vessels!$A$3:$C$500,MATCH(H260,Gen_Vessels!$C$3:$C$500,0),1)),"")</f>
        <v/>
      </c>
      <c r="J260" s="25"/>
    </row>
    <row r="261" spans="4:10" x14ac:dyDescent="0.4">
      <c r="D261" s="25"/>
      <c r="F261" s="25" t="str">
        <f>IFERROR(IF(ISBLANK(E261),"",INDEX(Gen_Vessels!$A$3:$C$500,MATCH(E261,Gen_Vessels!$C$3:$C$500,0),1)),"")</f>
        <v/>
      </c>
      <c r="G261" s="25"/>
      <c r="I261" s="25" t="str">
        <f>IFERROR(IF(ISBLANK(H261),"",INDEX(Gen_Vessels!$A$3:$C$500,MATCH(H261,Gen_Vessels!$C$3:$C$500,0),1)),"")</f>
        <v/>
      </c>
      <c r="J261" s="25"/>
    </row>
    <row r="262" spans="4:10" x14ac:dyDescent="0.4">
      <c r="D262" s="25"/>
      <c r="F262" s="25" t="str">
        <f>IFERROR(IF(ISBLANK(E262),"",INDEX(Gen_Vessels!$A$3:$C$500,MATCH(E262,Gen_Vessels!$C$3:$C$500,0),1)),"")</f>
        <v/>
      </c>
      <c r="G262" s="25"/>
      <c r="I262" s="25" t="str">
        <f>IFERROR(IF(ISBLANK(H262),"",INDEX(Gen_Vessels!$A$3:$C$500,MATCH(H262,Gen_Vessels!$C$3:$C$500,0),1)),"")</f>
        <v/>
      </c>
      <c r="J262" s="25"/>
    </row>
    <row r="263" spans="4:10" x14ac:dyDescent="0.4">
      <c r="D263" s="25"/>
      <c r="F263" s="25" t="str">
        <f>IFERROR(IF(ISBLANK(E263),"",INDEX(Gen_Vessels!$A$3:$C$500,MATCH(E263,Gen_Vessels!$C$3:$C$500,0),1)),"")</f>
        <v/>
      </c>
      <c r="G263" s="25"/>
      <c r="I263" s="25" t="str">
        <f>IFERROR(IF(ISBLANK(H263),"",INDEX(Gen_Vessels!$A$3:$C$500,MATCH(H263,Gen_Vessels!$C$3:$C$500,0),1)),"")</f>
        <v/>
      </c>
      <c r="J263" s="25"/>
    </row>
    <row r="264" spans="4:10" x14ac:dyDescent="0.4">
      <c r="D264" s="25"/>
      <c r="F264" s="25" t="str">
        <f>IFERROR(IF(ISBLANK(E264),"",INDEX(Gen_Vessels!$A$3:$C$500,MATCH(E264,Gen_Vessels!$C$3:$C$500,0),1)),"")</f>
        <v/>
      </c>
      <c r="G264" s="25"/>
      <c r="I264" s="25" t="str">
        <f>IFERROR(IF(ISBLANK(H264),"",INDEX(Gen_Vessels!$A$3:$C$500,MATCH(H264,Gen_Vessels!$C$3:$C$500,0),1)),"")</f>
        <v/>
      </c>
      <c r="J264" s="25"/>
    </row>
    <row r="265" spans="4:10" x14ac:dyDescent="0.4">
      <c r="D265" s="25"/>
      <c r="F265" s="25" t="str">
        <f>IFERROR(IF(ISBLANK(E265),"",INDEX(Gen_Vessels!$A$3:$C$500,MATCH(E265,Gen_Vessels!$C$3:$C$500,0),1)),"")</f>
        <v/>
      </c>
      <c r="G265" s="25"/>
      <c r="I265" s="25" t="str">
        <f>IFERROR(IF(ISBLANK(H265),"",INDEX(Gen_Vessels!$A$3:$C$500,MATCH(H265,Gen_Vessels!$C$3:$C$500,0),1)),"")</f>
        <v/>
      </c>
      <c r="J265" s="25"/>
    </row>
    <row r="266" spans="4:10" x14ac:dyDescent="0.4">
      <c r="D266" s="25"/>
      <c r="F266" s="25" t="str">
        <f>IFERROR(IF(ISBLANK(E266),"",INDEX(Gen_Vessels!$A$3:$C$500,MATCH(E266,Gen_Vessels!$C$3:$C$500,0),1)),"")</f>
        <v/>
      </c>
      <c r="G266" s="25"/>
      <c r="I266" s="25" t="str">
        <f>IFERROR(IF(ISBLANK(H266),"",INDEX(Gen_Vessels!$A$3:$C$500,MATCH(H266,Gen_Vessels!$C$3:$C$500,0),1)),"")</f>
        <v/>
      </c>
      <c r="J266" s="25"/>
    </row>
    <row r="267" spans="4:10" x14ac:dyDescent="0.4">
      <c r="D267" s="25"/>
      <c r="F267" s="25" t="str">
        <f>IFERROR(IF(ISBLANK(E267),"",INDEX(Gen_Vessels!$A$3:$C$500,MATCH(E267,Gen_Vessels!$C$3:$C$500,0),1)),"")</f>
        <v/>
      </c>
      <c r="G267" s="25"/>
      <c r="I267" s="25" t="str">
        <f>IFERROR(IF(ISBLANK(H267),"",INDEX(Gen_Vessels!$A$3:$C$500,MATCH(H267,Gen_Vessels!$C$3:$C$500,0),1)),"")</f>
        <v/>
      </c>
      <c r="J267" s="25"/>
    </row>
    <row r="268" spans="4:10" x14ac:dyDescent="0.4">
      <c r="D268" s="25"/>
      <c r="F268" s="25" t="str">
        <f>IFERROR(IF(ISBLANK(E268),"",INDEX(Gen_Vessels!$A$3:$C$500,MATCH(E268,Gen_Vessels!$C$3:$C$500,0),1)),"")</f>
        <v/>
      </c>
      <c r="G268" s="25"/>
      <c r="I268" s="25" t="str">
        <f>IFERROR(IF(ISBLANK(H268),"",INDEX(Gen_Vessels!$A$3:$C$500,MATCH(H268,Gen_Vessels!$C$3:$C$500,0),1)),"")</f>
        <v/>
      </c>
      <c r="J268" s="25"/>
    </row>
    <row r="269" spans="4:10" x14ac:dyDescent="0.4">
      <c r="D269" s="25"/>
      <c r="F269" s="25" t="str">
        <f>IFERROR(IF(ISBLANK(E269),"",INDEX(Gen_Vessels!$A$3:$C$500,MATCH(E269,Gen_Vessels!$C$3:$C$500,0),1)),"")</f>
        <v/>
      </c>
      <c r="G269" s="25"/>
      <c r="I269" s="25" t="str">
        <f>IFERROR(IF(ISBLANK(H269),"",INDEX(Gen_Vessels!$A$3:$C$500,MATCH(H269,Gen_Vessels!$C$3:$C$500,0),1)),"")</f>
        <v/>
      </c>
      <c r="J269" s="25"/>
    </row>
    <row r="270" spans="4:10" x14ac:dyDescent="0.4">
      <c r="D270" s="25"/>
      <c r="F270" s="25" t="str">
        <f>IFERROR(IF(ISBLANK(E270),"",INDEX(Gen_Vessels!$A$3:$C$500,MATCH(E270,Gen_Vessels!$C$3:$C$500,0),1)),"")</f>
        <v/>
      </c>
      <c r="G270" s="25"/>
      <c r="I270" s="25" t="str">
        <f>IFERROR(IF(ISBLANK(H270),"",INDEX(Gen_Vessels!$A$3:$C$500,MATCH(H270,Gen_Vessels!$C$3:$C$500,0),1)),"")</f>
        <v/>
      </c>
      <c r="J270" s="25"/>
    </row>
    <row r="271" spans="4:10" x14ac:dyDescent="0.4">
      <c r="D271" s="25"/>
      <c r="F271" s="25" t="str">
        <f>IFERROR(IF(ISBLANK(E271),"",INDEX(Gen_Vessels!$A$3:$C$500,MATCH(E271,Gen_Vessels!$C$3:$C$500,0),1)),"")</f>
        <v/>
      </c>
      <c r="G271" s="25"/>
      <c r="I271" s="25" t="str">
        <f>IFERROR(IF(ISBLANK(H271),"",INDEX(Gen_Vessels!$A$3:$C$500,MATCH(H271,Gen_Vessels!$C$3:$C$500,0),1)),"")</f>
        <v/>
      </c>
      <c r="J271" s="25"/>
    </row>
    <row r="272" spans="4:10" x14ac:dyDescent="0.4">
      <c r="D272" s="25"/>
      <c r="F272" s="25" t="str">
        <f>IFERROR(IF(ISBLANK(E272),"",INDEX(Gen_Vessels!$A$3:$C$500,MATCH(E272,Gen_Vessels!$C$3:$C$500,0),1)),"")</f>
        <v/>
      </c>
      <c r="G272" s="25"/>
      <c r="I272" s="25" t="str">
        <f>IFERROR(IF(ISBLANK(H272),"",INDEX(Gen_Vessels!$A$3:$C$500,MATCH(H272,Gen_Vessels!$C$3:$C$500,0),1)),"")</f>
        <v/>
      </c>
      <c r="J272" s="25"/>
    </row>
    <row r="273" spans="4:10" x14ac:dyDescent="0.4">
      <c r="D273" s="25"/>
      <c r="F273" s="25" t="str">
        <f>IFERROR(IF(ISBLANK(E273),"",INDEX(Gen_Vessels!$A$3:$C$500,MATCH(E273,Gen_Vessels!$C$3:$C$500,0),1)),"")</f>
        <v/>
      </c>
      <c r="G273" s="25"/>
      <c r="I273" s="25" t="str">
        <f>IFERROR(IF(ISBLANK(H273),"",INDEX(Gen_Vessels!$A$3:$C$500,MATCH(H273,Gen_Vessels!$C$3:$C$500,0),1)),"")</f>
        <v/>
      </c>
      <c r="J273" s="25"/>
    </row>
    <row r="274" spans="4:10" x14ac:dyDescent="0.4">
      <c r="D274" s="25"/>
      <c r="F274" s="25" t="str">
        <f>IFERROR(IF(ISBLANK(E274),"",INDEX(Gen_Vessels!$A$3:$C$500,MATCH(E274,Gen_Vessels!$C$3:$C$500,0),1)),"")</f>
        <v/>
      </c>
      <c r="G274" s="25"/>
      <c r="I274" s="25" t="str">
        <f>IFERROR(IF(ISBLANK(H274),"",INDEX(Gen_Vessels!$A$3:$C$500,MATCH(H274,Gen_Vessels!$C$3:$C$500,0),1)),"")</f>
        <v/>
      </c>
      <c r="J274" s="25"/>
    </row>
    <row r="275" spans="4:10" x14ac:dyDescent="0.4">
      <c r="D275" s="25"/>
      <c r="F275" s="25" t="str">
        <f>IFERROR(IF(ISBLANK(E275),"",INDEX(Gen_Vessels!$A$3:$C$500,MATCH(E275,Gen_Vessels!$C$3:$C$500,0),1)),"")</f>
        <v/>
      </c>
      <c r="G275" s="25"/>
      <c r="I275" s="25" t="str">
        <f>IFERROR(IF(ISBLANK(H275),"",INDEX(Gen_Vessels!$A$3:$C$500,MATCH(H275,Gen_Vessels!$C$3:$C$500,0),1)),"")</f>
        <v/>
      </c>
      <c r="J275" s="25"/>
    </row>
    <row r="276" spans="4:10" x14ac:dyDescent="0.4">
      <c r="D276" s="25"/>
      <c r="F276" s="25" t="str">
        <f>IFERROR(IF(ISBLANK(E276),"",INDEX(Gen_Vessels!$A$3:$C$500,MATCH(E276,Gen_Vessels!$C$3:$C$500,0),1)),"")</f>
        <v/>
      </c>
      <c r="G276" s="25"/>
      <c r="I276" s="25" t="str">
        <f>IFERROR(IF(ISBLANK(H276),"",INDEX(Gen_Vessels!$A$3:$C$500,MATCH(H276,Gen_Vessels!$C$3:$C$500,0),1)),"")</f>
        <v/>
      </c>
      <c r="J276" s="25"/>
    </row>
    <row r="277" spans="4:10" x14ac:dyDescent="0.4">
      <c r="D277" s="25"/>
      <c r="F277" s="25" t="str">
        <f>IFERROR(IF(ISBLANK(E277),"",INDEX(Gen_Vessels!$A$3:$C$500,MATCH(E277,Gen_Vessels!$C$3:$C$500,0),1)),"")</f>
        <v/>
      </c>
      <c r="G277" s="25"/>
      <c r="I277" s="25" t="str">
        <f>IFERROR(IF(ISBLANK(H277),"",INDEX(Gen_Vessels!$A$3:$C$500,MATCH(H277,Gen_Vessels!$C$3:$C$500,0),1)),"")</f>
        <v/>
      </c>
      <c r="J277" s="25"/>
    </row>
    <row r="278" spans="4:10" x14ac:dyDescent="0.4">
      <c r="D278" s="25"/>
      <c r="F278" s="25" t="str">
        <f>IFERROR(IF(ISBLANK(E278),"",INDEX(Gen_Vessels!$A$3:$C$500,MATCH(E278,Gen_Vessels!$C$3:$C$500,0),1)),"")</f>
        <v/>
      </c>
      <c r="G278" s="25"/>
      <c r="I278" s="25" t="str">
        <f>IFERROR(IF(ISBLANK(H278),"",INDEX(Gen_Vessels!$A$3:$C$500,MATCH(H278,Gen_Vessels!$C$3:$C$500,0),1)),"")</f>
        <v/>
      </c>
      <c r="J278" s="25"/>
    </row>
    <row r="279" spans="4:10" x14ac:dyDescent="0.4">
      <c r="D279" s="25"/>
      <c r="F279" s="25" t="str">
        <f>IFERROR(IF(ISBLANK(E279),"",INDEX(Gen_Vessels!$A$3:$C$500,MATCH(E279,Gen_Vessels!$C$3:$C$500,0),1)),"")</f>
        <v/>
      </c>
      <c r="G279" s="25"/>
      <c r="I279" s="25" t="str">
        <f>IFERROR(IF(ISBLANK(H279),"",INDEX(Gen_Vessels!$A$3:$C$500,MATCH(H279,Gen_Vessels!$C$3:$C$500,0),1)),"")</f>
        <v/>
      </c>
      <c r="J279" s="25"/>
    </row>
    <row r="280" spans="4:10" x14ac:dyDescent="0.4">
      <c r="D280" s="25"/>
      <c r="F280" s="25" t="str">
        <f>IFERROR(IF(ISBLANK(E280),"",INDEX(Gen_Vessels!$A$3:$C$500,MATCH(E280,Gen_Vessels!$C$3:$C$500,0),1)),"")</f>
        <v/>
      </c>
      <c r="G280" s="25"/>
      <c r="I280" s="25" t="str">
        <f>IFERROR(IF(ISBLANK(H280),"",INDEX(Gen_Vessels!$A$3:$C$500,MATCH(H280,Gen_Vessels!$C$3:$C$500,0),1)),"")</f>
        <v/>
      </c>
      <c r="J280" s="25"/>
    </row>
    <row r="281" spans="4:10" x14ac:dyDescent="0.4">
      <c r="D281" s="25"/>
      <c r="F281" s="25" t="str">
        <f>IFERROR(IF(ISBLANK(E281),"",INDEX(Gen_Vessels!$A$3:$C$500,MATCH(E281,Gen_Vessels!$C$3:$C$500,0),1)),"")</f>
        <v/>
      </c>
      <c r="G281" s="25"/>
      <c r="I281" s="25" t="str">
        <f>IFERROR(IF(ISBLANK(H281),"",INDEX(Gen_Vessels!$A$3:$C$500,MATCH(H281,Gen_Vessels!$C$3:$C$500,0),1)),"")</f>
        <v/>
      </c>
      <c r="J281" s="25"/>
    </row>
    <row r="282" spans="4:10" x14ac:dyDescent="0.4">
      <c r="D282" s="25"/>
      <c r="F282" s="25" t="str">
        <f>IFERROR(IF(ISBLANK(E282),"",INDEX(Gen_Vessels!$A$3:$C$500,MATCH(E282,Gen_Vessels!$C$3:$C$500,0),1)),"")</f>
        <v/>
      </c>
      <c r="G282" s="25"/>
      <c r="I282" s="25" t="str">
        <f>IFERROR(IF(ISBLANK(H282),"",INDEX(Gen_Vessels!$A$3:$C$500,MATCH(H282,Gen_Vessels!$C$3:$C$500,0),1)),"")</f>
        <v/>
      </c>
      <c r="J282" s="25"/>
    </row>
    <row r="283" spans="4:10" x14ac:dyDescent="0.4">
      <c r="D283" s="25"/>
      <c r="F283" s="25" t="str">
        <f>IFERROR(IF(ISBLANK(E283),"",INDEX(Gen_Vessels!$A$3:$C$500,MATCH(E283,Gen_Vessels!$C$3:$C$500,0),1)),"")</f>
        <v/>
      </c>
      <c r="G283" s="25"/>
      <c r="I283" s="25" t="str">
        <f>IFERROR(IF(ISBLANK(H283),"",INDEX(Gen_Vessels!$A$3:$C$500,MATCH(H283,Gen_Vessels!$C$3:$C$500,0),1)),"")</f>
        <v/>
      </c>
      <c r="J283" s="25"/>
    </row>
    <row r="284" spans="4:10" x14ac:dyDescent="0.4">
      <c r="D284" s="25"/>
      <c r="F284" s="25" t="str">
        <f>IFERROR(IF(ISBLANK(E284),"",INDEX(Gen_Vessels!$A$3:$C$500,MATCH(E284,Gen_Vessels!$C$3:$C$500,0),1)),"")</f>
        <v/>
      </c>
      <c r="G284" s="25"/>
      <c r="I284" s="25" t="str">
        <f>IFERROR(IF(ISBLANK(H284),"",INDEX(Gen_Vessels!$A$3:$C$500,MATCH(H284,Gen_Vessels!$C$3:$C$500,0),1)),"")</f>
        <v/>
      </c>
      <c r="J284" s="25"/>
    </row>
    <row r="285" spans="4:10" x14ac:dyDescent="0.4">
      <c r="D285" s="25"/>
      <c r="F285" s="25" t="str">
        <f>IFERROR(IF(ISBLANK(E285),"",INDEX(Gen_Vessels!$A$3:$C$500,MATCH(E285,Gen_Vessels!$C$3:$C$500,0),1)),"")</f>
        <v/>
      </c>
      <c r="G285" s="25"/>
      <c r="I285" s="25" t="str">
        <f>IFERROR(IF(ISBLANK(H285),"",INDEX(Gen_Vessels!$A$3:$C$500,MATCH(H285,Gen_Vessels!$C$3:$C$500,0),1)),"")</f>
        <v/>
      </c>
      <c r="J285" s="25"/>
    </row>
    <row r="286" spans="4:10" x14ac:dyDescent="0.4">
      <c r="D286" s="25"/>
      <c r="F286" s="25" t="str">
        <f>IFERROR(IF(ISBLANK(E286),"",INDEX(Gen_Vessels!$A$3:$C$500,MATCH(E286,Gen_Vessels!$C$3:$C$500,0),1)),"")</f>
        <v/>
      </c>
      <c r="G286" s="25"/>
      <c r="I286" s="25" t="str">
        <f>IFERROR(IF(ISBLANK(H286),"",INDEX(Gen_Vessels!$A$3:$C$500,MATCH(H286,Gen_Vessels!$C$3:$C$500,0),1)),"")</f>
        <v/>
      </c>
      <c r="J286" s="25"/>
    </row>
    <row r="287" spans="4:10" x14ac:dyDescent="0.4">
      <c r="D287" s="25"/>
      <c r="F287" s="25" t="str">
        <f>IFERROR(IF(ISBLANK(E287),"",INDEX(Gen_Vessels!$A$3:$C$500,MATCH(E287,Gen_Vessels!$C$3:$C$500,0),1)),"")</f>
        <v/>
      </c>
      <c r="G287" s="25"/>
      <c r="I287" s="25" t="str">
        <f>IFERROR(IF(ISBLANK(H287),"",INDEX(Gen_Vessels!$A$3:$C$500,MATCH(H287,Gen_Vessels!$C$3:$C$500,0),1)),"")</f>
        <v/>
      </c>
      <c r="J287" s="25"/>
    </row>
    <row r="288" spans="4:10" x14ac:dyDescent="0.4">
      <c r="D288" s="25"/>
      <c r="F288" s="25" t="str">
        <f>IFERROR(IF(ISBLANK(E288),"",INDEX(Gen_Vessels!$A$3:$C$500,MATCH(E288,Gen_Vessels!$C$3:$C$500,0),1)),"")</f>
        <v/>
      </c>
      <c r="G288" s="25"/>
      <c r="I288" s="25" t="str">
        <f>IFERROR(IF(ISBLANK(H288),"",INDEX(Gen_Vessels!$A$3:$C$500,MATCH(H288,Gen_Vessels!$C$3:$C$500,0),1)),"")</f>
        <v/>
      </c>
      <c r="J288" s="25"/>
    </row>
    <row r="289" spans="4:10" x14ac:dyDescent="0.4">
      <c r="D289" s="25"/>
      <c r="F289" s="25" t="str">
        <f>IFERROR(IF(ISBLANK(E289),"",INDEX(Gen_Vessels!$A$3:$C$500,MATCH(E289,Gen_Vessels!$C$3:$C$500,0),1)),"")</f>
        <v/>
      </c>
      <c r="G289" s="25"/>
      <c r="I289" s="25" t="str">
        <f>IFERROR(IF(ISBLANK(H289),"",INDEX(Gen_Vessels!$A$3:$C$500,MATCH(H289,Gen_Vessels!$C$3:$C$500,0),1)),"")</f>
        <v/>
      </c>
      <c r="J289" s="25"/>
    </row>
    <row r="290" spans="4:10" x14ac:dyDescent="0.4">
      <c r="D290" s="25"/>
      <c r="F290" s="25" t="str">
        <f>IFERROR(IF(ISBLANK(E290),"",INDEX(Gen_Vessels!$A$3:$C$500,MATCH(E290,Gen_Vessels!$C$3:$C$500,0),1)),"")</f>
        <v/>
      </c>
      <c r="G290" s="25"/>
      <c r="I290" s="25" t="str">
        <f>IFERROR(IF(ISBLANK(H290),"",INDEX(Gen_Vessels!$A$3:$C$500,MATCH(H290,Gen_Vessels!$C$3:$C$500,0),1)),"")</f>
        <v/>
      </c>
      <c r="J290" s="25"/>
    </row>
    <row r="291" spans="4:10" x14ac:dyDescent="0.4">
      <c r="D291" s="25"/>
      <c r="F291" s="25" t="str">
        <f>IFERROR(IF(ISBLANK(E291),"",INDEX(Gen_Vessels!$A$3:$C$500,MATCH(E291,Gen_Vessels!$C$3:$C$500,0),1)),"")</f>
        <v/>
      </c>
      <c r="G291" s="25"/>
      <c r="I291" s="25" t="str">
        <f>IFERROR(IF(ISBLANK(H291),"",INDEX(Gen_Vessels!$A$3:$C$500,MATCH(H291,Gen_Vessels!$C$3:$C$500,0),1)),"")</f>
        <v/>
      </c>
      <c r="J291" s="25"/>
    </row>
    <row r="292" spans="4:10" x14ac:dyDescent="0.4">
      <c r="D292" s="25"/>
      <c r="F292" s="25" t="str">
        <f>IFERROR(IF(ISBLANK(E292),"",INDEX(Gen_Vessels!$A$3:$C$500,MATCH(E292,Gen_Vessels!$C$3:$C$500,0),1)),"")</f>
        <v/>
      </c>
      <c r="G292" s="25"/>
      <c r="I292" s="25" t="str">
        <f>IFERROR(IF(ISBLANK(H292),"",INDEX(Gen_Vessels!$A$3:$C$500,MATCH(H292,Gen_Vessels!$C$3:$C$500,0),1)),"")</f>
        <v/>
      </c>
      <c r="J292" s="25"/>
    </row>
    <row r="293" spans="4:10" x14ac:dyDescent="0.4">
      <c r="D293" s="25"/>
      <c r="F293" s="25" t="str">
        <f>IFERROR(IF(ISBLANK(E293),"",INDEX(Gen_Vessels!$A$3:$C$500,MATCH(E293,Gen_Vessels!$C$3:$C$500,0),1)),"")</f>
        <v/>
      </c>
      <c r="G293" s="25"/>
      <c r="I293" s="25" t="str">
        <f>IFERROR(IF(ISBLANK(H293),"",INDEX(Gen_Vessels!$A$3:$C$500,MATCH(H293,Gen_Vessels!$C$3:$C$500,0),1)),"")</f>
        <v/>
      </c>
      <c r="J293" s="25"/>
    </row>
    <row r="294" spans="4:10" x14ac:dyDescent="0.4">
      <c r="D294" s="25"/>
      <c r="F294" s="25" t="str">
        <f>IFERROR(IF(ISBLANK(E294),"",INDEX(Gen_Vessels!$A$3:$C$500,MATCH(E294,Gen_Vessels!$C$3:$C$500,0),1)),"")</f>
        <v/>
      </c>
      <c r="G294" s="25"/>
      <c r="I294" s="25" t="str">
        <f>IFERROR(IF(ISBLANK(H294),"",INDEX(Gen_Vessels!$A$3:$C$500,MATCH(H294,Gen_Vessels!$C$3:$C$500,0),1)),"")</f>
        <v/>
      </c>
      <c r="J294" s="25"/>
    </row>
    <row r="295" spans="4:10" x14ac:dyDescent="0.4">
      <c r="D295" s="25"/>
      <c r="F295" s="25" t="str">
        <f>IFERROR(IF(ISBLANK(E295),"",INDEX(Gen_Vessels!$A$3:$C$500,MATCH(E295,Gen_Vessels!$C$3:$C$500,0),1)),"")</f>
        <v/>
      </c>
      <c r="G295" s="25"/>
      <c r="I295" s="25" t="str">
        <f>IFERROR(IF(ISBLANK(H295),"",INDEX(Gen_Vessels!$A$3:$C$500,MATCH(H295,Gen_Vessels!$C$3:$C$500,0),1)),"")</f>
        <v/>
      </c>
      <c r="J295" s="25"/>
    </row>
    <row r="296" spans="4:10" x14ac:dyDescent="0.4">
      <c r="D296" s="25"/>
      <c r="F296" s="25" t="str">
        <f>IFERROR(IF(ISBLANK(E296),"",INDEX(Gen_Vessels!$A$3:$C$500,MATCH(E296,Gen_Vessels!$C$3:$C$500,0),1)),"")</f>
        <v/>
      </c>
      <c r="G296" s="25"/>
      <c r="I296" s="25" t="str">
        <f>IFERROR(IF(ISBLANK(H296),"",INDEX(Gen_Vessels!$A$3:$C$500,MATCH(H296,Gen_Vessels!$C$3:$C$500,0),1)),"")</f>
        <v/>
      </c>
      <c r="J296" s="25"/>
    </row>
    <row r="297" spans="4:10" x14ac:dyDescent="0.4">
      <c r="D297" s="25"/>
      <c r="F297" s="25" t="str">
        <f>IFERROR(IF(ISBLANK(E297),"",INDEX(Gen_Vessels!$A$3:$C$500,MATCH(E297,Gen_Vessels!$C$3:$C$500,0),1)),"")</f>
        <v/>
      </c>
      <c r="G297" s="25"/>
      <c r="I297" s="25" t="str">
        <f>IFERROR(IF(ISBLANK(H297),"",INDEX(Gen_Vessels!$A$3:$C$500,MATCH(H297,Gen_Vessels!$C$3:$C$500,0),1)),"")</f>
        <v/>
      </c>
      <c r="J297" s="25"/>
    </row>
    <row r="298" spans="4:10" x14ac:dyDescent="0.4">
      <c r="D298" s="25"/>
      <c r="F298" s="25" t="str">
        <f>IFERROR(IF(ISBLANK(E298),"",INDEX(Gen_Vessels!$A$3:$C$500,MATCH(E298,Gen_Vessels!$C$3:$C$500,0),1)),"")</f>
        <v/>
      </c>
      <c r="G298" s="25"/>
      <c r="I298" s="25" t="str">
        <f>IFERROR(IF(ISBLANK(H298),"",INDEX(Gen_Vessels!$A$3:$C$500,MATCH(H298,Gen_Vessels!$C$3:$C$500,0),1)),"")</f>
        <v/>
      </c>
      <c r="J298" s="25"/>
    </row>
    <row r="299" spans="4:10" x14ac:dyDescent="0.4">
      <c r="D299" s="25"/>
      <c r="F299" s="25" t="str">
        <f>IFERROR(IF(ISBLANK(E299),"",INDEX(Gen_Vessels!$A$3:$C$500,MATCH(E299,Gen_Vessels!$C$3:$C$500,0),1)),"")</f>
        <v/>
      </c>
      <c r="G299" s="25"/>
      <c r="I299" s="25" t="str">
        <f>IFERROR(IF(ISBLANK(H299),"",INDEX(Gen_Vessels!$A$3:$C$500,MATCH(H299,Gen_Vessels!$C$3:$C$500,0),1)),"")</f>
        <v/>
      </c>
      <c r="J299" s="25"/>
    </row>
    <row r="300" spans="4:10" x14ac:dyDescent="0.4">
      <c r="D300" s="25"/>
      <c r="F300" s="25" t="str">
        <f>IFERROR(IF(ISBLANK(E300),"",INDEX(Gen_Vessels!$A$3:$C$500,MATCH(E300,Gen_Vessels!$C$3:$C$500,0),1)),"")</f>
        <v/>
      </c>
      <c r="G300" s="25"/>
      <c r="I300" s="25" t="str">
        <f>IFERROR(IF(ISBLANK(H300),"",INDEX(Gen_Vessels!$A$3:$C$500,MATCH(H300,Gen_Vessels!$C$3:$C$500,0),1)),"")</f>
        <v/>
      </c>
      <c r="J300" s="25"/>
    </row>
    <row r="301" spans="4:10" x14ac:dyDescent="0.4">
      <c r="D301" s="25"/>
      <c r="F301" s="25" t="str">
        <f>IFERROR(IF(ISBLANK(E301),"",INDEX(Gen_Vessels!$A$3:$C$500,MATCH(E301,Gen_Vessels!$C$3:$C$500,0),1)),"")</f>
        <v/>
      </c>
      <c r="G301" s="25"/>
      <c r="I301" s="25" t="str">
        <f>IFERROR(IF(ISBLANK(H301),"",INDEX(Gen_Vessels!$A$3:$C$500,MATCH(H301,Gen_Vessels!$C$3:$C$500,0),1)),"")</f>
        <v/>
      </c>
      <c r="J301" s="25"/>
    </row>
    <row r="302" spans="4:10" x14ac:dyDescent="0.4">
      <c r="D302" s="25"/>
      <c r="F302" s="25" t="str">
        <f>IFERROR(IF(ISBLANK(E302),"",INDEX(Gen_Vessels!$A$3:$C$500,MATCH(E302,Gen_Vessels!$C$3:$C$500,0),1)),"")</f>
        <v/>
      </c>
      <c r="G302" s="25"/>
      <c r="I302" s="25" t="str">
        <f>IFERROR(IF(ISBLANK(H302),"",INDEX(Gen_Vessels!$A$3:$C$500,MATCH(H302,Gen_Vessels!$C$3:$C$500,0),1)),"")</f>
        <v/>
      </c>
      <c r="J302" s="25"/>
    </row>
    <row r="303" spans="4:10" x14ac:dyDescent="0.4">
      <c r="D303" s="25"/>
      <c r="F303" s="25" t="str">
        <f>IFERROR(IF(ISBLANK(E303),"",INDEX(Gen_Vessels!$A$3:$C$500,MATCH(E303,Gen_Vessels!$C$3:$C$500,0),1)),"")</f>
        <v/>
      </c>
      <c r="G303" s="25"/>
      <c r="I303" s="25" t="str">
        <f>IFERROR(IF(ISBLANK(H303),"",INDEX(Gen_Vessels!$A$3:$C$500,MATCH(H303,Gen_Vessels!$C$3:$C$500,0),1)),"")</f>
        <v/>
      </c>
      <c r="J303" s="25"/>
    </row>
    <row r="304" spans="4:10" x14ac:dyDescent="0.4">
      <c r="D304" s="25"/>
      <c r="F304" s="25" t="str">
        <f>IFERROR(IF(ISBLANK(E304),"",INDEX(Gen_Vessels!$A$3:$C$500,MATCH(E304,Gen_Vessels!$C$3:$C$500,0),1)),"")</f>
        <v/>
      </c>
      <c r="G304" s="25"/>
      <c r="I304" s="25" t="str">
        <f>IFERROR(IF(ISBLANK(H304),"",INDEX(Gen_Vessels!$A$3:$C$500,MATCH(H304,Gen_Vessels!$C$3:$C$500,0),1)),"")</f>
        <v/>
      </c>
      <c r="J304" s="25"/>
    </row>
    <row r="305" spans="4:10" x14ac:dyDescent="0.4">
      <c r="D305" s="25"/>
      <c r="F305" s="25" t="str">
        <f>IFERROR(IF(ISBLANK(E305),"",INDEX(Gen_Vessels!$A$3:$C$500,MATCH(E305,Gen_Vessels!$C$3:$C$500,0),1)),"")</f>
        <v/>
      </c>
      <c r="G305" s="25"/>
      <c r="I305" s="25" t="str">
        <f>IFERROR(IF(ISBLANK(H305),"",INDEX(Gen_Vessels!$A$3:$C$500,MATCH(H305,Gen_Vessels!$C$3:$C$500,0),1)),"")</f>
        <v/>
      </c>
      <c r="J305" s="25"/>
    </row>
    <row r="306" spans="4:10" x14ac:dyDescent="0.4">
      <c r="D306" s="25"/>
      <c r="F306" s="25" t="str">
        <f>IFERROR(IF(ISBLANK(E306),"",INDEX(Gen_Vessels!$A$3:$C$500,MATCH(E306,Gen_Vessels!$C$3:$C$500,0),1)),"")</f>
        <v/>
      </c>
      <c r="G306" s="25"/>
      <c r="I306" s="25" t="str">
        <f>IFERROR(IF(ISBLANK(H306),"",INDEX(Gen_Vessels!$A$3:$C$500,MATCH(H306,Gen_Vessels!$C$3:$C$500,0),1)),"")</f>
        <v/>
      </c>
      <c r="J306" s="25"/>
    </row>
    <row r="307" spans="4:10" x14ac:dyDescent="0.4">
      <c r="D307" s="25"/>
      <c r="F307" s="25" t="str">
        <f>IFERROR(IF(ISBLANK(E307),"",INDEX(Gen_Vessels!$A$3:$C$500,MATCH(E307,Gen_Vessels!$C$3:$C$500,0),1)),"")</f>
        <v/>
      </c>
      <c r="G307" s="25"/>
      <c r="I307" s="25" t="str">
        <f>IFERROR(IF(ISBLANK(H307),"",INDEX(Gen_Vessels!$A$3:$C$500,MATCH(H307,Gen_Vessels!$C$3:$C$500,0),1)),"")</f>
        <v/>
      </c>
      <c r="J307" s="25"/>
    </row>
    <row r="308" spans="4:10" x14ac:dyDescent="0.4">
      <c r="D308" s="25"/>
      <c r="F308" s="25" t="str">
        <f>IFERROR(IF(ISBLANK(E308),"",INDEX(Gen_Vessels!$A$3:$C$500,MATCH(E308,Gen_Vessels!$C$3:$C$500,0),1)),"")</f>
        <v/>
      </c>
      <c r="G308" s="25"/>
      <c r="I308" s="25" t="str">
        <f>IFERROR(IF(ISBLANK(H308),"",INDEX(Gen_Vessels!$A$3:$C$500,MATCH(H308,Gen_Vessels!$C$3:$C$500,0),1)),"")</f>
        <v/>
      </c>
      <c r="J308" s="25"/>
    </row>
    <row r="309" spans="4:10" x14ac:dyDescent="0.4">
      <c r="D309" s="25"/>
      <c r="F309" s="25" t="str">
        <f>IFERROR(IF(ISBLANK(E309),"",INDEX(Gen_Vessels!$A$3:$C$500,MATCH(E309,Gen_Vessels!$C$3:$C$500,0),1)),"")</f>
        <v/>
      </c>
      <c r="G309" s="25"/>
      <c r="I309" s="25" t="str">
        <f>IFERROR(IF(ISBLANK(H309),"",INDEX(Gen_Vessels!$A$3:$C$500,MATCH(H309,Gen_Vessels!$C$3:$C$500,0),1)),"")</f>
        <v/>
      </c>
      <c r="J309" s="25"/>
    </row>
    <row r="310" spans="4:10" x14ac:dyDescent="0.4">
      <c r="D310" s="25"/>
      <c r="F310" s="25" t="str">
        <f>IFERROR(IF(ISBLANK(E310),"",INDEX(Gen_Vessels!$A$3:$C$500,MATCH(E310,Gen_Vessels!$C$3:$C$500,0),1)),"")</f>
        <v/>
      </c>
      <c r="G310" s="25"/>
      <c r="I310" s="25" t="str">
        <f>IFERROR(IF(ISBLANK(H310),"",INDEX(Gen_Vessels!$A$3:$C$500,MATCH(H310,Gen_Vessels!$C$3:$C$500,0),1)),"")</f>
        <v/>
      </c>
      <c r="J310" s="25"/>
    </row>
    <row r="311" spans="4:10" x14ac:dyDescent="0.4">
      <c r="D311" s="25"/>
      <c r="F311" s="25" t="str">
        <f>IFERROR(IF(ISBLANK(E311),"",INDEX(Gen_Vessels!$A$3:$C$500,MATCH(E311,Gen_Vessels!$C$3:$C$500,0),1)),"")</f>
        <v/>
      </c>
      <c r="G311" s="25"/>
      <c r="I311" s="25" t="str">
        <f>IFERROR(IF(ISBLANK(H311),"",INDEX(Gen_Vessels!$A$3:$C$500,MATCH(H311,Gen_Vessels!$C$3:$C$500,0),1)),"")</f>
        <v/>
      </c>
      <c r="J311" s="25"/>
    </row>
    <row r="312" spans="4:10" x14ac:dyDescent="0.4">
      <c r="D312" s="25"/>
      <c r="F312" s="25" t="str">
        <f>IFERROR(IF(ISBLANK(E312),"",INDEX(Gen_Vessels!$A$3:$C$500,MATCH(E312,Gen_Vessels!$C$3:$C$500,0),1)),"")</f>
        <v/>
      </c>
      <c r="G312" s="25"/>
      <c r="I312" s="25" t="str">
        <f>IFERROR(IF(ISBLANK(H312),"",INDEX(Gen_Vessels!$A$3:$C$500,MATCH(H312,Gen_Vessels!$C$3:$C$500,0),1)),"")</f>
        <v/>
      </c>
      <c r="J312" s="25"/>
    </row>
    <row r="313" spans="4:10" x14ac:dyDescent="0.4">
      <c r="D313" s="25"/>
      <c r="F313" s="25" t="str">
        <f>IFERROR(IF(ISBLANK(E313),"",INDEX(Gen_Vessels!$A$3:$C$500,MATCH(E313,Gen_Vessels!$C$3:$C$500,0),1)),"")</f>
        <v/>
      </c>
      <c r="G313" s="25"/>
      <c r="I313" s="25" t="str">
        <f>IFERROR(IF(ISBLANK(H313),"",INDEX(Gen_Vessels!$A$3:$C$500,MATCH(H313,Gen_Vessels!$C$3:$C$500,0),1)),"")</f>
        <v/>
      </c>
      <c r="J313" s="25"/>
    </row>
    <row r="314" spans="4:10" x14ac:dyDescent="0.4">
      <c r="D314" s="25"/>
      <c r="F314" s="25" t="str">
        <f>IFERROR(IF(ISBLANK(E314),"",INDEX(Gen_Vessels!$A$3:$C$500,MATCH(E314,Gen_Vessels!$C$3:$C$500,0),1)),"")</f>
        <v/>
      </c>
      <c r="G314" s="25"/>
      <c r="I314" s="25" t="str">
        <f>IFERROR(IF(ISBLANK(H314),"",INDEX(Gen_Vessels!$A$3:$C$500,MATCH(H314,Gen_Vessels!$C$3:$C$500,0),1)),"")</f>
        <v/>
      </c>
      <c r="J314" s="25"/>
    </row>
    <row r="315" spans="4:10" x14ac:dyDescent="0.4">
      <c r="D315" s="25"/>
      <c r="F315" s="25" t="str">
        <f>IFERROR(IF(ISBLANK(E315),"",INDEX(Gen_Vessels!$A$3:$C$500,MATCH(E315,Gen_Vessels!$C$3:$C$500,0),1)),"")</f>
        <v/>
      </c>
      <c r="G315" s="25"/>
      <c r="I315" s="25" t="str">
        <f>IFERROR(IF(ISBLANK(H315),"",INDEX(Gen_Vessels!$A$3:$C$500,MATCH(H315,Gen_Vessels!$C$3:$C$500,0),1)),"")</f>
        <v/>
      </c>
      <c r="J315" s="25"/>
    </row>
    <row r="316" spans="4:10" x14ac:dyDescent="0.4">
      <c r="D316" s="25"/>
      <c r="F316" s="25" t="str">
        <f>IFERROR(IF(ISBLANK(E316),"",INDEX(Gen_Vessels!$A$3:$C$500,MATCH(E316,Gen_Vessels!$C$3:$C$500,0),1)),"")</f>
        <v/>
      </c>
      <c r="G316" s="25"/>
      <c r="I316" s="25" t="str">
        <f>IFERROR(IF(ISBLANK(H316),"",INDEX(Gen_Vessels!$A$3:$C$500,MATCH(H316,Gen_Vessels!$C$3:$C$500,0),1)),"")</f>
        <v/>
      </c>
      <c r="J316" s="25"/>
    </row>
    <row r="317" spans="4:10" x14ac:dyDescent="0.4">
      <c r="D317" s="25"/>
      <c r="F317" s="25" t="str">
        <f>IFERROR(IF(ISBLANK(E317),"",INDEX(Gen_Vessels!$A$3:$C$500,MATCH(E317,Gen_Vessels!$C$3:$C$500,0),1)),"")</f>
        <v/>
      </c>
      <c r="G317" s="25"/>
      <c r="I317" s="25" t="str">
        <f>IFERROR(IF(ISBLANK(H317),"",INDEX(Gen_Vessels!$A$3:$C$500,MATCH(H317,Gen_Vessels!$C$3:$C$500,0),1)),"")</f>
        <v/>
      </c>
      <c r="J317" s="25"/>
    </row>
    <row r="318" spans="4:10" x14ac:dyDescent="0.4">
      <c r="D318" s="25"/>
      <c r="F318" s="25" t="str">
        <f>IFERROR(IF(ISBLANK(E318),"",INDEX(Gen_Vessels!$A$3:$C$500,MATCH(E318,Gen_Vessels!$C$3:$C$500,0),1)),"")</f>
        <v/>
      </c>
      <c r="G318" s="25"/>
      <c r="I318" s="25" t="str">
        <f>IFERROR(IF(ISBLANK(H318),"",INDEX(Gen_Vessels!$A$3:$C$500,MATCH(H318,Gen_Vessels!$C$3:$C$500,0),1)),"")</f>
        <v/>
      </c>
      <c r="J318" s="25"/>
    </row>
    <row r="319" spans="4:10" x14ac:dyDescent="0.4">
      <c r="D319" s="25"/>
      <c r="F319" s="25" t="str">
        <f>IFERROR(IF(ISBLANK(E319),"",INDEX(Gen_Vessels!$A$3:$C$500,MATCH(E319,Gen_Vessels!$C$3:$C$500,0),1)),"")</f>
        <v/>
      </c>
      <c r="G319" s="25"/>
      <c r="I319" s="25" t="str">
        <f>IFERROR(IF(ISBLANK(H319),"",INDEX(Gen_Vessels!$A$3:$C$500,MATCH(H319,Gen_Vessels!$C$3:$C$500,0),1)),"")</f>
        <v/>
      </c>
      <c r="J319" s="25"/>
    </row>
    <row r="320" spans="4:10" x14ac:dyDescent="0.4">
      <c r="D320" s="25"/>
      <c r="F320" s="25" t="str">
        <f>IFERROR(IF(ISBLANK(E320),"",INDEX(Gen_Vessels!$A$3:$C$500,MATCH(E320,Gen_Vessels!$C$3:$C$500,0),1)),"")</f>
        <v/>
      </c>
      <c r="G320" s="25"/>
      <c r="I320" s="25" t="str">
        <f>IFERROR(IF(ISBLANK(H320),"",INDEX(Gen_Vessels!$A$3:$C$500,MATCH(H320,Gen_Vessels!$C$3:$C$500,0),1)),"")</f>
        <v/>
      </c>
      <c r="J320" s="25"/>
    </row>
    <row r="321" spans="4:10" x14ac:dyDescent="0.4">
      <c r="D321" s="25"/>
      <c r="F321" s="25" t="str">
        <f>IFERROR(IF(ISBLANK(E321),"",INDEX(Gen_Vessels!$A$3:$C$500,MATCH(E321,Gen_Vessels!$C$3:$C$500,0),1)),"")</f>
        <v/>
      </c>
      <c r="G321" s="25"/>
      <c r="I321" s="25" t="str">
        <f>IFERROR(IF(ISBLANK(H321),"",INDEX(Gen_Vessels!$A$3:$C$500,MATCH(H321,Gen_Vessels!$C$3:$C$500,0),1)),"")</f>
        <v/>
      </c>
      <c r="J321" s="25"/>
    </row>
    <row r="322" spans="4:10" x14ac:dyDescent="0.4">
      <c r="D322" s="25"/>
      <c r="F322" s="25" t="str">
        <f>IFERROR(IF(ISBLANK(E322),"",INDEX(Gen_Vessels!$A$3:$C$500,MATCH(E322,Gen_Vessels!$C$3:$C$500,0),1)),"")</f>
        <v/>
      </c>
      <c r="G322" s="25"/>
      <c r="I322" s="25" t="str">
        <f>IFERROR(IF(ISBLANK(H322),"",INDEX(Gen_Vessels!$A$3:$C$500,MATCH(H322,Gen_Vessels!$C$3:$C$500,0),1)),"")</f>
        <v/>
      </c>
      <c r="J322" s="25"/>
    </row>
    <row r="323" spans="4:10" x14ac:dyDescent="0.4">
      <c r="D323" s="25"/>
      <c r="F323" s="25" t="str">
        <f>IFERROR(IF(ISBLANK(E323),"",INDEX(Gen_Vessels!$A$3:$C$500,MATCH(E323,Gen_Vessels!$C$3:$C$500,0),1)),"")</f>
        <v/>
      </c>
      <c r="G323" s="25"/>
      <c r="I323" s="25" t="str">
        <f>IFERROR(IF(ISBLANK(H323),"",INDEX(Gen_Vessels!$A$3:$C$500,MATCH(H323,Gen_Vessels!$C$3:$C$500,0),1)),"")</f>
        <v/>
      </c>
      <c r="J323" s="25"/>
    </row>
    <row r="324" spans="4:10" x14ac:dyDescent="0.4">
      <c r="D324" s="25"/>
      <c r="F324" s="25" t="str">
        <f>IFERROR(IF(ISBLANK(E324),"",INDEX(Gen_Vessels!$A$3:$C$500,MATCH(E324,Gen_Vessels!$C$3:$C$500,0),1)),"")</f>
        <v/>
      </c>
      <c r="G324" s="25"/>
      <c r="I324" s="25" t="str">
        <f>IFERROR(IF(ISBLANK(H324),"",INDEX(Gen_Vessels!$A$3:$C$500,MATCH(H324,Gen_Vessels!$C$3:$C$500,0),1)),"")</f>
        <v/>
      </c>
      <c r="J324" s="25"/>
    </row>
    <row r="325" spans="4:10" x14ac:dyDescent="0.4">
      <c r="D325" s="25"/>
      <c r="F325" s="25" t="str">
        <f>IFERROR(IF(ISBLANK(E325),"",INDEX(Gen_Vessels!$A$3:$C$500,MATCH(E325,Gen_Vessels!$C$3:$C$500,0),1)),"")</f>
        <v/>
      </c>
      <c r="G325" s="25"/>
      <c r="I325" s="25" t="str">
        <f>IFERROR(IF(ISBLANK(H325),"",INDEX(Gen_Vessels!$A$3:$C$500,MATCH(H325,Gen_Vessels!$C$3:$C$500,0),1)),"")</f>
        <v/>
      </c>
      <c r="J325" s="25"/>
    </row>
    <row r="326" spans="4:10" x14ac:dyDescent="0.4">
      <c r="D326" s="25"/>
      <c r="F326" s="25" t="str">
        <f>IFERROR(IF(ISBLANK(E326),"",INDEX(Gen_Vessels!$A$3:$C$500,MATCH(E326,Gen_Vessels!$C$3:$C$500,0),1)),"")</f>
        <v/>
      </c>
      <c r="G326" s="25"/>
      <c r="I326" s="25" t="str">
        <f>IFERROR(IF(ISBLANK(H326),"",INDEX(Gen_Vessels!$A$3:$C$500,MATCH(H326,Gen_Vessels!$C$3:$C$500,0),1)),"")</f>
        <v/>
      </c>
      <c r="J326" s="25"/>
    </row>
    <row r="327" spans="4:10" x14ac:dyDescent="0.4">
      <c r="D327" s="25"/>
      <c r="F327" s="25" t="str">
        <f>IFERROR(IF(ISBLANK(E327),"",INDEX(Gen_Vessels!$A$3:$C$500,MATCH(E327,Gen_Vessels!$C$3:$C$500,0),1)),"")</f>
        <v/>
      </c>
      <c r="G327" s="25"/>
      <c r="I327" s="25" t="str">
        <f>IFERROR(IF(ISBLANK(H327),"",INDEX(Gen_Vessels!$A$3:$C$500,MATCH(H327,Gen_Vessels!$C$3:$C$500,0),1)),"")</f>
        <v/>
      </c>
      <c r="J327" s="25"/>
    </row>
    <row r="328" spans="4:10" x14ac:dyDescent="0.4">
      <c r="D328" s="25"/>
      <c r="F328" s="25" t="str">
        <f>IFERROR(IF(ISBLANK(E328),"",INDEX(Gen_Vessels!$A$3:$C$500,MATCH(E328,Gen_Vessels!$C$3:$C$500,0),1)),"")</f>
        <v/>
      </c>
      <c r="G328" s="25"/>
      <c r="I328" s="25" t="str">
        <f>IFERROR(IF(ISBLANK(H328),"",INDEX(Gen_Vessels!$A$3:$C$500,MATCH(H328,Gen_Vessels!$C$3:$C$500,0),1)),"")</f>
        <v/>
      </c>
      <c r="J328" s="25"/>
    </row>
    <row r="329" spans="4:10" x14ac:dyDescent="0.4">
      <c r="D329" s="25"/>
      <c r="F329" s="25" t="str">
        <f>IFERROR(IF(ISBLANK(E329),"",INDEX(Gen_Vessels!$A$3:$C$500,MATCH(E329,Gen_Vessels!$C$3:$C$500,0),1)),"")</f>
        <v/>
      </c>
      <c r="G329" s="25"/>
      <c r="I329" s="25" t="str">
        <f>IFERROR(IF(ISBLANK(H329),"",INDEX(Gen_Vessels!$A$3:$C$500,MATCH(H329,Gen_Vessels!$C$3:$C$500,0),1)),"")</f>
        <v/>
      </c>
      <c r="J329" s="25"/>
    </row>
    <row r="330" spans="4:10" x14ac:dyDescent="0.4">
      <c r="D330" s="25"/>
      <c r="F330" s="25" t="str">
        <f>IFERROR(IF(ISBLANK(E330),"",INDEX(Gen_Vessels!$A$3:$C$500,MATCH(E330,Gen_Vessels!$C$3:$C$500,0),1)),"")</f>
        <v/>
      </c>
      <c r="G330" s="25"/>
      <c r="I330" s="25" t="str">
        <f>IFERROR(IF(ISBLANK(H330),"",INDEX(Gen_Vessels!$A$3:$C$500,MATCH(H330,Gen_Vessels!$C$3:$C$500,0),1)),"")</f>
        <v/>
      </c>
      <c r="J330" s="25"/>
    </row>
    <row r="331" spans="4:10" x14ac:dyDescent="0.4">
      <c r="D331" s="25"/>
      <c r="F331" s="25" t="str">
        <f>IFERROR(IF(ISBLANK(E331),"",INDEX(Gen_Vessels!$A$3:$C$500,MATCH(E331,Gen_Vessels!$C$3:$C$500,0),1)),"")</f>
        <v/>
      </c>
      <c r="G331" s="25"/>
      <c r="I331" s="25" t="str">
        <f>IFERROR(IF(ISBLANK(H331),"",INDEX(Gen_Vessels!$A$3:$C$500,MATCH(H331,Gen_Vessels!$C$3:$C$500,0),1)),"")</f>
        <v/>
      </c>
      <c r="J331" s="25"/>
    </row>
    <row r="332" spans="4:10" x14ac:dyDescent="0.4">
      <c r="D332" s="25"/>
      <c r="F332" s="25" t="str">
        <f>IFERROR(IF(ISBLANK(E332),"",INDEX(Gen_Vessels!$A$3:$C$500,MATCH(E332,Gen_Vessels!$C$3:$C$500,0),1)),"")</f>
        <v/>
      </c>
      <c r="G332" s="25"/>
      <c r="I332" s="25" t="str">
        <f>IFERROR(IF(ISBLANK(H332),"",INDEX(Gen_Vessels!$A$3:$C$500,MATCH(H332,Gen_Vessels!$C$3:$C$500,0),1)),"")</f>
        <v/>
      </c>
      <c r="J332" s="25"/>
    </row>
    <row r="333" spans="4:10" x14ac:dyDescent="0.4">
      <c r="D333" s="25"/>
      <c r="F333" s="25" t="str">
        <f>IFERROR(IF(ISBLANK(E333),"",INDEX(Gen_Vessels!$A$3:$C$500,MATCH(E333,Gen_Vessels!$C$3:$C$500,0),1)),"")</f>
        <v/>
      </c>
      <c r="G333" s="25"/>
      <c r="I333" s="25" t="str">
        <f>IFERROR(IF(ISBLANK(H333),"",INDEX(Gen_Vessels!$A$3:$C$500,MATCH(H333,Gen_Vessels!$C$3:$C$500,0),1)),"")</f>
        <v/>
      </c>
      <c r="J333" s="25"/>
    </row>
    <row r="334" spans="4:10" x14ac:dyDescent="0.4">
      <c r="D334" s="25"/>
      <c r="F334" s="25" t="str">
        <f>IFERROR(IF(ISBLANK(E334),"",INDEX(Gen_Vessels!$A$3:$C$500,MATCH(E334,Gen_Vessels!$C$3:$C$500,0),1)),"")</f>
        <v/>
      </c>
      <c r="G334" s="25"/>
      <c r="I334" s="25" t="str">
        <f>IFERROR(IF(ISBLANK(H334),"",INDEX(Gen_Vessels!$A$3:$C$500,MATCH(H334,Gen_Vessels!$C$3:$C$500,0),1)),"")</f>
        <v/>
      </c>
      <c r="J334" s="25"/>
    </row>
    <row r="335" spans="4:10" x14ac:dyDescent="0.4">
      <c r="D335" s="25"/>
      <c r="F335" s="25" t="str">
        <f>IFERROR(IF(ISBLANK(E335),"",INDEX(Gen_Vessels!$A$3:$C$500,MATCH(E335,Gen_Vessels!$C$3:$C$500,0),1)),"")</f>
        <v/>
      </c>
      <c r="G335" s="25"/>
      <c r="I335" s="25" t="str">
        <f>IFERROR(IF(ISBLANK(H335),"",INDEX(Gen_Vessels!$A$3:$C$500,MATCH(H335,Gen_Vessels!$C$3:$C$500,0),1)),"")</f>
        <v/>
      </c>
      <c r="J335" s="25"/>
    </row>
    <row r="336" spans="4:10" x14ac:dyDescent="0.4">
      <c r="D336" s="25"/>
      <c r="F336" s="25" t="str">
        <f>IFERROR(IF(ISBLANK(E336),"",INDEX(Gen_Vessels!$A$3:$C$500,MATCH(E336,Gen_Vessels!$C$3:$C$500,0),1)),"")</f>
        <v/>
      </c>
      <c r="G336" s="25"/>
      <c r="I336" s="25" t="str">
        <f>IFERROR(IF(ISBLANK(H336),"",INDEX(Gen_Vessels!$A$3:$C$500,MATCH(H336,Gen_Vessels!$C$3:$C$500,0),1)),"")</f>
        <v/>
      </c>
      <c r="J336" s="25"/>
    </row>
    <row r="337" spans="4:10" x14ac:dyDescent="0.4">
      <c r="D337" s="25"/>
      <c r="F337" s="25" t="str">
        <f>IFERROR(IF(ISBLANK(E337),"",INDEX(Gen_Vessels!$A$3:$C$500,MATCH(E337,Gen_Vessels!$C$3:$C$500,0),1)),"")</f>
        <v/>
      </c>
      <c r="G337" s="25"/>
      <c r="I337" s="25" t="str">
        <f>IFERROR(IF(ISBLANK(H337),"",INDEX(Gen_Vessels!$A$3:$C$500,MATCH(H337,Gen_Vessels!$C$3:$C$500,0),1)),"")</f>
        <v/>
      </c>
      <c r="J337" s="25"/>
    </row>
    <row r="338" spans="4:10" x14ac:dyDescent="0.4">
      <c r="D338" s="25"/>
      <c r="F338" s="25" t="str">
        <f>IFERROR(IF(ISBLANK(E338),"",INDEX(Gen_Vessels!$A$3:$C$500,MATCH(E338,Gen_Vessels!$C$3:$C$500,0),1)),"")</f>
        <v/>
      </c>
      <c r="G338" s="25"/>
      <c r="I338" s="25" t="str">
        <f>IFERROR(IF(ISBLANK(H338),"",INDEX(Gen_Vessels!$A$3:$C$500,MATCH(H338,Gen_Vessels!$C$3:$C$500,0),1)),"")</f>
        <v/>
      </c>
      <c r="J338" s="25"/>
    </row>
    <row r="339" spans="4:10" x14ac:dyDescent="0.4">
      <c r="D339" s="25"/>
      <c r="F339" s="25" t="str">
        <f>IFERROR(IF(ISBLANK(E339),"",INDEX(Gen_Vessels!$A$3:$C$500,MATCH(E339,Gen_Vessels!$C$3:$C$500,0),1)),"")</f>
        <v/>
      </c>
      <c r="G339" s="25"/>
      <c r="I339" s="25" t="str">
        <f>IFERROR(IF(ISBLANK(H339),"",INDEX(Gen_Vessels!$A$3:$C$500,MATCH(H339,Gen_Vessels!$C$3:$C$500,0),1)),"")</f>
        <v/>
      </c>
      <c r="J339" s="25"/>
    </row>
    <row r="340" spans="4:10" x14ac:dyDescent="0.4">
      <c r="D340" s="25"/>
      <c r="F340" s="25" t="str">
        <f>IFERROR(IF(ISBLANK(E340),"",INDEX(Gen_Vessels!$A$3:$C$500,MATCH(E340,Gen_Vessels!$C$3:$C$500,0),1)),"")</f>
        <v/>
      </c>
      <c r="G340" s="25"/>
      <c r="I340" s="25" t="str">
        <f>IFERROR(IF(ISBLANK(H340),"",INDEX(Gen_Vessels!$A$3:$C$500,MATCH(H340,Gen_Vessels!$C$3:$C$500,0),1)),"")</f>
        <v/>
      </c>
      <c r="J340" s="25"/>
    </row>
    <row r="341" spans="4:10" x14ac:dyDescent="0.4">
      <c r="D341" s="25"/>
      <c r="F341" s="25" t="str">
        <f>IFERROR(IF(ISBLANK(E341),"",INDEX(Gen_Vessels!$A$3:$C$500,MATCH(E341,Gen_Vessels!$C$3:$C$500,0),1)),"")</f>
        <v/>
      </c>
      <c r="G341" s="25"/>
      <c r="I341" s="25" t="str">
        <f>IFERROR(IF(ISBLANK(H341),"",INDEX(Gen_Vessels!$A$3:$C$500,MATCH(H341,Gen_Vessels!$C$3:$C$500,0),1)),"")</f>
        <v/>
      </c>
      <c r="J341" s="25"/>
    </row>
    <row r="342" spans="4:10" x14ac:dyDescent="0.4">
      <c r="D342" s="25"/>
      <c r="F342" s="25" t="str">
        <f>IFERROR(IF(ISBLANK(E342),"",INDEX(Gen_Vessels!$A$3:$C$500,MATCH(E342,Gen_Vessels!$C$3:$C$500,0),1)),"")</f>
        <v/>
      </c>
      <c r="G342" s="25"/>
      <c r="I342" s="25" t="str">
        <f>IFERROR(IF(ISBLANK(H342),"",INDEX(Gen_Vessels!$A$3:$C$500,MATCH(H342,Gen_Vessels!$C$3:$C$500,0),1)),"")</f>
        <v/>
      </c>
      <c r="J342" s="25"/>
    </row>
    <row r="343" spans="4:10" x14ac:dyDescent="0.4">
      <c r="D343" s="25"/>
      <c r="F343" s="25" t="str">
        <f>IFERROR(IF(ISBLANK(E343),"",INDEX(Gen_Vessels!$A$3:$C$500,MATCH(E343,Gen_Vessels!$C$3:$C$500,0),1)),"")</f>
        <v/>
      </c>
      <c r="G343" s="25"/>
      <c r="I343" s="25" t="str">
        <f>IFERROR(IF(ISBLANK(H343),"",INDEX(Gen_Vessels!$A$3:$C$500,MATCH(H343,Gen_Vessels!$C$3:$C$500,0),1)),"")</f>
        <v/>
      </c>
      <c r="J343" s="25"/>
    </row>
    <row r="344" spans="4:10" x14ac:dyDescent="0.4">
      <c r="D344" s="25"/>
      <c r="F344" s="25" t="str">
        <f>IFERROR(IF(ISBLANK(E344),"",INDEX(Gen_Vessels!$A$3:$C$500,MATCH(E344,Gen_Vessels!$C$3:$C$500,0),1)),"")</f>
        <v/>
      </c>
      <c r="G344" s="25"/>
      <c r="I344" s="25" t="str">
        <f>IFERROR(IF(ISBLANK(H344),"",INDEX(Gen_Vessels!$A$3:$C$500,MATCH(H344,Gen_Vessels!$C$3:$C$500,0),1)),"")</f>
        <v/>
      </c>
      <c r="J344" s="25"/>
    </row>
    <row r="345" spans="4:10" x14ac:dyDescent="0.4">
      <c r="D345" s="25"/>
      <c r="F345" s="25" t="str">
        <f>IFERROR(IF(ISBLANK(E345),"",INDEX(Gen_Vessels!$A$3:$C$500,MATCH(E345,Gen_Vessels!$C$3:$C$500,0),1)),"")</f>
        <v/>
      </c>
      <c r="G345" s="25"/>
      <c r="I345" s="25" t="str">
        <f>IFERROR(IF(ISBLANK(H345),"",INDEX(Gen_Vessels!$A$3:$C$500,MATCH(H345,Gen_Vessels!$C$3:$C$500,0),1)),"")</f>
        <v/>
      </c>
      <c r="J345" s="25"/>
    </row>
    <row r="346" spans="4:10" x14ac:dyDescent="0.4">
      <c r="D346" s="25"/>
      <c r="F346" s="25" t="str">
        <f>IFERROR(IF(ISBLANK(E346),"",INDEX(Gen_Vessels!$A$3:$C$500,MATCH(E346,Gen_Vessels!$C$3:$C$500,0),1)),"")</f>
        <v/>
      </c>
      <c r="G346" s="25"/>
      <c r="I346" s="25" t="str">
        <f>IFERROR(IF(ISBLANK(H346),"",INDEX(Gen_Vessels!$A$3:$C$500,MATCH(H346,Gen_Vessels!$C$3:$C$500,0),1)),"")</f>
        <v/>
      </c>
      <c r="J346" s="25"/>
    </row>
    <row r="347" spans="4:10" x14ac:dyDescent="0.4">
      <c r="D347" s="25"/>
      <c r="F347" s="25" t="str">
        <f>IFERROR(IF(ISBLANK(E347),"",INDEX(Gen_Vessels!$A$3:$C$500,MATCH(E347,Gen_Vessels!$C$3:$C$500,0),1)),"")</f>
        <v/>
      </c>
      <c r="G347" s="25"/>
      <c r="I347" s="25" t="str">
        <f>IFERROR(IF(ISBLANK(H347),"",INDEX(Gen_Vessels!$A$3:$C$500,MATCH(H347,Gen_Vessels!$C$3:$C$500,0),1)),"")</f>
        <v/>
      </c>
      <c r="J347" s="25"/>
    </row>
    <row r="348" spans="4:10" x14ac:dyDescent="0.4">
      <c r="D348" s="25"/>
      <c r="F348" s="25" t="str">
        <f>IFERROR(IF(ISBLANK(E348),"",INDEX(Gen_Vessels!$A$3:$C$500,MATCH(E348,Gen_Vessels!$C$3:$C$500,0),1)),"")</f>
        <v/>
      </c>
      <c r="G348" s="25"/>
      <c r="I348" s="25" t="str">
        <f>IFERROR(IF(ISBLANK(H348),"",INDEX(Gen_Vessels!$A$3:$C$500,MATCH(H348,Gen_Vessels!$C$3:$C$500,0),1)),"")</f>
        <v/>
      </c>
      <c r="J348" s="25"/>
    </row>
    <row r="349" spans="4:10" x14ac:dyDescent="0.4">
      <c r="D349" s="25"/>
      <c r="F349" s="25" t="str">
        <f>IFERROR(IF(ISBLANK(E349),"",INDEX(Gen_Vessels!$A$3:$C$500,MATCH(E349,Gen_Vessels!$C$3:$C$500,0),1)),"")</f>
        <v/>
      </c>
      <c r="G349" s="25"/>
      <c r="I349" s="25" t="str">
        <f>IFERROR(IF(ISBLANK(H349),"",INDEX(Gen_Vessels!$A$3:$C$500,MATCH(H349,Gen_Vessels!$C$3:$C$500,0),1)),"")</f>
        <v/>
      </c>
      <c r="J349" s="25"/>
    </row>
    <row r="350" spans="4:10" x14ac:dyDescent="0.4">
      <c r="D350" s="25"/>
      <c r="F350" s="25" t="str">
        <f>IFERROR(IF(ISBLANK(E350),"",INDEX(Gen_Vessels!$A$3:$C$500,MATCH(E350,Gen_Vessels!$C$3:$C$500,0),1)),"")</f>
        <v/>
      </c>
      <c r="G350" s="25"/>
      <c r="I350" s="25" t="str">
        <f>IFERROR(IF(ISBLANK(H350),"",INDEX(Gen_Vessels!$A$3:$C$500,MATCH(H350,Gen_Vessels!$C$3:$C$500,0),1)),"")</f>
        <v/>
      </c>
      <c r="J350" s="25"/>
    </row>
    <row r="351" spans="4:10" x14ac:dyDescent="0.4">
      <c r="D351" s="25"/>
      <c r="F351" s="25" t="str">
        <f>IFERROR(IF(ISBLANK(E351),"",INDEX(Gen_Vessels!$A$3:$C$500,MATCH(E351,Gen_Vessels!$C$3:$C$500,0),1)),"")</f>
        <v/>
      </c>
      <c r="G351" s="25"/>
      <c r="I351" s="25" t="str">
        <f>IFERROR(IF(ISBLANK(H351),"",INDEX(Gen_Vessels!$A$3:$C$500,MATCH(H351,Gen_Vessels!$C$3:$C$500,0),1)),"")</f>
        <v/>
      </c>
      <c r="J351" s="25"/>
    </row>
    <row r="352" spans="4:10" x14ac:dyDescent="0.4">
      <c r="D352" s="25"/>
      <c r="F352" s="25" t="str">
        <f>IFERROR(IF(ISBLANK(E352),"",INDEX(Gen_Vessels!$A$3:$C$500,MATCH(E352,Gen_Vessels!$C$3:$C$500,0),1)),"")</f>
        <v/>
      </c>
      <c r="G352" s="25"/>
      <c r="I352" s="25" t="str">
        <f>IFERROR(IF(ISBLANK(H352),"",INDEX(Gen_Vessels!$A$3:$C$500,MATCH(H352,Gen_Vessels!$C$3:$C$500,0),1)),"")</f>
        <v/>
      </c>
      <c r="J352" s="25"/>
    </row>
    <row r="353" spans="4:10" x14ac:dyDescent="0.4">
      <c r="D353" s="25"/>
      <c r="F353" s="25" t="str">
        <f>IFERROR(IF(ISBLANK(E353),"",INDEX(Gen_Vessels!$A$3:$C$500,MATCH(E353,Gen_Vessels!$C$3:$C$500,0),1)),"")</f>
        <v/>
      </c>
      <c r="G353" s="25"/>
      <c r="I353" s="25" t="str">
        <f>IFERROR(IF(ISBLANK(H353),"",INDEX(Gen_Vessels!$A$3:$C$500,MATCH(H353,Gen_Vessels!$C$3:$C$500,0),1)),"")</f>
        <v/>
      </c>
      <c r="J353" s="25"/>
    </row>
    <row r="354" spans="4:10" x14ac:dyDescent="0.4">
      <c r="D354" s="25"/>
      <c r="F354" s="25" t="str">
        <f>IFERROR(IF(ISBLANK(E354),"",INDEX(Gen_Vessels!$A$3:$C$500,MATCH(E354,Gen_Vessels!$C$3:$C$500,0),1)),"")</f>
        <v/>
      </c>
      <c r="G354" s="25"/>
      <c r="I354" s="25" t="str">
        <f>IFERROR(IF(ISBLANK(H354),"",INDEX(Gen_Vessels!$A$3:$C$500,MATCH(H354,Gen_Vessels!$C$3:$C$500,0),1)),"")</f>
        <v/>
      </c>
      <c r="J354" s="25"/>
    </row>
    <row r="355" spans="4:10" x14ac:dyDescent="0.4">
      <c r="D355" s="25"/>
      <c r="F355" s="25" t="str">
        <f>IFERROR(IF(ISBLANK(E355),"",INDEX(Gen_Vessels!$A$3:$C$500,MATCH(E355,Gen_Vessels!$C$3:$C$500,0),1)),"")</f>
        <v/>
      </c>
      <c r="G355" s="25"/>
      <c r="I355" s="25" t="str">
        <f>IFERROR(IF(ISBLANK(H355),"",INDEX(Gen_Vessels!$A$3:$C$500,MATCH(H355,Gen_Vessels!$C$3:$C$500,0),1)),"")</f>
        <v/>
      </c>
      <c r="J355" s="25"/>
    </row>
    <row r="356" spans="4:10" x14ac:dyDescent="0.4">
      <c r="D356" s="25"/>
      <c r="F356" s="25" t="str">
        <f>IFERROR(IF(ISBLANK(E356),"",INDEX(Gen_Vessels!$A$3:$C$500,MATCH(E356,Gen_Vessels!$C$3:$C$500,0),1)),"")</f>
        <v/>
      </c>
      <c r="G356" s="25"/>
      <c r="I356" s="25" t="str">
        <f>IFERROR(IF(ISBLANK(H356),"",INDEX(Gen_Vessels!$A$3:$C$500,MATCH(H356,Gen_Vessels!$C$3:$C$500,0),1)),"")</f>
        <v/>
      </c>
      <c r="J356" s="25"/>
    </row>
    <row r="357" spans="4:10" x14ac:dyDescent="0.4">
      <c r="D357" s="25"/>
      <c r="F357" s="25" t="str">
        <f>IFERROR(IF(ISBLANK(E357),"",INDEX(Gen_Vessels!$A$3:$C$500,MATCH(E357,Gen_Vessels!$C$3:$C$500,0),1)),"")</f>
        <v/>
      </c>
      <c r="G357" s="25"/>
      <c r="I357" s="25" t="str">
        <f>IFERROR(IF(ISBLANK(H357),"",INDEX(Gen_Vessels!$A$3:$C$500,MATCH(H357,Gen_Vessels!$C$3:$C$500,0),1)),"")</f>
        <v/>
      </c>
      <c r="J357" s="25"/>
    </row>
    <row r="358" spans="4:10" x14ac:dyDescent="0.4">
      <c r="D358" s="25"/>
      <c r="F358" s="25" t="str">
        <f>IFERROR(IF(ISBLANK(E358),"",INDEX(Gen_Vessels!$A$3:$C$500,MATCH(E358,Gen_Vessels!$C$3:$C$500,0),1)),"")</f>
        <v/>
      </c>
      <c r="G358" s="25"/>
      <c r="I358" s="25" t="str">
        <f>IFERROR(IF(ISBLANK(H358),"",INDEX(Gen_Vessels!$A$3:$C$500,MATCH(H358,Gen_Vessels!$C$3:$C$500,0),1)),"")</f>
        <v/>
      </c>
      <c r="J358" s="25"/>
    </row>
    <row r="359" spans="4:10" x14ac:dyDescent="0.4">
      <c r="D359" s="25"/>
      <c r="F359" s="25" t="str">
        <f>IFERROR(IF(ISBLANK(E359),"",INDEX(Gen_Vessels!$A$3:$C$500,MATCH(E359,Gen_Vessels!$C$3:$C$500,0),1)),"")</f>
        <v/>
      </c>
      <c r="G359" s="25"/>
      <c r="I359" s="25" t="str">
        <f>IFERROR(IF(ISBLANK(H359),"",INDEX(Gen_Vessels!$A$3:$C$500,MATCH(H359,Gen_Vessels!$C$3:$C$500,0),1)),"")</f>
        <v/>
      </c>
      <c r="J359" s="25"/>
    </row>
    <row r="360" spans="4:10" x14ac:dyDescent="0.4">
      <c r="D360" s="25"/>
      <c r="F360" s="25" t="str">
        <f>IFERROR(IF(ISBLANK(E360),"",INDEX(Gen_Vessels!$A$3:$C$500,MATCH(E360,Gen_Vessels!$C$3:$C$500,0),1)),"")</f>
        <v/>
      </c>
      <c r="G360" s="25"/>
      <c r="I360" s="25" t="str">
        <f>IFERROR(IF(ISBLANK(H360),"",INDEX(Gen_Vessels!$A$3:$C$500,MATCH(H360,Gen_Vessels!$C$3:$C$500,0),1)),"")</f>
        <v/>
      </c>
      <c r="J360" s="25"/>
    </row>
    <row r="361" spans="4:10" x14ac:dyDescent="0.4">
      <c r="D361" s="25"/>
      <c r="F361" s="25" t="str">
        <f>IFERROR(IF(ISBLANK(E361),"",INDEX(Gen_Vessels!$A$3:$C$500,MATCH(E361,Gen_Vessels!$C$3:$C$500,0),1)),"")</f>
        <v/>
      </c>
      <c r="G361" s="25"/>
      <c r="I361" s="25" t="str">
        <f>IFERROR(IF(ISBLANK(H361),"",INDEX(Gen_Vessels!$A$3:$C$500,MATCH(H361,Gen_Vessels!$C$3:$C$500,0),1)),"")</f>
        <v/>
      </c>
      <c r="J361" s="25"/>
    </row>
    <row r="362" spans="4:10" x14ac:dyDescent="0.4">
      <c r="D362" s="25"/>
      <c r="F362" s="25" t="str">
        <f>IFERROR(IF(ISBLANK(E362),"",INDEX(Gen_Vessels!$A$3:$C$500,MATCH(E362,Gen_Vessels!$C$3:$C$500,0),1)),"")</f>
        <v/>
      </c>
      <c r="G362" s="25"/>
      <c r="I362" s="25" t="str">
        <f>IFERROR(IF(ISBLANK(H362),"",INDEX(Gen_Vessels!$A$3:$C$500,MATCH(H362,Gen_Vessels!$C$3:$C$500,0),1)),"")</f>
        <v/>
      </c>
      <c r="J362" s="25"/>
    </row>
    <row r="363" spans="4:10" x14ac:dyDescent="0.4">
      <c r="D363" s="25"/>
      <c r="F363" s="25" t="str">
        <f>IFERROR(IF(ISBLANK(E363),"",INDEX(Gen_Vessels!$A$3:$C$500,MATCH(E363,Gen_Vessels!$C$3:$C$500,0),1)),"")</f>
        <v/>
      </c>
      <c r="G363" s="25"/>
      <c r="I363" s="25" t="str">
        <f>IFERROR(IF(ISBLANK(H363),"",INDEX(Gen_Vessels!$A$3:$C$500,MATCH(H363,Gen_Vessels!$C$3:$C$500,0),1)),"")</f>
        <v/>
      </c>
      <c r="J363" s="25"/>
    </row>
    <row r="364" spans="4:10" x14ac:dyDescent="0.4">
      <c r="D364" s="25"/>
      <c r="F364" s="25" t="str">
        <f>IFERROR(IF(ISBLANK(E364),"",INDEX(Gen_Vessels!$A$3:$C$500,MATCH(E364,Gen_Vessels!$C$3:$C$500,0),1)),"")</f>
        <v/>
      </c>
      <c r="G364" s="25"/>
      <c r="I364" s="25" t="str">
        <f>IFERROR(IF(ISBLANK(H364),"",INDEX(Gen_Vessels!$A$3:$C$500,MATCH(H364,Gen_Vessels!$C$3:$C$500,0),1)),"")</f>
        <v/>
      </c>
      <c r="J364" s="25"/>
    </row>
    <row r="365" spans="4:10" x14ac:dyDescent="0.4">
      <c r="D365" s="25"/>
      <c r="F365" s="25" t="str">
        <f>IFERROR(IF(ISBLANK(E365),"",INDEX(Gen_Vessels!$A$3:$C$500,MATCH(E365,Gen_Vessels!$C$3:$C$500,0),1)),"")</f>
        <v/>
      </c>
      <c r="G365" s="25"/>
      <c r="I365" s="25" t="str">
        <f>IFERROR(IF(ISBLANK(H365),"",INDEX(Gen_Vessels!$A$3:$C$500,MATCH(H365,Gen_Vessels!$C$3:$C$500,0),1)),"")</f>
        <v/>
      </c>
      <c r="J365" s="25"/>
    </row>
    <row r="366" spans="4:10" x14ac:dyDescent="0.4">
      <c r="D366" s="25"/>
      <c r="F366" s="25" t="str">
        <f>IFERROR(IF(ISBLANK(E366),"",INDEX(Gen_Vessels!$A$3:$C$500,MATCH(E366,Gen_Vessels!$C$3:$C$500,0),1)),"")</f>
        <v/>
      </c>
      <c r="G366" s="25"/>
      <c r="I366" s="25" t="str">
        <f>IFERROR(IF(ISBLANK(H366),"",INDEX(Gen_Vessels!$A$3:$C$500,MATCH(H366,Gen_Vessels!$C$3:$C$500,0),1)),"")</f>
        <v/>
      </c>
      <c r="J366" s="25"/>
    </row>
    <row r="367" spans="4:10" x14ac:dyDescent="0.4">
      <c r="D367" s="25"/>
      <c r="F367" s="25" t="str">
        <f>IFERROR(IF(ISBLANK(E367),"",INDEX(Gen_Vessels!$A$3:$C$500,MATCH(E367,Gen_Vessels!$C$3:$C$500,0),1)),"")</f>
        <v/>
      </c>
      <c r="G367" s="25"/>
      <c r="I367" s="25" t="str">
        <f>IFERROR(IF(ISBLANK(H367),"",INDEX(Gen_Vessels!$A$3:$C$500,MATCH(H367,Gen_Vessels!$C$3:$C$500,0),1)),"")</f>
        <v/>
      </c>
      <c r="J367" s="25"/>
    </row>
    <row r="368" spans="4:10" x14ac:dyDescent="0.4">
      <c r="D368" s="25"/>
      <c r="F368" s="25" t="str">
        <f>IFERROR(IF(ISBLANK(E368),"",INDEX(Gen_Vessels!$A$3:$C$500,MATCH(E368,Gen_Vessels!$C$3:$C$500,0),1)),"")</f>
        <v/>
      </c>
      <c r="G368" s="25"/>
      <c r="I368" s="25" t="str">
        <f>IFERROR(IF(ISBLANK(H368),"",INDEX(Gen_Vessels!$A$3:$C$500,MATCH(H368,Gen_Vessels!$C$3:$C$500,0),1)),"")</f>
        <v/>
      </c>
      <c r="J368" s="25"/>
    </row>
    <row r="369" spans="4:10" x14ac:dyDescent="0.4">
      <c r="D369" s="25"/>
      <c r="F369" s="25" t="str">
        <f>IFERROR(IF(ISBLANK(E369),"",INDEX(Gen_Vessels!$A$3:$C$500,MATCH(E369,Gen_Vessels!$C$3:$C$500,0),1)),"")</f>
        <v/>
      </c>
      <c r="G369" s="25"/>
      <c r="I369" s="25" t="str">
        <f>IFERROR(IF(ISBLANK(H369),"",INDEX(Gen_Vessels!$A$3:$C$500,MATCH(H369,Gen_Vessels!$C$3:$C$500,0),1)),"")</f>
        <v/>
      </c>
      <c r="J369" s="25"/>
    </row>
    <row r="370" spans="4:10" x14ac:dyDescent="0.4">
      <c r="D370" s="25"/>
      <c r="F370" s="25" t="str">
        <f>IFERROR(IF(ISBLANK(E370),"",INDEX(Gen_Vessels!$A$3:$C$500,MATCH(E370,Gen_Vessels!$C$3:$C$500,0),1)),"")</f>
        <v/>
      </c>
      <c r="G370" s="25"/>
      <c r="I370" s="25" t="str">
        <f>IFERROR(IF(ISBLANK(H370),"",INDEX(Gen_Vessels!$A$3:$C$500,MATCH(H370,Gen_Vessels!$C$3:$C$500,0),1)),"")</f>
        <v/>
      </c>
      <c r="J370" s="25"/>
    </row>
    <row r="371" spans="4:10" x14ac:dyDescent="0.4">
      <c r="D371" s="25"/>
      <c r="F371" s="25" t="str">
        <f>IFERROR(IF(ISBLANK(E371),"",INDEX(Gen_Vessels!$A$3:$C$500,MATCH(E371,Gen_Vessels!$C$3:$C$500,0),1)),"")</f>
        <v/>
      </c>
      <c r="G371" s="25"/>
      <c r="I371" s="25" t="str">
        <f>IFERROR(IF(ISBLANK(H371),"",INDEX(Gen_Vessels!$A$3:$C$500,MATCH(H371,Gen_Vessels!$C$3:$C$500,0),1)),"")</f>
        <v/>
      </c>
      <c r="J371" s="25"/>
    </row>
    <row r="372" spans="4:10" x14ac:dyDescent="0.4">
      <c r="D372" s="25"/>
      <c r="F372" s="25" t="str">
        <f>IFERROR(IF(ISBLANK(E372),"",INDEX(Gen_Vessels!$A$3:$C$500,MATCH(E372,Gen_Vessels!$C$3:$C$500,0),1)),"")</f>
        <v/>
      </c>
      <c r="G372" s="25"/>
      <c r="I372" s="25" t="str">
        <f>IFERROR(IF(ISBLANK(H372),"",INDEX(Gen_Vessels!$A$3:$C$500,MATCH(H372,Gen_Vessels!$C$3:$C$500,0),1)),"")</f>
        <v/>
      </c>
      <c r="J372" s="25"/>
    </row>
    <row r="373" spans="4:10" x14ac:dyDescent="0.4">
      <c r="D373" s="25"/>
      <c r="F373" s="25" t="str">
        <f>IFERROR(IF(ISBLANK(E373),"",INDEX(Gen_Vessels!$A$3:$C$500,MATCH(E373,Gen_Vessels!$C$3:$C$500,0),1)),"")</f>
        <v/>
      </c>
      <c r="G373" s="25"/>
      <c r="I373" s="25" t="str">
        <f>IFERROR(IF(ISBLANK(H373),"",INDEX(Gen_Vessels!$A$3:$C$500,MATCH(H373,Gen_Vessels!$C$3:$C$500,0),1)),"")</f>
        <v/>
      </c>
      <c r="J373" s="25"/>
    </row>
    <row r="374" spans="4:10" x14ac:dyDescent="0.4">
      <c r="D374" s="25"/>
      <c r="F374" s="25" t="str">
        <f>IFERROR(IF(ISBLANK(E374),"",INDEX(Gen_Vessels!$A$3:$C$500,MATCH(E374,Gen_Vessels!$C$3:$C$500,0),1)),"")</f>
        <v/>
      </c>
      <c r="G374" s="25"/>
      <c r="I374" s="25" t="str">
        <f>IFERROR(IF(ISBLANK(H374),"",INDEX(Gen_Vessels!$A$3:$C$500,MATCH(H374,Gen_Vessels!$C$3:$C$500,0),1)),"")</f>
        <v/>
      </c>
      <c r="J374" s="25"/>
    </row>
    <row r="375" spans="4:10" x14ac:dyDescent="0.4">
      <c r="D375" s="25"/>
      <c r="F375" s="25" t="str">
        <f>IFERROR(IF(ISBLANK(E375),"",INDEX(Gen_Vessels!$A$3:$C$500,MATCH(E375,Gen_Vessels!$C$3:$C$500,0),1)),"")</f>
        <v/>
      </c>
      <c r="G375" s="25"/>
      <c r="I375" s="25" t="str">
        <f>IFERROR(IF(ISBLANK(H375),"",INDEX(Gen_Vessels!$A$3:$C$500,MATCH(H375,Gen_Vessels!$C$3:$C$500,0),1)),"")</f>
        <v/>
      </c>
      <c r="J375" s="25"/>
    </row>
    <row r="376" spans="4:10" x14ac:dyDescent="0.4">
      <c r="D376" s="25"/>
      <c r="F376" s="25" t="str">
        <f>IFERROR(IF(ISBLANK(E376),"",INDEX(Gen_Vessels!$A$3:$C$500,MATCH(E376,Gen_Vessels!$C$3:$C$500,0),1)),"")</f>
        <v/>
      </c>
      <c r="G376" s="25"/>
      <c r="I376" s="25" t="str">
        <f>IFERROR(IF(ISBLANK(H376),"",INDEX(Gen_Vessels!$A$3:$C$500,MATCH(H376,Gen_Vessels!$C$3:$C$500,0),1)),"")</f>
        <v/>
      </c>
      <c r="J376" s="25"/>
    </row>
    <row r="377" spans="4:10" x14ac:dyDescent="0.4">
      <c r="D377" s="25"/>
      <c r="F377" s="25" t="str">
        <f>IFERROR(IF(ISBLANK(E377),"",INDEX(Gen_Vessels!$A$3:$C$500,MATCH(E377,Gen_Vessels!$C$3:$C$500,0),1)),"")</f>
        <v/>
      </c>
      <c r="G377" s="25"/>
      <c r="I377" s="25" t="str">
        <f>IFERROR(IF(ISBLANK(H377),"",INDEX(Gen_Vessels!$A$3:$C$500,MATCH(H377,Gen_Vessels!$C$3:$C$500,0),1)),"")</f>
        <v/>
      </c>
      <c r="J377" s="25"/>
    </row>
    <row r="378" spans="4:10" x14ac:dyDescent="0.4">
      <c r="D378" s="25"/>
      <c r="F378" s="25" t="str">
        <f>IFERROR(IF(ISBLANK(E378),"",INDEX(Gen_Vessels!$A$3:$C$500,MATCH(E378,Gen_Vessels!$C$3:$C$500,0),1)),"")</f>
        <v/>
      </c>
      <c r="G378" s="25"/>
      <c r="I378" s="25" t="str">
        <f>IFERROR(IF(ISBLANK(H378),"",INDEX(Gen_Vessels!$A$3:$C$500,MATCH(H378,Gen_Vessels!$C$3:$C$500,0),1)),"")</f>
        <v/>
      </c>
      <c r="J378" s="25"/>
    </row>
    <row r="379" spans="4:10" x14ac:dyDescent="0.4">
      <c r="D379" s="25"/>
      <c r="F379" s="25" t="str">
        <f>IFERROR(IF(ISBLANK(E379),"",INDEX(Gen_Vessels!$A$3:$C$500,MATCH(E379,Gen_Vessels!$C$3:$C$500,0),1)),"")</f>
        <v/>
      </c>
      <c r="G379" s="25"/>
      <c r="I379" s="25" t="str">
        <f>IFERROR(IF(ISBLANK(H379),"",INDEX(Gen_Vessels!$A$3:$C$500,MATCH(H379,Gen_Vessels!$C$3:$C$500,0),1)),"")</f>
        <v/>
      </c>
      <c r="J379" s="25"/>
    </row>
    <row r="380" spans="4:10" x14ac:dyDescent="0.4">
      <c r="D380" s="25"/>
      <c r="F380" s="25" t="str">
        <f>IFERROR(IF(ISBLANK(E380),"",INDEX(Gen_Vessels!$A$3:$C$500,MATCH(E380,Gen_Vessels!$C$3:$C$500,0),1)),"")</f>
        <v/>
      </c>
      <c r="G380" s="25"/>
      <c r="I380" s="25" t="str">
        <f>IFERROR(IF(ISBLANK(H380),"",INDEX(Gen_Vessels!$A$3:$C$500,MATCH(H380,Gen_Vessels!$C$3:$C$500,0),1)),"")</f>
        <v/>
      </c>
      <c r="J380" s="25"/>
    </row>
    <row r="381" spans="4:10" x14ac:dyDescent="0.4">
      <c r="D381" s="25"/>
      <c r="F381" s="25" t="str">
        <f>IFERROR(IF(ISBLANK(E381),"",INDEX(Gen_Vessels!$A$3:$C$500,MATCH(E381,Gen_Vessels!$C$3:$C$500,0),1)),"")</f>
        <v/>
      </c>
      <c r="G381" s="25"/>
      <c r="I381" s="25" t="str">
        <f>IFERROR(IF(ISBLANK(H381),"",INDEX(Gen_Vessels!$A$3:$C$500,MATCH(H381,Gen_Vessels!$C$3:$C$500,0),1)),"")</f>
        <v/>
      </c>
      <c r="J381" s="25"/>
    </row>
    <row r="382" spans="4:10" x14ac:dyDescent="0.4">
      <c r="D382" s="25"/>
      <c r="F382" s="25" t="str">
        <f>IFERROR(IF(ISBLANK(E382),"",INDEX(Gen_Vessels!$A$3:$C$500,MATCH(E382,Gen_Vessels!$C$3:$C$500,0),1)),"")</f>
        <v/>
      </c>
      <c r="G382" s="25"/>
      <c r="I382" s="25" t="str">
        <f>IFERROR(IF(ISBLANK(H382),"",INDEX(Gen_Vessels!$A$3:$C$500,MATCH(H382,Gen_Vessels!$C$3:$C$500,0),1)),"")</f>
        <v/>
      </c>
      <c r="J382" s="25"/>
    </row>
    <row r="383" spans="4:10" x14ac:dyDescent="0.4">
      <c r="D383" s="25"/>
      <c r="F383" s="25" t="str">
        <f>IFERROR(IF(ISBLANK(E383),"",INDEX(Gen_Vessels!$A$3:$C$500,MATCH(E383,Gen_Vessels!$C$3:$C$500,0),1)),"")</f>
        <v/>
      </c>
      <c r="G383" s="25"/>
      <c r="I383" s="25" t="str">
        <f>IFERROR(IF(ISBLANK(H383),"",INDEX(Gen_Vessels!$A$3:$C$500,MATCH(H383,Gen_Vessels!$C$3:$C$500,0),1)),"")</f>
        <v/>
      </c>
      <c r="J383" s="25"/>
    </row>
    <row r="384" spans="4:10" x14ac:dyDescent="0.4">
      <c r="D384" s="25"/>
      <c r="F384" s="25" t="str">
        <f>IFERROR(IF(ISBLANK(E384),"",INDEX(Gen_Vessels!$A$3:$C$500,MATCH(E384,Gen_Vessels!$C$3:$C$500,0),1)),"")</f>
        <v/>
      </c>
      <c r="G384" s="25"/>
      <c r="I384" s="25" t="str">
        <f>IFERROR(IF(ISBLANK(H384),"",INDEX(Gen_Vessels!$A$3:$C$500,MATCH(H384,Gen_Vessels!$C$3:$C$500,0),1)),"")</f>
        <v/>
      </c>
      <c r="J384" s="25"/>
    </row>
    <row r="385" spans="4:10" x14ac:dyDescent="0.4">
      <c r="D385" s="25"/>
      <c r="F385" s="25" t="str">
        <f>IFERROR(IF(ISBLANK(E385),"",INDEX(Gen_Vessels!$A$3:$C$500,MATCH(E385,Gen_Vessels!$C$3:$C$500,0),1)),"")</f>
        <v/>
      </c>
      <c r="G385" s="25"/>
      <c r="I385" s="25" t="str">
        <f>IFERROR(IF(ISBLANK(H385),"",INDEX(Gen_Vessels!$A$3:$C$500,MATCH(H385,Gen_Vessels!$C$3:$C$500,0),1)),"")</f>
        <v/>
      </c>
      <c r="J385" s="25"/>
    </row>
    <row r="386" spans="4:10" x14ac:dyDescent="0.4">
      <c r="D386" s="25"/>
      <c r="F386" s="25" t="str">
        <f>IFERROR(IF(ISBLANK(E386),"",INDEX(Gen_Vessels!$A$3:$C$500,MATCH(E386,Gen_Vessels!$C$3:$C$500,0),1)),"")</f>
        <v/>
      </c>
      <c r="G386" s="25"/>
      <c r="I386" s="25" t="str">
        <f>IFERROR(IF(ISBLANK(H386),"",INDEX(Gen_Vessels!$A$3:$C$500,MATCH(H386,Gen_Vessels!$C$3:$C$500,0),1)),"")</f>
        <v/>
      </c>
      <c r="J386" s="25"/>
    </row>
    <row r="387" spans="4:10" x14ac:dyDescent="0.4">
      <c r="D387" s="25"/>
      <c r="F387" s="25" t="str">
        <f>IFERROR(IF(ISBLANK(E387),"",INDEX(Gen_Vessels!$A$3:$C$500,MATCH(E387,Gen_Vessels!$C$3:$C$500,0),1)),"")</f>
        <v/>
      </c>
      <c r="G387" s="25"/>
      <c r="I387" s="25" t="str">
        <f>IFERROR(IF(ISBLANK(H387),"",INDEX(Gen_Vessels!$A$3:$C$500,MATCH(H387,Gen_Vessels!$C$3:$C$500,0),1)),"")</f>
        <v/>
      </c>
      <c r="J387" s="25"/>
    </row>
    <row r="388" spans="4:10" x14ac:dyDescent="0.4">
      <c r="D388" s="25"/>
      <c r="F388" s="25" t="str">
        <f>IFERROR(IF(ISBLANK(E388),"",INDEX(Gen_Vessels!$A$3:$C$500,MATCH(E388,Gen_Vessels!$C$3:$C$500,0),1)),"")</f>
        <v/>
      </c>
      <c r="G388" s="25"/>
      <c r="I388" s="25" t="str">
        <f>IFERROR(IF(ISBLANK(H388),"",INDEX(Gen_Vessels!$A$3:$C$500,MATCH(H388,Gen_Vessels!$C$3:$C$500,0),1)),"")</f>
        <v/>
      </c>
      <c r="J388" s="25"/>
    </row>
    <row r="389" spans="4:10" x14ac:dyDescent="0.4">
      <c r="D389" s="25"/>
      <c r="F389" s="25" t="str">
        <f>IFERROR(IF(ISBLANK(E389),"",INDEX(Gen_Vessels!$A$3:$C$500,MATCH(E389,Gen_Vessels!$C$3:$C$500,0),1)),"")</f>
        <v/>
      </c>
      <c r="G389" s="25"/>
      <c r="I389" s="25" t="str">
        <f>IFERROR(IF(ISBLANK(H389),"",INDEX(Gen_Vessels!$A$3:$C$500,MATCH(H389,Gen_Vessels!$C$3:$C$500,0),1)),"")</f>
        <v/>
      </c>
      <c r="J389" s="25"/>
    </row>
    <row r="390" spans="4:10" x14ac:dyDescent="0.4">
      <c r="D390" s="25"/>
      <c r="F390" s="25" t="str">
        <f>IFERROR(IF(ISBLANK(E390),"",INDEX(Gen_Vessels!$A$3:$C$500,MATCH(E390,Gen_Vessels!$C$3:$C$500,0),1)),"")</f>
        <v/>
      </c>
      <c r="G390" s="25"/>
      <c r="I390" s="25" t="str">
        <f>IFERROR(IF(ISBLANK(H390),"",INDEX(Gen_Vessels!$A$3:$C$500,MATCH(H390,Gen_Vessels!$C$3:$C$500,0),1)),"")</f>
        <v/>
      </c>
      <c r="J390" s="25"/>
    </row>
    <row r="391" spans="4:10" x14ac:dyDescent="0.4">
      <c r="D391" s="25"/>
      <c r="F391" s="25" t="str">
        <f>IFERROR(IF(ISBLANK(E391),"",INDEX(Gen_Vessels!$A$3:$C$500,MATCH(E391,Gen_Vessels!$C$3:$C$500,0),1)),"")</f>
        <v/>
      </c>
      <c r="G391" s="25"/>
      <c r="I391" s="25" t="str">
        <f>IFERROR(IF(ISBLANK(H391),"",INDEX(Gen_Vessels!$A$3:$C$500,MATCH(H391,Gen_Vessels!$C$3:$C$500,0),1)),"")</f>
        <v/>
      </c>
      <c r="J391" s="25"/>
    </row>
    <row r="392" spans="4:10" x14ac:dyDescent="0.4">
      <c r="D392" s="25"/>
      <c r="F392" s="25" t="str">
        <f>IFERROR(IF(ISBLANK(E392),"",INDEX(Gen_Vessels!$A$3:$C$500,MATCH(E392,Gen_Vessels!$C$3:$C$500,0),1)),"")</f>
        <v/>
      </c>
      <c r="G392" s="25"/>
      <c r="I392" s="25" t="str">
        <f>IFERROR(IF(ISBLANK(H392),"",INDEX(Gen_Vessels!$A$3:$C$500,MATCH(H392,Gen_Vessels!$C$3:$C$500,0),1)),"")</f>
        <v/>
      </c>
      <c r="J392" s="25"/>
    </row>
    <row r="393" spans="4:10" x14ac:dyDescent="0.4">
      <c r="D393" s="25"/>
      <c r="F393" s="25" t="str">
        <f>IFERROR(IF(ISBLANK(E393),"",INDEX(Gen_Vessels!$A$3:$C$500,MATCH(E393,Gen_Vessels!$C$3:$C$500,0),1)),"")</f>
        <v/>
      </c>
      <c r="G393" s="25"/>
      <c r="I393" s="25" t="str">
        <f>IFERROR(IF(ISBLANK(H393),"",INDEX(Gen_Vessels!$A$3:$C$500,MATCH(H393,Gen_Vessels!$C$3:$C$500,0),1)),"")</f>
        <v/>
      </c>
      <c r="J393" s="25"/>
    </row>
    <row r="394" spans="4:10" x14ac:dyDescent="0.4">
      <c r="D394" s="25"/>
      <c r="F394" s="25" t="str">
        <f>IFERROR(IF(ISBLANK(E394),"",INDEX(Gen_Vessels!$A$3:$C$500,MATCH(E394,Gen_Vessels!$C$3:$C$500,0),1)),"")</f>
        <v/>
      </c>
      <c r="G394" s="25"/>
      <c r="I394" s="25" t="str">
        <f>IFERROR(IF(ISBLANK(H394),"",INDEX(Gen_Vessels!$A$3:$C$500,MATCH(H394,Gen_Vessels!$C$3:$C$500,0),1)),"")</f>
        <v/>
      </c>
      <c r="J394" s="25"/>
    </row>
    <row r="395" spans="4:10" x14ac:dyDescent="0.4">
      <c r="D395" s="25"/>
      <c r="F395" s="25" t="str">
        <f>IFERROR(IF(ISBLANK(E395),"",INDEX(Gen_Vessels!$A$3:$C$500,MATCH(E395,Gen_Vessels!$C$3:$C$500,0),1)),"")</f>
        <v/>
      </c>
      <c r="G395" s="25"/>
      <c r="I395" s="25" t="str">
        <f>IFERROR(IF(ISBLANK(H395),"",INDEX(Gen_Vessels!$A$3:$C$500,MATCH(H395,Gen_Vessels!$C$3:$C$500,0),1)),"")</f>
        <v/>
      </c>
      <c r="J395" s="25"/>
    </row>
    <row r="396" spans="4:10" x14ac:dyDescent="0.4">
      <c r="D396" s="25"/>
      <c r="F396" s="25" t="str">
        <f>IFERROR(IF(ISBLANK(E396),"",INDEX(Gen_Vessels!$A$3:$C$500,MATCH(E396,Gen_Vessels!$C$3:$C$500,0),1)),"")</f>
        <v/>
      </c>
      <c r="G396" s="25"/>
      <c r="I396" s="25" t="str">
        <f>IFERROR(IF(ISBLANK(H396),"",INDEX(Gen_Vessels!$A$3:$C$500,MATCH(H396,Gen_Vessels!$C$3:$C$500,0),1)),"")</f>
        <v/>
      </c>
      <c r="J396" s="25"/>
    </row>
    <row r="397" spans="4:10" x14ac:dyDescent="0.4">
      <c r="D397" s="25"/>
      <c r="F397" s="25" t="str">
        <f>IFERROR(IF(ISBLANK(E397),"",INDEX(Gen_Vessels!$A$3:$C$500,MATCH(E397,Gen_Vessels!$C$3:$C$500,0),1)),"")</f>
        <v/>
      </c>
      <c r="G397" s="25"/>
      <c r="I397" s="25" t="str">
        <f>IFERROR(IF(ISBLANK(H397),"",INDEX(Gen_Vessels!$A$3:$C$500,MATCH(H397,Gen_Vessels!$C$3:$C$500,0),1)),"")</f>
        <v/>
      </c>
      <c r="J397" s="25"/>
    </row>
    <row r="398" spans="4:10" x14ac:dyDescent="0.4">
      <c r="D398" s="25"/>
      <c r="F398" s="25" t="str">
        <f>IFERROR(IF(ISBLANK(E398),"",INDEX(Gen_Vessels!$A$3:$C$500,MATCH(E398,Gen_Vessels!$C$3:$C$500,0),1)),"")</f>
        <v/>
      </c>
      <c r="G398" s="25"/>
      <c r="I398" s="25" t="str">
        <f>IFERROR(IF(ISBLANK(H398),"",INDEX(Gen_Vessels!$A$3:$C$500,MATCH(H398,Gen_Vessels!$C$3:$C$500,0),1)),"")</f>
        <v/>
      </c>
      <c r="J398" s="25"/>
    </row>
    <row r="399" spans="4:10" x14ac:dyDescent="0.4">
      <c r="D399" s="25"/>
      <c r="F399" s="25" t="str">
        <f>IFERROR(IF(ISBLANK(E399),"",INDEX(Gen_Vessels!$A$3:$C$500,MATCH(E399,Gen_Vessels!$C$3:$C$500,0),1)),"")</f>
        <v/>
      </c>
      <c r="G399" s="25"/>
      <c r="I399" s="25" t="str">
        <f>IFERROR(IF(ISBLANK(H399),"",INDEX(Gen_Vessels!$A$3:$C$500,MATCH(H399,Gen_Vessels!$C$3:$C$500,0),1)),"")</f>
        <v/>
      </c>
      <c r="J399" s="25"/>
    </row>
    <row r="400" spans="4:10" x14ac:dyDescent="0.4">
      <c r="D400" s="25"/>
      <c r="F400" s="25" t="str">
        <f>IFERROR(IF(ISBLANK(E400),"",INDEX(Gen_Vessels!$A$3:$C$500,MATCH(E400,Gen_Vessels!$C$3:$C$500,0),1)),"")</f>
        <v/>
      </c>
      <c r="G400" s="25"/>
      <c r="I400" s="25" t="str">
        <f>IFERROR(IF(ISBLANK(H400),"",INDEX(Gen_Vessels!$A$3:$C$500,MATCH(H400,Gen_Vessels!$C$3:$C$500,0),1)),"")</f>
        <v/>
      </c>
      <c r="J400" s="25"/>
    </row>
    <row r="401" spans="4:10" x14ac:dyDescent="0.4">
      <c r="D401" s="25"/>
      <c r="F401" s="25" t="str">
        <f>IFERROR(IF(ISBLANK(E401),"",INDEX(Gen_Vessels!$A$3:$C$500,MATCH(E401,Gen_Vessels!$C$3:$C$500,0),1)),"")</f>
        <v/>
      </c>
      <c r="G401" s="25"/>
      <c r="I401" s="25" t="str">
        <f>IFERROR(IF(ISBLANK(H401),"",INDEX(Gen_Vessels!$A$3:$C$500,MATCH(H401,Gen_Vessels!$C$3:$C$500,0),1)),"")</f>
        <v/>
      </c>
      <c r="J401" s="25"/>
    </row>
    <row r="402" spans="4:10" x14ac:dyDescent="0.4">
      <c r="D402" s="25"/>
      <c r="F402" s="25" t="str">
        <f>IFERROR(IF(ISBLANK(E402),"",INDEX(Gen_Vessels!$A$3:$C$500,MATCH(E402,Gen_Vessels!$C$3:$C$500,0),1)),"")</f>
        <v/>
      </c>
      <c r="G402" s="25"/>
      <c r="I402" s="25" t="str">
        <f>IFERROR(IF(ISBLANK(H402),"",INDEX(Gen_Vessels!$A$3:$C$500,MATCH(H402,Gen_Vessels!$C$3:$C$500,0),1)),"")</f>
        <v/>
      </c>
      <c r="J402" s="25"/>
    </row>
    <row r="403" spans="4:10" x14ac:dyDescent="0.4">
      <c r="D403" s="25"/>
      <c r="F403" s="25" t="str">
        <f>IFERROR(IF(ISBLANK(E403),"",INDEX(Gen_Vessels!$A$3:$C$500,MATCH(E403,Gen_Vessels!$C$3:$C$500,0),1)),"")</f>
        <v/>
      </c>
      <c r="G403" s="25"/>
      <c r="I403" s="25" t="str">
        <f>IFERROR(IF(ISBLANK(H403),"",INDEX(Gen_Vessels!$A$3:$C$500,MATCH(H403,Gen_Vessels!$C$3:$C$500,0),1)),"")</f>
        <v/>
      </c>
      <c r="J403" s="25"/>
    </row>
    <row r="404" spans="4:10" x14ac:dyDescent="0.4">
      <c r="D404" s="25"/>
      <c r="F404" s="25" t="str">
        <f>IFERROR(IF(ISBLANK(E404),"",INDEX(Gen_Vessels!$A$3:$C$500,MATCH(E404,Gen_Vessels!$C$3:$C$500,0),1)),"")</f>
        <v/>
      </c>
      <c r="G404" s="25"/>
      <c r="I404" s="25" t="str">
        <f>IFERROR(IF(ISBLANK(H404),"",INDEX(Gen_Vessels!$A$3:$C$500,MATCH(H404,Gen_Vessels!$C$3:$C$500,0),1)),"")</f>
        <v/>
      </c>
      <c r="J404" s="25"/>
    </row>
    <row r="405" spans="4:10" x14ac:dyDescent="0.4">
      <c r="D405" s="25"/>
      <c r="F405" s="25" t="str">
        <f>IFERROR(IF(ISBLANK(E405),"",INDEX(Gen_Vessels!$A$3:$C$500,MATCH(E405,Gen_Vessels!$C$3:$C$500,0),1)),"")</f>
        <v/>
      </c>
      <c r="G405" s="25"/>
      <c r="I405" s="25" t="str">
        <f>IFERROR(IF(ISBLANK(H405),"",INDEX(Gen_Vessels!$A$3:$C$500,MATCH(H405,Gen_Vessels!$C$3:$C$500,0),1)),"")</f>
        <v/>
      </c>
      <c r="J405" s="25"/>
    </row>
    <row r="406" spans="4:10" x14ac:dyDescent="0.4">
      <c r="D406" s="25"/>
      <c r="F406" s="25" t="str">
        <f>IFERROR(IF(ISBLANK(E406),"",INDEX(Gen_Vessels!$A$3:$C$500,MATCH(E406,Gen_Vessels!$C$3:$C$500,0),1)),"")</f>
        <v/>
      </c>
      <c r="G406" s="25"/>
      <c r="I406" s="25" t="str">
        <f>IFERROR(IF(ISBLANK(H406),"",INDEX(Gen_Vessels!$A$3:$C$500,MATCH(H406,Gen_Vessels!$C$3:$C$500,0),1)),"")</f>
        <v/>
      </c>
      <c r="J406" s="25"/>
    </row>
    <row r="407" spans="4:10" x14ac:dyDescent="0.4">
      <c r="D407" s="25"/>
      <c r="F407" s="25" t="str">
        <f>IFERROR(IF(ISBLANK(E407),"",INDEX(Gen_Vessels!$A$3:$C$500,MATCH(E407,Gen_Vessels!$C$3:$C$500,0),1)),"")</f>
        <v/>
      </c>
      <c r="G407" s="25"/>
      <c r="I407" s="25" t="str">
        <f>IFERROR(IF(ISBLANK(H407),"",INDEX(Gen_Vessels!$A$3:$C$500,MATCH(H407,Gen_Vessels!$C$3:$C$500,0),1)),"")</f>
        <v/>
      </c>
      <c r="J407" s="25"/>
    </row>
    <row r="408" spans="4:10" x14ac:dyDescent="0.4">
      <c r="D408" s="25"/>
      <c r="F408" s="25" t="str">
        <f>IFERROR(IF(ISBLANK(E408),"",INDEX(Gen_Vessels!$A$3:$C$500,MATCH(E408,Gen_Vessels!$C$3:$C$500,0),1)),"")</f>
        <v/>
      </c>
      <c r="G408" s="25"/>
      <c r="I408" s="25" t="str">
        <f>IFERROR(IF(ISBLANK(H408),"",INDEX(Gen_Vessels!$A$3:$C$500,MATCH(H408,Gen_Vessels!$C$3:$C$500,0),1)),"")</f>
        <v/>
      </c>
      <c r="J408" s="25"/>
    </row>
    <row r="409" spans="4:10" x14ac:dyDescent="0.4">
      <c r="D409" s="25"/>
      <c r="F409" s="25" t="str">
        <f>IFERROR(IF(ISBLANK(E409),"",INDEX(Gen_Vessels!$A$3:$C$500,MATCH(E409,Gen_Vessels!$C$3:$C$500,0),1)),"")</f>
        <v/>
      </c>
      <c r="G409" s="25"/>
      <c r="I409" s="25" t="str">
        <f>IFERROR(IF(ISBLANK(H409),"",INDEX(Gen_Vessels!$A$3:$C$500,MATCH(H409,Gen_Vessels!$C$3:$C$500,0),1)),"")</f>
        <v/>
      </c>
      <c r="J409" s="25"/>
    </row>
    <row r="410" spans="4:10" x14ac:dyDescent="0.4">
      <c r="D410" s="25"/>
      <c r="F410" s="25" t="str">
        <f>IFERROR(IF(ISBLANK(E410),"",INDEX(Gen_Vessels!$A$3:$C$500,MATCH(E410,Gen_Vessels!$C$3:$C$500,0),1)),"")</f>
        <v/>
      </c>
      <c r="G410" s="25"/>
      <c r="I410" s="25" t="str">
        <f>IFERROR(IF(ISBLANK(H410),"",INDEX(Gen_Vessels!$A$3:$C$500,MATCH(H410,Gen_Vessels!$C$3:$C$500,0),1)),"")</f>
        <v/>
      </c>
      <c r="J410" s="25"/>
    </row>
    <row r="411" spans="4:10" x14ac:dyDescent="0.4">
      <c r="D411" s="25"/>
      <c r="F411" s="25" t="str">
        <f>IFERROR(IF(ISBLANK(E411),"",INDEX(Gen_Vessels!$A$3:$C$500,MATCH(E411,Gen_Vessels!$C$3:$C$500,0),1)),"")</f>
        <v/>
      </c>
      <c r="G411" s="25"/>
      <c r="I411" s="25" t="str">
        <f>IFERROR(IF(ISBLANK(H411),"",INDEX(Gen_Vessels!$A$3:$C$500,MATCH(H411,Gen_Vessels!$C$3:$C$500,0),1)),"")</f>
        <v/>
      </c>
      <c r="J411" s="25"/>
    </row>
    <row r="412" spans="4:10" x14ac:dyDescent="0.4">
      <c r="D412" s="25"/>
      <c r="F412" s="25" t="str">
        <f>IFERROR(IF(ISBLANK(E412),"",INDEX(Gen_Vessels!$A$3:$C$500,MATCH(E412,Gen_Vessels!$C$3:$C$500,0),1)),"")</f>
        <v/>
      </c>
      <c r="G412" s="25"/>
      <c r="I412" s="25" t="str">
        <f>IFERROR(IF(ISBLANK(H412),"",INDEX(Gen_Vessels!$A$3:$C$500,MATCH(H412,Gen_Vessels!$C$3:$C$500,0),1)),"")</f>
        <v/>
      </c>
      <c r="J412" s="25"/>
    </row>
    <row r="413" spans="4:10" x14ac:dyDescent="0.4">
      <c r="D413" s="25"/>
      <c r="F413" s="25" t="str">
        <f>IFERROR(IF(ISBLANK(E413),"",INDEX(Gen_Vessels!$A$3:$C$500,MATCH(E413,Gen_Vessels!$C$3:$C$500,0),1)),"")</f>
        <v/>
      </c>
      <c r="G413" s="25"/>
      <c r="I413" s="25" t="str">
        <f>IFERROR(IF(ISBLANK(H413),"",INDEX(Gen_Vessels!$A$3:$C$500,MATCH(H413,Gen_Vessels!$C$3:$C$500,0),1)),"")</f>
        <v/>
      </c>
      <c r="J413" s="25"/>
    </row>
    <row r="414" spans="4:10" x14ac:dyDescent="0.4">
      <c r="D414" s="25"/>
      <c r="F414" s="25" t="str">
        <f>IFERROR(IF(ISBLANK(E414),"",INDEX(Gen_Vessels!$A$3:$C$500,MATCH(E414,Gen_Vessels!$C$3:$C$500,0),1)),"")</f>
        <v/>
      </c>
      <c r="G414" s="25"/>
      <c r="I414" s="25" t="str">
        <f>IFERROR(IF(ISBLANK(H414),"",INDEX(Gen_Vessels!$A$3:$C$500,MATCH(H414,Gen_Vessels!$C$3:$C$500,0),1)),"")</f>
        <v/>
      </c>
      <c r="J414" s="25"/>
    </row>
    <row r="415" spans="4:10" x14ac:dyDescent="0.4">
      <c r="D415" s="25"/>
      <c r="F415" s="25" t="str">
        <f>IFERROR(IF(ISBLANK(E415),"",INDEX(Gen_Vessels!$A$3:$C$500,MATCH(E415,Gen_Vessels!$C$3:$C$500,0),1)),"")</f>
        <v/>
      </c>
      <c r="G415" s="25"/>
      <c r="I415" s="25" t="str">
        <f>IFERROR(IF(ISBLANK(H415),"",INDEX(Gen_Vessels!$A$3:$C$500,MATCH(H415,Gen_Vessels!$C$3:$C$500,0),1)),"")</f>
        <v/>
      </c>
      <c r="J415" s="25"/>
    </row>
    <row r="416" spans="4:10" x14ac:dyDescent="0.4">
      <c r="D416" s="25"/>
      <c r="F416" s="25" t="str">
        <f>IFERROR(IF(ISBLANK(E416),"",INDEX(Gen_Vessels!$A$3:$C$500,MATCH(E416,Gen_Vessels!$C$3:$C$500,0),1)),"")</f>
        <v/>
      </c>
      <c r="G416" s="25"/>
      <c r="I416" s="25" t="str">
        <f>IFERROR(IF(ISBLANK(H416),"",INDEX(Gen_Vessels!$A$3:$C$500,MATCH(H416,Gen_Vessels!$C$3:$C$500,0),1)),"")</f>
        <v/>
      </c>
      <c r="J416" s="25"/>
    </row>
    <row r="417" spans="4:10" x14ac:dyDescent="0.4">
      <c r="D417" s="25"/>
      <c r="F417" s="25" t="str">
        <f>IFERROR(IF(ISBLANK(E417),"",INDEX(Gen_Vessels!$A$3:$C$500,MATCH(E417,Gen_Vessels!$C$3:$C$500,0),1)),"")</f>
        <v/>
      </c>
      <c r="G417" s="25"/>
      <c r="I417" s="25" t="str">
        <f>IFERROR(IF(ISBLANK(H417),"",INDEX(Gen_Vessels!$A$3:$C$500,MATCH(H417,Gen_Vessels!$C$3:$C$500,0),1)),"")</f>
        <v/>
      </c>
      <c r="J417" s="25"/>
    </row>
    <row r="418" spans="4:10" x14ac:dyDescent="0.4">
      <c r="D418" s="25"/>
      <c r="F418" s="25" t="str">
        <f>IFERROR(IF(ISBLANK(E418),"",INDEX(Gen_Vessels!$A$3:$C$500,MATCH(E418,Gen_Vessels!$C$3:$C$500,0),1)),"")</f>
        <v/>
      </c>
      <c r="G418" s="25"/>
      <c r="I418" s="25" t="str">
        <f>IFERROR(IF(ISBLANK(H418),"",INDEX(Gen_Vessels!$A$3:$C$500,MATCH(H418,Gen_Vessels!$C$3:$C$500,0),1)),"")</f>
        <v/>
      </c>
      <c r="J418" s="25"/>
    </row>
    <row r="419" spans="4:10" x14ac:dyDescent="0.4">
      <c r="D419" s="25"/>
      <c r="F419" s="25" t="str">
        <f>IFERROR(IF(ISBLANK(E419),"",INDEX(Gen_Vessels!$A$3:$C$500,MATCH(E419,Gen_Vessels!$C$3:$C$500,0),1)),"")</f>
        <v/>
      </c>
      <c r="G419" s="25"/>
      <c r="I419" s="25" t="str">
        <f>IFERROR(IF(ISBLANK(H419),"",INDEX(Gen_Vessels!$A$3:$C$500,MATCH(H419,Gen_Vessels!$C$3:$C$500,0),1)),"")</f>
        <v/>
      </c>
      <c r="J419" s="25"/>
    </row>
    <row r="420" spans="4:10" x14ac:dyDescent="0.4">
      <c r="D420" s="25"/>
      <c r="F420" s="25" t="str">
        <f>IFERROR(IF(ISBLANK(E420),"",INDEX(Gen_Vessels!$A$3:$C$500,MATCH(E420,Gen_Vessels!$C$3:$C$500,0),1)),"")</f>
        <v/>
      </c>
      <c r="G420" s="25"/>
      <c r="I420" s="25" t="str">
        <f>IFERROR(IF(ISBLANK(H420),"",INDEX(Gen_Vessels!$A$3:$C$500,MATCH(H420,Gen_Vessels!$C$3:$C$500,0),1)),"")</f>
        <v/>
      </c>
      <c r="J420" s="25"/>
    </row>
    <row r="421" spans="4:10" x14ac:dyDescent="0.4">
      <c r="D421" s="25"/>
      <c r="F421" s="25" t="str">
        <f>IFERROR(IF(ISBLANK(E421),"",INDEX(Gen_Vessels!$A$3:$C$500,MATCH(E421,Gen_Vessels!$C$3:$C$500,0),1)),"")</f>
        <v/>
      </c>
      <c r="G421" s="25"/>
      <c r="I421" s="25" t="str">
        <f>IFERROR(IF(ISBLANK(H421),"",INDEX(Gen_Vessels!$A$3:$C$500,MATCH(H421,Gen_Vessels!$C$3:$C$500,0),1)),"")</f>
        <v/>
      </c>
      <c r="J421" s="25"/>
    </row>
    <row r="422" spans="4:10" x14ac:dyDescent="0.4">
      <c r="D422" s="25"/>
      <c r="F422" s="25" t="str">
        <f>IFERROR(IF(ISBLANK(E422),"",INDEX(Gen_Vessels!$A$3:$C$500,MATCH(E422,Gen_Vessels!$C$3:$C$500,0),1)),"")</f>
        <v/>
      </c>
      <c r="G422" s="25"/>
      <c r="I422" s="25" t="str">
        <f>IFERROR(IF(ISBLANK(H422),"",INDEX(Gen_Vessels!$A$3:$C$500,MATCH(H422,Gen_Vessels!$C$3:$C$500,0),1)),"")</f>
        <v/>
      </c>
      <c r="J422" s="25"/>
    </row>
    <row r="423" spans="4:10" x14ac:dyDescent="0.4">
      <c r="D423" s="25"/>
      <c r="F423" s="25" t="str">
        <f>IFERROR(IF(ISBLANK(E423),"",INDEX(Gen_Vessels!$A$3:$C$500,MATCH(E423,Gen_Vessels!$C$3:$C$500,0),1)),"")</f>
        <v/>
      </c>
      <c r="G423" s="25"/>
      <c r="I423" s="25" t="str">
        <f>IFERROR(IF(ISBLANK(H423),"",INDEX(Gen_Vessels!$A$3:$C$500,MATCH(H423,Gen_Vessels!$C$3:$C$500,0),1)),"")</f>
        <v/>
      </c>
      <c r="J423" s="25"/>
    </row>
    <row r="424" spans="4:10" x14ac:dyDescent="0.4">
      <c r="D424" s="25"/>
      <c r="F424" s="25" t="str">
        <f>IFERROR(IF(ISBLANK(E424),"",INDEX(Gen_Vessels!$A$3:$C$500,MATCH(E424,Gen_Vessels!$C$3:$C$500,0),1)),"")</f>
        <v/>
      </c>
      <c r="G424" s="25"/>
      <c r="I424" s="25" t="str">
        <f>IFERROR(IF(ISBLANK(H424),"",INDEX(Gen_Vessels!$A$3:$C$500,MATCH(H424,Gen_Vessels!$C$3:$C$500,0),1)),"")</f>
        <v/>
      </c>
      <c r="J424" s="25"/>
    </row>
    <row r="425" spans="4:10" x14ac:dyDescent="0.4">
      <c r="D425" s="25"/>
      <c r="F425" s="25" t="str">
        <f>IFERROR(IF(ISBLANK(E425),"",INDEX(Gen_Vessels!$A$3:$C$500,MATCH(E425,Gen_Vessels!$C$3:$C$500,0),1)),"")</f>
        <v/>
      </c>
      <c r="G425" s="25"/>
      <c r="I425" s="25" t="str">
        <f>IFERROR(IF(ISBLANK(H425),"",INDEX(Gen_Vessels!$A$3:$C$500,MATCH(H425,Gen_Vessels!$C$3:$C$500,0),1)),"")</f>
        <v/>
      </c>
      <c r="J425" s="25"/>
    </row>
    <row r="426" spans="4:10" x14ac:dyDescent="0.4">
      <c r="D426" s="25"/>
      <c r="F426" s="25" t="str">
        <f>IFERROR(IF(ISBLANK(E426),"",INDEX(Gen_Vessels!$A$3:$C$500,MATCH(E426,Gen_Vessels!$C$3:$C$500,0),1)),"")</f>
        <v/>
      </c>
      <c r="G426" s="25"/>
      <c r="I426" s="25" t="str">
        <f>IFERROR(IF(ISBLANK(H426),"",INDEX(Gen_Vessels!$A$3:$C$500,MATCH(H426,Gen_Vessels!$C$3:$C$500,0),1)),"")</f>
        <v/>
      </c>
      <c r="J426" s="25"/>
    </row>
    <row r="427" spans="4:10" x14ac:dyDescent="0.4">
      <c r="D427" s="25"/>
      <c r="F427" s="25" t="str">
        <f>IFERROR(IF(ISBLANK(E427),"",INDEX(Gen_Vessels!$A$3:$C$500,MATCH(E427,Gen_Vessels!$C$3:$C$500,0),1)),"")</f>
        <v/>
      </c>
      <c r="G427" s="25"/>
      <c r="I427" s="25" t="str">
        <f>IFERROR(IF(ISBLANK(H427),"",INDEX(Gen_Vessels!$A$3:$C$500,MATCH(H427,Gen_Vessels!$C$3:$C$500,0),1)),"")</f>
        <v/>
      </c>
      <c r="J427" s="25"/>
    </row>
    <row r="428" spans="4:10" x14ac:dyDescent="0.4">
      <c r="D428" s="25"/>
      <c r="F428" s="25" t="str">
        <f>IFERROR(IF(ISBLANK(E428),"",INDEX(Gen_Vessels!$A$3:$C$500,MATCH(E428,Gen_Vessels!$C$3:$C$500,0),1)),"")</f>
        <v/>
      </c>
      <c r="G428" s="25"/>
      <c r="I428" s="25" t="str">
        <f>IFERROR(IF(ISBLANK(H428),"",INDEX(Gen_Vessels!$A$3:$C$500,MATCH(H428,Gen_Vessels!$C$3:$C$500,0),1)),"")</f>
        <v/>
      </c>
      <c r="J428" s="25"/>
    </row>
    <row r="429" spans="4:10" x14ac:dyDescent="0.4">
      <c r="D429" s="25"/>
      <c r="F429" s="25" t="str">
        <f>IFERROR(IF(ISBLANK(E429),"",INDEX(Gen_Vessels!$A$3:$C$500,MATCH(E429,Gen_Vessels!$C$3:$C$500,0),1)),"")</f>
        <v/>
      </c>
      <c r="G429" s="25"/>
      <c r="I429" s="25" t="str">
        <f>IFERROR(IF(ISBLANK(H429),"",INDEX(Gen_Vessels!$A$3:$C$500,MATCH(H429,Gen_Vessels!$C$3:$C$500,0),1)),"")</f>
        <v/>
      </c>
      <c r="J429" s="25"/>
    </row>
    <row r="430" spans="4:10" x14ac:dyDescent="0.4">
      <c r="D430" s="25"/>
      <c r="F430" s="25" t="str">
        <f>IFERROR(IF(ISBLANK(E430),"",INDEX(Gen_Vessels!$A$3:$C$500,MATCH(E430,Gen_Vessels!$C$3:$C$500,0),1)),"")</f>
        <v/>
      </c>
      <c r="G430" s="25"/>
      <c r="I430" s="25" t="str">
        <f>IFERROR(IF(ISBLANK(H430),"",INDEX(Gen_Vessels!$A$3:$C$500,MATCH(H430,Gen_Vessels!$C$3:$C$500,0),1)),"")</f>
        <v/>
      </c>
      <c r="J430" s="25"/>
    </row>
    <row r="431" spans="4:10" x14ac:dyDescent="0.4">
      <c r="D431" s="25"/>
      <c r="F431" s="25" t="str">
        <f>IFERROR(IF(ISBLANK(E431),"",INDEX(Gen_Vessels!$A$3:$C$500,MATCH(E431,Gen_Vessels!$C$3:$C$500,0),1)),"")</f>
        <v/>
      </c>
      <c r="G431" s="25"/>
      <c r="I431" s="25" t="str">
        <f>IFERROR(IF(ISBLANK(H431),"",INDEX(Gen_Vessels!$A$3:$C$500,MATCH(H431,Gen_Vessels!$C$3:$C$500,0),1)),"")</f>
        <v/>
      </c>
      <c r="J431" s="25"/>
    </row>
    <row r="432" spans="4:10" x14ac:dyDescent="0.4">
      <c r="D432" s="25"/>
      <c r="F432" s="25" t="str">
        <f>IFERROR(IF(ISBLANK(E432),"",INDEX(Gen_Vessels!$A$3:$C$500,MATCH(E432,Gen_Vessels!$C$3:$C$500,0),1)),"")</f>
        <v/>
      </c>
      <c r="G432" s="25"/>
      <c r="I432" s="25" t="str">
        <f>IFERROR(IF(ISBLANK(H432),"",INDEX(Gen_Vessels!$A$3:$C$500,MATCH(H432,Gen_Vessels!$C$3:$C$500,0),1)),"")</f>
        <v/>
      </c>
      <c r="J432" s="25"/>
    </row>
    <row r="433" spans="4:10" x14ac:dyDescent="0.4">
      <c r="D433" s="25"/>
      <c r="F433" s="25" t="str">
        <f>IFERROR(IF(ISBLANK(E433),"",INDEX(Gen_Vessels!$A$3:$C$500,MATCH(E433,Gen_Vessels!$C$3:$C$500,0),1)),"")</f>
        <v/>
      </c>
      <c r="G433" s="25"/>
      <c r="I433" s="25" t="str">
        <f>IFERROR(IF(ISBLANK(H433),"",INDEX(Gen_Vessels!$A$3:$C$500,MATCH(H433,Gen_Vessels!$C$3:$C$500,0),1)),"")</f>
        <v/>
      </c>
      <c r="J433" s="25"/>
    </row>
    <row r="434" spans="4:10" x14ac:dyDescent="0.4">
      <c r="D434" s="25"/>
      <c r="F434" s="25" t="str">
        <f>IFERROR(IF(ISBLANK(E434),"",INDEX(Gen_Vessels!$A$3:$C$500,MATCH(E434,Gen_Vessels!$C$3:$C$500,0),1)),"")</f>
        <v/>
      </c>
      <c r="G434" s="25"/>
      <c r="I434" s="25" t="str">
        <f>IFERROR(IF(ISBLANK(H434),"",INDEX(Gen_Vessels!$A$3:$C$500,MATCH(H434,Gen_Vessels!$C$3:$C$500,0),1)),"")</f>
        <v/>
      </c>
      <c r="J434" s="25"/>
    </row>
    <row r="435" spans="4:10" x14ac:dyDescent="0.4">
      <c r="D435" s="25"/>
      <c r="F435" s="25" t="str">
        <f>IFERROR(IF(ISBLANK(E435),"",INDEX(Gen_Vessels!$A$3:$C$500,MATCH(E435,Gen_Vessels!$C$3:$C$500,0),1)),"")</f>
        <v/>
      </c>
      <c r="G435" s="25"/>
      <c r="I435" s="25" t="str">
        <f>IFERROR(IF(ISBLANK(H435),"",INDEX(Gen_Vessels!$A$3:$C$500,MATCH(H435,Gen_Vessels!$C$3:$C$500,0),1)),"")</f>
        <v/>
      </c>
      <c r="J435" s="25"/>
    </row>
    <row r="436" spans="4:10" x14ac:dyDescent="0.4">
      <c r="D436" s="25"/>
      <c r="F436" s="25" t="str">
        <f>IFERROR(IF(ISBLANK(E436),"",INDEX(Gen_Vessels!$A$3:$C$500,MATCH(E436,Gen_Vessels!$C$3:$C$500,0),1)),"")</f>
        <v/>
      </c>
      <c r="G436" s="25"/>
      <c r="I436" s="25" t="str">
        <f>IFERROR(IF(ISBLANK(H436),"",INDEX(Gen_Vessels!$A$3:$C$500,MATCH(H436,Gen_Vessels!$C$3:$C$500,0),1)),"")</f>
        <v/>
      </c>
      <c r="J436" s="25"/>
    </row>
    <row r="437" spans="4:10" x14ac:dyDescent="0.4">
      <c r="D437" s="25"/>
      <c r="F437" s="25" t="str">
        <f>IFERROR(IF(ISBLANK(E437),"",INDEX(Gen_Vessels!$A$3:$C$500,MATCH(E437,Gen_Vessels!$C$3:$C$500,0),1)),"")</f>
        <v/>
      </c>
      <c r="G437" s="25"/>
      <c r="I437" s="25" t="str">
        <f>IFERROR(IF(ISBLANK(H437),"",INDEX(Gen_Vessels!$A$3:$C$500,MATCH(H437,Gen_Vessels!$C$3:$C$500,0),1)),"")</f>
        <v/>
      </c>
      <c r="J437" s="25"/>
    </row>
    <row r="438" spans="4:10" x14ac:dyDescent="0.4">
      <c r="D438" s="25"/>
      <c r="F438" s="25" t="str">
        <f>IFERROR(IF(ISBLANK(E438),"",INDEX(Gen_Vessels!$A$3:$C$500,MATCH(E438,Gen_Vessels!$C$3:$C$500,0),1)),"")</f>
        <v/>
      </c>
      <c r="G438" s="25"/>
      <c r="I438" s="25" t="str">
        <f>IFERROR(IF(ISBLANK(H438),"",INDEX(Gen_Vessels!$A$3:$C$500,MATCH(H438,Gen_Vessels!$C$3:$C$500,0),1)),"")</f>
        <v/>
      </c>
      <c r="J438" s="25"/>
    </row>
    <row r="439" spans="4:10" x14ac:dyDescent="0.4">
      <c r="D439" s="25"/>
      <c r="F439" s="25" t="str">
        <f>IFERROR(IF(ISBLANK(E439),"",INDEX(Gen_Vessels!$A$3:$C$500,MATCH(E439,Gen_Vessels!$C$3:$C$500,0),1)),"")</f>
        <v/>
      </c>
      <c r="G439" s="25"/>
      <c r="I439" s="25" t="str">
        <f>IFERROR(IF(ISBLANK(H439),"",INDEX(Gen_Vessels!$A$3:$C$500,MATCH(H439,Gen_Vessels!$C$3:$C$500,0),1)),"")</f>
        <v/>
      </c>
      <c r="J439" s="25"/>
    </row>
    <row r="440" spans="4:10" x14ac:dyDescent="0.4">
      <c r="D440" s="25"/>
      <c r="F440" s="25" t="str">
        <f>IFERROR(IF(ISBLANK(E440),"",INDEX(Gen_Vessels!$A$3:$C$500,MATCH(E440,Gen_Vessels!$C$3:$C$500,0),1)),"")</f>
        <v/>
      </c>
      <c r="G440" s="25"/>
      <c r="I440" s="25" t="str">
        <f>IFERROR(IF(ISBLANK(H440),"",INDEX(Gen_Vessels!$A$3:$C$500,MATCH(H440,Gen_Vessels!$C$3:$C$500,0),1)),"")</f>
        <v/>
      </c>
      <c r="J440" s="25"/>
    </row>
    <row r="441" spans="4:10" x14ac:dyDescent="0.4">
      <c r="D441" s="25"/>
      <c r="F441" s="25" t="str">
        <f>IFERROR(IF(ISBLANK(E441),"",INDEX(Gen_Vessels!$A$3:$C$500,MATCH(E441,Gen_Vessels!$C$3:$C$500,0),1)),"")</f>
        <v/>
      </c>
      <c r="G441" s="25"/>
      <c r="I441" s="25" t="str">
        <f>IFERROR(IF(ISBLANK(H441),"",INDEX(Gen_Vessels!$A$3:$C$500,MATCH(H441,Gen_Vessels!$C$3:$C$500,0),1)),"")</f>
        <v/>
      </c>
      <c r="J441" s="25"/>
    </row>
    <row r="442" spans="4:10" x14ac:dyDescent="0.4">
      <c r="D442" s="25"/>
      <c r="F442" s="25" t="str">
        <f>IFERROR(IF(ISBLANK(E442),"",INDEX(Gen_Vessels!$A$3:$C$500,MATCH(E442,Gen_Vessels!$C$3:$C$500,0),1)),"")</f>
        <v/>
      </c>
      <c r="G442" s="25"/>
      <c r="I442" s="25" t="str">
        <f>IFERROR(IF(ISBLANK(H442),"",INDEX(Gen_Vessels!$A$3:$C$500,MATCH(H442,Gen_Vessels!$C$3:$C$500,0),1)),"")</f>
        <v/>
      </c>
      <c r="J442" s="25"/>
    </row>
    <row r="443" spans="4:10" x14ac:dyDescent="0.4">
      <c r="D443" s="25"/>
      <c r="F443" s="25" t="str">
        <f>IFERROR(IF(ISBLANK(E443),"",INDEX(Gen_Vessels!$A$3:$C$500,MATCH(E443,Gen_Vessels!$C$3:$C$500,0),1)),"")</f>
        <v/>
      </c>
      <c r="G443" s="25"/>
      <c r="I443" s="25" t="str">
        <f>IFERROR(IF(ISBLANK(H443),"",INDEX(Gen_Vessels!$A$3:$C$500,MATCH(H443,Gen_Vessels!$C$3:$C$500,0),1)),"")</f>
        <v/>
      </c>
      <c r="J443" s="25"/>
    </row>
    <row r="444" spans="4:10" x14ac:dyDescent="0.4">
      <c r="D444" s="25"/>
      <c r="F444" s="25" t="str">
        <f>IFERROR(IF(ISBLANK(E444),"",INDEX(Gen_Vessels!$A$3:$C$500,MATCH(E444,Gen_Vessels!$C$3:$C$500,0),1)),"")</f>
        <v/>
      </c>
      <c r="G444" s="25"/>
      <c r="I444" s="25" t="str">
        <f>IFERROR(IF(ISBLANK(H444),"",INDEX(Gen_Vessels!$A$3:$C$500,MATCH(H444,Gen_Vessels!$C$3:$C$500,0),1)),"")</f>
        <v/>
      </c>
      <c r="J444" s="25"/>
    </row>
    <row r="445" spans="4:10" x14ac:dyDescent="0.4">
      <c r="D445" s="25"/>
      <c r="F445" s="25" t="str">
        <f>IFERROR(IF(ISBLANK(E445),"",INDEX(Gen_Vessels!$A$3:$C$500,MATCH(E445,Gen_Vessels!$C$3:$C$500,0),1)),"")</f>
        <v/>
      </c>
      <c r="G445" s="25"/>
      <c r="I445" s="25" t="str">
        <f>IFERROR(IF(ISBLANK(H445),"",INDEX(Gen_Vessels!$A$3:$C$500,MATCH(H445,Gen_Vessels!$C$3:$C$500,0),1)),"")</f>
        <v/>
      </c>
      <c r="J445" s="25"/>
    </row>
    <row r="446" spans="4:10" x14ac:dyDescent="0.4">
      <c r="D446" s="25"/>
      <c r="F446" s="25" t="str">
        <f>IFERROR(IF(ISBLANK(E446),"",INDEX(Gen_Vessels!$A$3:$C$500,MATCH(E446,Gen_Vessels!$C$3:$C$500,0),1)),"")</f>
        <v/>
      </c>
      <c r="G446" s="25"/>
      <c r="I446" s="25" t="str">
        <f>IFERROR(IF(ISBLANK(H446),"",INDEX(Gen_Vessels!$A$3:$C$500,MATCH(H446,Gen_Vessels!$C$3:$C$500,0),1)),"")</f>
        <v/>
      </c>
      <c r="J446" s="25"/>
    </row>
    <row r="447" spans="4:10" x14ac:dyDescent="0.4">
      <c r="D447" s="25"/>
      <c r="F447" s="25" t="str">
        <f>IFERROR(IF(ISBLANK(E447),"",INDEX(Gen_Vessels!$A$3:$C$500,MATCH(E447,Gen_Vessels!$C$3:$C$500,0),1)),"")</f>
        <v/>
      </c>
      <c r="G447" s="25"/>
      <c r="I447" s="25" t="str">
        <f>IFERROR(IF(ISBLANK(H447),"",INDEX(Gen_Vessels!$A$3:$C$500,MATCH(H447,Gen_Vessels!$C$3:$C$500,0),1)),"")</f>
        <v/>
      </c>
      <c r="J447" s="25"/>
    </row>
    <row r="448" spans="4:10" x14ac:dyDescent="0.4">
      <c r="D448" s="25"/>
      <c r="F448" s="25" t="str">
        <f>IFERROR(IF(ISBLANK(E448),"",INDEX(Gen_Vessels!$A$3:$C$500,MATCH(E448,Gen_Vessels!$C$3:$C$500,0),1)),"")</f>
        <v/>
      </c>
      <c r="G448" s="25"/>
      <c r="I448" s="25" t="str">
        <f>IFERROR(IF(ISBLANK(H448),"",INDEX(Gen_Vessels!$A$3:$C$500,MATCH(H448,Gen_Vessels!$C$3:$C$500,0),1)),"")</f>
        <v/>
      </c>
      <c r="J448" s="25"/>
    </row>
    <row r="449" spans="4:10" x14ac:dyDescent="0.4">
      <c r="D449" s="25"/>
      <c r="F449" s="25" t="str">
        <f>IFERROR(IF(ISBLANK(E449),"",INDEX(Gen_Vessels!$A$3:$C$500,MATCH(E449,Gen_Vessels!$C$3:$C$500,0),1)),"")</f>
        <v/>
      </c>
      <c r="G449" s="25"/>
      <c r="I449" s="25" t="str">
        <f>IFERROR(IF(ISBLANK(H449),"",INDEX(Gen_Vessels!$A$3:$C$500,MATCH(H449,Gen_Vessels!$C$3:$C$500,0),1)),"")</f>
        <v/>
      </c>
      <c r="J449" s="25"/>
    </row>
    <row r="450" spans="4:10" x14ac:dyDescent="0.4">
      <c r="D450" s="25"/>
      <c r="F450" s="25" t="str">
        <f>IFERROR(IF(ISBLANK(E450),"",INDEX(Gen_Vessels!$A$3:$C$500,MATCH(E450,Gen_Vessels!$C$3:$C$500,0),1)),"")</f>
        <v/>
      </c>
      <c r="G450" s="25"/>
      <c r="I450" s="25" t="str">
        <f>IFERROR(IF(ISBLANK(H450),"",INDEX(Gen_Vessels!$A$3:$C$500,MATCH(H450,Gen_Vessels!$C$3:$C$500,0),1)),"")</f>
        <v/>
      </c>
      <c r="J450" s="25"/>
    </row>
    <row r="451" spans="4:10" x14ac:dyDescent="0.4">
      <c r="D451" s="25"/>
      <c r="F451" s="25" t="str">
        <f>IFERROR(IF(ISBLANK(E451),"",INDEX(Gen_Vessels!$A$3:$C$500,MATCH(E451,Gen_Vessels!$C$3:$C$500,0),1)),"")</f>
        <v/>
      </c>
      <c r="G451" s="25"/>
      <c r="I451" s="25" t="str">
        <f>IFERROR(IF(ISBLANK(H451),"",INDEX(Gen_Vessels!$A$3:$C$500,MATCH(H451,Gen_Vessels!$C$3:$C$500,0),1)),"")</f>
        <v/>
      </c>
      <c r="J451" s="25"/>
    </row>
    <row r="452" spans="4:10" x14ac:dyDescent="0.4">
      <c r="D452" s="25"/>
      <c r="F452" s="25" t="str">
        <f>IFERROR(IF(ISBLANK(E452),"",INDEX(Gen_Vessels!$A$3:$C$500,MATCH(E452,Gen_Vessels!$C$3:$C$500,0),1)),"")</f>
        <v/>
      </c>
      <c r="G452" s="25"/>
      <c r="I452" s="25" t="str">
        <f>IFERROR(IF(ISBLANK(H452),"",INDEX(Gen_Vessels!$A$3:$C$500,MATCH(H452,Gen_Vessels!$C$3:$C$500,0),1)),"")</f>
        <v/>
      </c>
      <c r="J452" s="25"/>
    </row>
    <row r="453" spans="4:10" x14ac:dyDescent="0.4">
      <c r="D453" s="25"/>
      <c r="F453" s="25" t="str">
        <f>IFERROR(IF(ISBLANK(E453),"",INDEX(Gen_Vessels!$A$3:$C$500,MATCH(E453,Gen_Vessels!$C$3:$C$500,0),1)),"")</f>
        <v/>
      </c>
      <c r="G453" s="25"/>
      <c r="I453" s="25" t="str">
        <f>IFERROR(IF(ISBLANK(H453),"",INDEX(Gen_Vessels!$A$3:$C$500,MATCH(H453,Gen_Vessels!$C$3:$C$500,0),1)),"")</f>
        <v/>
      </c>
      <c r="J453" s="25"/>
    </row>
    <row r="454" spans="4:10" x14ac:dyDescent="0.4">
      <c r="D454" s="25"/>
      <c r="F454" s="25" t="str">
        <f>IFERROR(IF(ISBLANK(E454),"",INDEX(Gen_Vessels!$A$3:$C$500,MATCH(E454,Gen_Vessels!$C$3:$C$500,0),1)),"")</f>
        <v/>
      </c>
      <c r="G454" s="25"/>
      <c r="I454" s="25" t="str">
        <f>IFERROR(IF(ISBLANK(H454),"",INDEX(Gen_Vessels!$A$3:$C$500,MATCH(H454,Gen_Vessels!$C$3:$C$500,0),1)),"")</f>
        <v/>
      </c>
      <c r="J454" s="25"/>
    </row>
    <row r="455" spans="4:10" x14ac:dyDescent="0.4">
      <c r="D455" s="25"/>
      <c r="F455" s="25" t="str">
        <f>IFERROR(IF(ISBLANK(E455),"",INDEX(Gen_Vessels!$A$3:$C$500,MATCH(E455,Gen_Vessels!$C$3:$C$500,0),1)),"")</f>
        <v/>
      </c>
      <c r="G455" s="25"/>
      <c r="I455" s="25" t="str">
        <f>IFERROR(IF(ISBLANK(H455),"",INDEX(Gen_Vessels!$A$3:$C$500,MATCH(H455,Gen_Vessels!$C$3:$C$500,0),1)),"")</f>
        <v/>
      </c>
      <c r="J455" s="25"/>
    </row>
    <row r="456" spans="4:10" x14ac:dyDescent="0.4">
      <c r="D456" s="25"/>
      <c r="F456" s="25" t="str">
        <f>IFERROR(IF(ISBLANK(E456),"",INDEX(Gen_Vessels!$A$3:$C$500,MATCH(E456,Gen_Vessels!$C$3:$C$500,0),1)),"")</f>
        <v/>
      </c>
      <c r="G456" s="25"/>
      <c r="I456" s="25" t="str">
        <f>IFERROR(IF(ISBLANK(H456),"",INDEX(Gen_Vessels!$A$3:$C$500,MATCH(H456,Gen_Vessels!$C$3:$C$500,0),1)),"")</f>
        <v/>
      </c>
      <c r="J456" s="25"/>
    </row>
    <row r="457" spans="4:10" x14ac:dyDescent="0.4">
      <c r="D457" s="25"/>
      <c r="F457" s="25" t="str">
        <f>IFERROR(IF(ISBLANK(E457),"",INDEX(Gen_Vessels!$A$3:$C$500,MATCH(E457,Gen_Vessels!$C$3:$C$500,0),1)),"")</f>
        <v/>
      </c>
      <c r="G457" s="25"/>
      <c r="I457" s="25" t="str">
        <f>IFERROR(IF(ISBLANK(H457),"",INDEX(Gen_Vessels!$A$3:$C$500,MATCH(H457,Gen_Vessels!$C$3:$C$500,0),1)),"")</f>
        <v/>
      </c>
      <c r="J457" s="25"/>
    </row>
    <row r="458" spans="4:10" x14ac:dyDescent="0.4">
      <c r="D458" s="25"/>
      <c r="F458" s="25" t="str">
        <f>IFERROR(IF(ISBLANK(E458),"",INDEX(Gen_Vessels!$A$3:$C$500,MATCH(E458,Gen_Vessels!$C$3:$C$500,0),1)),"")</f>
        <v/>
      </c>
      <c r="G458" s="25"/>
      <c r="I458" s="25" t="str">
        <f>IFERROR(IF(ISBLANK(H458),"",INDEX(Gen_Vessels!$A$3:$C$500,MATCH(H458,Gen_Vessels!$C$3:$C$500,0),1)),"")</f>
        <v/>
      </c>
      <c r="J458" s="25"/>
    </row>
    <row r="459" spans="4:10" x14ac:dyDescent="0.4">
      <c r="D459" s="25"/>
      <c r="F459" s="25" t="str">
        <f>IFERROR(IF(ISBLANK(E459),"",INDEX(Gen_Vessels!$A$3:$C$500,MATCH(E459,Gen_Vessels!$C$3:$C$500,0),1)),"")</f>
        <v/>
      </c>
      <c r="G459" s="25"/>
      <c r="I459" s="25" t="str">
        <f>IFERROR(IF(ISBLANK(H459),"",INDEX(Gen_Vessels!$A$3:$C$500,MATCH(H459,Gen_Vessels!$C$3:$C$500,0),1)),"")</f>
        <v/>
      </c>
      <c r="J459" s="25"/>
    </row>
    <row r="460" spans="4:10" x14ac:dyDescent="0.4">
      <c r="D460" s="25"/>
      <c r="F460" s="25" t="str">
        <f>IFERROR(IF(ISBLANK(E460),"",INDEX(Gen_Vessels!$A$3:$C$500,MATCH(E460,Gen_Vessels!$C$3:$C$500,0),1)),"")</f>
        <v/>
      </c>
      <c r="G460" s="25"/>
      <c r="I460" s="25" t="str">
        <f>IFERROR(IF(ISBLANK(H460),"",INDEX(Gen_Vessels!$A$3:$C$500,MATCH(H460,Gen_Vessels!$C$3:$C$500,0),1)),"")</f>
        <v/>
      </c>
      <c r="J460" s="25"/>
    </row>
    <row r="461" spans="4:10" x14ac:dyDescent="0.4">
      <c r="D461" s="25"/>
      <c r="F461" s="25" t="str">
        <f>IFERROR(IF(ISBLANK(E461),"",INDEX(Gen_Vessels!$A$3:$C$500,MATCH(E461,Gen_Vessels!$C$3:$C$500,0),1)),"")</f>
        <v/>
      </c>
      <c r="G461" s="25"/>
      <c r="I461" s="25" t="str">
        <f>IFERROR(IF(ISBLANK(H461),"",INDEX(Gen_Vessels!$A$3:$C$500,MATCH(H461,Gen_Vessels!$C$3:$C$500,0),1)),"")</f>
        <v/>
      </c>
      <c r="J461" s="25"/>
    </row>
    <row r="462" spans="4:10" x14ac:dyDescent="0.4">
      <c r="D462" s="25"/>
      <c r="F462" s="25" t="str">
        <f>IFERROR(IF(ISBLANK(E462),"",INDEX(Gen_Vessels!$A$3:$C$500,MATCH(E462,Gen_Vessels!$C$3:$C$500,0),1)),"")</f>
        <v/>
      </c>
      <c r="G462" s="25"/>
      <c r="I462" s="25" t="str">
        <f>IFERROR(IF(ISBLANK(H462),"",INDEX(Gen_Vessels!$A$3:$C$500,MATCH(H462,Gen_Vessels!$C$3:$C$500,0),1)),"")</f>
        <v/>
      </c>
      <c r="J462" s="25"/>
    </row>
    <row r="463" spans="4:10" x14ac:dyDescent="0.4">
      <c r="D463" s="25"/>
      <c r="F463" s="25" t="str">
        <f>IFERROR(IF(ISBLANK(E463),"",INDEX(Gen_Vessels!$A$3:$C$500,MATCH(E463,Gen_Vessels!$C$3:$C$500,0),1)),"")</f>
        <v/>
      </c>
      <c r="G463" s="25"/>
      <c r="I463" s="25" t="str">
        <f>IFERROR(IF(ISBLANK(H463),"",INDEX(Gen_Vessels!$A$3:$C$500,MATCH(H463,Gen_Vessels!$C$3:$C$500,0),1)),"")</f>
        <v/>
      </c>
      <c r="J463" s="25"/>
    </row>
    <row r="464" spans="4:10" x14ac:dyDescent="0.4">
      <c r="D464" s="25"/>
      <c r="F464" s="25" t="str">
        <f>IFERROR(IF(ISBLANK(E464),"",INDEX(Gen_Vessels!$A$3:$C$500,MATCH(E464,Gen_Vessels!$C$3:$C$500,0),1)),"")</f>
        <v/>
      </c>
      <c r="G464" s="25"/>
      <c r="I464" s="25" t="str">
        <f>IFERROR(IF(ISBLANK(H464),"",INDEX(Gen_Vessels!$A$3:$C$500,MATCH(H464,Gen_Vessels!$C$3:$C$500,0),1)),"")</f>
        <v/>
      </c>
      <c r="J464" s="25"/>
    </row>
    <row r="465" spans="4:10" x14ac:dyDescent="0.4">
      <c r="D465" s="25"/>
      <c r="F465" s="25" t="str">
        <f>IFERROR(IF(ISBLANK(E465),"",INDEX(Gen_Vessels!$A$3:$C$500,MATCH(E465,Gen_Vessels!$C$3:$C$500,0),1)),"")</f>
        <v/>
      </c>
      <c r="G465" s="25"/>
      <c r="I465" s="25" t="str">
        <f>IFERROR(IF(ISBLANK(H465),"",INDEX(Gen_Vessels!$A$3:$C$500,MATCH(H465,Gen_Vessels!$C$3:$C$500,0),1)),"")</f>
        <v/>
      </c>
      <c r="J465" s="25"/>
    </row>
    <row r="466" spans="4:10" x14ac:dyDescent="0.4">
      <c r="D466" s="25"/>
      <c r="F466" s="25" t="str">
        <f>IFERROR(IF(ISBLANK(E466),"",INDEX(Gen_Vessels!$A$3:$C$500,MATCH(E466,Gen_Vessels!$C$3:$C$500,0),1)),"")</f>
        <v/>
      </c>
      <c r="G466" s="25"/>
      <c r="I466" s="25" t="str">
        <f>IFERROR(IF(ISBLANK(H466),"",INDEX(Gen_Vessels!$A$3:$C$500,MATCH(H466,Gen_Vessels!$C$3:$C$500,0),1)),"")</f>
        <v/>
      </c>
      <c r="J466" s="25"/>
    </row>
    <row r="467" spans="4:10" x14ac:dyDescent="0.4">
      <c r="D467" s="25"/>
      <c r="F467" s="25" t="str">
        <f>IFERROR(IF(ISBLANK(E467),"",INDEX(Gen_Vessels!$A$3:$C$500,MATCH(E467,Gen_Vessels!$C$3:$C$500,0),1)),"")</f>
        <v/>
      </c>
      <c r="G467" s="25"/>
      <c r="I467" s="25" t="str">
        <f>IFERROR(IF(ISBLANK(H467),"",INDEX(Gen_Vessels!$A$3:$C$500,MATCH(H467,Gen_Vessels!$C$3:$C$500,0),1)),"")</f>
        <v/>
      </c>
      <c r="J467" s="25"/>
    </row>
    <row r="468" spans="4:10" x14ac:dyDescent="0.4">
      <c r="D468" s="25"/>
      <c r="F468" s="25" t="str">
        <f>IFERROR(IF(ISBLANK(E468),"",INDEX(Gen_Vessels!$A$3:$C$500,MATCH(E468,Gen_Vessels!$C$3:$C$500,0),1)),"")</f>
        <v/>
      </c>
      <c r="G468" s="25"/>
      <c r="I468" s="25" t="str">
        <f>IFERROR(IF(ISBLANK(H468),"",INDEX(Gen_Vessels!$A$3:$C$500,MATCH(H468,Gen_Vessels!$C$3:$C$500,0),1)),"")</f>
        <v/>
      </c>
      <c r="J468" s="25"/>
    </row>
    <row r="469" spans="4:10" x14ac:dyDescent="0.4">
      <c r="D469" s="25"/>
      <c r="F469" s="25" t="str">
        <f>IFERROR(IF(ISBLANK(E469),"",INDEX(Gen_Vessels!$A$3:$C$500,MATCH(E469,Gen_Vessels!$C$3:$C$500,0),1)),"")</f>
        <v/>
      </c>
      <c r="G469" s="25"/>
      <c r="I469" s="25" t="str">
        <f>IFERROR(IF(ISBLANK(H469),"",INDEX(Gen_Vessels!$A$3:$C$500,MATCH(H469,Gen_Vessels!$C$3:$C$500,0),1)),"")</f>
        <v/>
      </c>
      <c r="J469" s="25"/>
    </row>
    <row r="470" spans="4:10" x14ac:dyDescent="0.4">
      <c r="D470" s="25"/>
      <c r="F470" s="25" t="str">
        <f>IFERROR(IF(ISBLANK(E470),"",INDEX(Gen_Vessels!$A$3:$C$500,MATCH(E470,Gen_Vessels!$C$3:$C$500,0),1)),"")</f>
        <v/>
      </c>
      <c r="G470" s="25"/>
      <c r="I470" s="25" t="str">
        <f>IFERROR(IF(ISBLANK(H470),"",INDEX(Gen_Vessels!$A$3:$C$500,MATCH(H470,Gen_Vessels!$C$3:$C$500,0),1)),"")</f>
        <v/>
      </c>
      <c r="J470" s="25"/>
    </row>
    <row r="471" spans="4:10" x14ac:dyDescent="0.4">
      <c r="D471" s="25"/>
      <c r="F471" s="25" t="str">
        <f>IFERROR(IF(ISBLANK(E471),"",INDEX(Gen_Vessels!$A$3:$C$500,MATCH(E471,Gen_Vessels!$C$3:$C$500,0),1)),"")</f>
        <v/>
      </c>
      <c r="G471" s="25"/>
      <c r="I471" s="25" t="str">
        <f>IFERROR(IF(ISBLANK(H471),"",INDEX(Gen_Vessels!$A$3:$C$500,MATCH(H471,Gen_Vessels!$C$3:$C$500,0),1)),"")</f>
        <v/>
      </c>
      <c r="J471" s="25"/>
    </row>
    <row r="472" spans="4:10" x14ac:dyDescent="0.4">
      <c r="D472" s="25"/>
      <c r="F472" s="25" t="str">
        <f>IFERROR(IF(ISBLANK(E472),"",INDEX(Gen_Vessels!$A$3:$C$500,MATCH(E472,Gen_Vessels!$C$3:$C$500,0),1)),"")</f>
        <v/>
      </c>
      <c r="G472" s="25"/>
      <c r="I472" s="25" t="str">
        <f>IFERROR(IF(ISBLANK(H472),"",INDEX(Gen_Vessels!$A$3:$C$500,MATCH(H472,Gen_Vessels!$C$3:$C$500,0),1)),"")</f>
        <v/>
      </c>
      <c r="J472" s="25"/>
    </row>
    <row r="473" spans="4:10" x14ac:dyDescent="0.4">
      <c r="D473" s="25"/>
      <c r="F473" s="25" t="str">
        <f>IFERROR(IF(ISBLANK(E473),"",INDEX(Gen_Vessels!$A$3:$C$500,MATCH(E473,Gen_Vessels!$C$3:$C$500,0),1)),"")</f>
        <v/>
      </c>
      <c r="G473" s="25"/>
      <c r="I473" s="25" t="str">
        <f>IFERROR(IF(ISBLANK(H473),"",INDEX(Gen_Vessels!$A$3:$C$500,MATCH(H473,Gen_Vessels!$C$3:$C$500,0),1)),"")</f>
        <v/>
      </c>
      <c r="J473" s="25"/>
    </row>
    <row r="474" spans="4:10" x14ac:dyDescent="0.4">
      <c r="D474" s="25"/>
      <c r="F474" s="25" t="str">
        <f>IFERROR(IF(ISBLANK(E474),"",INDEX(Gen_Vessels!$A$3:$C$500,MATCH(E474,Gen_Vessels!$C$3:$C$500,0),1)),"")</f>
        <v/>
      </c>
      <c r="G474" s="25"/>
      <c r="I474" s="25" t="str">
        <f>IFERROR(IF(ISBLANK(H474),"",INDEX(Gen_Vessels!$A$3:$C$500,MATCH(H474,Gen_Vessels!$C$3:$C$500,0),1)),"")</f>
        <v/>
      </c>
      <c r="J474" s="25"/>
    </row>
    <row r="475" spans="4:10" x14ac:dyDescent="0.4">
      <c r="D475" s="25"/>
      <c r="F475" s="25" t="str">
        <f>IFERROR(IF(ISBLANK(E475),"",INDEX(Gen_Vessels!$A$3:$C$500,MATCH(E475,Gen_Vessels!$C$3:$C$500,0),1)),"")</f>
        <v/>
      </c>
      <c r="G475" s="25"/>
      <c r="I475" s="25" t="str">
        <f>IFERROR(IF(ISBLANK(H475),"",INDEX(Gen_Vessels!$A$3:$C$500,MATCH(H475,Gen_Vessels!$C$3:$C$500,0),1)),"")</f>
        <v/>
      </c>
      <c r="J475" s="25"/>
    </row>
    <row r="476" spans="4:10" x14ac:dyDescent="0.4">
      <c r="D476" s="25"/>
      <c r="F476" s="25" t="str">
        <f>IFERROR(IF(ISBLANK(E476),"",INDEX(Gen_Vessels!$A$3:$C$500,MATCH(E476,Gen_Vessels!$C$3:$C$500,0),1)),"")</f>
        <v/>
      </c>
      <c r="G476" s="25"/>
      <c r="I476" s="25" t="str">
        <f>IFERROR(IF(ISBLANK(H476),"",INDEX(Gen_Vessels!$A$3:$C$500,MATCH(H476,Gen_Vessels!$C$3:$C$500,0),1)),"")</f>
        <v/>
      </c>
      <c r="J476" s="25"/>
    </row>
    <row r="477" spans="4:10" x14ac:dyDescent="0.4">
      <c r="D477" s="25"/>
      <c r="F477" s="25" t="str">
        <f>IFERROR(IF(ISBLANK(E477),"",INDEX(Gen_Vessels!$A$3:$C$500,MATCH(E477,Gen_Vessels!$C$3:$C$500,0),1)),"")</f>
        <v/>
      </c>
      <c r="G477" s="25"/>
      <c r="I477" s="25" t="str">
        <f>IFERROR(IF(ISBLANK(H477),"",INDEX(Gen_Vessels!$A$3:$C$500,MATCH(H477,Gen_Vessels!$C$3:$C$500,0),1)),"")</f>
        <v/>
      </c>
      <c r="J477" s="25"/>
    </row>
    <row r="478" spans="4:10" x14ac:dyDescent="0.4">
      <c r="D478" s="25"/>
      <c r="F478" s="25" t="str">
        <f>IFERROR(IF(ISBLANK(E478),"",INDEX(Gen_Vessels!$A$3:$C$500,MATCH(E478,Gen_Vessels!$C$3:$C$500,0),1)),"")</f>
        <v/>
      </c>
      <c r="G478" s="25"/>
      <c r="I478" s="25" t="str">
        <f>IFERROR(IF(ISBLANK(H478),"",INDEX(Gen_Vessels!$A$3:$C$500,MATCH(H478,Gen_Vessels!$C$3:$C$500,0),1)),"")</f>
        <v/>
      </c>
      <c r="J478" s="25"/>
    </row>
    <row r="479" spans="4:10" x14ac:dyDescent="0.4">
      <c r="D479" s="25"/>
      <c r="F479" s="25" t="str">
        <f>IFERROR(IF(ISBLANK(E479),"",INDEX(Gen_Vessels!$A$3:$C$500,MATCH(E479,Gen_Vessels!$C$3:$C$500,0),1)),"")</f>
        <v/>
      </c>
      <c r="G479" s="25"/>
      <c r="I479" s="25" t="str">
        <f>IFERROR(IF(ISBLANK(H479),"",INDEX(Gen_Vessels!$A$3:$C$500,MATCH(H479,Gen_Vessels!$C$3:$C$500,0),1)),"")</f>
        <v/>
      </c>
      <c r="J479" s="25"/>
    </row>
    <row r="480" spans="4:10" x14ac:dyDescent="0.4">
      <c r="D480" s="25"/>
      <c r="F480" s="25" t="str">
        <f>IFERROR(IF(ISBLANK(E480),"",INDEX(Gen_Vessels!$A$3:$C$500,MATCH(E480,Gen_Vessels!$C$3:$C$500,0),1)),"")</f>
        <v/>
      </c>
      <c r="G480" s="25"/>
      <c r="I480" s="25" t="str">
        <f>IFERROR(IF(ISBLANK(H480),"",INDEX(Gen_Vessels!$A$3:$C$500,MATCH(H480,Gen_Vessels!$C$3:$C$500,0),1)),"")</f>
        <v/>
      </c>
      <c r="J480" s="25"/>
    </row>
    <row r="481" spans="4:10" x14ac:dyDescent="0.4">
      <c r="D481" s="25"/>
      <c r="F481" s="25" t="str">
        <f>IFERROR(IF(ISBLANK(E481),"",INDEX(Gen_Vessels!$A$3:$C$500,MATCH(E481,Gen_Vessels!$C$3:$C$500,0),1)),"")</f>
        <v/>
      </c>
      <c r="G481" s="25"/>
      <c r="I481" s="25" t="str">
        <f>IFERROR(IF(ISBLANK(H481),"",INDEX(Gen_Vessels!$A$3:$C$500,MATCH(H481,Gen_Vessels!$C$3:$C$500,0),1)),"")</f>
        <v/>
      </c>
      <c r="J481" s="25"/>
    </row>
    <row r="482" spans="4:10" x14ac:dyDescent="0.4">
      <c r="D482" s="25"/>
      <c r="F482" s="25" t="str">
        <f>IFERROR(IF(ISBLANK(E482),"",INDEX(Gen_Vessels!$A$3:$C$500,MATCH(E482,Gen_Vessels!$C$3:$C$500,0),1)),"")</f>
        <v/>
      </c>
      <c r="G482" s="25"/>
      <c r="I482" s="25" t="str">
        <f>IFERROR(IF(ISBLANK(H482),"",INDEX(Gen_Vessels!$A$3:$C$500,MATCH(H482,Gen_Vessels!$C$3:$C$500,0),1)),"")</f>
        <v/>
      </c>
      <c r="J482" s="25"/>
    </row>
    <row r="483" spans="4:10" x14ac:dyDescent="0.4">
      <c r="D483" s="25"/>
      <c r="F483" s="25" t="str">
        <f>IFERROR(IF(ISBLANK(E483),"",INDEX(Gen_Vessels!$A$3:$C$500,MATCH(E483,Gen_Vessels!$C$3:$C$500,0),1)),"")</f>
        <v/>
      </c>
      <c r="G483" s="25"/>
      <c r="I483" s="25" t="str">
        <f>IFERROR(IF(ISBLANK(H483),"",INDEX(Gen_Vessels!$A$3:$C$500,MATCH(H483,Gen_Vessels!$C$3:$C$500,0),1)),"")</f>
        <v/>
      </c>
      <c r="J483" s="25"/>
    </row>
    <row r="484" spans="4:10" x14ac:dyDescent="0.4">
      <c r="D484" s="25"/>
      <c r="F484" s="25" t="str">
        <f>IFERROR(IF(ISBLANK(E484),"",INDEX(Gen_Vessels!$A$3:$C$500,MATCH(E484,Gen_Vessels!$C$3:$C$500,0),1)),"")</f>
        <v/>
      </c>
      <c r="G484" s="25"/>
      <c r="I484" s="25" t="str">
        <f>IFERROR(IF(ISBLANK(H484),"",INDEX(Gen_Vessels!$A$3:$C$500,MATCH(H484,Gen_Vessels!$C$3:$C$500,0),1)),"")</f>
        <v/>
      </c>
      <c r="J484" s="25"/>
    </row>
    <row r="485" spans="4:10" x14ac:dyDescent="0.4">
      <c r="D485" s="25"/>
      <c r="F485" s="25" t="str">
        <f>IFERROR(IF(ISBLANK(E485),"",INDEX(Gen_Vessels!$A$3:$C$500,MATCH(E485,Gen_Vessels!$C$3:$C$500,0),1)),"")</f>
        <v/>
      </c>
      <c r="G485" s="25"/>
      <c r="I485" s="25" t="str">
        <f>IFERROR(IF(ISBLANK(H485),"",INDEX(Gen_Vessels!$A$3:$C$500,MATCH(H485,Gen_Vessels!$C$3:$C$500,0),1)),"")</f>
        <v/>
      </c>
      <c r="J485" s="25"/>
    </row>
    <row r="486" spans="4:10" x14ac:dyDescent="0.4">
      <c r="D486" s="25"/>
      <c r="F486" s="25" t="str">
        <f>IFERROR(IF(ISBLANK(E486),"",INDEX(Gen_Vessels!$A$3:$C$500,MATCH(E486,Gen_Vessels!$C$3:$C$500,0),1)),"")</f>
        <v/>
      </c>
      <c r="G486" s="25"/>
      <c r="I486" s="25" t="str">
        <f>IFERROR(IF(ISBLANK(H486),"",INDEX(Gen_Vessels!$A$3:$C$500,MATCH(H486,Gen_Vessels!$C$3:$C$500,0),1)),"")</f>
        <v/>
      </c>
      <c r="J486" s="25"/>
    </row>
    <row r="487" spans="4:10" x14ac:dyDescent="0.4">
      <c r="D487" s="25"/>
      <c r="F487" s="25" t="str">
        <f>IFERROR(IF(ISBLANK(E487),"",INDEX(Gen_Vessels!$A$3:$C$500,MATCH(E487,Gen_Vessels!$C$3:$C$500,0),1)),"")</f>
        <v/>
      </c>
      <c r="G487" s="25"/>
      <c r="I487" s="25" t="str">
        <f>IFERROR(IF(ISBLANK(H487),"",INDEX(Gen_Vessels!$A$3:$C$500,MATCH(H487,Gen_Vessels!$C$3:$C$500,0),1)),"")</f>
        <v/>
      </c>
      <c r="J487" s="25"/>
    </row>
    <row r="488" spans="4:10" x14ac:dyDescent="0.4">
      <c r="D488" s="25"/>
      <c r="F488" s="25" t="str">
        <f>IFERROR(IF(ISBLANK(E488),"",INDEX(Gen_Vessels!$A$3:$C$500,MATCH(E488,Gen_Vessels!$C$3:$C$500,0),1)),"")</f>
        <v/>
      </c>
      <c r="G488" s="25"/>
      <c r="I488" s="25" t="str">
        <f>IFERROR(IF(ISBLANK(H488),"",INDEX(Gen_Vessels!$A$3:$C$500,MATCH(H488,Gen_Vessels!$C$3:$C$500,0),1)),"")</f>
        <v/>
      </c>
      <c r="J488" s="25"/>
    </row>
    <row r="489" spans="4:10" x14ac:dyDescent="0.4">
      <c r="D489" s="25"/>
      <c r="F489" s="25" t="str">
        <f>IFERROR(IF(ISBLANK(E489),"",INDEX(Gen_Vessels!$A$3:$C$500,MATCH(E489,Gen_Vessels!$C$3:$C$500,0),1)),"")</f>
        <v/>
      </c>
      <c r="G489" s="25"/>
      <c r="I489" s="25" t="str">
        <f>IFERROR(IF(ISBLANK(H489),"",INDEX(Gen_Vessels!$A$3:$C$500,MATCH(H489,Gen_Vessels!$C$3:$C$500,0),1)),"")</f>
        <v/>
      </c>
      <c r="J489" s="25"/>
    </row>
    <row r="490" spans="4:10" x14ac:dyDescent="0.4">
      <c r="D490" s="25"/>
      <c r="F490" s="25" t="str">
        <f>IFERROR(IF(ISBLANK(E490),"",INDEX(Gen_Vessels!$A$3:$C$500,MATCH(E490,Gen_Vessels!$C$3:$C$500,0),1)),"")</f>
        <v/>
      </c>
      <c r="G490" s="25"/>
      <c r="I490" s="25" t="str">
        <f>IFERROR(IF(ISBLANK(H490),"",INDEX(Gen_Vessels!$A$3:$C$500,MATCH(H490,Gen_Vessels!$C$3:$C$500,0),1)),"")</f>
        <v/>
      </c>
      <c r="J490" s="25"/>
    </row>
    <row r="491" spans="4:10" x14ac:dyDescent="0.4">
      <c r="D491" s="25"/>
      <c r="F491" s="25" t="str">
        <f>IFERROR(IF(ISBLANK(E491),"",INDEX(Gen_Vessels!$A$3:$C$500,MATCH(E491,Gen_Vessels!$C$3:$C$500,0),1)),"")</f>
        <v/>
      </c>
      <c r="G491" s="25"/>
      <c r="I491" s="25" t="str">
        <f>IFERROR(IF(ISBLANK(H491),"",INDEX(Gen_Vessels!$A$3:$C$500,MATCH(H491,Gen_Vessels!$C$3:$C$500,0),1)),"")</f>
        <v/>
      </c>
      <c r="J491" s="25"/>
    </row>
    <row r="492" spans="4:10" x14ac:dyDescent="0.4">
      <c r="D492" s="25"/>
      <c r="F492" s="25" t="str">
        <f>IFERROR(IF(ISBLANK(E492),"",INDEX(Gen_Vessels!$A$3:$C$500,MATCH(E492,Gen_Vessels!$C$3:$C$500,0),1)),"")</f>
        <v/>
      </c>
      <c r="G492" s="25"/>
      <c r="I492" s="25" t="str">
        <f>IFERROR(IF(ISBLANK(H492),"",INDEX(Gen_Vessels!$A$3:$C$500,MATCH(H492,Gen_Vessels!$C$3:$C$500,0),1)),"")</f>
        <v/>
      </c>
      <c r="J492" s="25"/>
    </row>
    <row r="493" spans="4:10" x14ac:dyDescent="0.4">
      <c r="F493" s="25" t="str">
        <f>IFERROR(IF(ISBLANK(E493),"",INDEX(Gen_Vessels!$A$3:$C$500,MATCH(E493,Gen_Vessels!$C$3:$C$500,0),1)),"")</f>
        <v/>
      </c>
      <c r="G493" s="25"/>
      <c r="I493" s="25" t="str">
        <f>IFERROR(IF(ISBLANK(H493),"",INDEX(Gen_Vessels!$A$3:$C$500,MATCH(H493,Gen_Vessels!$C$3:$C$500,0),1)),"")</f>
        <v/>
      </c>
      <c r="J493" s="25"/>
    </row>
    <row r="494" spans="4:10" x14ac:dyDescent="0.4">
      <c r="F494" s="25" t="str">
        <f>IFERROR(IF(ISBLANK(E494),"",INDEX(Gen_Vessels!$A$3:$C$500,MATCH(E494,Gen_Vessels!$C$3:$C$500,0),1)),"")</f>
        <v/>
      </c>
      <c r="G494" s="25"/>
      <c r="I494" s="25" t="str">
        <f>IFERROR(IF(ISBLANK(H494),"",INDEX(Gen_Vessels!$A$3:$C$500,MATCH(H494,Gen_Vessels!$C$3:$C$500,0),1)),"")</f>
        <v/>
      </c>
      <c r="J494" s="25"/>
    </row>
    <row r="495" spans="4:10" x14ac:dyDescent="0.4">
      <c r="F495" s="25" t="str">
        <f>IFERROR(IF(ISBLANK(E495),"",INDEX(Gen_Vessels!$A$3:$C$500,MATCH(E495,Gen_Vessels!$C$3:$C$500,0),1)),"")</f>
        <v/>
      </c>
      <c r="G495" s="25"/>
      <c r="I495" s="25" t="str">
        <f>IFERROR(IF(ISBLANK(H495),"",INDEX(Gen_Vessels!$A$3:$C$500,MATCH(H495,Gen_Vessels!$C$3:$C$500,0),1)),"")</f>
        <v/>
      </c>
      <c r="J495" s="25"/>
    </row>
    <row r="496" spans="4:10" x14ac:dyDescent="0.4">
      <c r="F496" s="25" t="str">
        <f>IFERROR(IF(ISBLANK(E496),"",INDEX(Gen_Vessels!$A$3:$C$500,MATCH(E496,Gen_Vessels!$C$3:$C$500,0),1)),"")</f>
        <v/>
      </c>
      <c r="G496" s="25"/>
      <c r="I496" s="25" t="str">
        <f>IFERROR(IF(ISBLANK(H496),"",INDEX(Gen_Vessels!$A$3:$C$500,MATCH(H496,Gen_Vessels!$C$3:$C$500,0),1)),"")</f>
        <v/>
      </c>
      <c r="J496" s="25"/>
    </row>
    <row r="497" spans="6:10" x14ac:dyDescent="0.4">
      <c r="F497" s="25" t="str">
        <f>IFERROR(IF(ISBLANK(E497),"",INDEX(Gen_Vessels!$A$3:$C$500,MATCH(E497,Gen_Vessels!$C$3:$C$500,0),1)),"")</f>
        <v/>
      </c>
      <c r="G497" s="25"/>
      <c r="I497" s="25" t="str">
        <f>IFERROR(IF(ISBLANK(H497),"",INDEX(Gen_Vessels!$A$3:$C$500,MATCH(H497,Gen_Vessels!$C$3:$C$500,0),1)),"")</f>
        <v/>
      </c>
      <c r="J497" s="25"/>
    </row>
    <row r="498" spans="6:10" x14ac:dyDescent="0.4">
      <c r="F498" s="25" t="str">
        <f>IFERROR(IF(ISBLANK(E498),"",INDEX(Gen_Vessels!$A$3:$C$500,MATCH(E498,Gen_Vessels!$C$3:$C$500,0),1)),"")</f>
        <v/>
      </c>
      <c r="G498" s="25"/>
      <c r="I498" s="25" t="str">
        <f>IFERROR(IF(ISBLANK(H498),"",INDEX(Gen_Vessels!$A$3:$C$500,MATCH(H498,Gen_Vessels!$C$3:$C$500,0),1)),"")</f>
        <v/>
      </c>
      <c r="J498" s="25"/>
    </row>
    <row r="499" spans="6:10" x14ac:dyDescent="0.4">
      <c r="G499" s="25"/>
      <c r="J499" s="25"/>
    </row>
    <row r="500" spans="6:10" x14ac:dyDescent="0.4">
      <c r="G500" s="25"/>
      <c r="J500" s="25"/>
    </row>
  </sheetData>
  <conditionalFormatting sqref="B1:B2 B6:B1048576">
    <cfRule type="expression" dxfId="43" priority="9">
      <formula>COUNTIF(B:B,$B1)&gt;1</formula>
    </cfRule>
  </conditionalFormatting>
  <conditionalFormatting sqref="B6:B498">
    <cfRule type="expression" dxfId="42"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3046875" defaultRowHeight="14.6" x14ac:dyDescent="0.4"/>
  <cols>
    <col min="1" max="1" width="18.69140625" style="18" customWidth="1"/>
    <col min="2" max="2" width="16.69140625" style="18" customWidth="1"/>
    <col min="3" max="3" width="40.69140625" style="18" customWidth="1"/>
    <col min="4" max="4" width="15.53515625" style="18" customWidth="1"/>
    <col min="5" max="5" width="12.69140625" style="18" customWidth="1"/>
    <col min="6" max="9" width="15.53515625" style="18" customWidth="1"/>
    <col min="10" max="10" width="28.15234375" style="18" bestFit="1" customWidth="1"/>
    <col min="11" max="11" width="22.4609375" style="18" customWidth="1"/>
    <col min="12" max="12" width="21.4609375" bestFit="1" customWidth="1"/>
    <col min="13" max="13" width="15.53515625" style="18" customWidth="1"/>
    <col min="14" max="15" width="21.4609375" style="18" customWidth="1"/>
    <col min="16" max="16" width="12.69140625" style="18" customWidth="1"/>
    <col min="17" max="16384" width="9.23046875" style="18"/>
  </cols>
  <sheetData>
    <row r="1" spans="1:28" x14ac:dyDescent="0.4">
      <c r="A1" s="18" t="s">
        <v>66</v>
      </c>
      <c r="B1" s="18" t="s">
        <v>149</v>
      </c>
      <c r="C1" s="18" t="s">
        <v>150</v>
      </c>
      <c r="D1" s="18" t="s">
        <v>166</v>
      </c>
      <c r="E1" s="18" t="s">
        <v>167</v>
      </c>
      <c r="F1" s="18" t="s">
        <v>265</v>
      </c>
      <c r="G1" s="18" t="s">
        <v>168</v>
      </c>
      <c r="H1" s="18" t="s">
        <v>169</v>
      </c>
      <c r="I1" s="18" t="s">
        <v>430</v>
      </c>
      <c r="J1" s="18" t="s">
        <v>434</v>
      </c>
      <c r="K1" s="18" t="s">
        <v>435</v>
      </c>
      <c r="L1" s="18" t="s">
        <v>439</v>
      </c>
      <c r="M1" s="18" t="s">
        <v>170</v>
      </c>
      <c r="N1" s="18" t="s">
        <v>257</v>
      </c>
      <c r="O1" s="18" t="s">
        <v>172</v>
      </c>
      <c r="P1" s="18" t="s">
        <v>174</v>
      </c>
    </row>
    <row r="2" spans="1:28" x14ac:dyDescent="0.4">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4">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433</v>
      </c>
      <c r="K3" s="25"/>
      <c r="N3" s="25">
        <v>1</v>
      </c>
      <c r="O3" s="25">
        <v>0</v>
      </c>
      <c r="Q3" s="25"/>
      <c r="R3" s="25"/>
      <c r="S3" s="25"/>
      <c r="T3" s="25"/>
      <c r="U3" s="25"/>
      <c r="V3" s="25"/>
      <c r="W3" s="25"/>
      <c r="X3" s="25"/>
      <c r="Y3" s="25"/>
      <c r="Z3" s="25"/>
      <c r="AA3" s="25"/>
      <c r="AB3" s="25"/>
    </row>
    <row r="4" spans="1:28" x14ac:dyDescent="0.4">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433</v>
      </c>
      <c r="K4" s="25"/>
      <c r="N4" s="25">
        <v>1</v>
      </c>
      <c r="O4" s="25">
        <v>0</v>
      </c>
      <c r="Q4" s="25"/>
      <c r="R4" s="25"/>
      <c r="S4" s="25"/>
      <c r="T4" s="25"/>
      <c r="U4" s="25"/>
      <c r="V4" s="25"/>
      <c r="W4" s="25"/>
      <c r="X4" s="25"/>
      <c r="Y4" s="25"/>
      <c r="Z4" s="25"/>
      <c r="AA4" s="25"/>
      <c r="AB4" s="25"/>
    </row>
    <row r="5" spans="1:28" x14ac:dyDescent="0.4">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433</v>
      </c>
      <c r="K5" s="25"/>
      <c r="N5" s="25">
        <v>1</v>
      </c>
      <c r="O5" s="25">
        <v>0</v>
      </c>
      <c r="Q5" s="25"/>
      <c r="R5" s="25"/>
      <c r="S5" s="25"/>
      <c r="T5" s="25"/>
      <c r="U5" s="25"/>
      <c r="V5" s="25"/>
      <c r="W5" s="25"/>
      <c r="X5" s="25"/>
      <c r="Y5" s="25"/>
      <c r="Z5" s="25"/>
      <c r="AA5" s="25"/>
      <c r="AB5" s="25"/>
    </row>
    <row r="6" spans="1:28" x14ac:dyDescent="0.4">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4">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4">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4">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4">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4">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4">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4">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4">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4">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4">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4">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4">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4">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4">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4">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4">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4">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4">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4">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4">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4">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4">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4">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4">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4">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4">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4">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4">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4">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4">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4">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4">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4">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4">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4">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4">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4">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4">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4">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4">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4">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4">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4">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4">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4">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4">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4">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4">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4">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4">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4">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4">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4">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4">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4">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4">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4">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4">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4">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4">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4">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4">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4">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4">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4">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4">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4">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4">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4">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4">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4">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4">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4">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4">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4">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4">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4">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4">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4">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4">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4">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4">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4">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4">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4">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4">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4">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4">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4">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4">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4">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4">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4">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4">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4">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4">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4">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4">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4">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4">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4">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4">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4">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4">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4">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4">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4">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4">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4">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4">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4">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4">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4">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4">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4">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4">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4">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4">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4">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4">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4">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4">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4">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4">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4">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4">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4">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4">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4">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4">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4">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4">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4">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4">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4">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4">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4">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4">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4">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4">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4">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4">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4">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4">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4">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4">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4">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4">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4">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4">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4">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4">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4">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4">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4">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4">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4">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4">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4">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4">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4">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4">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4">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4">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4">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4">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4">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4">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4">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4">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4">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4">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4">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4">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4">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4">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4">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4">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4">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4">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4">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4">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4">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4">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4">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4">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4">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4">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4">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4">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4">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4">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4">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4">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4">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4">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4">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4">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4">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4">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4">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4">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4">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4">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4">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4">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4">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4">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4">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4">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4">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4">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4">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4">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4">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4">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4">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4">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4">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4">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4">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4">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4">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4">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4">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4">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4">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4">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4">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4">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4">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4">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4">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4">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4">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4">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4">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4">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4">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4">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4">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4">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4">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4">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4">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4">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4">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4">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4">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4">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4">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4">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4">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4">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4">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4">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4">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4">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4">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4">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4">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4">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4">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4">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4">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4">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4">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4">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4">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4">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4">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4">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4">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4">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4">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4">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4">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4">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4">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4">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4">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4">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4">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4">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4">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4">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4">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4">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4">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4">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4">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4">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4">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4">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4">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4">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4">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4">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4">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4">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4">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4">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4">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4">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4">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4">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4">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4">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4">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4">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4">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4">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4">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4">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4">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4">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4">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4">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4">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4">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4">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4">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4">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4">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4">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4">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4">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4">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4">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4">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4">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4">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4">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4">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4">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4">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4">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4">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4">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4">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4">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4">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4">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4">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4">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4">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4">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4">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4">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4">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4">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4">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4">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4">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4">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4">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4">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4">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4">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4">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4">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4">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4">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4">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4">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4">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4">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4">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4">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4">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4">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4">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4">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4">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4">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4">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4">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4">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4">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4">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4">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4">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4">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4">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4">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4">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4">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4">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4">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4">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4">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4">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4">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4">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4">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4">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4">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4">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4">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4">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4">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4">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4">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4">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4">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4">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4">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4">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4">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4">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4">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4">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4">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4">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4">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4">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4">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4">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4">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4">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4">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4">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4">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4">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4">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4">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4">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4">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4">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4">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4">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4">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4">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4">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4">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4">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4">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4">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4">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4">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4">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4">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4">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4">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4">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4">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4">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4">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4">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4">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4">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4">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4">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4">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4">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4">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4">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4">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4">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4">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4">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4">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4">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4">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4">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4">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4">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4">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4">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4">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4">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4">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4">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4">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4">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4">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4">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4">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4">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4">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4">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4">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4">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4">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4">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4">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4">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4">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4">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4">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4">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4">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4">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4">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1" priority="2">
      <formula>AND(COUNTIF(A:A,$A1)&gt;1,$A1&lt;&gt;"")</formula>
    </cfRule>
  </conditionalFormatting>
  <conditionalFormatting sqref="J3:K11">
    <cfRule type="expression" dxfId="40"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1" sqref="G11"/>
    </sheetView>
  </sheetViews>
  <sheetFormatPr defaultColWidth="9.15234375" defaultRowHeight="14.6" x14ac:dyDescent="0.4"/>
  <cols>
    <col min="1" max="1" width="12.69140625" style="18" customWidth="1"/>
    <col min="2" max="2" width="16.69140625" style="18" customWidth="1"/>
    <col min="3" max="3" width="25.84375" style="18" bestFit="1" customWidth="1"/>
    <col min="4" max="4" width="40.69140625" style="18" customWidth="1"/>
    <col min="5" max="5" width="12.69140625" style="18" customWidth="1"/>
    <col min="6" max="8" width="18.69140625" style="13" customWidth="1"/>
    <col min="9" max="9" width="8.69140625" style="18" customWidth="1"/>
    <col min="10" max="14" width="6.69140625" style="18" customWidth="1"/>
    <col min="15" max="15" width="8.69140625" style="18" customWidth="1"/>
    <col min="16" max="16384" width="9.15234375" style="18"/>
  </cols>
  <sheetData>
    <row r="1" spans="1:15" x14ac:dyDescent="0.4">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4">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4">
      <c r="A3" s="18" t="s">
        <v>278</v>
      </c>
      <c r="B3" s="18" t="s">
        <v>279</v>
      </c>
      <c r="C3" s="18" t="s">
        <v>280</v>
      </c>
      <c r="D3" s="18" t="s">
        <v>281</v>
      </c>
      <c r="E3" s="18" t="s">
        <v>282</v>
      </c>
      <c r="F3" s="28"/>
      <c r="G3" s="28"/>
      <c r="H3" s="28"/>
      <c r="J3" s="18">
        <v>1.5</v>
      </c>
      <c r="O3" s="18" t="b">
        <v>0</v>
      </c>
    </row>
    <row r="4" spans="1:15" x14ac:dyDescent="0.4">
      <c r="A4" s="18" t="s">
        <v>283</v>
      </c>
      <c r="B4" s="18" t="s">
        <v>279</v>
      </c>
      <c r="C4" s="18" t="s">
        <v>280</v>
      </c>
      <c r="D4" s="18" t="s">
        <v>284</v>
      </c>
      <c r="E4" s="18" t="s">
        <v>285</v>
      </c>
      <c r="F4" s="28"/>
      <c r="G4" s="28" t="b">
        <v>1</v>
      </c>
      <c r="H4" s="28"/>
      <c r="I4" s="18">
        <v>2</v>
      </c>
      <c r="J4" s="18">
        <v>1.5</v>
      </c>
      <c r="O4" s="18" t="b">
        <v>1</v>
      </c>
    </row>
    <row r="5" spans="1:15" x14ac:dyDescent="0.4">
      <c r="A5" s="18" t="s">
        <v>286</v>
      </c>
      <c r="B5" s="18" t="s">
        <v>279</v>
      </c>
      <c r="C5" s="18" t="s">
        <v>280</v>
      </c>
      <c r="D5" s="18" t="s">
        <v>287</v>
      </c>
      <c r="E5" s="18" t="s">
        <v>282</v>
      </c>
      <c r="F5" s="28"/>
      <c r="G5" s="28" t="b">
        <v>1</v>
      </c>
      <c r="H5" s="28"/>
      <c r="J5" s="18">
        <v>1.5</v>
      </c>
      <c r="O5" s="18" t="b">
        <v>0</v>
      </c>
    </row>
    <row r="6" spans="1:15" x14ac:dyDescent="0.4">
      <c r="A6" s="18" t="s">
        <v>288</v>
      </c>
      <c r="B6" s="18" t="s">
        <v>279</v>
      </c>
      <c r="C6" s="18" t="s">
        <v>289</v>
      </c>
      <c r="D6" s="18" t="s">
        <v>290</v>
      </c>
      <c r="E6" s="18" t="s">
        <v>282</v>
      </c>
      <c r="F6" s="28"/>
      <c r="G6" s="28" t="b">
        <v>1</v>
      </c>
      <c r="H6" s="28"/>
      <c r="J6" s="18">
        <v>1.5</v>
      </c>
      <c r="O6" s="18" t="b">
        <v>0</v>
      </c>
    </row>
    <row r="7" spans="1:15" x14ac:dyDescent="0.4">
      <c r="A7" s="18" t="s">
        <v>291</v>
      </c>
      <c r="B7" s="18" t="s">
        <v>279</v>
      </c>
      <c r="C7" s="18" t="s">
        <v>289</v>
      </c>
      <c r="D7" s="18" t="s">
        <v>292</v>
      </c>
      <c r="E7" s="18" t="s">
        <v>285</v>
      </c>
      <c r="F7" s="28"/>
      <c r="G7" s="28" t="b">
        <v>1</v>
      </c>
      <c r="H7" s="28"/>
      <c r="I7" s="18">
        <v>2</v>
      </c>
      <c r="J7" s="18">
        <v>1.5</v>
      </c>
      <c r="O7" s="18" t="b">
        <v>1</v>
      </c>
    </row>
    <row r="8" spans="1:15" x14ac:dyDescent="0.4">
      <c r="A8" s="18" t="s">
        <v>293</v>
      </c>
      <c r="B8" s="18" t="s">
        <v>279</v>
      </c>
      <c r="C8" s="18" t="s">
        <v>289</v>
      </c>
      <c r="D8" s="18" t="s">
        <v>294</v>
      </c>
      <c r="E8" s="18" t="s">
        <v>285</v>
      </c>
      <c r="F8" s="28"/>
      <c r="G8" s="28"/>
      <c r="H8" s="28"/>
      <c r="J8" s="18">
        <v>1.5</v>
      </c>
      <c r="O8" s="18" t="b">
        <v>0</v>
      </c>
    </row>
    <row r="9" spans="1:15" x14ac:dyDescent="0.4">
      <c r="A9" s="18" t="s">
        <v>295</v>
      </c>
      <c r="B9" s="18" t="s">
        <v>279</v>
      </c>
      <c r="C9" s="18" t="s">
        <v>289</v>
      </c>
      <c r="D9" s="18" t="s">
        <v>284</v>
      </c>
      <c r="E9" s="18" t="s">
        <v>285</v>
      </c>
      <c r="F9" s="28"/>
      <c r="G9" s="28" t="b">
        <v>1</v>
      </c>
      <c r="H9" s="28"/>
      <c r="I9" s="18">
        <v>2</v>
      </c>
      <c r="J9" s="18">
        <v>1.5</v>
      </c>
      <c r="O9" s="18" t="b">
        <v>1</v>
      </c>
    </row>
    <row r="10" spans="1:15" x14ac:dyDescent="0.4">
      <c r="A10" s="18" t="s">
        <v>296</v>
      </c>
      <c r="B10" s="18" t="s">
        <v>279</v>
      </c>
      <c r="C10" s="18" t="s">
        <v>289</v>
      </c>
      <c r="D10" s="18" t="s">
        <v>287</v>
      </c>
      <c r="E10" s="18" t="s">
        <v>282</v>
      </c>
      <c r="F10" s="28"/>
      <c r="G10" s="28" t="b">
        <v>1</v>
      </c>
      <c r="H10" s="28"/>
      <c r="J10" s="18">
        <v>1.5</v>
      </c>
      <c r="O10" s="18" t="b">
        <v>0</v>
      </c>
    </row>
    <row r="11" spans="1:15" x14ac:dyDescent="0.4">
      <c r="A11" s="18" t="s">
        <v>297</v>
      </c>
      <c r="B11" s="18" t="s">
        <v>279</v>
      </c>
      <c r="C11" s="18" t="s">
        <v>298</v>
      </c>
      <c r="D11" s="18" t="s">
        <v>290</v>
      </c>
      <c r="E11" s="18" t="s">
        <v>282</v>
      </c>
      <c r="F11" s="28"/>
      <c r="G11" s="28" t="b">
        <v>1</v>
      </c>
      <c r="H11" s="28"/>
      <c r="J11" s="18">
        <v>1.5</v>
      </c>
      <c r="O11" s="18" t="b">
        <v>0</v>
      </c>
    </row>
    <row r="12" spans="1:15" x14ac:dyDescent="0.4">
      <c r="A12" s="18" t="s">
        <v>299</v>
      </c>
      <c r="B12" s="18" t="s">
        <v>279</v>
      </c>
      <c r="C12" s="18" t="s">
        <v>298</v>
      </c>
      <c r="D12" s="18" t="s">
        <v>292</v>
      </c>
      <c r="E12" s="18" t="s">
        <v>285</v>
      </c>
      <c r="F12" s="28"/>
      <c r="G12" s="28" t="b">
        <v>1</v>
      </c>
      <c r="H12" s="28"/>
      <c r="I12" s="18">
        <v>2</v>
      </c>
      <c r="J12" s="18">
        <v>1.5</v>
      </c>
      <c r="O12" s="18" t="b">
        <v>1</v>
      </c>
    </row>
    <row r="13" spans="1:15" x14ac:dyDescent="0.4">
      <c r="A13" s="68" t="s">
        <v>300</v>
      </c>
      <c r="B13" s="68" t="s">
        <v>279</v>
      </c>
      <c r="C13" s="68" t="s">
        <v>298</v>
      </c>
      <c r="D13" s="68" t="s">
        <v>301</v>
      </c>
      <c r="E13" s="68" t="s">
        <v>282</v>
      </c>
      <c r="F13" s="28"/>
      <c r="G13" s="69"/>
      <c r="H13" s="28"/>
      <c r="I13" s="68"/>
      <c r="J13" s="68">
        <v>1.5</v>
      </c>
      <c r="K13" s="68"/>
      <c r="L13" s="68"/>
      <c r="M13" s="68"/>
      <c r="N13" s="68"/>
      <c r="O13" s="68" t="b">
        <v>0</v>
      </c>
    </row>
    <row r="14" spans="1:15" x14ac:dyDescent="0.4">
      <c r="A14" s="18" t="s">
        <v>302</v>
      </c>
      <c r="B14" s="18" t="s">
        <v>303</v>
      </c>
      <c r="C14" s="18" t="s">
        <v>304</v>
      </c>
      <c r="D14" s="18" t="s">
        <v>305</v>
      </c>
      <c r="E14" s="18" t="s">
        <v>306</v>
      </c>
      <c r="F14" s="28"/>
      <c r="G14" s="28" t="b">
        <v>1</v>
      </c>
      <c r="H14" s="28"/>
      <c r="I14" s="18">
        <v>168</v>
      </c>
      <c r="O14" s="18" t="b">
        <v>0</v>
      </c>
    </row>
    <row r="15" spans="1:15" x14ac:dyDescent="0.4">
      <c r="A15" s="18" t="s">
        <v>307</v>
      </c>
      <c r="B15" s="18" t="s">
        <v>303</v>
      </c>
      <c r="C15" s="18" t="str">
        <f ca="1">IF(ISBLANK($C15)=FALSE,_xlfn.CONCAT("owc_",$C15),"")</f>
        <v>owc_MJ1</v>
      </c>
      <c r="D15" s="18" t="s">
        <v>281</v>
      </c>
      <c r="E15" s="18" t="s">
        <v>282</v>
      </c>
      <c r="F15" s="28"/>
      <c r="G15" s="28"/>
      <c r="H15" s="28"/>
      <c r="I15" s="68"/>
      <c r="O15" s="18" t="b">
        <v>0</v>
      </c>
    </row>
    <row r="16" spans="1:15" x14ac:dyDescent="0.4">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4">
      <c r="A17" s="18" t="s">
        <v>310</v>
      </c>
      <c r="B17" s="18" t="s">
        <v>303</v>
      </c>
      <c r="C17" s="18" t="str">
        <f ca="1">IF(ISBLANK($C17)=FALSE,_xlfn.CONCAT("owc_",$C17),"")</f>
        <v>owc_MJ1</v>
      </c>
      <c r="D17" s="68" t="s">
        <v>301</v>
      </c>
      <c r="E17" s="18" t="s">
        <v>282</v>
      </c>
      <c r="F17" s="28"/>
      <c r="G17" s="28"/>
      <c r="H17" s="28"/>
      <c r="I17" s="68"/>
      <c r="O17" s="18" t="b">
        <v>0</v>
      </c>
    </row>
    <row r="18" spans="1:15" x14ac:dyDescent="0.4">
      <c r="A18" s="18" t="s">
        <v>311</v>
      </c>
      <c r="B18" s="18" t="s">
        <v>303</v>
      </c>
      <c r="C18" s="18" t="s">
        <v>312</v>
      </c>
      <c r="D18" s="18" t="s">
        <v>313</v>
      </c>
      <c r="E18" s="18" t="s">
        <v>306</v>
      </c>
      <c r="F18" s="28"/>
      <c r="G18" s="28" t="b">
        <v>1</v>
      </c>
      <c r="H18" s="28"/>
      <c r="I18" s="18">
        <v>168</v>
      </c>
      <c r="O18" s="18" t="b">
        <v>0</v>
      </c>
    </row>
    <row r="19" spans="1:15" x14ac:dyDescent="0.4">
      <c r="F19" s="28"/>
      <c r="G19" s="28"/>
      <c r="H19" s="28"/>
    </row>
    <row r="20" spans="1:15" x14ac:dyDescent="0.4">
      <c r="F20" s="28"/>
      <c r="G20" s="28"/>
      <c r="H20" s="28"/>
    </row>
    <row r="21" spans="1:15" x14ac:dyDescent="0.4">
      <c r="F21" s="28"/>
      <c r="G21" s="28"/>
      <c r="H21" s="28"/>
    </row>
    <row r="22" spans="1:15" x14ac:dyDescent="0.4">
      <c r="F22" s="28"/>
      <c r="G22" s="28"/>
      <c r="H22" s="28"/>
    </row>
    <row r="23" spans="1:15" x14ac:dyDescent="0.4">
      <c r="F23" s="28"/>
      <c r="G23" s="28"/>
      <c r="H23" s="28"/>
    </row>
    <row r="24" spans="1:15" x14ac:dyDescent="0.4">
      <c r="F24" s="28"/>
      <c r="G24" s="28"/>
      <c r="H24" s="28"/>
    </row>
    <row r="25" spans="1:15" x14ac:dyDescent="0.4">
      <c r="F25" s="28"/>
      <c r="G25" s="28"/>
      <c r="H25" s="28"/>
    </row>
    <row r="26" spans="1:15" x14ac:dyDescent="0.4">
      <c r="F26" s="28"/>
      <c r="G26" s="28"/>
      <c r="H26" s="28"/>
    </row>
    <row r="27" spans="1:15" x14ac:dyDescent="0.4">
      <c r="F27" s="28"/>
      <c r="G27" s="28"/>
      <c r="H27" s="28"/>
    </row>
    <row r="28" spans="1:15" x14ac:dyDescent="0.4">
      <c r="F28" s="28"/>
      <c r="G28" s="28"/>
      <c r="H28" s="28"/>
    </row>
    <row r="29" spans="1:15" x14ac:dyDescent="0.4">
      <c r="F29" s="28"/>
      <c r="G29" s="28"/>
      <c r="H29" s="28"/>
    </row>
    <row r="30" spans="1:15" x14ac:dyDescent="0.4">
      <c r="F30" s="28"/>
      <c r="G30" s="28"/>
      <c r="H30" s="28"/>
    </row>
    <row r="31" spans="1:15" x14ac:dyDescent="0.4">
      <c r="F31" s="28"/>
      <c r="G31" s="28"/>
      <c r="H31" s="28"/>
    </row>
    <row r="32" spans="1:15" x14ac:dyDescent="0.4">
      <c r="F32" s="28"/>
      <c r="G32" s="28"/>
      <c r="H32" s="28"/>
    </row>
    <row r="33" spans="6:8" x14ac:dyDescent="0.4">
      <c r="F33" s="28"/>
      <c r="G33" s="28"/>
      <c r="H33" s="28"/>
    </row>
    <row r="34" spans="6:8" x14ac:dyDescent="0.4">
      <c r="F34" s="28"/>
      <c r="G34" s="28"/>
      <c r="H34" s="28"/>
    </row>
    <row r="35" spans="6:8" x14ac:dyDescent="0.4">
      <c r="F35" s="28"/>
      <c r="G35" s="28"/>
      <c r="H35" s="28"/>
    </row>
    <row r="36" spans="6:8" x14ac:dyDescent="0.4">
      <c r="F36" s="28"/>
      <c r="G36" s="28"/>
      <c r="H36" s="28"/>
    </row>
    <row r="37" spans="6:8" x14ac:dyDescent="0.4">
      <c r="F37" s="28"/>
      <c r="G37" s="28"/>
      <c r="H37" s="28"/>
    </row>
    <row r="38" spans="6:8" x14ac:dyDescent="0.4">
      <c r="F38" s="28"/>
      <c r="G38" s="28"/>
      <c r="H38" s="28"/>
    </row>
    <row r="39" spans="6:8" x14ac:dyDescent="0.4">
      <c r="F39" s="28"/>
      <c r="G39" s="28"/>
      <c r="H39" s="28"/>
    </row>
    <row r="40" spans="6:8" x14ac:dyDescent="0.4">
      <c r="F40" s="28"/>
      <c r="G40" s="28"/>
      <c r="H40" s="28"/>
    </row>
    <row r="41" spans="6:8" x14ac:dyDescent="0.4">
      <c r="F41" s="28"/>
      <c r="G41" s="28"/>
      <c r="H41" s="28"/>
    </row>
    <row r="42" spans="6:8" x14ac:dyDescent="0.4">
      <c r="F42" s="28"/>
      <c r="G42" s="28"/>
      <c r="H42" s="28"/>
    </row>
    <row r="43" spans="6:8" x14ac:dyDescent="0.4">
      <c r="F43" s="28"/>
      <c r="G43" s="28"/>
      <c r="H43" s="28"/>
    </row>
    <row r="44" spans="6:8" x14ac:dyDescent="0.4">
      <c r="F44" s="28"/>
      <c r="G44" s="28"/>
      <c r="H44" s="28"/>
    </row>
    <row r="45" spans="6:8" x14ac:dyDescent="0.4">
      <c r="F45" s="28"/>
      <c r="G45" s="28"/>
      <c r="H45" s="28"/>
    </row>
    <row r="46" spans="6:8" x14ac:dyDescent="0.4">
      <c r="F46" s="28"/>
      <c r="G46" s="28"/>
      <c r="H46" s="28"/>
    </row>
    <row r="47" spans="6:8" x14ac:dyDescent="0.4">
      <c r="F47" s="28"/>
      <c r="G47" s="28"/>
      <c r="H47" s="28"/>
    </row>
    <row r="48" spans="6:8" x14ac:dyDescent="0.4">
      <c r="F48" s="28"/>
      <c r="G48" s="28"/>
      <c r="H48" s="28"/>
    </row>
    <row r="49" spans="6:8" x14ac:dyDescent="0.4">
      <c r="F49" s="28"/>
      <c r="G49" s="28"/>
      <c r="H49" s="28"/>
    </row>
    <row r="50" spans="6:8" x14ac:dyDescent="0.4">
      <c r="F50" s="28"/>
      <c r="G50" s="28"/>
      <c r="H50" s="28"/>
    </row>
    <row r="51" spans="6:8" x14ac:dyDescent="0.4">
      <c r="F51" s="28"/>
      <c r="G51" s="28"/>
      <c r="H51" s="28"/>
    </row>
    <row r="52" spans="6:8" x14ac:dyDescent="0.4">
      <c r="F52" s="28"/>
      <c r="G52" s="28"/>
      <c r="H52" s="28"/>
    </row>
    <row r="53" spans="6:8" x14ac:dyDescent="0.4">
      <c r="F53" s="28"/>
      <c r="G53" s="28"/>
      <c r="H53" s="28"/>
    </row>
    <row r="54" spans="6:8" x14ac:dyDescent="0.4">
      <c r="F54" s="28"/>
      <c r="G54" s="28"/>
      <c r="H54" s="28"/>
    </row>
    <row r="55" spans="6:8" x14ac:dyDescent="0.4">
      <c r="F55" s="28"/>
      <c r="G55" s="28"/>
      <c r="H55" s="28"/>
    </row>
    <row r="56" spans="6:8" x14ac:dyDescent="0.4">
      <c r="F56" s="28"/>
      <c r="G56" s="28"/>
      <c r="H56" s="28"/>
    </row>
    <row r="57" spans="6:8" x14ac:dyDescent="0.4">
      <c r="F57" s="28"/>
      <c r="G57" s="28"/>
      <c r="H57" s="28"/>
    </row>
    <row r="58" spans="6:8" x14ac:dyDescent="0.4">
      <c r="F58" s="28"/>
      <c r="G58" s="28"/>
      <c r="H58" s="28"/>
    </row>
    <row r="59" spans="6:8" x14ac:dyDescent="0.4">
      <c r="F59" s="28"/>
      <c r="G59" s="28"/>
      <c r="H59" s="28"/>
    </row>
    <row r="60" spans="6:8" x14ac:dyDescent="0.4">
      <c r="F60" s="28"/>
      <c r="G60" s="28"/>
      <c r="H60" s="28"/>
    </row>
    <row r="61" spans="6:8" x14ac:dyDescent="0.4">
      <c r="F61" s="28"/>
      <c r="G61" s="28"/>
      <c r="H61" s="28"/>
    </row>
    <row r="62" spans="6:8" x14ac:dyDescent="0.4">
      <c r="F62" s="28"/>
      <c r="G62" s="28"/>
      <c r="H62" s="28"/>
    </row>
    <row r="63" spans="6:8" x14ac:dyDescent="0.4">
      <c r="F63" s="28"/>
      <c r="G63" s="28"/>
      <c r="H63" s="28"/>
    </row>
    <row r="64" spans="6:8" x14ac:dyDescent="0.4">
      <c r="F64" s="28"/>
      <c r="G64" s="28"/>
      <c r="H64" s="28"/>
    </row>
    <row r="65" spans="6:8" x14ac:dyDescent="0.4">
      <c r="F65" s="28"/>
      <c r="G65" s="28"/>
      <c r="H65" s="28"/>
    </row>
    <row r="66" spans="6:8" x14ac:dyDescent="0.4">
      <c r="F66" s="28"/>
      <c r="G66" s="28"/>
      <c r="H66" s="28"/>
    </row>
    <row r="67" spans="6:8" x14ac:dyDescent="0.4">
      <c r="F67" s="28"/>
      <c r="G67" s="28"/>
      <c r="H67" s="28"/>
    </row>
    <row r="68" spans="6:8" x14ac:dyDescent="0.4">
      <c r="F68" s="28"/>
      <c r="G68" s="28"/>
      <c r="H68" s="28"/>
    </row>
    <row r="69" spans="6:8" x14ac:dyDescent="0.4">
      <c r="F69" s="28"/>
      <c r="G69" s="28"/>
      <c r="H69" s="28"/>
    </row>
    <row r="70" spans="6:8" x14ac:dyDescent="0.4">
      <c r="F70" s="28"/>
      <c r="G70" s="28"/>
      <c r="H70" s="28"/>
    </row>
    <row r="71" spans="6:8" x14ac:dyDescent="0.4">
      <c r="F71" s="28"/>
      <c r="G71" s="28"/>
      <c r="H71" s="28"/>
    </row>
    <row r="72" spans="6:8" x14ac:dyDescent="0.4">
      <c r="F72" s="28"/>
      <c r="G72" s="28"/>
      <c r="H72" s="28"/>
    </row>
    <row r="73" spans="6:8" x14ac:dyDescent="0.4">
      <c r="F73" s="28"/>
      <c r="G73" s="28"/>
      <c r="H73" s="28"/>
    </row>
    <row r="74" spans="6:8" x14ac:dyDescent="0.4">
      <c r="F74" s="28"/>
      <c r="G74" s="28"/>
      <c r="H74" s="28"/>
    </row>
    <row r="75" spans="6:8" x14ac:dyDescent="0.4">
      <c r="F75" s="28"/>
      <c r="G75" s="28"/>
      <c r="H75" s="28"/>
    </row>
    <row r="76" spans="6:8" x14ac:dyDescent="0.4">
      <c r="F76" s="28"/>
      <c r="G76" s="28"/>
      <c r="H76" s="28"/>
    </row>
    <row r="77" spans="6:8" x14ac:dyDescent="0.4">
      <c r="F77" s="28"/>
      <c r="G77" s="28"/>
      <c r="H77" s="28"/>
    </row>
    <row r="78" spans="6:8" x14ac:dyDescent="0.4">
      <c r="F78" s="28"/>
      <c r="G78" s="28"/>
      <c r="H78" s="28"/>
    </row>
    <row r="79" spans="6:8" x14ac:dyDescent="0.4">
      <c r="F79" s="28"/>
      <c r="G79" s="28"/>
      <c r="H79" s="28"/>
    </row>
    <row r="80" spans="6:8" x14ac:dyDescent="0.4">
      <c r="F80" s="28"/>
      <c r="G80" s="28"/>
      <c r="H80" s="28"/>
    </row>
    <row r="81" spans="6:8" x14ac:dyDescent="0.4">
      <c r="F81" s="28"/>
      <c r="G81" s="28"/>
      <c r="H81" s="28"/>
    </row>
    <row r="82" spans="6:8" x14ac:dyDescent="0.4">
      <c r="F82" s="28"/>
      <c r="G82" s="28"/>
      <c r="H82" s="28"/>
    </row>
    <row r="83" spans="6:8" x14ac:dyDescent="0.4">
      <c r="F83" s="28"/>
      <c r="G83" s="28"/>
      <c r="H83" s="28"/>
    </row>
    <row r="84" spans="6:8" x14ac:dyDescent="0.4">
      <c r="F84" s="28"/>
      <c r="G84" s="28"/>
      <c r="H84" s="28"/>
    </row>
    <row r="85" spans="6:8" x14ac:dyDescent="0.4">
      <c r="F85" s="28"/>
      <c r="G85" s="28"/>
      <c r="H85" s="28"/>
    </row>
    <row r="86" spans="6:8" x14ac:dyDescent="0.4">
      <c r="F86" s="28"/>
      <c r="G86" s="28"/>
      <c r="H86" s="28"/>
    </row>
    <row r="87" spans="6:8" x14ac:dyDescent="0.4">
      <c r="F87" s="28"/>
      <c r="G87" s="28"/>
      <c r="H87" s="28"/>
    </row>
    <row r="88" spans="6:8" x14ac:dyDescent="0.4">
      <c r="F88" s="28"/>
      <c r="G88" s="28"/>
      <c r="H88" s="28"/>
    </row>
    <row r="89" spans="6:8" x14ac:dyDescent="0.4">
      <c r="F89" s="28"/>
      <c r="G89" s="28"/>
      <c r="H89" s="28"/>
    </row>
    <row r="90" spans="6:8" x14ac:dyDescent="0.4">
      <c r="F90" s="28"/>
      <c r="G90" s="28"/>
      <c r="H90" s="28"/>
    </row>
    <row r="91" spans="6:8" x14ac:dyDescent="0.4">
      <c r="F91" s="28"/>
      <c r="G91" s="28"/>
      <c r="H91" s="28"/>
    </row>
    <row r="92" spans="6:8" x14ac:dyDescent="0.4">
      <c r="F92" s="28"/>
      <c r="G92" s="28"/>
      <c r="H92" s="28"/>
    </row>
    <row r="93" spans="6:8" x14ac:dyDescent="0.4">
      <c r="F93" s="28"/>
      <c r="G93" s="28"/>
      <c r="H93" s="28"/>
    </row>
    <row r="94" spans="6:8" x14ac:dyDescent="0.4">
      <c r="F94" s="28"/>
      <c r="G94" s="28"/>
      <c r="H94" s="28"/>
    </row>
    <row r="95" spans="6:8" x14ac:dyDescent="0.4">
      <c r="F95" s="28"/>
      <c r="G95" s="28"/>
      <c r="H95" s="28"/>
    </row>
    <row r="96" spans="6:8" x14ac:dyDescent="0.4">
      <c r="F96" s="28"/>
      <c r="G96" s="28"/>
      <c r="H96" s="28"/>
    </row>
    <row r="97" spans="6:8" x14ac:dyDescent="0.4">
      <c r="F97" s="28"/>
      <c r="G97" s="28"/>
      <c r="H97" s="28"/>
    </row>
    <row r="98" spans="6:8" x14ac:dyDescent="0.4">
      <c r="F98" s="28"/>
      <c r="G98" s="28"/>
      <c r="H98" s="28"/>
    </row>
    <row r="99" spans="6:8" x14ac:dyDescent="0.4">
      <c r="F99" s="28"/>
      <c r="G99" s="28"/>
      <c r="H99" s="28"/>
    </row>
    <row r="100" spans="6:8" x14ac:dyDescent="0.4">
      <c r="F100" s="28"/>
      <c r="G100" s="28"/>
      <c r="H100" s="28"/>
    </row>
    <row r="101" spans="6:8" x14ac:dyDescent="0.4">
      <c r="F101" s="28"/>
      <c r="G101" s="28"/>
      <c r="H101" s="28"/>
    </row>
    <row r="102" spans="6:8" x14ac:dyDescent="0.4">
      <c r="F102" s="28"/>
      <c r="G102" s="28"/>
      <c r="H102" s="28"/>
    </row>
    <row r="103" spans="6:8" x14ac:dyDescent="0.4">
      <c r="F103" s="28"/>
      <c r="G103" s="28"/>
      <c r="H103" s="28"/>
    </row>
    <row r="104" spans="6:8" x14ac:dyDescent="0.4">
      <c r="F104" s="28"/>
      <c r="G104" s="28"/>
      <c r="H104" s="28"/>
    </row>
    <row r="105" spans="6:8" x14ac:dyDescent="0.4">
      <c r="F105" s="28"/>
      <c r="G105" s="28"/>
      <c r="H105" s="28"/>
    </row>
    <row r="106" spans="6:8" x14ac:dyDescent="0.4">
      <c r="F106" s="28"/>
      <c r="G106" s="28"/>
      <c r="H106" s="28"/>
    </row>
    <row r="107" spans="6:8" x14ac:dyDescent="0.4">
      <c r="F107" s="28"/>
      <c r="G107" s="28"/>
      <c r="H107" s="28"/>
    </row>
    <row r="108" spans="6:8" x14ac:dyDescent="0.4">
      <c r="F108" s="28"/>
      <c r="G108" s="28"/>
      <c r="H108" s="28"/>
    </row>
    <row r="109" spans="6:8" x14ac:dyDescent="0.4">
      <c r="F109" s="28"/>
      <c r="G109" s="28"/>
      <c r="H109" s="28"/>
    </row>
    <row r="110" spans="6:8" x14ac:dyDescent="0.4">
      <c r="F110" s="28"/>
      <c r="G110" s="28"/>
      <c r="H110" s="28"/>
    </row>
    <row r="111" spans="6:8" x14ac:dyDescent="0.4">
      <c r="F111" s="28"/>
      <c r="G111" s="28"/>
      <c r="H111" s="28"/>
    </row>
    <row r="112" spans="6:8" x14ac:dyDescent="0.4">
      <c r="F112" s="28"/>
      <c r="G112" s="28"/>
      <c r="H112" s="28"/>
    </row>
    <row r="113" spans="6:8" x14ac:dyDescent="0.4">
      <c r="F113" s="28"/>
      <c r="G113" s="28"/>
      <c r="H113" s="28"/>
    </row>
    <row r="114" spans="6:8" x14ac:dyDescent="0.4">
      <c r="F114" s="28"/>
      <c r="G114" s="28"/>
      <c r="H114" s="28"/>
    </row>
    <row r="115" spans="6:8" x14ac:dyDescent="0.4">
      <c r="F115" s="28"/>
      <c r="G115" s="28"/>
      <c r="H115" s="28"/>
    </row>
    <row r="116" spans="6:8" x14ac:dyDescent="0.4">
      <c r="F116" s="28"/>
      <c r="G116" s="28"/>
      <c r="H116" s="28"/>
    </row>
    <row r="117" spans="6:8" x14ac:dyDescent="0.4">
      <c r="F117" s="28"/>
      <c r="G117" s="28"/>
      <c r="H117" s="28"/>
    </row>
    <row r="118" spans="6:8" x14ac:dyDescent="0.4">
      <c r="F118" s="28"/>
      <c r="G118" s="28"/>
      <c r="H118" s="28"/>
    </row>
    <row r="119" spans="6:8" x14ac:dyDescent="0.4">
      <c r="F119" s="28"/>
      <c r="G119" s="28"/>
      <c r="H119" s="28"/>
    </row>
    <row r="120" spans="6:8" x14ac:dyDescent="0.4">
      <c r="F120" s="28"/>
      <c r="G120" s="28"/>
      <c r="H120" s="28"/>
    </row>
    <row r="121" spans="6:8" x14ac:dyDescent="0.4">
      <c r="F121" s="28"/>
      <c r="G121" s="28"/>
      <c r="H121" s="28"/>
    </row>
    <row r="122" spans="6:8" x14ac:dyDescent="0.4">
      <c r="F122" s="28"/>
      <c r="G122" s="28"/>
      <c r="H122" s="28"/>
    </row>
    <row r="123" spans="6:8" x14ac:dyDescent="0.4">
      <c r="F123" s="28"/>
      <c r="G123" s="28"/>
      <c r="H123" s="28"/>
    </row>
    <row r="124" spans="6:8" x14ac:dyDescent="0.4">
      <c r="F124" s="28"/>
      <c r="G124" s="28"/>
      <c r="H124" s="28"/>
    </row>
    <row r="125" spans="6:8" x14ac:dyDescent="0.4">
      <c r="F125" s="28"/>
      <c r="G125" s="28"/>
      <c r="H125" s="28"/>
    </row>
    <row r="126" spans="6:8" x14ac:dyDescent="0.4">
      <c r="F126" s="28"/>
      <c r="G126" s="28"/>
      <c r="H126" s="28"/>
    </row>
    <row r="127" spans="6:8" x14ac:dyDescent="0.4">
      <c r="F127" s="28"/>
      <c r="G127" s="28"/>
      <c r="H127" s="28"/>
    </row>
    <row r="128" spans="6:8" x14ac:dyDescent="0.4">
      <c r="F128" s="28"/>
      <c r="G128" s="28"/>
      <c r="H128" s="28"/>
    </row>
    <row r="129" spans="6:8" x14ac:dyDescent="0.4">
      <c r="F129" s="28"/>
      <c r="G129" s="28"/>
      <c r="H129" s="28"/>
    </row>
    <row r="130" spans="6:8" x14ac:dyDescent="0.4">
      <c r="F130" s="28"/>
      <c r="G130" s="28"/>
      <c r="H130" s="28"/>
    </row>
    <row r="131" spans="6:8" x14ac:dyDescent="0.4">
      <c r="F131" s="28"/>
      <c r="G131" s="28"/>
      <c r="H131" s="28"/>
    </row>
    <row r="132" spans="6:8" x14ac:dyDescent="0.4">
      <c r="F132" s="28"/>
      <c r="G132" s="28"/>
      <c r="H132" s="28"/>
    </row>
    <row r="133" spans="6:8" x14ac:dyDescent="0.4">
      <c r="F133" s="28"/>
      <c r="G133" s="28"/>
      <c r="H133" s="28"/>
    </row>
    <row r="134" spans="6:8" x14ac:dyDescent="0.4">
      <c r="F134" s="28"/>
      <c r="G134" s="28"/>
      <c r="H134" s="28"/>
    </row>
    <row r="135" spans="6:8" x14ac:dyDescent="0.4">
      <c r="F135" s="28"/>
      <c r="G135" s="28"/>
      <c r="H135" s="28"/>
    </row>
    <row r="136" spans="6:8" x14ac:dyDescent="0.4">
      <c r="F136" s="28"/>
      <c r="G136" s="28"/>
      <c r="H136" s="28"/>
    </row>
    <row r="137" spans="6:8" x14ac:dyDescent="0.4">
      <c r="F137" s="28"/>
      <c r="G137" s="28"/>
      <c r="H137" s="28"/>
    </row>
    <row r="138" spans="6:8" x14ac:dyDescent="0.4">
      <c r="F138" s="28"/>
      <c r="G138" s="28"/>
      <c r="H138" s="28"/>
    </row>
    <row r="139" spans="6:8" x14ac:dyDescent="0.4">
      <c r="F139" s="28"/>
      <c r="G139" s="28"/>
      <c r="H139" s="28"/>
    </row>
    <row r="140" spans="6:8" x14ac:dyDescent="0.4">
      <c r="F140" s="28"/>
      <c r="G140" s="28"/>
      <c r="H140" s="28"/>
    </row>
    <row r="141" spans="6:8" x14ac:dyDescent="0.4">
      <c r="F141" s="28"/>
      <c r="G141" s="28"/>
      <c r="H141" s="28"/>
    </row>
    <row r="142" spans="6:8" x14ac:dyDescent="0.4">
      <c r="F142" s="28"/>
      <c r="G142" s="28"/>
      <c r="H142" s="28"/>
    </row>
    <row r="143" spans="6:8" x14ac:dyDescent="0.4">
      <c r="F143" s="28"/>
      <c r="G143" s="28"/>
      <c r="H143" s="28"/>
    </row>
    <row r="144" spans="6:8" x14ac:dyDescent="0.4">
      <c r="F144" s="28"/>
      <c r="G144" s="28"/>
      <c r="H144" s="28"/>
    </row>
    <row r="145" spans="6:8" x14ac:dyDescent="0.4">
      <c r="F145" s="28"/>
      <c r="G145" s="28"/>
      <c r="H145" s="28"/>
    </row>
    <row r="146" spans="6:8" x14ac:dyDescent="0.4">
      <c r="F146" s="28"/>
      <c r="G146" s="28"/>
      <c r="H146" s="28"/>
    </row>
    <row r="147" spans="6:8" x14ac:dyDescent="0.4">
      <c r="F147" s="28"/>
      <c r="G147" s="28"/>
      <c r="H147" s="28"/>
    </row>
    <row r="148" spans="6:8" x14ac:dyDescent="0.4">
      <c r="F148" s="28"/>
      <c r="G148" s="28"/>
      <c r="H148" s="28"/>
    </row>
    <row r="149" spans="6:8" x14ac:dyDescent="0.4">
      <c r="F149" s="28"/>
      <c r="G149" s="28"/>
      <c r="H149" s="28"/>
    </row>
    <row r="150" spans="6:8" x14ac:dyDescent="0.4">
      <c r="F150" s="28"/>
      <c r="G150" s="28"/>
      <c r="H150" s="28"/>
    </row>
    <row r="151" spans="6:8" x14ac:dyDescent="0.4">
      <c r="F151" s="28"/>
      <c r="G151" s="28"/>
      <c r="H151" s="28"/>
    </row>
    <row r="152" spans="6:8" x14ac:dyDescent="0.4">
      <c r="F152" s="28"/>
      <c r="G152" s="28"/>
      <c r="H152" s="28"/>
    </row>
    <row r="153" spans="6:8" x14ac:dyDescent="0.4">
      <c r="F153" s="28"/>
      <c r="G153" s="28"/>
      <c r="H153" s="28"/>
    </row>
    <row r="154" spans="6:8" x14ac:dyDescent="0.4">
      <c r="F154" s="28"/>
      <c r="G154" s="28"/>
      <c r="H154" s="28"/>
    </row>
    <row r="155" spans="6:8" x14ac:dyDescent="0.4">
      <c r="F155" s="28"/>
      <c r="G155" s="28"/>
      <c r="H155" s="28"/>
    </row>
    <row r="156" spans="6:8" x14ac:dyDescent="0.4">
      <c r="F156" s="28"/>
      <c r="G156" s="28"/>
      <c r="H156" s="28"/>
    </row>
    <row r="157" spans="6:8" x14ac:dyDescent="0.4">
      <c r="F157" s="28"/>
      <c r="G157" s="28"/>
      <c r="H157" s="28"/>
    </row>
    <row r="158" spans="6:8" x14ac:dyDescent="0.4">
      <c r="F158" s="28"/>
      <c r="G158" s="28"/>
      <c r="H158" s="28"/>
    </row>
    <row r="159" spans="6:8" x14ac:dyDescent="0.4">
      <c r="F159" s="28"/>
      <c r="G159" s="28"/>
      <c r="H159" s="28"/>
    </row>
    <row r="160" spans="6:8" x14ac:dyDescent="0.4">
      <c r="F160" s="28"/>
      <c r="G160" s="28"/>
      <c r="H160" s="28"/>
    </row>
    <row r="161" spans="6:8" x14ac:dyDescent="0.4">
      <c r="F161" s="28"/>
      <c r="G161" s="28"/>
      <c r="H161" s="28"/>
    </row>
    <row r="162" spans="6:8" x14ac:dyDescent="0.4">
      <c r="F162" s="28"/>
      <c r="G162" s="28"/>
      <c r="H162" s="28"/>
    </row>
    <row r="163" spans="6:8" x14ac:dyDescent="0.4">
      <c r="F163" s="28"/>
      <c r="G163" s="28"/>
      <c r="H163" s="28"/>
    </row>
    <row r="164" spans="6:8" x14ac:dyDescent="0.4">
      <c r="F164" s="28"/>
      <c r="G164" s="28"/>
      <c r="H164" s="28"/>
    </row>
    <row r="165" spans="6:8" x14ac:dyDescent="0.4">
      <c r="F165" s="28"/>
      <c r="G165" s="28"/>
      <c r="H165" s="28"/>
    </row>
    <row r="166" spans="6:8" x14ac:dyDescent="0.4">
      <c r="F166" s="28"/>
      <c r="G166" s="28"/>
      <c r="H166" s="28"/>
    </row>
    <row r="167" spans="6:8" x14ac:dyDescent="0.4">
      <c r="F167" s="28"/>
      <c r="G167" s="28"/>
      <c r="H167" s="28"/>
    </row>
    <row r="168" spans="6:8" x14ac:dyDescent="0.4">
      <c r="F168" s="28"/>
      <c r="G168" s="28"/>
      <c r="H168" s="28"/>
    </row>
    <row r="169" spans="6:8" x14ac:dyDescent="0.4">
      <c r="F169" s="28"/>
      <c r="G169" s="28"/>
      <c r="H169" s="28"/>
    </row>
    <row r="170" spans="6:8" x14ac:dyDescent="0.4">
      <c r="F170" s="28"/>
      <c r="G170" s="28"/>
      <c r="H170" s="28"/>
    </row>
    <row r="171" spans="6:8" x14ac:dyDescent="0.4">
      <c r="F171" s="28"/>
      <c r="G171" s="28"/>
      <c r="H171" s="28"/>
    </row>
    <row r="172" spans="6:8" x14ac:dyDescent="0.4">
      <c r="F172" s="28"/>
      <c r="G172" s="28"/>
      <c r="H172" s="28"/>
    </row>
    <row r="173" spans="6:8" x14ac:dyDescent="0.4">
      <c r="F173" s="28"/>
      <c r="G173" s="28"/>
      <c r="H173" s="28"/>
    </row>
    <row r="174" spans="6:8" x14ac:dyDescent="0.4">
      <c r="F174" s="28"/>
      <c r="G174" s="28"/>
      <c r="H174" s="28"/>
    </row>
    <row r="175" spans="6:8" x14ac:dyDescent="0.4">
      <c r="F175" s="28"/>
      <c r="G175" s="28"/>
      <c r="H175" s="28"/>
    </row>
    <row r="176" spans="6:8" x14ac:dyDescent="0.4">
      <c r="F176" s="28"/>
      <c r="G176" s="28"/>
      <c r="H176" s="28"/>
    </row>
    <row r="177" spans="6:8" x14ac:dyDescent="0.4">
      <c r="F177" s="28"/>
      <c r="G177" s="28"/>
      <c r="H177" s="28"/>
    </row>
    <row r="178" spans="6:8" x14ac:dyDescent="0.4">
      <c r="F178" s="28"/>
      <c r="G178" s="28"/>
      <c r="H178" s="28"/>
    </row>
    <row r="179" spans="6:8" x14ac:dyDescent="0.4">
      <c r="F179" s="28"/>
      <c r="G179" s="28"/>
      <c r="H179" s="28"/>
    </row>
    <row r="180" spans="6:8" x14ac:dyDescent="0.4">
      <c r="F180" s="28"/>
      <c r="G180" s="28"/>
      <c r="H180" s="28"/>
    </row>
    <row r="181" spans="6:8" x14ac:dyDescent="0.4">
      <c r="F181" s="28"/>
      <c r="G181" s="28"/>
      <c r="H181" s="28"/>
    </row>
    <row r="182" spans="6:8" x14ac:dyDescent="0.4">
      <c r="F182" s="28"/>
      <c r="G182" s="28"/>
      <c r="H182" s="28"/>
    </row>
    <row r="183" spans="6:8" x14ac:dyDescent="0.4">
      <c r="F183" s="28"/>
      <c r="G183" s="28"/>
      <c r="H183" s="28"/>
    </row>
    <row r="184" spans="6:8" x14ac:dyDescent="0.4">
      <c r="F184" s="28"/>
      <c r="G184" s="28"/>
      <c r="H184" s="28"/>
    </row>
    <row r="185" spans="6:8" x14ac:dyDescent="0.4">
      <c r="F185" s="28"/>
      <c r="G185" s="28"/>
      <c r="H185" s="28"/>
    </row>
    <row r="186" spans="6:8" x14ac:dyDescent="0.4">
      <c r="F186" s="28"/>
      <c r="G186" s="28"/>
      <c r="H186" s="28"/>
    </row>
    <row r="187" spans="6:8" x14ac:dyDescent="0.4">
      <c r="F187" s="28"/>
      <c r="G187" s="28"/>
      <c r="H187" s="28"/>
    </row>
    <row r="188" spans="6:8" x14ac:dyDescent="0.4">
      <c r="F188" s="28"/>
      <c r="G188" s="28"/>
      <c r="H188" s="28"/>
    </row>
    <row r="189" spans="6:8" x14ac:dyDescent="0.4">
      <c r="F189" s="28"/>
      <c r="G189" s="28"/>
      <c r="H189" s="28"/>
    </row>
    <row r="190" spans="6:8" x14ac:dyDescent="0.4">
      <c r="F190" s="28"/>
      <c r="G190" s="28"/>
      <c r="H190" s="28"/>
    </row>
    <row r="191" spans="6:8" x14ac:dyDescent="0.4">
      <c r="F191" s="28"/>
      <c r="G191" s="28"/>
      <c r="H191" s="28"/>
    </row>
    <row r="192" spans="6:8" x14ac:dyDescent="0.4">
      <c r="F192" s="28"/>
      <c r="G192" s="28"/>
      <c r="H192" s="28"/>
    </row>
    <row r="193" spans="6:8" x14ac:dyDescent="0.4">
      <c r="F193" s="28"/>
      <c r="G193" s="28"/>
      <c r="H193" s="28"/>
    </row>
    <row r="194" spans="6:8" x14ac:dyDescent="0.4">
      <c r="F194" s="28"/>
      <c r="G194" s="28"/>
      <c r="H194" s="28"/>
    </row>
    <row r="195" spans="6:8" x14ac:dyDescent="0.4">
      <c r="F195" s="28"/>
      <c r="G195" s="28"/>
      <c r="H195" s="28"/>
    </row>
    <row r="196" spans="6:8" x14ac:dyDescent="0.4">
      <c r="F196" s="28"/>
      <c r="G196" s="28"/>
      <c r="H196" s="28"/>
    </row>
    <row r="197" spans="6:8" x14ac:dyDescent="0.4">
      <c r="F197" s="28"/>
      <c r="G197" s="28"/>
      <c r="H197" s="28"/>
    </row>
    <row r="198" spans="6:8" x14ac:dyDescent="0.4">
      <c r="F198" s="28"/>
      <c r="G198" s="28"/>
      <c r="H198" s="28"/>
    </row>
    <row r="199" spans="6:8" x14ac:dyDescent="0.4">
      <c r="F199" s="28"/>
      <c r="G199" s="28"/>
      <c r="H199" s="28"/>
    </row>
    <row r="200" spans="6:8" x14ac:dyDescent="0.4">
      <c r="F200" s="28"/>
      <c r="G200" s="28"/>
      <c r="H200" s="28"/>
    </row>
    <row r="201" spans="6:8" x14ac:dyDescent="0.4">
      <c r="F201" s="28"/>
      <c r="G201" s="28"/>
      <c r="H201" s="28"/>
    </row>
    <row r="202" spans="6:8" x14ac:dyDescent="0.4">
      <c r="F202" s="28"/>
      <c r="G202" s="28"/>
      <c r="H202" s="28"/>
    </row>
    <row r="203" spans="6:8" x14ac:dyDescent="0.4">
      <c r="F203" s="28"/>
      <c r="G203" s="28"/>
      <c r="H203" s="28"/>
    </row>
    <row r="204" spans="6:8" x14ac:dyDescent="0.4">
      <c r="F204" s="28"/>
      <c r="G204" s="28"/>
      <c r="H204" s="28"/>
    </row>
    <row r="205" spans="6:8" x14ac:dyDescent="0.4">
      <c r="F205" s="28"/>
      <c r="G205" s="28"/>
      <c r="H205" s="28"/>
    </row>
    <row r="206" spans="6:8" x14ac:dyDescent="0.4">
      <c r="F206" s="28"/>
      <c r="G206" s="28"/>
      <c r="H206" s="28"/>
    </row>
    <row r="207" spans="6:8" x14ac:dyDescent="0.4">
      <c r="F207" s="28"/>
      <c r="G207" s="28"/>
      <c r="H207" s="28"/>
    </row>
    <row r="208" spans="6:8" x14ac:dyDescent="0.4">
      <c r="F208" s="28"/>
      <c r="G208" s="28"/>
      <c r="H208" s="28"/>
    </row>
    <row r="209" spans="6:8" x14ac:dyDescent="0.4">
      <c r="F209" s="28"/>
      <c r="G209" s="28"/>
      <c r="H209" s="28"/>
    </row>
    <row r="210" spans="6:8" x14ac:dyDescent="0.4">
      <c r="F210" s="28"/>
      <c r="G210" s="28"/>
      <c r="H210" s="28"/>
    </row>
    <row r="211" spans="6:8" x14ac:dyDescent="0.4">
      <c r="F211" s="28"/>
      <c r="G211" s="28"/>
      <c r="H211" s="28"/>
    </row>
    <row r="212" spans="6:8" x14ac:dyDescent="0.4">
      <c r="F212" s="28"/>
      <c r="G212" s="28"/>
      <c r="H212" s="28"/>
    </row>
    <row r="213" spans="6:8" x14ac:dyDescent="0.4">
      <c r="F213" s="28"/>
      <c r="G213" s="28"/>
      <c r="H213" s="28"/>
    </row>
    <row r="214" spans="6:8" x14ac:dyDescent="0.4">
      <c r="F214" s="28"/>
      <c r="G214" s="28"/>
      <c r="H214" s="28"/>
    </row>
    <row r="215" spans="6:8" x14ac:dyDescent="0.4">
      <c r="F215" s="28"/>
      <c r="G215" s="28"/>
      <c r="H215" s="28"/>
    </row>
    <row r="216" spans="6:8" x14ac:dyDescent="0.4">
      <c r="F216" s="28"/>
      <c r="G216" s="28"/>
      <c r="H216" s="28"/>
    </row>
    <row r="217" spans="6:8" x14ac:dyDescent="0.4">
      <c r="F217" s="28"/>
      <c r="G217" s="28"/>
      <c r="H217" s="28"/>
    </row>
    <row r="218" spans="6:8" x14ac:dyDescent="0.4">
      <c r="F218" s="28"/>
      <c r="G218" s="28"/>
      <c r="H218" s="28"/>
    </row>
    <row r="219" spans="6:8" x14ac:dyDescent="0.4">
      <c r="F219" s="28"/>
      <c r="G219" s="28"/>
      <c r="H219" s="28"/>
    </row>
    <row r="220" spans="6:8" x14ac:dyDescent="0.4">
      <c r="F220" s="28"/>
      <c r="G220" s="28"/>
      <c r="H220" s="28"/>
    </row>
    <row r="221" spans="6:8" x14ac:dyDescent="0.4">
      <c r="F221" s="28"/>
      <c r="G221" s="28"/>
      <c r="H221" s="28"/>
    </row>
    <row r="222" spans="6:8" x14ac:dyDescent="0.4">
      <c r="F222" s="28"/>
      <c r="G222" s="28"/>
      <c r="H222" s="28"/>
    </row>
    <row r="223" spans="6:8" x14ac:dyDescent="0.4">
      <c r="F223" s="28"/>
      <c r="G223" s="28"/>
      <c r="H223" s="28"/>
    </row>
    <row r="224" spans="6:8" x14ac:dyDescent="0.4">
      <c r="F224" s="28"/>
      <c r="G224" s="28"/>
      <c r="H224" s="28"/>
    </row>
    <row r="225" spans="6:8" x14ac:dyDescent="0.4">
      <c r="F225" s="28"/>
      <c r="G225" s="28"/>
      <c r="H225" s="28"/>
    </row>
    <row r="226" spans="6:8" x14ac:dyDescent="0.4">
      <c r="F226" s="28"/>
      <c r="G226" s="28"/>
      <c r="H226" s="28"/>
    </row>
    <row r="227" spans="6:8" x14ac:dyDescent="0.4">
      <c r="F227" s="28"/>
      <c r="G227" s="28"/>
      <c r="H227" s="28"/>
    </row>
    <row r="228" spans="6:8" x14ac:dyDescent="0.4">
      <c r="F228" s="28"/>
      <c r="G228" s="28"/>
      <c r="H228" s="28"/>
    </row>
    <row r="229" spans="6:8" x14ac:dyDescent="0.4">
      <c r="F229" s="28"/>
      <c r="G229" s="28"/>
      <c r="H229" s="28"/>
    </row>
    <row r="230" spans="6:8" x14ac:dyDescent="0.4">
      <c r="F230" s="28"/>
      <c r="G230" s="28"/>
      <c r="H230" s="28"/>
    </row>
    <row r="231" spans="6:8" x14ac:dyDescent="0.4">
      <c r="F231" s="28"/>
      <c r="G231" s="28"/>
      <c r="H231" s="28"/>
    </row>
    <row r="232" spans="6:8" x14ac:dyDescent="0.4">
      <c r="F232" s="28"/>
      <c r="G232" s="28"/>
      <c r="H232" s="28"/>
    </row>
    <row r="233" spans="6:8" x14ac:dyDescent="0.4">
      <c r="F233" s="28"/>
      <c r="G233" s="28"/>
      <c r="H233" s="28"/>
    </row>
    <row r="234" spans="6:8" x14ac:dyDescent="0.4">
      <c r="F234" s="28"/>
      <c r="G234" s="28"/>
      <c r="H234" s="28"/>
    </row>
    <row r="235" spans="6:8" x14ac:dyDescent="0.4">
      <c r="F235" s="28"/>
      <c r="G235" s="28"/>
      <c r="H235" s="28"/>
    </row>
    <row r="236" spans="6:8" x14ac:dyDescent="0.4">
      <c r="F236" s="28"/>
      <c r="G236" s="28"/>
      <c r="H236" s="28"/>
    </row>
    <row r="237" spans="6:8" x14ac:dyDescent="0.4">
      <c r="F237" s="28"/>
      <c r="G237" s="28"/>
      <c r="H237" s="28"/>
    </row>
    <row r="238" spans="6:8" x14ac:dyDescent="0.4">
      <c r="F238" s="28"/>
      <c r="G238" s="28"/>
      <c r="H238" s="28"/>
    </row>
    <row r="239" spans="6:8" x14ac:dyDescent="0.4">
      <c r="F239" s="28"/>
      <c r="G239" s="28"/>
      <c r="H239" s="28"/>
    </row>
    <row r="240" spans="6:8" x14ac:dyDescent="0.4">
      <c r="F240" s="28"/>
      <c r="G240" s="28"/>
      <c r="H240" s="28"/>
    </row>
    <row r="241" spans="6:8" x14ac:dyDescent="0.4">
      <c r="F241" s="28"/>
      <c r="G241" s="28"/>
      <c r="H241" s="28"/>
    </row>
    <row r="242" spans="6:8" x14ac:dyDescent="0.4">
      <c r="F242" s="28"/>
      <c r="G242" s="28"/>
      <c r="H242" s="28"/>
    </row>
    <row r="243" spans="6:8" x14ac:dyDescent="0.4">
      <c r="F243" s="28"/>
      <c r="G243" s="28"/>
      <c r="H243" s="28"/>
    </row>
    <row r="244" spans="6:8" x14ac:dyDescent="0.4">
      <c r="F244" s="28"/>
      <c r="G244" s="28"/>
      <c r="H244" s="28"/>
    </row>
    <row r="245" spans="6:8" x14ac:dyDescent="0.4">
      <c r="F245" s="28"/>
      <c r="G245" s="28"/>
      <c r="H245" s="28"/>
    </row>
    <row r="246" spans="6:8" x14ac:dyDescent="0.4">
      <c r="F246" s="28"/>
      <c r="G246" s="28"/>
      <c r="H246" s="28"/>
    </row>
    <row r="247" spans="6:8" x14ac:dyDescent="0.4">
      <c r="F247" s="28"/>
      <c r="G247" s="28"/>
      <c r="H247" s="28"/>
    </row>
    <row r="248" spans="6:8" x14ac:dyDescent="0.4">
      <c r="F248" s="28"/>
      <c r="G248" s="28"/>
      <c r="H248" s="28"/>
    </row>
    <row r="249" spans="6:8" x14ac:dyDescent="0.4">
      <c r="F249" s="28"/>
      <c r="G249" s="28"/>
      <c r="H249" s="28"/>
    </row>
    <row r="250" spans="6:8" x14ac:dyDescent="0.4">
      <c r="F250" s="28"/>
      <c r="G250" s="28"/>
      <c r="H250" s="28"/>
    </row>
    <row r="251" spans="6:8" x14ac:dyDescent="0.4">
      <c r="F251" s="28"/>
      <c r="G251" s="28"/>
      <c r="H251" s="28"/>
    </row>
    <row r="252" spans="6:8" x14ac:dyDescent="0.4">
      <c r="F252" s="28"/>
      <c r="G252" s="28"/>
      <c r="H252" s="28"/>
    </row>
    <row r="253" spans="6:8" x14ac:dyDescent="0.4">
      <c r="F253" s="28"/>
      <c r="G253" s="28"/>
      <c r="H253" s="28"/>
    </row>
    <row r="254" spans="6:8" x14ac:dyDescent="0.4">
      <c r="F254" s="28"/>
      <c r="G254" s="28"/>
      <c r="H254" s="28"/>
    </row>
    <row r="255" spans="6:8" x14ac:dyDescent="0.4">
      <c r="F255" s="28"/>
      <c r="G255" s="28"/>
      <c r="H255" s="28"/>
    </row>
    <row r="256" spans="6:8" x14ac:dyDescent="0.4">
      <c r="F256" s="28"/>
      <c r="G256" s="28"/>
      <c r="H256" s="28"/>
    </row>
    <row r="257" spans="6:8" x14ac:dyDescent="0.4">
      <c r="F257" s="28"/>
      <c r="G257" s="28"/>
      <c r="H257" s="28"/>
    </row>
    <row r="258" spans="6:8" x14ac:dyDescent="0.4">
      <c r="F258" s="28"/>
      <c r="G258" s="28"/>
      <c r="H258" s="28"/>
    </row>
    <row r="259" spans="6:8" x14ac:dyDescent="0.4">
      <c r="F259" s="28"/>
      <c r="G259" s="28"/>
      <c r="H259" s="28"/>
    </row>
    <row r="260" spans="6:8" x14ac:dyDescent="0.4">
      <c r="F260" s="28"/>
      <c r="G260" s="28"/>
      <c r="H260" s="28"/>
    </row>
    <row r="261" spans="6:8" x14ac:dyDescent="0.4">
      <c r="F261" s="28"/>
      <c r="G261" s="28"/>
      <c r="H261" s="28"/>
    </row>
    <row r="262" spans="6:8" x14ac:dyDescent="0.4">
      <c r="F262" s="28"/>
      <c r="G262" s="28"/>
      <c r="H262" s="28"/>
    </row>
    <row r="263" spans="6:8" x14ac:dyDescent="0.4">
      <c r="F263" s="28"/>
      <c r="G263" s="28"/>
      <c r="H263" s="28"/>
    </row>
    <row r="264" spans="6:8" x14ac:dyDescent="0.4">
      <c r="F264" s="28"/>
      <c r="G264" s="28"/>
      <c r="H264" s="28"/>
    </row>
    <row r="265" spans="6:8" x14ac:dyDescent="0.4">
      <c r="F265" s="28"/>
      <c r="G265" s="28"/>
      <c r="H265" s="28"/>
    </row>
    <row r="266" spans="6:8" x14ac:dyDescent="0.4">
      <c r="F266" s="28"/>
      <c r="G266" s="28"/>
      <c r="H266" s="28"/>
    </row>
    <row r="267" spans="6:8" x14ac:dyDescent="0.4">
      <c r="F267" s="28"/>
      <c r="G267" s="28"/>
      <c r="H267" s="28"/>
    </row>
    <row r="268" spans="6:8" x14ac:dyDescent="0.4">
      <c r="F268" s="28"/>
      <c r="G268" s="28"/>
      <c r="H268" s="28"/>
    </row>
    <row r="269" spans="6:8" x14ac:dyDescent="0.4">
      <c r="F269" s="28"/>
      <c r="G269" s="28"/>
      <c r="H269" s="28"/>
    </row>
    <row r="270" spans="6:8" x14ac:dyDescent="0.4">
      <c r="F270" s="28"/>
      <c r="G270" s="28"/>
      <c r="H270" s="28"/>
    </row>
    <row r="271" spans="6:8" x14ac:dyDescent="0.4">
      <c r="F271" s="28"/>
      <c r="G271" s="28"/>
      <c r="H271" s="28"/>
    </row>
    <row r="272" spans="6:8" x14ac:dyDescent="0.4">
      <c r="F272" s="28"/>
      <c r="G272" s="28"/>
      <c r="H272" s="28"/>
    </row>
    <row r="273" spans="6:8" x14ac:dyDescent="0.4">
      <c r="F273" s="28"/>
      <c r="G273" s="28"/>
      <c r="H273" s="28"/>
    </row>
    <row r="274" spans="6:8" x14ac:dyDescent="0.4">
      <c r="F274" s="28"/>
      <c r="G274" s="28"/>
      <c r="H274" s="28"/>
    </row>
    <row r="275" spans="6:8" x14ac:dyDescent="0.4">
      <c r="F275" s="28"/>
      <c r="G275" s="28"/>
      <c r="H275" s="28"/>
    </row>
    <row r="276" spans="6:8" x14ac:dyDescent="0.4">
      <c r="F276" s="28"/>
      <c r="G276" s="28"/>
      <c r="H276" s="28"/>
    </row>
    <row r="277" spans="6:8" x14ac:dyDescent="0.4">
      <c r="F277" s="28"/>
      <c r="G277" s="28"/>
      <c r="H277" s="28"/>
    </row>
    <row r="278" spans="6:8" x14ac:dyDescent="0.4">
      <c r="F278" s="28"/>
      <c r="G278" s="28"/>
      <c r="H278" s="28"/>
    </row>
    <row r="279" spans="6:8" x14ac:dyDescent="0.4">
      <c r="F279" s="28"/>
      <c r="G279" s="28"/>
      <c r="H279" s="28"/>
    </row>
    <row r="280" spans="6:8" x14ac:dyDescent="0.4">
      <c r="F280" s="28"/>
      <c r="G280" s="28"/>
      <c r="H280" s="28"/>
    </row>
    <row r="281" spans="6:8" x14ac:dyDescent="0.4">
      <c r="F281" s="28"/>
      <c r="G281" s="28"/>
      <c r="H281" s="28"/>
    </row>
    <row r="282" spans="6:8" x14ac:dyDescent="0.4">
      <c r="F282" s="28"/>
      <c r="G282" s="28"/>
      <c r="H282" s="28"/>
    </row>
    <row r="283" spans="6:8" x14ac:dyDescent="0.4">
      <c r="F283" s="28"/>
      <c r="G283" s="28"/>
      <c r="H283" s="28"/>
    </row>
    <row r="284" spans="6:8" x14ac:dyDescent="0.4">
      <c r="F284" s="28"/>
      <c r="G284" s="28"/>
      <c r="H284" s="28"/>
    </row>
    <row r="285" spans="6:8" x14ac:dyDescent="0.4">
      <c r="F285" s="28"/>
      <c r="G285" s="28"/>
      <c r="H285" s="28"/>
    </row>
    <row r="286" spans="6:8" x14ac:dyDescent="0.4">
      <c r="F286" s="28"/>
      <c r="G286" s="28"/>
      <c r="H286" s="28"/>
    </row>
    <row r="287" spans="6:8" x14ac:dyDescent="0.4">
      <c r="F287" s="28"/>
      <c r="G287" s="28"/>
      <c r="H287" s="28"/>
    </row>
    <row r="288" spans="6:8" x14ac:dyDescent="0.4">
      <c r="F288" s="28"/>
      <c r="G288" s="28"/>
      <c r="H288" s="28"/>
    </row>
    <row r="289" spans="6:8" x14ac:dyDescent="0.4">
      <c r="F289" s="28"/>
      <c r="G289" s="28"/>
      <c r="H289" s="28"/>
    </row>
    <row r="290" spans="6:8" x14ac:dyDescent="0.4">
      <c r="F290" s="28"/>
      <c r="G290" s="28"/>
      <c r="H290" s="28"/>
    </row>
    <row r="291" spans="6:8" x14ac:dyDescent="0.4">
      <c r="F291" s="28"/>
      <c r="G291" s="28"/>
      <c r="H291" s="28"/>
    </row>
    <row r="292" spans="6:8" x14ac:dyDescent="0.4">
      <c r="F292" s="28"/>
      <c r="G292" s="28"/>
      <c r="H292" s="28"/>
    </row>
    <row r="293" spans="6:8" x14ac:dyDescent="0.4">
      <c r="F293" s="28"/>
      <c r="G293" s="28"/>
      <c r="H293" s="28"/>
    </row>
    <row r="294" spans="6:8" x14ac:dyDescent="0.4">
      <c r="F294" s="28"/>
      <c r="G294" s="28"/>
      <c r="H294" s="28"/>
    </row>
    <row r="295" spans="6:8" x14ac:dyDescent="0.4">
      <c r="F295" s="28"/>
      <c r="G295" s="28"/>
      <c r="H295" s="28"/>
    </row>
    <row r="296" spans="6:8" x14ac:dyDescent="0.4">
      <c r="F296" s="28"/>
      <c r="G296" s="28"/>
      <c r="H296" s="28"/>
    </row>
    <row r="297" spans="6:8" x14ac:dyDescent="0.4">
      <c r="F297" s="28"/>
      <c r="G297" s="28"/>
      <c r="H297" s="28"/>
    </row>
    <row r="298" spans="6:8" x14ac:dyDescent="0.4">
      <c r="F298" s="28"/>
      <c r="G298" s="28"/>
      <c r="H298" s="28"/>
    </row>
    <row r="299" spans="6:8" x14ac:dyDescent="0.4">
      <c r="F299" s="28"/>
      <c r="G299" s="28"/>
      <c r="H299" s="28"/>
    </row>
    <row r="300" spans="6:8" x14ac:dyDescent="0.4">
      <c r="F300" s="28"/>
      <c r="G300" s="28"/>
      <c r="H300" s="28"/>
    </row>
    <row r="301" spans="6:8" x14ac:dyDescent="0.4">
      <c r="F301" s="28"/>
      <c r="G301" s="28"/>
      <c r="H301" s="28"/>
    </row>
    <row r="302" spans="6:8" x14ac:dyDescent="0.4">
      <c r="F302" s="28"/>
      <c r="G302" s="28"/>
      <c r="H302" s="28"/>
    </row>
    <row r="303" spans="6:8" x14ac:dyDescent="0.4">
      <c r="F303" s="28"/>
      <c r="G303" s="28"/>
      <c r="H303" s="28"/>
    </row>
    <row r="304" spans="6:8" x14ac:dyDescent="0.4">
      <c r="F304" s="28"/>
      <c r="G304" s="28"/>
      <c r="H304" s="28"/>
    </row>
    <row r="305" spans="6:8" x14ac:dyDescent="0.4">
      <c r="F305" s="28"/>
      <c r="G305" s="28"/>
      <c r="H305" s="28"/>
    </row>
    <row r="306" spans="6:8" x14ac:dyDescent="0.4">
      <c r="F306" s="28"/>
      <c r="G306" s="28"/>
      <c r="H306" s="28"/>
    </row>
    <row r="307" spans="6:8" x14ac:dyDescent="0.4">
      <c r="F307" s="28"/>
      <c r="G307" s="28"/>
      <c r="H307" s="28"/>
    </row>
    <row r="308" spans="6:8" x14ac:dyDescent="0.4">
      <c r="F308" s="28"/>
      <c r="G308" s="28"/>
      <c r="H308" s="28"/>
    </row>
    <row r="309" spans="6:8" x14ac:dyDescent="0.4">
      <c r="F309" s="28"/>
      <c r="G309" s="28"/>
      <c r="H309" s="28"/>
    </row>
    <row r="310" spans="6:8" x14ac:dyDescent="0.4">
      <c r="F310" s="28"/>
      <c r="G310" s="28"/>
      <c r="H310" s="28"/>
    </row>
    <row r="311" spans="6:8" x14ac:dyDescent="0.4">
      <c r="F311" s="28"/>
      <c r="G311" s="28"/>
      <c r="H311" s="28"/>
    </row>
    <row r="312" spans="6:8" x14ac:dyDescent="0.4">
      <c r="F312" s="28"/>
      <c r="G312" s="28"/>
      <c r="H312" s="28"/>
    </row>
    <row r="313" spans="6:8" x14ac:dyDescent="0.4">
      <c r="F313" s="28"/>
      <c r="G313" s="28"/>
      <c r="H313" s="28"/>
    </row>
    <row r="314" spans="6:8" x14ac:dyDescent="0.4">
      <c r="F314" s="28"/>
      <c r="G314" s="28"/>
      <c r="H314" s="28"/>
    </row>
    <row r="315" spans="6:8" x14ac:dyDescent="0.4">
      <c r="F315" s="28"/>
      <c r="G315" s="28"/>
      <c r="H315" s="28"/>
    </row>
    <row r="316" spans="6:8" x14ac:dyDescent="0.4">
      <c r="F316" s="28"/>
      <c r="G316" s="28"/>
      <c r="H316" s="28"/>
    </row>
    <row r="317" spans="6:8" x14ac:dyDescent="0.4">
      <c r="F317" s="28"/>
      <c r="G317" s="28"/>
      <c r="H317" s="28"/>
    </row>
    <row r="318" spans="6:8" x14ac:dyDescent="0.4">
      <c r="F318" s="28"/>
      <c r="G318" s="28"/>
      <c r="H318" s="28"/>
    </row>
    <row r="319" spans="6:8" x14ac:dyDescent="0.4">
      <c r="F319" s="28"/>
      <c r="G319" s="28"/>
      <c r="H319" s="28"/>
    </row>
    <row r="320" spans="6:8" x14ac:dyDescent="0.4">
      <c r="F320" s="28"/>
      <c r="G320" s="28"/>
      <c r="H320" s="28"/>
    </row>
    <row r="321" spans="6:8" x14ac:dyDescent="0.4">
      <c r="F321" s="28"/>
      <c r="G321" s="28"/>
      <c r="H321" s="28"/>
    </row>
    <row r="322" spans="6:8" x14ac:dyDescent="0.4">
      <c r="F322" s="28"/>
      <c r="G322" s="28"/>
      <c r="H322" s="28"/>
    </row>
    <row r="323" spans="6:8" x14ac:dyDescent="0.4">
      <c r="F323" s="28"/>
      <c r="G323" s="28"/>
      <c r="H323" s="28"/>
    </row>
    <row r="324" spans="6:8" x14ac:dyDescent="0.4">
      <c r="F324" s="28"/>
      <c r="G324" s="28"/>
      <c r="H324" s="28"/>
    </row>
    <row r="325" spans="6:8" x14ac:dyDescent="0.4">
      <c r="F325" s="28"/>
      <c r="G325" s="28"/>
      <c r="H325" s="28"/>
    </row>
    <row r="326" spans="6:8" x14ac:dyDescent="0.4">
      <c r="F326" s="28"/>
      <c r="G326" s="28"/>
      <c r="H326" s="28"/>
    </row>
    <row r="327" spans="6:8" x14ac:dyDescent="0.4">
      <c r="F327" s="28"/>
      <c r="G327" s="28"/>
      <c r="H327" s="28"/>
    </row>
    <row r="328" spans="6:8" x14ac:dyDescent="0.4">
      <c r="F328" s="28"/>
      <c r="G328" s="28"/>
      <c r="H328" s="28"/>
    </row>
    <row r="329" spans="6:8" x14ac:dyDescent="0.4">
      <c r="F329" s="28"/>
      <c r="G329" s="28"/>
      <c r="H329" s="28"/>
    </row>
    <row r="330" spans="6:8" x14ac:dyDescent="0.4">
      <c r="F330" s="28"/>
      <c r="G330" s="28"/>
      <c r="H330" s="28"/>
    </row>
    <row r="331" spans="6:8" x14ac:dyDescent="0.4">
      <c r="F331" s="28"/>
      <c r="G331" s="28"/>
      <c r="H331" s="28"/>
    </row>
    <row r="332" spans="6:8" x14ac:dyDescent="0.4">
      <c r="F332" s="28"/>
      <c r="G332" s="28"/>
      <c r="H332" s="28"/>
    </row>
    <row r="333" spans="6:8" x14ac:dyDescent="0.4">
      <c r="F333" s="28"/>
      <c r="G333" s="28"/>
      <c r="H333" s="28"/>
    </row>
    <row r="334" spans="6:8" x14ac:dyDescent="0.4">
      <c r="F334" s="28"/>
      <c r="G334" s="28"/>
      <c r="H334" s="28"/>
    </row>
    <row r="335" spans="6:8" x14ac:dyDescent="0.4">
      <c r="F335" s="28"/>
      <c r="G335" s="28"/>
      <c r="H335" s="28"/>
    </row>
    <row r="336" spans="6:8" x14ac:dyDescent="0.4">
      <c r="F336" s="28"/>
      <c r="G336" s="28"/>
      <c r="H336" s="28"/>
    </row>
    <row r="337" spans="6:8" x14ac:dyDescent="0.4">
      <c r="F337" s="28"/>
      <c r="G337" s="28"/>
      <c r="H337" s="28"/>
    </row>
    <row r="338" spans="6:8" x14ac:dyDescent="0.4">
      <c r="F338" s="28"/>
      <c r="G338" s="28"/>
      <c r="H338" s="28"/>
    </row>
    <row r="339" spans="6:8" x14ac:dyDescent="0.4">
      <c r="F339" s="28"/>
      <c r="G339" s="28"/>
      <c r="H339" s="28"/>
    </row>
    <row r="340" spans="6:8" x14ac:dyDescent="0.4">
      <c r="F340" s="28"/>
      <c r="G340" s="28"/>
      <c r="H340" s="28"/>
    </row>
    <row r="341" spans="6:8" x14ac:dyDescent="0.4">
      <c r="F341" s="28"/>
      <c r="G341" s="28"/>
      <c r="H341" s="28"/>
    </row>
    <row r="342" spans="6:8" x14ac:dyDescent="0.4">
      <c r="F342" s="28"/>
      <c r="G342" s="28"/>
      <c r="H342" s="28"/>
    </row>
    <row r="343" spans="6:8" x14ac:dyDescent="0.4">
      <c r="F343" s="28"/>
      <c r="G343" s="28"/>
      <c r="H343" s="28"/>
    </row>
    <row r="344" spans="6:8" x14ac:dyDescent="0.4">
      <c r="F344" s="28"/>
      <c r="G344" s="28"/>
      <c r="H344" s="28"/>
    </row>
    <row r="345" spans="6:8" x14ac:dyDescent="0.4">
      <c r="F345" s="28"/>
      <c r="G345" s="28"/>
      <c r="H345" s="28"/>
    </row>
    <row r="346" spans="6:8" x14ac:dyDescent="0.4">
      <c r="F346" s="28"/>
      <c r="G346" s="28"/>
      <c r="H346" s="28"/>
    </row>
    <row r="347" spans="6:8" x14ac:dyDescent="0.4">
      <c r="F347" s="28"/>
      <c r="G347" s="28"/>
      <c r="H347" s="28"/>
    </row>
    <row r="348" spans="6:8" x14ac:dyDescent="0.4">
      <c r="F348" s="28"/>
      <c r="G348" s="28"/>
      <c r="H348" s="28"/>
    </row>
    <row r="349" spans="6:8" x14ac:dyDescent="0.4">
      <c r="F349" s="28"/>
      <c r="G349" s="28"/>
      <c r="H349" s="28"/>
    </row>
    <row r="350" spans="6:8" x14ac:dyDescent="0.4">
      <c r="F350" s="28"/>
      <c r="G350" s="28"/>
      <c r="H350" s="28"/>
    </row>
    <row r="351" spans="6:8" x14ac:dyDescent="0.4">
      <c r="F351" s="28"/>
      <c r="G351" s="28"/>
      <c r="H351" s="28"/>
    </row>
    <row r="352" spans="6:8" x14ac:dyDescent="0.4">
      <c r="F352" s="28"/>
      <c r="G352" s="28"/>
      <c r="H352" s="28"/>
    </row>
    <row r="353" spans="6:8" x14ac:dyDescent="0.4">
      <c r="F353" s="28"/>
      <c r="G353" s="28"/>
      <c r="H353" s="28"/>
    </row>
    <row r="354" spans="6:8" x14ac:dyDescent="0.4">
      <c r="F354" s="28"/>
      <c r="G354" s="28"/>
      <c r="H354" s="28"/>
    </row>
    <row r="355" spans="6:8" x14ac:dyDescent="0.4">
      <c r="F355" s="28"/>
      <c r="G355" s="28"/>
      <c r="H355" s="28"/>
    </row>
    <row r="356" spans="6:8" x14ac:dyDescent="0.4">
      <c r="F356" s="28"/>
      <c r="G356" s="28"/>
      <c r="H356" s="28"/>
    </row>
    <row r="357" spans="6:8" x14ac:dyDescent="0.4">
      <c r="F357" s="28"/>
      <c r="G357" s="28"/>
      <c r="H357" s="28"/>
    </row>
    <row r="358" spans="6:8" x14ac:dyDescent="0.4">
      <c r="F358" s="28"/>
      <c r="G358" s="28"/>
      <c r="H358" s="28"/>
    </row>
    <row r="359" spans="6:8" x14ac:dyDescent="0.4">
      <c r="F359" s="28"/>
      <c r="G359" s="28"/>
      <c r="H359" s="28"/>
    </row>
    <row r="360" spans="6:8" x14ac:dyDescent="0.4">
      <c r="F360" s="28"/>
      <c r="G360" s="28"/>
      <c r="H360" s="28"/>
    </row>
    <row r="361" spans="6:8" x14ac:dyDescent="0.4">
      <c r="F361" s="28"/>
      <c r="G361" s="28"/>
      <c r="H361" s="28"/>
    </row>
    <row r="362" spans="6:8" x14ac:dyDescent="0.4">
      <c r="F362" s="28"/>
      <c r="G362" s="28"/>
      <c r="H362" s="28"/>
    </row>
    <row r="363" spans="6:8" x14ac:dyDescent="0.4">
      <c r="F363" s="28"/>
      <c r="G363" s="28"/>
      <c r="H363" s="28"/>
    </row>
    <row r="364" spans="6:8" x14ac:dyDescent="0.4">
      <c r="F364" s="28"/>
      <c r="G364" s="28"/>
      <c r="H364" s="28"/>
    </row>
    <row r="365" spans="6:8" x14ac:dyDescent="0.4">
      <c r="F365" s="28"/>
      <c r="G365" s="28"/>
      <c r="H365" s="28"/>
    </row>
    <row r="366" spans="6:8" x14ac:dyDescent="0.4">
      <c r="F366" s="28"/>
      <c r="G366" s="28"/>
      <c r="H366" s="28"/>
    </row>
    <row r="367" spans="6:8" x14ac:dyDescent="0.4">
      <c r="F367" s="28"/>
      <c r="G367" s="28"/>
      <c r="H367" s="28"/>
    </row>
    <row r="368" spans="6:8" x14ac:dyDescent="0.4">
      <c r="F368" s="28"/>
      <c r="G368" s="28"/>
      <c r="H368" s="28"/>
    </row>
    <row r="369" spans="6:8" x14ac:dyDescent="0.4">
      <c r="F369" s="28"/>
      <c r="G369" s="28"/>
      <c r="H369" s="28"/>
    </row>
    <row r="370" spans="6:8" x14ac:dyDescent="0.4">
      <c r="F370" s="28"/>
      <c r="G370" s="28"/>
      <c r="H370" s="28"/>
    </row>
    <row r="371" spans="6:8" x14ac:dyDescent="0.4">
      <c r="F371" s="28"/>
      <c r="G371" s="28"/>
      <c r="H371" s="28"/>
    </row>
    <row r="372" spans="6:8" x14ac:dyDescent="0.4">
      <c r="F372" s="28"/>
      <c r="G372" s="28"/>
      <c r="H372" s="28"/>
    </row>
    <row r="373" spans="6:8" x14ac:dyDescent="0.4">
      <c r="F373" s="28"/>
      <c r="G373" s="28"/>
      <c r="H373" s="28"/>
    </row>
    <row r="374" spans="6:8" x14ac:dyDescent="0.4">
      <c r="F374" s="28"/>
      <c r="G374" s="28"/>
      <c r="H374" s="28"/>
    </row>
    <row r="375" spans="6:8" x14ac:dyDescent="0.4">
      <c r="F375" s="28"/>
      <c r="G375" s="28"/>
      <c r="H375" s="28"/>
    </row>
    <row r="376" spans="6:8" x14ac:dyDescent="0.4">
      <c r="F376" s="28"/>
      <c r="G376" s="28"/>
      <c r="H376" s="28"/>
    </row>
    <row r="377" spans="6:8" x14ac:dyDescent="0.4">
      <c r="F377" s="28"/>
      <c r="G377" s="28"/>
      <c r="H377" s="28"/>
    </row>
    <row r="378" spans="6:8" x14ac:dyDescent="0.4">
      <c r="F378" s="28"/>
      <c r="G378" s="28"/>
      <c r="H378" s="28"/>
    </row>
    <row r="379" spans="6:8" x14ac:dyDescent="0.4">
      <c r="F379" s="28"/>
      <c r="G379" s="28"/>
      <c r="H379" s="28"/>
    </row>
    <row r="380" spans="6:8" x14ac:dyDescent="0.4">
      <c r="F380" s="28"/>
      <c r="G380" s="28"/>
      <c r="H380" s="28"/>
    </row>
    <row r="381" spans="6:8" x14ac:dyDescent="0.4">
      <c r="F381" s="28"/>
      <c r="G381" s="28"/>
      <c r="H381" s="28"/>
    </row>
    <row r="382" spans="6:8" x14ac:dyDescent="0.4">
      <c r="F382" s="28"/>
      <c r="G382" s="28"/>
      <c r="H382" s="28"/>
    </row>
    <row r="383" spans="6:8" x14ac:dyDescent="0.4">
      <c r="F383" s="28"/>
      <c r="G383" s="28"/>
      <c r="H383" s="28"/>
    </row>
    <row r="384" spans="6:8" x14ac:dyDescent="0.4">
      <c r="F384" s="28"/>
      <c r="G384" s="28"/>
      <c r="H384" s="28"/>
    </row>
    <row r="385" spans="6:8" x14ac:dyDescent="0.4">
      <c r="F385" s="28"/>
      <c r="G385" s="28"/>
      <c r="H385" s="28"/>
    </row>
    <row r="386" spans="6:8" x14ac:dyDescent="0.4">
      <c r="F386" s="28"/>
      <c r="G386" s="28"/>
      <c r="H386" s="28"/>
    </row>
    <row r="387" spans="6:8" x14ac:dyDescent="0.4">
      <c r="F387" s="28"/>
      <c r="G387" s="28"/>
      <c r="H387" s="28"/>
    </row>
    <row r="388" spans="6:8" x14ac:dyDescent="0.4">
      <c r="F388" s="28"/>
      <c r="G388" s="28"/>
      <c r="H388" s="28"/>
    </row>
    <row r="389" spans="6:8" x14ac:dyDescent="0.4">
      <c r="F389" s="28"/>
      <c r="G389" s="28"/>
      <c r="H389" s="28"/>
    </row>
    <row r="390" spans="6:8" x14ac:dyDescent="0.4">
      <c r="F390" s="28"/>
      <c r="G390" s="28"/>
      <c r="H390" s="28"/>
    </row>
    <row r="391" spans="6:8" x14ac:dyDescent="0.4">
      <c r="F391" s="28"/>
      <c r="G391" s="28"/>
      <c r="H391" s="28"/>
    </row>
    <row r="392" spans="6:8" x14ac:dyDescent="0.4">
      <c r="F392" s="28"/>
      <c r="G392" s="28"/>
      <c r="H392" s="28"/>
    </row>
    <row r="393" spans="6:8" x14ac:dyDescent="0.4">
      <c r="F393" s="28"/>
      <c r="G393" s="28"/>
      <c r="H393" s="28"/>
    </row>
    <row r="394" spans="6:8" x14ac:dyDescent="0.4">
      <c r="F394" s="28"/>
      <c r="G394" s="28"/>
      <c r="H394" s="28"/>
    </row>
    <row r="395" spans="6:8" x14ac:dyDescent="0.4">
      <c r="F395" s="28"/>
      <c r="G395" s="28"/>
      <c r="H395" s="28"/>
    </row>
    <row r="396" spans="6:8" x14ac:dyDescent="0.4">
      <c r="F396" s="28"/>
      <c r="G396" s="28"/>
      <c r="H396" s="28"/>
    </row>
    <row r="397" spans="6:8" x14ac:dyDescent="0.4">
      <c r="F397" s="28"/>
      <c r="G397" s="28"/>
      <c r="H397" s="28"/>
    </row>
    <row r="398" spans="6:8" x14ac:dyDescent="0.4">
      <c r="F398" s="28"/>
      <c r="G398" s="28"/>
      <c r="H398" s="28"/>
    </row>
    <row r="399" spans="6:8" x14ac:dyDescent="0.4">
      <c r="F399" s="28"/>
      <c r="G399" s="28"/>
      <c r="H399" s="28"/>
    </row>
    <row r="400" spans="6:8" x14ac:dyDescent="0.4">
      <c r="F400" s="28"/>
      <c r="G400" s="28"/>
      <c r="H400" s="28"/>
    </row>
    <row r="401" spans="6:8" x14ac:dyDescent="0.4">
      <c r="F401" s="28"/>
      <c r="G401" s="28"/>
      <c r="H401" s="28"/>
    </row>
    <row r="402" spans="6:8" x14ac:dyDescent="0.4">
      <c r="F402" s="28"/>
      <c r="G402" s="28"/>
      <c r="H402" s="28"/>
    </row>
    <row r="403" spans="6:8" x14ac:dyDescent="0.4">
      <c r="F403" s="28"/>
      <c r="G403" s="28"/>
      <c r="H403" s="28"/>
    </row>
    <row r="404" spans="6:8" x14ac:dyDescent="0.4">
      <c r="F404" s="28"/>
      <c r="G404" s="28"/>
      <c r="H404" s="28"/>
    </row>
    <row r="405" spans="6:8" x14ac:dyDescent="0.4">
      <c r="F405" s="28"/>
      <c r="G405" s="28"/>
      <c r="H405" s="28"/>
    </row>
    <row r="406" spans="6:8" x14ac:dyDescent="0.4">
      <c r="F406" s="28"/>
      <c r="G406" s="28"/>
      <c r="H406" s="28"/>
    </row>
    <row r="407" spans="6:8" x14ac:dyDescent="0.4">
      <c r="F407" s="28"/>
      <c r="G407" s="28"/>
      <c r="H407" s="28"/>
    </row>
    <row r="408" spans="6:8" x14ac:dyDescent="0.4">
      <c r="F408" s="28"/>
      <c r="G408" s="28"/>
      <c r="H408" s="28"/>
    </row>
    <row r="409" spans="6:8" x14ac:dyDescent="0.4">
      <c r="F409" s="28"/>
      <c r="G409" s="28"/>
      <c r="H409" s="28"/>
    </row>
    <row r="410" spans="6:8" x14ac:dyDescent="0.4">
      <c r="F410" s="28"/>
      <c r="G410" s="28"/>
      <c r="H410" s="28"/>
    </row>
    <row r="411" spans="6:8" x14ac:dyDescent="0.4">
      <c r="F411" s="28"/>
      <c r="G411" s="28"/>
      <c r="H411" s="28"/>
    </row>
    <row r="412" spans="6:8" x14ac:dyDescent="0.4">
      <c r="F412" s="28"/>
      <c r="G412" s="28"/>
      <c r="H412" s="28"/>
    </row>
    <row r="413" spans="6:8" x14ac:dyDescent="0.4">
      <c r="F413" s="28"/>
      <c r="G413" s="28"/>
      <c r="H413" s="28"/>
    </row>
    <row r="414" spans="6:8" x14ac:dyDescent="0.4">
      <c r="F414" s="28"/>
      <c r="G414" s="28"/>
      <c r="H414" s="28"/>
    </row>
    <row r="415" spans="6:8" x14ac:dyDescent="0.4">
      <c r="F415" s="28"/>
      <c r="G415" s="28"/>
      <c r="H415" s="28"/>
    </row>
    <row r="416" spans="6:8" x14ac:dyDescent="0.4">
      <c r="F416" s="28"/>
      <c r="G416" s="28"/>
      <c r="H416" s="28"/>
    </row>
    <row r="417" spans="6:8" x14ac:dyDescent="0.4">
      <c r="F417" s="28"/>
      <c r="G417" s="28"/>
      <c r="H417" s="28"/>
    </row>
    <row r="418" spans="6:8" x14ac:dyDescent="0.4">
      <c r="F418" s="28"/>
      <c r="G418" s="28"/>
      <c r="H418" s="28"/>
    </row>
    <row r="419" spans="6:8" x14ac:dyDescent="0.4">
      <c r="F419" s="28"/>
      <c r="G419" s="28"/>
      <c r="H419" s="28"/>
    </row>
    <row r="420" spans="6:8" x14ac:dyDescent="0.4">
      <c r="F420" s="28"/>
      <c r="G420" s="28"/>
      <c r="H420" s="28"/>
    </row>
    <row r="421" spans="6:8" x14ac:dyDescent="0.4">
      <c r="F421" s="28"/>
      <c r="G421" s="28"/>
      <c r="H421" s="28"/>
    </row>
    <row r="422" spans="6:8" x14ac:dyDescent="0.4">
      <c r="F422" s="28"/>
      <c r="G422" s="28"/>
      <c r="H422" s="28"/>
    </row>
    <row r="423" spans="6:8" x14ac:dyDescent="0.4">
      <c r="F423" s="28"/>
      <c r="G423" s="28"/>
      <c r="H423" s="28"/>
    </row>
    <row r="424" spans="6:8" x14ac:dyDescent="0.4">
      <c r="F424" s="28"/>
      <c r="G424" s="28"/>
      <c r="H424" s="28"/>
    </row>
    <row r="425" spans="6:8" x14ac:dyDescent="0.4">
      <c r="F425" s="28"/>
      <c r="G425" s="28"/>
      <c r="H425" s="28"/>
    </row>
    <row r="426" spans="6:8" x14ac:dyDescent="0.4">
      <c r="F426" s="28"/>
      <c r="G426" s="28"/>
      <c r="H426" s="28"/>
    </row>
    <row r="427" spans="6:8" x14ac:dyDescent="0.4">
      <c r="F427" s="28"/>
      <c r="G427" s="28"/>
      <c r="H427" s="28"/>
    </row>
    <row r="428" spans="6:8" x14ac:dyDescent="0.4">
      <c r="F428" s="28"/>
      <c r="G428" s="28"/>
      <c r="H428" s="28"/>
    </row>
    <row r="429" spans="6:8" x14ac:dyDescent="0.4">
      <c r="F429" s="28"/>
      <c r="G429" s="28"/>
      <c r="H429" s="28"/>
    </row>
    <row r="430" spans="6:8" x14ac:dyDescent="0.4">
      <c r="F430" s="28"/>
      <c r="G430" s="28"/>
      <c r="H430" s="28"/>
    </row>
    <row r="431" spans="6:8" x14ac:dyDescent="0.4">
      <c r="F431" s="28"/>
      <c r="G431" s="28"/>
      <c r="H431" s="28"/>
    </row>
    <row r="432" spans="6:8" x14ac:dyDescent="0.4">
      <c r="F432" s="28"/>
      <c r="G432" s="28"/>
      <c r="H432" s="28"/>
    </row>
    <row r="433" spans="6:8" x14ac:dyDescent="0.4">
      <c r="F433" s="28"/>
      <c r="G433" s="28"/>
      <c r="H433" s="28"/>
    </row>
    <row r="434" spans="6:8" x14ac:dyDescent="0.4">
      <c r="F434" s="28"/>
      <c r="G434" s="28"/>
      <c r="H434" s="28"/>
    </row>
    <row r="435" spans="6:8" x14ac:dyDescent="0.4">
      <c r="F435" s="28"/>
      <c r="G435" s="28"/>
      <c r="H435" s="28"/>
    </row>
    <row r="436" spans="6:8" x14ac:dyDescent="0.4">
      <c r="F436" s="28"/>
      <c r="G436" s="28"/>
      <c r="H436" s="28"/>
    </row>
    <row r="437" spans="6:8" x14ac:dyDescent="0.4">
      <c r="F437" s="28"/>
      <c r="G437" s="28"/>
      <c r="H437" s="28"/>
    </row>
    <row r="438" spans="6:8" x14ac:dyDescent="0.4">
      <c r="F438" s="28"/>
      <c r="G438" s="28"/>
      <c r="H438" s="28"/>
    </row>
    <row r="439" spans="6:8" x14ac:dyDescent="0.4">
      <c r="F439" s="28"/>
      <c r="G439" s="28"/>
      <c r="H439" s="28"/>
    </row>
    <row r="440" spans="6:8" x14ac:dyDescent="0.4">
      <c r="F440" s="28"/>
      <c r="G440" s="28"/>
      <c r="H440" s="28"/>
    </row>
    <row r="441" spans="6:8" x14ac:dyDescent="0.4">
      <c r="F441" s="28"/>
      <c r="G441" s="28"/>
      <c r="H441" s="28"/>
    </row>
    <row r="442" spans="6:8" x14ac:dyDescent="0.4">
      <c r="F442" s="28"/>
      <c r="G442" s="28"/>
      <c r="H442" s="28"/>
    </row>
    <row r="443" spans="6:8" x14ac:dyDescent="0.4">
      <c r="F443" s="28"/>
      <c r="G443" s="28"/>
      <c r="H443" s="28"/>
    </row>
    <row r="444" spans="6:8" x14ac:dyDescent="0.4">
      <c r="F444" s="28"/>
      <c r="G444" s="28"/>
      <c r="H444" s="28"/>
    </row>
    <row r="445" spans="6:8" x14ac:dyDescent="0.4">
      <c r="F445" s="28"/>
      <c r="G445" s="28"/>
      <c r="H445" s="28"/>
    </row>
    <row r="446" spans="6:8" x14ac:dyDescent="0.4">
      <c r="F446" s="28"/>
      <c r="G446" s="28"/>
      <c r="H446" s="28"/>
    </row>
    <row r="447" spans="6:8" x14ac:dyDescent="0.4">
      <c r="F447" s="28"/>
      <c r="G447" s="28"/>
      <c r="H447" s="28"/>
    </row>
    <row r="448" spans="6:8" x14ac:dyDescent="0.4">
      <c r="F448" s="28"/>
      <c r="G448" s="28"/>
      <c r="H448" s="28"/>
    </row>
    <row r="449" spans="6:8" x14ac:dyDescent="0.4">
      <c r="F449" s="28"/>
      <c r="G449" s="28"/>
      <c r="H449" s="28"/>
    </row>
    <row r="450" spans="6:8" x14ac:dyDescent="0.4">
      <c r="F450" s="28"/>
      <c r="G450" s="28"/>
      <c r="H450" s="28"/>
    </row>
    <row r="451" spans="6:8" x14ac:dyDescent="0.4">
      <c r="F451" s="28"/>
      <c r="G451" s="28"/>
      <c r="H451" s="28"/>
    </row>
    <row r="452" spans="6:8" x14ac:dyDescent="0.4">
      <c r="F452" s="28"/>
      <c r="G452" s="28"/>
      <c r="H452" s="28"/>
    </row>
    <row r="453" spans="6:8" x14ac:dyDescent="0.4">
      <c r="F453" s="28"/>
      <c r="G453" s="28"/>
      <c r="H453" s="28"/>
    </row>
    <row r="454" spans="6:8" x14ac:dyDescent="0.4">
      <c r="F454" s="28"/>
      <c r="G454" s="28"/>
      <c r="H454" s="28"/>
    </row>
    <row r="455" spans="6:8" x14ac:dyDescent="0.4">
      <c r="F455" s="28"/>
      <c r="G455" s="28"/>
      <c r="H455" s="28"/>
    </row>
    <row r="456" spans="6:8" x14ac:dyDescent="0.4">
      <c r="F456" s="28"/>
      <c r="G456" s="28"/>
      <c r="H456" s="28"/>
    </row>
    <row r="457" spans="6:8" x14ac:dyDescent="0.4">
      <c r="F457" s="28"/>
      <c r="G457" s="28"/>
      <c r="H457" s="28"/>
    </row>
    <row r="458" spans="6:8" x14ac:dyDescent="0.4">
      <c r="F458" s="28"/>
      <c r="G458" s="28"/>
      <c r="H458" s="28"/>
    </row>
    <row r="459" spans="6:8" x14ac:dyDescent="0.4">
      <c r="F459" s="28"/>
      <c r="G459" s="28"/>
      <c r="H459" s="28"/>
    </row>
    <row r="460" spans="6:8" x14ac:dyDescent="0.4">
      <c r="F460" s="28"/>
      <c r="G460" s="28"/>
      <c r="H460" s="28"/>
    </row>
    <row r="461" spans="6:8" x14ac:dyDescent="0.4">
      <c r="F461" s="28"/>
      <c r="G461" s="28"/>
      <c r="H461" s="28"/>
    </row>
    <row r="462" spans="6:8" x14ac:dyDescent="0.4">
      <c r="F462" s="28"/>
      <c r="G462" s="28"/>
      <c r="H462" s="28"/>
    </row>
    <row r="463" spans="6:8" x14ac:dyDescent="0.4">
      <c r="F463" s="28"/>
      <c r="G463" s="28"/>
      <c r="H463" s="28"/>
    </row>
    <row r="464" spans="6:8" x14ac:dyDescent="0.4">
      <c r="F464" s="28"/>
      <c r="G464" s="28"/>
      <c r="H464" s="28"/>
    </row>
    <row r="465" spans="6:8" x14ac:dyDescent="0.4">
      <c r="F465" s="28"/>
      <c r="G465" s="28"/>
      <c r="H465" s="28"/>
    </row>
    <row r="466" spans="6:8" x14ac:dyDescent="0.4">
      <c r="F466" s="28"/>
      <c r="G466" s="28"/>
      <c r="H466" s="28"/>
    </row>
    <row r="467" spans="6:8" x14ac:dyDescent="0.4">
      <c r="F467" s="28"/>
      <c r="G467" s="28"/>
      <c r="H467" s="28"/>
    </row>
    <row r="468" spans="6:8" x14ac:dyDescent="0.4">
      <c r="F468" s="28"/>
      <c r="G468" s="28"/>
      <c r="H468" s="28"/>
    </row>
    <row r="469" spans="6:8" x14ac:dyDescent="0.4">
      <c r="F469" s="28"/>
      <c r="G469" s="28"/>
      <c r="H469" s="28"/>
    </row>
    <row r="470" spans="6:8" x14ac:dyDescent="0.4">
      <c r="F470" s="28"/>
      <c r="G470" s="28"/>
      <c r="H470" s="28"/>
    </row>
    <row r="471" spans="6:8" x14ac:dyDescent="0.4">
      <c r="F471" s="28"/>
      <c r="G471" s="28"/>
      <c r="H471" s="28"/>
    </row>
    <row r="472" spans="6:8" x14ac:dyDescent="0.4">
      <c r="F472" s="28"/>
      <c r="G472" s="28"/>
      <c r="H472" s="28"/>
    </row>
    <row r="473" spans="6:8" x14ac:dyDescent="0.4">
      <c r="F473" s="28"/>
      <c r="G473" s="28"/>
      <c r="H473" s="28"/>
    </row>
    <row r="474" spans="6:8" x14ac:dyDescent="0.4">
      <c r="F474" s="28"/>
      <c r="G474" s="28"/>
      <c r="H474" s="28"/>
    </row>
    <row r="475" spans="6:8" x14ac:dyDescent="0.4">
      <c r="F475" s="28"/>
      <c r="G475" s="28"/>
      <c r="H475" s="28"/>
    </row>
    <row r="476" spans="6:8" x14ac:dyDescent="0.4">
      <c r="F476" s="28"/>
      <c r="G476" s="28"/>
      <c r="H476" s="28"/>
    </row>
    <row r="477" spans="6:8" x14ac:dyDescent="0.4">
      <c r="F477" s="28"/>
      <c r="G477" s="28"/>
      <c r="H477" s="28"/>
    </row>
    <row r="478" spans="6:8" x14ac:dyDescent="0.4">
      <c r="F478" s="28"/>
      <c r="G478" s="28"/>
      <c r="H478" s="28"/>
    </row>
    <row r="479" spans="6:8" x14ac:dyDescent="0.4">
      <c r="F479" s="28"/>
      <c r="G479" s="28"/>
      <c r="H479" s="28"/>
    </row>
    <row r="480" spans="6:8" x14ac:dyDescent="0.4">
      <c r="F480" s="28"/>
      <c r="G480" s="28"/>
      <c r="H480" s="28"/>
    </row>
    <row r="481" spans="6:8" x14ac:dyDescent="0.4">
      <c r="F481" s="28"/>
      <c r="G481" s="28"/>
      <c r="H481" s="28"/>
    </row>
    <row r="482" spans="6:8" x14ac:dyDescent="0.4">
      <c r="F482" s="28"/>
      <c r="G482" s="28"/>
      <c r="H482" s="28"/>
    </row>
    <row r="483" spans="6:8" x14ac:dyDescent="0.4">
      <c r="F483" s="28"/>
      <c r="G483" s="28"/>
      <c r="H483" s="28"/>
    </row>
    <row r="484" spans="6:8" x14ac:dyDescent="0.4">
      <c r="F484" s="28"/>
      <c r="G484" s="28"/>
      <c r="H484" s="28"/>
    </row>
    <row r="485" spans="6:8" x14ac:dyDescent="0.4">
      <c r="F485" s="28"/>
      <c r="G485" s="28"/>
      <c r="H485" s="28"/>
    </row>
    <row r="486" spans="6:8" x14ac:dyDescent="0.4">
      <c r="F486" s="28"/>
      <c r="G486" s="28"/>
      <c r="H486" s="28"/>
    </row>
    <row r="487" spans="6:8" x14ac:dyDescent="0.4">
      <c r="F487" s="28"/>
      <c r="G487" s="28"/>
      <c r="H487" s="28"/>
    </row>
    <row r="488" spans="6:8" x14ac:dyDescent="0.4">
      <c r="F488" s="28"/>
      <c r="G488" s="28"/>
      <c r="H488" s="28"/>
    </row>
    <row r="489" spans="6:8" x14ac:dyDescent="0.4">
      <c r="F489" s="28"/>
      <c r="G489" s="28"/>
      <c r="H489" s="28"/>
    </row>
    <row r="490" spans="6:8" x14ac:dyDescent="0.4">
      <c r="F490" s="28"/>
      <c r="G490" s="28"/>
      <c r="H490" s="28"/>
    </row>
    <row r="491" spans="6:8" x14ac:dyDescent="0.4">
      <c r="F491" s="28"/>
      <c r="G491" s="28"/>
      <c r="H491" s="28"/>
    </row>
    <row r="492" spans="6:8" x14ac:dyDescent="0.4">
      <c r="F492" s="28"/>
      <c r="G492" s="28"/>
      <c r="H492" s="28"/>
    </row>
    <row r="493" spans="6:8" x14ac:dyDescent="0.4">
      <c r="F493" s="28"/>
      <c r="G493" s="28"/>
      <c r="H493" s="28"/>
    </row>
    <row r="494" spans="6:8" x14ac:dyDescent="0.4">
      <c r="F494" s="28"/>
      <c r="G494" s="28"/>
      <c r="H494" s="28"/>
    </row>
    <row r="495" spans="6:8" x14ac:dyDescent="0.4">
      <c r="F495" s="28"/>
      <c r="G495" s="28"/>
      <c r="H495" s="28"/>
    </row>
    <row r="496" spans="6:8" x14ac:dyDescent="0.4">
      <c r="F496" s="28"/>
      <c r="G496" s="28"/>
      <c r="H496" s="28"/>
    </row>
  </sheetData>
  <dataConsolidate/>
  <phoneticPr fontId="3" type="noConversion"/>
  <conditionalFormatting sqref="A1:A500">
    <cfRule type="expression" dxfId="39" priority="56">
      <formula>COUNTIF(A:A,A1)&gt;1</formula>
    </cfRule>
  </conditionalFormatting>
  <conditionalFormatting sqref="A3:O500">
    <cfRule type="expression" dxfId="38" priority="103">
      <formula>$C3&lt;&gt;$C4</formula>
    </cfRule>
  </conditionalFormatting>
  <conditionalFormatting sqref="A13:O13">
    <cfRule type="expression" dxfId="37" priority="36">
      <formula>$C13&lt;&gt;#REF!</formula>
    </cfRule>
  </conditionalFormatting>
  <conditionalFormatting sqref="D17">
    <cfRule type="expression" dxfId="36" priority="8">
      <formula>$C17&lt;&gt;#REF!</formula>
    </cfRule>
  </conditionalFormatting>
  <conditionalFormatting sqref="F3:F496">
    <cfRule type="expression" dxfId="34" priority="5">
      <formula>AND(NOT(ISBLANK($F3)),$F3&gt;$I3)</formula>
    </cfRule>
  </conditionalFormatting>
  <conditionalFormatting sqref="G3:G18">
    <cfRule type="expression" dxfId="30" priority="18">
      <formula>AND(NOT(ISBLANK($G3)),$G3&gt;$I3)</formula>
    </cfRule>
  </conditionalFormatting>
  <conditionalFormatting sqref="G19:H496">
    <cfRule type="expression" dxfId="29" priority="22">
      <formula>AND(NOT(ISBLANK($F19)),$F19&gt;$I19)</formula>
    </cfRule>
  </conditionalFormatting>
  <conditionalFormatting sqref="H3:H14">
    <cfRule type="expression" dxfId="27" priority="23">
      <formula>AND(NOT(ISBLANK($H3)),$H3&gt;$I3)</formula>
    </cfRule>
  </conditionalFormatting>
  <conditionalFormatting sqref="H3:H17">
    <cfRule type="expression" dxfId="26" priority="1">
      <formula>AND(NOT(ISBLANK($F3)),$F3&gt;$I3)</formula>
    </cfRule>
  </conditionalFormatting>
  <conditionalFormatting sqref="H18">
    <cfRule type="expression" dxfId="24" priority="9">
      <formula>AND(NOT(ISBLANK($H18)),$H18&gt;$I18)</formula>
    </cfRule>
  </conditionalFormatting>
  <conditionalFormatting sqref="I3:I496">
    <cfRule type="expression" dxfId="23" priority="11">
      <formula>AND($O3,$I3&gt;10)</formula>
    </cfRule>
    <cfRule type="expression" dxfId="22" priority="12">
      <formula>OR(IF(AND(ISNUMBER(SEARCH("tow",LOWER($D3))),$E3="transit"),TRUE,FALSE),IF(ISNUMBER(SEARCH("transit",LOWER($D3))),TRUE,FALSE))</formula>
    </cfRule>
  </conditionalFormatting>
  <conditionalFormatting sqref="I15">
    <cfRule type="expression" dxfId="21" priority="16">
      <formula>$C15&lt;&gt;#REF!</formula>
    </cfRule>
  </conditionalFormatting>
  <conditionalFormatting sqref="I17">
    <cfRule type="expression" dxfId="20" priority="13">
      <formula>$C17&lt;&gt;#REF!</formula>
    </cfRule>
  </conditionalFormatting>
  <conditionalFormatting sqref="L3:M496">
    <cfRule type="expression" dxfId="19" priority="21">
      <formula>AND(NOT(ISBLANK($L3)),NOT(ISBLANK($M3)))</formula>
    </cfRule>
  </conditionalFormatting>
  <conditionalFormatting sqref="M3:M13 M15 M17 M19:M496">
    <cfRule type="expression" dxfId="18" priority="140">
      <formula>AND(AND(IFERROR(FIND("ofw",$C3)&gt;0=FALSE,TRUE),IFERROR(FIND("oce",$C3)&gt;0=FALSE,TRUE)),NOT(ISBLANK($A3)))</formula>
    </cfRule>
  </conditionalFormatting>
  <conditionalFormatting sqref="M14">
    <cfRule type="expression" dxfId="17" priority="123">
      <formula>AND(AND(IFERROR(FIND("ofw",$C14)&gt;0=FALSE,TRUE),IFERROR(FIND("oce",$C14)&gt;0=FALSE,TRUE)),NOT(ISBLANK(#REF!)))</formula>
    </cfRule>
  </conditionalFormatting>
  <conditionalFormatting sqref="M16">
    <cfRule type="expression" dxfId="16" priority="149">
      <formula>AND(AND(IFERROR(FIND("ofw",$C16)&gt;0=FALSE,TRUE),IFERROR(FIND("oce",$C16)&gt;0=FALSE,TRUE)),NOT(ISBLANK($A14)))</formula>
    </cfRule>
  </conditionalFormatting>
  <conditionalFormatting sqref="M18">
    <cfRule type="expression" dxfId="15"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5"/>
  <sheetViews>
    <sheetView workbookViewId="0">
      <selection activeCell="A7" sqref="A7"/>
    </sheetView>
  </sheetViews>
  <sheetFormatPr defaultRowHeight="14.6" x14ac:dyDescent="0.4"/>
  <cols>
    <col min="1" max="1" width="43.15234375" bestFit="1" customWidth="1"/>
    <col min="2" max="2" width="10.69140625" customWidth="1"/>
    <col min="3" max="3" width="12.69140625" customWidth="1"/>
  </cols>
  <sheetData>
    <row r="1" spans="1:3" x14ac:dyDescent="0.4">
      <c r="A1" t="s">
        <v>9</v>
      </c>
      <c r="B1" t="s">
        <v>10</v>
      </c>
      <c r="C1" t="s">
        <v>11</v>
      </c>
    </row>
    <row r="2" spans="1:3" x14ac:dyDescent="0.4">
      <c r="A2" t="s">
        <v>314</v>
      </c>
      <c r="B2" t="s">
        <v>315</v>
      </c>
      <c r="C2" s="21">
        <v>54.036999999999999</v>
      </c>
    </row>
    <row r="3" spans="1:3" x14ac:dyDescent="0.4">
      <c r="A3" t="s">
        <v>316</v>
      </c>
      <c r="B3" t="s">
        <v>315</v>
      </c>
      <c r="C3" s="21">
        <v>5.9649999999999999</v>
      </c>
    </row>
    <row r="4" spans="1:3" x14ac:dyDescent="0.4">
      <c r="A4" t="s">
        <v>317</v>
      </c>
      <c r="B4" t="s">
        <v>13</v>
      </c>
      <c r="C4" t="s">
        <v>432</v>
      </c>
    </row>
    <row r="5" spans="1:3" x14ac:dyDescent="0.4">
      <c r="A5" t="s">
        <v>318</v>
      </c>
      <c r="B5" t="s">
        <v>30</v>
      </c>
      <c r="C5" s="21">
        <v>10</v>
      </c>
    </row>
    <row r="6" spans="1:3" x14ac:dyDescent="0.4">
      <c r="A6" t="s">
        <v>319</v>
      </c>
      <c r="B6" t="s">
        <v>30</v>
      </c>
      <c r="C6" s="21">
        <v>2.0000000000000001E-4</v>
      </c>
    </row>
    <row r="7" spans="1:3" x14ac:dyDescent="0.4">
      <c r="A7" t="s">
        <v>320</v>
      </c>
      <c r="B7" t="s">
        <v>321</v>
      </c>
      <c r="C7" s="22">
        <v>5</v>
      </c>
    </row>
    <row r="8" spans="1:3" x14ac:dyDescent="0.4">
      <c r="A8" t="s">
        <v>322</v>
      </c>
      <c r="B8" t="s">
        <v>277</v>
      </c>
      <c r="C8" s="49"/>
    </row>
    <row r="9" spans="1:3" x14ac:dyDescent="0.4">
      <c r="A9" t="s">
        <v>323</v>
      </c>
      <c r="B9" t="s">
        <v>277</v>
      </c>
    </row>
    <row r="10" spans="1:3" x14ac:dyDescent="0.4">
      <c r="A10" t="s">
        <v>324</v>
      </c>
      <c r="B10" t="s">
        <v>277</v>
      </c>
      <c r="C10">
        <v>0.1</v>
      </c>
    </row>
    <row r="11" spans="1:3" x14ac:dyDescent="0.4">
      <c r="A11" t="s">
        <v>325</v>
      </c>
      <c r="B11" t="s">
        <v>277</v>
      </c>
      <c r="C11" s="21">
        <v>4</v>
      </c>
    </row>
    <row r="12" spans="1:3" x14ac:dyDescent="0.4">
      <c r="A12" t="s">
        <v>326</v>
      </c>
      <c r="B12" t="s">
        <v>13</v>
      </c>
      <c r="C12" s="21">
        <v>0.3</v>
      </c>
    </row>
    <row r="13" spans="1:3" x14ac:dyDescent="0.4">
      <c r="A13" t="s">
        <v>327</v>
      </c>
      <c r="B13" t="s">
        <v>321</v>
      </c>
      <c r="C13" s="59"/>
    </row>
    <row r="14" spans="1:3" x14ac:dyDescent="0.4">
      <c r="A14" t="s">
        <v>328</v>
      </c>
      <c r="B14" t="s">
        <v>277</v>
      </c>
      <c r="C14" s="24">
        <v>12</v>
      </c>
    </row>
    <row r="15" spans="1:3" x14ac:dyDescent="0.4">
      <c r="A15" t="s">
        <v>455</v>
      </c>
      <c r="B15" t="s">
        <v>13</v>
      </c>
      <c r="C15">
        <v>0</v>
      </c>
    </row>
    <row r="16" spans="1:3" x14ac:dyDescent="0.4">
      <c r="A16" t="s">
        <v>17</v>
      </c>
      <c r="B16" t="s">
        <v>13</v>
      </c>
      <c r="C16" s="17" t="b">
        <v>1</v>
      </c>
    </row>
    <row r="17" spans="1:3" x14ac:dyDescent="0.4">
      <c r="A17" t="s">
        <v>329</v>
      </c>
      <c r="B17" t="s">
        <v>13</v>
      </c>
    </row>
    <row r="18" spans="1:3" x14ac:dyDescent="0.4">
      <c r="A18" t="s">
        <v>449</v>
      </c>
      <c r="B18" t="s">
        <v>13</v>
      </c>
      <c r="C18">
        <v>2</v>
      </c>
    </row>
    <row r="19" spans="1:3" x14ac:dyDescent="0.4">
      <c r="A19" t="s">
        <v>446</v>
      </c>
      <c r="B19" t="s">
        <v>13</v>
      </c>
      <c r="C19" t="s">
        <v>447</v>
      </c>
    </row>
    <row r="20" spans="1:3" x14ac:dyDescent="0.4">
      <c r="A20" t="s">
        <v>448</v>
      </c>
      <c r="B20" t="s">
        <v>13</v>
      </c>
      <c r="C20" t="s">
        <v>447</v>
      </c>
    </row>
    <row r="21" spans="1:3" x14ac:dyDescent="0.4">
      <c r="A21" t="s">
        <v>450</v>
      </c>
      <c r="B21" t="s">
        <v>321</v>
      </c>
      <c r="C21">
        <v>50</v>
      </c>
    </row>
    <row r="22" spans="1:3" x14ac:dyDescent="0.4">
      <c r="A22" t="s">
        <v>451</v>
      </c>
      <c r="B22" t="s">
        <v>321</v>
      </c>
      <c r="C22">
        <v>100</v>
      </c>
    </row>
    <row r="23" spans="1:3" x14ac:dyDescent="0.4">
      <c r="A23" t="s">
        <v>452</v>
      </c>
      <c r="B23" t="s">
        <v>13</v>
      </c>
    </row>
    <row r="24" spans="1:3" x14ac:dyDescent="0.4">
      <c r="A24" t="s">
        <v>453</v>
      </c>
      <c r="B24" t="s">
        <v>13</v>
      </c>
    </row>
    <row r="25" spans="1:3" x14ac:dyDescent="0.4">
      <c r="A25" t="s">
        <v>454</v>
      </c>
      <c r="B25" t="s">
        <v>13</v>
      </c>
    </row>
  </sheetData>
  <phoneticPr fontId="3" type="noConversion"/>
  <dataValidations count="6">
    <dataValidation type="custom" allowBlank="1" showInputMessage="1" showErrorMessage="1" errorTitle="Wrong input" error="It must be a decimal greater than 0 and less than or equal to 1." sqref="C12" xr:uid="{938BED3C-C5D8-41A3-A1DA-57EAF0FB9E64}">
      <formula1>AND(ISNUMBER(C12), C12&gt;0, C12&lt;=1)</formula1>
    </dataValidation>
    <dataValidation type="whole" operator="greaterThanOrEqual" allowBlank="1" showInputMessage="1" showErrorMessage="1" errorTitle="Wrong input" error="It must be an integer greater than or equal to 0." sqref="C11" xr:uid="{A7A8F8EE-2022-48C0-928A-2F4474439131}">
      <formula1>0</formula1>
    </dataValidation>
    <dataValidation type="decimal" operator="greaterThanOrEqual" allowBlank="1" showInputMessage="1" showErrorMessage="1" sqref="C13" xr:uid="{B6354AD6-1239-46DB-971B-7E7DDD5D783F}">
      <formula1>0</formula1>
    </dataValidation>
    <dataValidation type="whole" allowBlank="1" showInputMessage="1" showErrorMessage="1" sqref="C14" xr:uid="{4DF62562-9177-4CB2-A6AD-9FB5FD67B32C}">
      <formula1>1</formula1>
      <formula2>31</formula2>
    </dataValidation>
    <dataValidation type="decimal" operator="greaterThan" allowBlank="1" showInputMessage="1" showErrorMessage="1" sqref="C16:C17" xr:uid="{0C617CE2-4B19-4C43-A0D9-169283FD1A48}">
      <formula1>0</formula1>
    </dataValidation>
    <dataValidation type="decimal" operator="greaterThan" allowBlank="1" showInputMessage="1" showErrorMessage="1" errorTitle="Wrong input" error="It must be a decimal greater than 0.0." sqref="C7" xr:uid="{75CD387F-1D67-4DAD-9FC5-6BA4AFDB3FEC}">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4.6" x14ac:dyDescent="0.4"/>
  <cols>
    <col min="1" max="1" width="40.69140625" customWidth="1"/>
    <col min="2" max="2" width="10.69140625" customWidth="1"/>
    <col min="3" max="3" width="12.69140625" customWidth="1"/>
    <col min="4" max="34" width="4.69140625" customWidth="1"/>
    <col min="35" max="36" width="5.15234375" customWidth="1"/>
  </cols>
  <sheetData>
    <row r="1" spans="1:34" x14ac:dyDescent="0.4">
      <c r="A1" t="s">
        <v>9</v>
      </c>
      <c r="B1" t="s">
        <v>10</v>
      </c>
      <c r="C1" t="s">
        <v>11</v>
      </c>
    </row>
    <row r="2" spans="1:34" x14ac:dyDescent="0.4">
      <c r="A2" t="s">
        <v>330</v>
      </c>
      <c r="B2" t="s">
        <v>331</v>
      </c>
      <c r="C2" s="21">
        <v>5</v>
      </c>
    </row>
    <row r="3" spans="1:34" x14ac:dyDescent="0.4">
      <c r="A3" t="s">
        <v>332</v>
      </c>
      <c r="B3" t="s">
        <v>13</v>
      </c>
      <c r="C3" s="24">
        <v>2019</v>
      </c>
    </row>
    <row r="4" spans="1:34" x14ac:dyDescent="0.4">
      <c r="A4" t="s">
        <v>333</v>
      </c>
      <c r="B4" t="s">
        <v>13</v>
      </c>
      <c r="C4" s="24">
        <v>1</v>
      </c>
    </row>
    <row r="5" spans="1:34" x14ac:dyDescent="0.4">
      <c r="A5" t="s">
        <v>334</v>
      </c>
      <c r="B5" t="s">
        <v>13</v>
      </c>
      <c r="C5" s="24">
        <v>50</v>
      </c>
    </row>
    <row r="6" spans="1:34" x14ac:dyDescent="0.4">
      <c r="A6" t="s">
        <v>335</v>
      </c>
      <c r="B6" t="s">
        <v>13</v>
      </c>
      <c r="C6" s="24">
        <v>10</v>
      </c>
    </row>
    <row r="7" spans="1:34" x14ac:dyDescent="0.4">
      <c r="A7" t="s">
        <v>336</v>
      </c>
      <c r="B7" t="s">
        <v>13</v>
      </c>
      <c r="C7" s="24">
        <v>90</v>
      </c>
    </row>
    <row r="8" spans="1:34" x14ac:dyDescent="0.4">
      <c r="A8" t="s">
        <v>338</v>
      </c>
      <c r="B8" t="s">
        <v>13</v>
      </c>
      <c r="C8" s="24">
        <v>28</v>
      </c>
    </row>
    <row r="9" spans="1:34" x14ac:dyDescent="0.4">
      <c r="A9" t="s">
        <v>339</v>
      </c>
      <c r="B9" t="s">
        <v>331</v>
      </c>
      <c r="C9" s="24">
        <v>1</v>
      </c>
    </row>
    <row r="10" spans="1:34" x14ac:dyDescent="0.4">
      <c r="A10" t="s">
        <v>340</v>
      </c>
      <c r="B10" t="s">
        <v>331</v>
      </c>
      <c r="C10" s="24">
        <v>0</v>
      </c>
    </row>
    <row r="11" spans="1:34" x14ac:dyDescent="0.4">
      <c r="A11" t="s">
        <v>341</v>
      </c>
      <c r="B11" t="s">
        <v>13</v>
      </c>
      <c r="C11" s="22">
        <v>2</v>
      </c>
    </row>
    <row r="12" spans="1:34" x14ac:dyDescent="0.4">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4">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4">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4">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4">
      <c r="AH16" s="34"/>
    </row>
    <row r="17" spans="3:34" x14ac:dyDescent="0.4">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4">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4">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4">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4">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A3" sqref="A3:A4"/>
    </sheetView>
  </sheetViews>
  <sheetFormatPr defaultRowHeight="14.6" x14ac:dyDescent="0.4"/>
  <cols>
    <col min="1" max="1" width="13.53515625" customWidth="1"/>
    <col min="10" max="10" width="10.23046875" customWidth="1"/>
    <col min="12" max="12" width="10.23046875" customWidth="1"/>
    <col min="13" max="13" width="10.69140625" customWidth="1"/>
  </cols>
  <sheetData>
    <row r="1" spans="1:13" x14ac:dyDescent="0.4">
      <c r="A1" t="s">
        <v>346</v>
      </c>
      <c r="B1" t="s">
        <v>347</v>
      </c>
      <c r="C1" t="s">
        <v>348</v>
      </c>
      <c r="D1" t="s">
        <v>349</v>
      </c>
      <c r="E1" t="s">
        <v>350</v>
      </c>
      <c r="F1" t="s">
        <v>351</v>
      </c>
      <c r="G1" t="s">
        <v>352</v>
      </c>
      <c r="H1" t="s">
        <v>353</v>
      </c>
      <c r="I1" t="s">
        <v>354</v>
      </c>
      <c r="J1" t="s">
        <v>355</v>
      </c>
      <c r="K1" t="s">
        <v>356</v>
      </c>
      <c r="L1" t="s">
        <v>357</v>
      </c>
      <c r="M1" t="s">
        <v>358</v>
      </c>
    </row>
    <row r="2" spans="1:13" x14ac:dyDescent="0.4">
      <c r="A2" t="s">
        <v>13</v>
      </c>
      <c r="B2" t="s">
        <v>13</v>
      </c>
      <c r="C2" t="s">
        <v>13</v>
      </c>
      <c r="D2" t="s">
        <v>13</v>
      </c>
      <c r="E2" t="s">
        <v>13</v>
      </c>
      <c r="F2" t="s">
        <v>13</v>
      </c>
      <c r="G2" t="s">
        <v>13</v>
      </c>
      <c r="H2" t="s">
        <v>13</v>
      </c>
      <c r="I2" t="s">
        <v>13</v>
      </c>
      <c r="J2" s="23" t="s">
        <v>13</v>
      </c>
      <c r="K2" t="s">
        <v>13</v>
      </c>
      <c r="L2" t="s">
        <v>13</v>
      </c>
      <c r="M2" t="s">
        <v>13</v>
      </c>
    </row>
    <row r="3" spans="1:13" x14ac:dyDescent="0.4">
      <c r="A3">
        <v>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4">
      <c r="A4">
        <v>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Q498"/>
  <sheetViews>
    <sheetView topLeftCell="D1" zoomScaleNormal="100" workbookViewId="0">
      <selection activeCell="J13" sqref="J13"/>
    </sheetView>
  </sheetViews>
  <sheetFormatPr defaultRowHeight="14.6" x14ac:dyDescent="0.4"/>
  <cols>
    <col min="1" max="1" width="13.23046875" bestFit="1" customWidth="1"/>
    <col min="2" max="3" width="26.53515625" style="18" customWidth="1"/>
    <col min="4" max="4" width="18.69140625" style="18" customWidth="1"/>
    <col min="5" max="5" width="25.69140625" style="18" customWidth="1"/>
    <col min="6" max="6" width="15.4609375" style="82" bestFit="1" customWidth="1"/>
    <col min="7" max="8" width="11.69140625" style="18" bestFit="1" customWidth="1"/>
    <col min="9" max="10" width="20.4609375" customWidth="1"/>
    <col min="11" max="11" width="13.23046875" style="21" customWidth="1"/>
    <col min="12" max="13" width="12.69140625" customWidth="1"/>
    <col min="14" max="14" width="9" bestFit="1" customWidth="1"/>
    <col min="15" max="15" width="17.53515625" bestFit="1" customWidth="1"/>
    <col min="16" max="16" width="14.4609375" bestFit="1" customWidth="1"/>
  </cols>
  <sheetData>
    <row r="1" spans="1:17" s="80" customFormat="1" ht="29.15" x14ac:dyDescent="0.4">
      <c r="A1" s="80" t="s">
        <v>66</v>
      </c>
      <c r="B1" s="80" t="s">
        <v>150</v>
      </c>
      <c r="C1" s="80" t="s">
        <v>359</v>
      </c>
      <c r="D1" s="80" t="s">
        <v>360</v>
      </c>
      <c r="E1" s="80" t="s">
        <v>361</v>
      </c>
      <c r="F1" s="81" t="s">
        <v>362</v>
      </c>
      <c r="G1" s="80" t="s">
        <v>363</v>
      </c>
      <c r="H1" s="80" t="s">
        <v>364</v>
      </c>
      <c r="I1" s="80" t="s">
        <v>365</v>
      </c>
      <c r="J1" s="18" t="s">
        <v>456</v>
      </c>
      <c r="K1" s="80" t="s">
        <v>440</v>
      </c>
      <c r="L1" s="80" t="s">
        <v>366</v>
      </c>
      <c r="M1" s="80" t="s">
        <v>173</v>
      </c>
      <c r="N1" s="80" t="s">
        <v>367</v>
      </c>
      <c r="O1" s="80" t="s">
        <v>368</v>
      </c>
      <c r="P1" s="80" t="s">
        <v>369</v>
      </c>
      <c r="Q1" s="80" t="s">
        <v>370</v>
      </c>
    </row>
    <row r="2" spans="1:17" x14ac:dyDescent="0.4">
      <c r="A2" t="s">
        <v>13</v>
      </c>
      <c r="B2" s="18" t="s">
        <v>13</v>
      </c>
      <c r="C2" s="18" t="s">
        <v>13</v>
      </c>
      <c r="D2" s="18" t="s">
        <v>371</v>
      </c>
      <c r="E2" s="18" t="s">
        <v>13</v>
      </c>
      <c r="F2" s="13" t="s">
        <v>13</v>
      </c>
      <c r="G2" s="18" t="s">
        <v>13</v>
      </c>
      <c r="H2" s="18" t="s">
        <v>13</v>
      </c>
      <c r="I2" t="s">
        <v>13</v>
      </c>
      <c r="J2" s="18" t="s">
        <v>13</v>
      </c>
      <c r="K2" s="79" t="s">
        <v>13</v>
      </c>
      <c r="L2" s="18" t="s">
        <v>277</v>
      </c>
      <c r="M2" s="18" t="s">
        <v>13</v>
      </c>
      <c r="N2" s="18" t="s">
        <v>13</v>
      </c>
      <c r="O2" s="18" t="s">
        <v>13</v>
      </c>
      <c r="P2" s="50" t="s">
        <v>13</v>
      </c>
      <c r="Q2" s="18" t="s">
        <v>13</v>
      </c>
    </row>
    <row r="3" spans="1:17" x14ac:dyDescent="0.4">
      <c r="A3" s="70" t="s">
        <v>372</v>
      </c>
      <c r="B3" s="62" t="s">
        <v>373</v>
      </c>
      <c r="C3" s="19">
        <v>1</v>
      </c>
      <c r="D3" s="19">
        <v>0.34</v>
      </c>
      <c r="E3" s="20" t="s">
        <v>374</v>
      </c>
      <c r="F3" s="13" t="s">
        <v>185</v>
      </c>
      <c r="G3" s="20" t="s">
        <v>375</v>
      </c>
      <c r="H3" s="20" t="s">
        <v>376</v>
      </c>
      <c r="I3" s="21"/>
      <c r="J3" s="83">
        <v>3</v>
      </c>
      <c r="L3" s="30"/>
      <c r="M3" s="30">
        <v>100</v>
      </c>
      <c r="N3" s="32"/>
      <c r="O3" s="32" t="b">
        <v>1</v>
      </c>
      <c r="P3">
        <v>100</v>
      </c>
      <c r="Q3" s="32"/>
    </row>
    <row r="4" spans="1:17" ht="15.75" customHeight="1" x14ac:dyDescent="0.4">
      <c r="A4" s="70" t="s">
        <v>377</v>
      </c>
      <c r="B4" s="71" t="s">
        <v>378</v>
      </c>
      <c r="C4" s="19">
        <v>1</v>
      </c>
      <c r="D4" s="19">
        <v>0.01</v>
      </c>
      <c r="E4" s="20" t="s">
        <v>374</v>
      </c>
      <c r="F4" s="13" t="s">
        <v>185</v>
      </c>
      <c r="G4" s="20" t="s">
        <v>379</v>
      </c>
      <c r="H4" s="20" t="s">
        <v>380</v>
      </c>
      <c r="I4" s="21"/>
      <c r="J4" s="83"/>
      <c r="L4" s="30">
        <v>72</v>
      </c>
      <c r="M4" s="30">
        <v>1000</v>
      </c>
      <c r="N4" s="32"/>
      <c r="O4" s="32" t="b">
        <v>1</v>
      </c>
      <c r="P4">
        <v>100</v>
      </c>
      <c r="Q4" s="32"/>
    </row>
    <row r="5" spans="1:17" x14ac:dyDescent="0.4">
      <c r="A5" s="70" t="s">
        <v>381</v>
      </c>
      <c r="B5" s="62" t="s">
        <v>382</v>
      </c>
      <c r="C5" s="19">
        <v>1</v>
      </c>
      <c r="D5" s="19">
        <v>0.3</v>
      </c>
      <c r="E5" s="20" t="s">
        <v>374</v>
      </c>
      <c r="F5" s="44" t="s">
        <v>185</v>
      </c>
      <c r="G5" s="20" t="s">
        <v>375</v>
      </c>
      <c r="H5" s="20" t="s">
        <v>383</v>
      </c>
      <c r="I5" s="21"/>
      <c r="J5" s="83"/>
      <c r="L5" s="30"/>
      <c r="M5" s="30">
        <v>200</v>
      </c>
      <c r="N5" s="32"/>
      <c r="O5" s="32" t="b">
        <v>1</v>
      </c>
      <c r="P5">
        <v>100</v>
      </c>
      <c r="Q5" s="32"/>
    </row>
    <row r="6" spans="1:17" x14ac:dyDescent="0.4">
      <c r="A6" s="70" t="s">
        <v>384</v>
      </c>
      <c r="B6" s="62" t="s">
        <v>385</v>
      </c>
      <c r="C6" s="19">
        <v>1</v>
      </c>
      <c r="D6" s="19">
        <v>0.1</v>
      </c>
      <c r="E6" s="20" t="s">
        <v>441</v>
      </c>
      <c r="F6" s="44" t="s">
        <v>185</v>
      </c>
      <c r="G6" s="20" t="s">
        <v>379</v>
      </c>
      <c r="H6" s="20" t="s">
        <v>304</v>
      </c>
      <c r="I6" s="21">
        <v>6</v>
      </c>
      <c r="J6" s="83"/>
      <c r="L6" s="30">
        <v>72</v>
      </c>
      <c r="M6" s="30">
        <v>2000</v>
      </c>
      <c r="N6" s="32"/>
      <c r="O6" s="32" t="b">
        <v>1</v>
      </c>
      <c r="P6">
        <v>100</v>
      </c>
      <c r="Q6" s="32"/>
    </row>
    <row r="7" spans="1:17" x14ac:dyDescent="0.4">
      <c r="A7" s="70" t="s">
        <v>386</v>
      </c>
      <c r="B7" s="62" t="s">
        <v>387</v>
      </c>
      <c r="C7" s="19">
        <v>1</v>
      </c>
      <c r="D7" s="19">
        <v>0.3</v>
      </c>
      <c r="E7" s="20" t="s">
        <v>374</v>
      </c>
      <c r="F7" s="13" t="s">
        <v>185</v>
      </c>
      <c r="G7" s="20" t="s">
        <v>375</v>
      </c>
      <c r="H7" s="20" t="s">
        <v>388</v>
      </c>
      <c r="I7" s="21"/>
      <c r="J7" s="83"/>
      <c r="L7" s="30"/>
      <c r="M7" s="30">
        <v>300</v>
      </c>
      <c r="N7" s="32"/>
      <c r="O7" s="32" t="b">
        <v>1</v>
      </c>
      <c r="P7">
        <v>100</v>
      </c>
      <c r="Q7" s="32"/>
    </row>
    <row r="8" spans="1:17" x14ac:dyDescent="0.4">
      <c r="A8" s="70" t="s">
        <v>389</v>
      </c>
      <c r="B8" s="62" t="s">
        <v>390</v>
      </c>
      <c r="C8" s="19">
        <v>1</v>
      </c>
      <c r="D8" s="19">
        <v>0.1</v>
      </c>
      <c r="E8" s="20" t="s">
        <v>374</v>
      </c>
      <c r="F8" s="13" t="s">
        <v>185</v>
      </c>
      <c r="G8" s="20" t="s">
        <v>379</v>
      </c>
      <c r="H8" s="20" t="s">
        <v>312</v>
      </c>
      <c r="I8" s="21"/>
      <c r="J8" s="21"/>
      <c r="L8" s="30">
        <v>72</v>
      </c>
      <c r="M8" s="30">
        <v>3000</v>
      </c>
      <c r="N8" s="32"/>
      <c r="O8" s="32" t="b">
        <v>1</v>
      </c>
      <c r="P8">
        <v>100</v>
      </c>
      <c r="Q8" s="32"/>
    </row>
    <row r="9" spans="1:17" x14ac:dyDescent="0.4">
      <c r="C9" s="19"/>
      <c r="D9" s="19"/>
      <c r="E9" s="20"/>
      <c r="G9" s="21"/>
      <c r="H9" s="21"/>
      <c r="I9" s="21"/>
      <c r="J9" s="21"/>
      <c r="L9" s="24"/>
      <c r="M9" s="24"/>
      <c r="N9" s="32"/>
      <c r="O9" s="32"/>
      <c r="Q9" s="32"/>
    </row>
    <row r="10" spans="1:17" x14ac:dyDescent="0.4">
      <c r="C10" s="19"/>
      <c r="D10" s="19"/>
      <c r="E10" s="20"/>
      <c r="G10" s="21"/>
      <c r="H10" s="21"/>
      <c r="I10" s="21"/>
      <c r="J10" s="21"/>
      <c r="L10" s="24"/>
      <c r="M10" s="24"/>
      <c r="N10" s="32"/>
      <c r="O10" s="32"/>
      <c r="Q10" s="32"/>
    </row>
    <row r="11" spans="1:17" x14ac:dyDescent="0.4">
      <c r="C11" s="19"/>
      <c r="D11" s="19"/>
      <c r="E11" s="20"/>
      <c r="G11" s="21"/>
      <c r="H11" s="21"/>
      <c r="I11" s="21"/>
      <c r="J11" s="21"/>
      <c r="L11" s="24"/>
      <c r="M11" s="24"/>
      <c r="N11" s="32"/>
      <c r="O11" s="32"/>
      <c r="Q11" s="32"/>
    </row>
    <row r="12" spans="1:17" x14ac:dyDescent="0.4">
      <c r="C12" s="19"/>
      <c r="D12" s="19"/>
      <c r="E12" s="20"/>
      <c r="G12" s="20"/>
      <c r="H12" s="20"/>
      <c r="I12" s="21"/>
      <c r="J12" s="21"/>
      <c r="L12" s="24"/>
      <c r="M12" s="24"/>
      <c r="N12" s="32"/>
      <c r="O12" s="32"/>
      <c r="Q12" s="32"/>
    </row>
    <row r="13" spans="1:17" x14ac:dyDescent="0.4">
      <c r="C13" s="19"/>
      <c r="D13" s="19"/>
      <c r="E13" s="20"/>
      <c r="G13" s="20"/>
      <c r="H13" s="20"/>
      <c r="I13" s="21"/>
      <c r="J13" s="21"/>
      <c r="L13" s="24"/>
      <c r="M13" s="24"/>
      <c r="N13" s="32"/>
      <c r="O13" s="32"/>
      <c r="Q13" s="32"/>
    </row>
    <row r="14" spans="1:17" x14ac:dyDescent="0.4">
      <c r="C14" s="19"/>
      <c r="D14" s="19"/>
      <c r="E14" s="20"/>
      <c r="G14" s="20"/>
      <c r="H14" s="20"/>
      <c r="I14" s="21"/>
      <c r="J14" s="21"/>
      <c r="L14" s="24"/>
      <c r="M14" s="24"/>
      <c r="N14" s="32"/>
      <c r="O14" s="32"/>
      <c r="Q14" s="32"/>
    </row>
    <row r="15" spans="1:17" x14ac:dyDescent="0.4">
      <c r="C15" s="19"/>
      <c r="D15" s="19"/>
      <c r="E15" s="20"/>
      <c r="G15" s="20"/>
      <c r="H15" s="20"/>
      <c r="I15" s="21"/>
      <c r="J15" s="21"/>
      <c r="L15" s="24"/>
      <c r="M15" s="24"/>
      <c r="N15" s="32"/>
      <c r="O15" s="32"/>
      <c r="Q15" s="32"/>
    </row>
    <row r="16" spans="1:17" x14ac:dyDescent="0.4">
      <c r="C16" s="19"/>
      <c r="D16" s="19"/>
      <c r="E16" s="20"/>
      <c r="G16" s="20"/>
      <c r="H16" s="20"/>
      <c r="I16" s="21"/>
      <c r="J16" s="21"/>
      <c r="L16" s="24"/>
      <c r="M16" s="24"/>
      <c r="N16" s="32"/>
      <c r="O16" s="32"/>
      <c r="Q16" s="32"/>
    </row>
    <row r="17" spans="3:17" x14ac:dyDescent="0.4">
      <c r="C17" s="19"/>
      <c r="D17" s="19"/>
      <c r="E17" s="20"/>
      <c r="G17" s="20"/>
      <c r="H17" s="20"/>
      <c r="I17" s="21"/>
      <c r="J17" s="21"/>
      <c r="L17" s="24"/>
      <c r="M17" s="24"/>
      <c r="N17" s="32"/>
      <c r="O17" s="32"/>
      <c r="Q17" s="32"/>
    </row>
    <row r="18" spans="3:17" x14ac:dyDescent="0.4">
      <c r="C18" s="19"/>
      <c r="D18" s="19"/>
      <c r="E18" s="20"/>
      <c r="G18" s="20"/>
      <c r="H18" s="20"/>
      <c r="I18" s="21"/>
      <c r="J18" s="21"/>
      <c r="L18" s="24"/>
      <c r="M18" s="24"/>
      <c r="N18" s="32"/>
      <c r="O18" s="32"/>
      <c r="Q18" s="32"/>
    </row>
    <row r="19" spans="3:17" x14ac:dyDescent="0.4">
      <c r="C19" s="19"/>
      <c r="D19" s="19"/>
      <c r="E19" s="20"/>
      <c r="G19" s="20"/>
      <c r="H19" s="20"/>
      <c r="I19" s="21"/>
      <c r="J19" s="21"/>
      <c r="L19" s="24"/>
      <c r="M19" s="24"/>
      <c r="N19" s="32"/>
      <c r="O19" s="32"/>
      <c r="Q19" s="32"/>
    </row>
    <row r="20" spans="3:17" x14ac:dyDescent="0.4">
      <c r="C20" s="19"/>
      <c r="D20" s="19"/>
      <c r="E20" s="20"/>
      <c r="G20" s="20"/>
      <c r="H20" s="20"/>
      <c r="I20" s="21"/>
      <c r="J20" s="21"/>
      <c r="L20" s="24"/>
      <c r="M20" s="24"/>
      <c r="N20" s="32"/>
      <c r="O20" s="32"/>
      <c r="Q20" s="32"/>
    </row>
    <row r="21" spans="3:17" x14ac:dyDescent="0.4">
      <c r="C21" s="19"/>
      <c r="D21" s="19"/>
      <c r="E21" s="20"/>
      <c r="G21" s="20"/>
      <c r="H21" s="20"/>
      <c r="I21" s="21"/>
      <c r="J21" s="21"/>
      <c r="L21" s="24"/>
      <c r="M21" s="24"/>
      <c r="N21" s="32"/>
      <c r="O21" s="32"/>
      <c r="Q21" s="32"/>
    </row>
    <row r="22" spans="3:17" x14ac:dyDescent="0.4">
      <c r="C22" s="19"/>
      <c r="D22" s="19"/>
      <c r="E22" s="20"/>
      <c r="G22" s="20"/>
      <c r="H22" s="20"/>
      <c r="I22" s="21"/>
      <c r="J22" s="21"/>
      <c r="L22" s="24"/>
      <c r="M22" s="24"/>
      <c r="N22" s="32"/>
      <c r="O22" s="32"/>
      <c r="Q22" s="32"/>
    </row>
    <row r="23" spans="3:17" x14ac:dyDescent="0.4">
      <c r="C23" s="19"/>
      <c r="D23" s="19"/>
      <c r="E23" s="20"/>
      <c r="G23" s="20"/>
      <c r="H23" s="20"/>
      <c r="I23" s="21"/>
      <c r="J23" s="21"/>
      <c r="L23" s="24"/>
      <c r="M23" s="24"/>
      <c r="N23" s="32"/>
      <c r="O23" s="32"/>
      <c r="Q23" s="32"/>
    </row>
    <row r="24" spans="3:17" x14ac:dyDescent="0.4">
      <c r="C24" s="19"/>
      <c r="D24" s="19"/>
      <c r="E24" s="20"/>
      <c r="G24" s="20"/>
      <c r="H24" s="20"/>
      <c r="I24" s="21"/>
      <c r="J24" s="21"/>
      <c r="L24" s="24"/>
      <c r="M24" s="24"/>
      <c r="N24" s="32"/>
      <c r="O24" s="32"/>
      <c r="Q24" s="32"/>
    </row>
    <row r="25" spans="3:17" x14ac:dyDescent="0.4">
      <c r="C25" s="19"/>
      <c r="D25" s="19"/>
      <c r="E25" s="20"/>
      <c r="G25" s="20"/>
      <c r="H25" s="20"/>
      <c r="I25" s="21"/>
      <c r="J25" s="21"/>
      <c r="L25" s="24"/>
      <c r="M25" s="24"/>
      <c r="N25" s="32"/>
      <c r="O25" s="32"/>
      <c r="Q25" s="32"/>
    </row>
    <row r="26" spans="3:17" x14ac:dyDescent="0.4">
      <c r="C26" s="19"/>
      <c r="D26" s="19"/>
      <c r="E26" s="20"/>
      <c r="G26" s="20"/>
      <c r="H26" s="20"/>
      <c r="I26" s="21"/>
      <c r="J26" s="21"/>
      <c r="L26" s="24"/>
      <c r="M26" s="24"/>
      <c r="N26" s="32"/>
      <c r="O26" s="32"/>
      <c r="Q26" s="32"/>
    </row>
    <row r="27" spans="3:17" x14ac:dyDescent="0.4">
      <c r="C27" s="19"/>
      <c r="D27" s="19"/>
      <c r="E27" s="20"/>
      <c r="G27" s="20"/>
      <c r="H27" s="20"/>
      <c r="I27" s="21"/>
      <c r="J27" s="21"/>
      <c r="L27" s="24"/>
      <c r="M27" s="24"/>
      <c r="N27" s="32"/>
      <c r="O27" s="32"/>
      <c r="Q27" s="32"/>
    </row>
    <row r="28" spans="3:17" x14ac:dyDescent="0.4">
      <c r="C28" s="19"/>
      <c r="D28" s="19"/>
      <c r="E28" s="20"/>
      <c r="G28" s="20"/>
      <c r="H28" s="20"/>
      <c r="I28" s="21"/>
      <c r="J28" s="21"/>
      <c r="L28" s="24"/>
      <c r="M28" s="24"/>
      <c r="N28" s="32"/>
      <c r="O28" s="32"/>
      <c r="Q28" s="32"/>
    </row>
    <row r="29" spans="3:17" x14ac:dyDescent="0.4">
      <c r="D29" s="19"/>
      <c r="E29" s="20"/>
      <c r="G29" s="20"/>
      <c r="H29" s="20"/>
      <c r="I29" s="21"/>
      <c r="J29" s="21"/>
      <c r="L29" s="24"/>
      <c r="M29" s="24"/>
      <c r="N29" s="32"/>
      <c r="O29" s="32"/>
      <c r="Q29" s="32"/>
    </row>
    <row r="30" spans="3:17" x14ac:dyDescent="0.4">
      <c r="D30" s="19"/>
      <c r="E30" s="20"/>
      <c r="G30" s="20"/>
      <c r="H30" s="20"/>
      <c r="I30" s="21"/>
      <c r="J30" s="21"/>
      <c r="L30" s="24"/>
      <c r="M30" s="24"/>
      <c r="N30" s="32"/>
      <c r="O30" s="32"/>
      <c r="Q30" s="32"/>
    </row>
    <row r="31" spans="3:17" x14ac:dyDescent="0.4">
      <c r="D31" s="19"/>
      <c r="E31" s="20"/>
      <c r="G31" s="20"/>
      <c r="H31" s="20"/>
      <c r="I31" s="21"/>
      <c r="J31" s="21"/>
      <c r="L31" s="24"/>
      <c r="M31" s="24"/>
      <c r="N31" s="32"/>
      <c r="O31" s="32"/>
      <c r="Q31" s="32"/>
    </row>
    <row r="32" spans="3:17" x14ac:dyDescent="0.4">
      <c r="D32" s="19"/>
      <c r="E32" s="20"/>
      <c r="G32" s="20"/>
      <c r="H32" s="20"/>
      <c r="I32" s="21"/>
      <c r="J32" s="21"/>
      <c r="L32" s="24"/>
      <c r="M32" s="24"/>
      <c r="N32" s="32"/>
      <c r="O32" s="32"/>
      <c r="Q32" s="32"/>
    </row>
    <row r="33" spans="4:17" x14ac:dyDescent="0.4">
      <c r="D33" s="19"/>
      <c r="E33" s="20"/>
      <c r="G33" s="20"/>
      <c r="H33" s="20"/>
      <c r="I33" s="21"/>
      <c r="J33" s="21"/>
      <c r="L33" s="24"/>
      <c r="M33" s="24"/>
      <c r="N33" s="32"/>
      <c r="O33" s="32"/>
      <c r="Q33" s="32"/>
    </row>
    <row r="34" spans="4:17" x14ac:dyDescent="0.4">
      <c r="D34" s="19"/>
      <c r="E34" s="20"/>
      <c r="G34" s="20"/>
      <c r="H34" s="20"/>
      <c r="I34" s="21"/>
      <c r="J34" s="21"/>
      <c r="L34" s="24"/>
      <c r="M34" s="24"/>
      <c r="N34" s="32"/>
      <c r="O34" s="32"/>
      <c r="Q34" s="32"/>
    </row>
    <row r="35" spans="4:17" x14ac:dyDescent="0.4">
      <c r="D35" s="19"/>
      <c r="G35" s="20"/>
      <c r="H35" s="20"/>
      <c r="I35" s="21"/>
      <c r="J35" s="21"/>
      <c r="L35" s="24"/>
      <c r="M35" s="24"/>
      <c r="N35" s="32"/>
      <c r="O35" s="32"/>
      <c r="Q35" s="32"/>
    </row>
    <row r="36" spans="4:17" x14ac:dyDescent="0.4">
      <c r="D36" s="19"/>
      <c r="G36" s="20"/>
      <c r="H36" s="20"/>
      <c r="I36" s="21"/>
      <c r="J36" s="21"/>
      <c r="L36" s="24"/>
      <c r="M36" s="24"/>
      <c r="N36" s="32"/>
      <c r="O36" s="32"/>
      <c r="Q36" s="32"/>
    </row>
    <row r="37" spans="4:17" x14ac:dyDescent="0.4">
      <c r="D37" s="19"/>
      <c r="I37" s="21"/>
      <c r="J37" s="21"/>
      <c r="L37" s="24"/>
      <c r="M37" s="24"/>
      <c r="N37" s="32"/>
      <c r="O37" s="32"/>
      <c r="Q37" s="32"/>
    </row>
    <row r="38" spans="4:17" x14ac:dyDescent="0.4">
      <c r="D38" s="19"/>
      <c r="I38" s="21"/>
      <c r="J38" s="21"/>
      <c r="L38" s="24"/>
      <c r="M38" s="24"/>
      <c r="N38" s="32"/>
      <c r="O38" s="32"/>
      <c r="Q38" s="32"/>
    </row>
    <row r="39" spans="4:17" x14ac:dyDescent="0.4">
      <c r="D39" s="19"/>
      <c r="I39" s="21"/>
      <c r="J39" s="21"/>
      <c r="L39" s="24"/>
      <c r="M39" s="24"/>
      <c r="N39" s="32"/>
      <c r="O39" s="32"/>
      <c r="Q39" s="32"/>
    </row>
    <row r="40" spans="4:17" x14ac:dyDescent="0.4">
      <c r="D40" s="19"/>
      <c r="I40" s="21"/>
      <c r="J40" s="21"/>
      <c r="L40" s="24"/>
      <c r="M40" s="24"/>
      <c r="N40" s="32"/>
      <c r="O40" s="32"/>
      <c r="Q40" s="32"/>
    </row>
    <row r="41" spans="4:17" x14ac:dyDescent="0.4">
      <c r="D41" s="19"/>
      <c r="I41" s="21"/>
      <c r="J41" s="21"/>
      <c r="L41" s="24"/>
      <c r="M41" s="24"/>
      <c r="N41" s="32"/>
      <c r="O41" s="32"/>
      <c r="Q41" s="32"/>
    </row>
    <row r="42" spans="4:17" x14ac:dyDescent="0.4">
      <c r="D42" s="19"/>
      <c r="I42" s="21"/>
      <c r="J42" s="21"/>
      <c r="L42" s="24"/>
      <c r="M42" s="24"/>
      <c r="N42" s="32"/>
      <c r="O42" s="32"/>
      <c r="Q42" s="32"/>
    </row>
    <row r="43" spans="4:17" x14ac:dyDescent="0.4">
      <c r="D43" s="19"/>
      <c r="I43" s="21"/>
      <c r="J43" s="21"/>
      <c r="L43" s="24"/>
      <c r="M43" s="24"/>
      <c r="N43" s="32"/>
      <c r="O43" s="32"/>
      <c r="Q43" s="32"/>
    </row>
    <row r="44" spans="4:17" x14ac:dyDescent="0.4">
      <c r="D44" s="19"/>
      <c r="I44" s="21"/>
      <c r="J44" s="21"/>
      <c r="L44" s="24"/>
      <c r="M44" s="24"/>
      <c r="N44" s="32"/>
      <c r="O44" s="32"/>
      <c r="Q44" s="32"/>
    </row>
    <row r="45" spans="4:17" x14ac:dyDescent="0.4">
      <c r="D45" s="19"/>
      <c r="I45" s="21"/>
      <c r="J45" s="21"/>
      <c r="L45" s="24"/>
      <c r="M45" s="24"/>
      <c r="N45" s="32"/>
      <c r="O45" s="32"/>
      <c r="Q45" s="32"/>
    </row>
    <row r="46" spans="4:17" x14ac:dyDescent="0.4">
      <c r="D46" s="19"/>
      <c r="I46" s="21"/>
      <c r="J46" s="21"/>
      <c r="L46" s="24"/>
      <c r="M46" s="24"/>
      <c r="N46" s="32"/>
      <c r="O46" s="32"/>
      <c r="Q46" s="32"/>
    </row>
    <row r="47" spans="4:17" x14ac:dyDescent="0.4">
      <c r="D47" s="19"/>
      <c r="I47" s="21"/>
      <c r="J47" s="21"/>
      <c r="L47" s="24"/>
      <c r="M47" s="24"/>
      <c r="N47" s="32"/>
      <c r="O47" s="32"/>
      <c r="Q47" s="32"/>
    </row>
    <row r="48" spans="4:17" x14ac:dyDescent="0.4">
      <c r="D48" s="19"/>
      <c r="I48" s="21"/>
      <c r="J48" s="21"/>
      <c r="L48" s="24"/>
      <c r="M48" s="24"/>
      <c r="N48" s="32"/>
      <c r="O48" s="32"/>
      <c r="Q48" s="32"/>
    </row>
    <row r="49" spans="4:17" x14ac:dyDescent="0.4">
      <c r="D49" s="19"/>
      <c r="I49" s="21"/>
      <c r="J49" s="21"/>
      <c r="L49" s="24"/>
      <c r="M49" s="24"/>
      <c r="N49" s="32"/>
      <c r="O49" s="32"/>
      <c r="Q49" s="32"/>
    </row>
    <row r="50" spans="4:17" x14ac:dyDescent="0.4">
      <c r="D50" s="19"/>
      <c r="I50" s="21"/>
      <c r="J50" s="21"/>
      <c r="L50" s="24"/>
      <c r="M50" s="24"/>
      <c r="N50" s="32"/>
      <c r="O50" s="32"/>
      <c r="Q50" s="32"/>
    </row>
    <row r="51" spans="4:17" x14ac:dyDescent="0.4">
      <c r="D51" s="19"/>
      <c r="I51" s="21"/>
      <c r="J51" s="21"/>
      <c r="L51" s="24"/>
      <c r="M51" s="24"/>
      <c r="N51" s="32"/>
      <c r="O51" s="32"/>
      <c r="Q51" s="32"/>
    </row>
    <row r="52" spans="4:17" x14ac:dyDescent="0.4">
      <c r="D52" s="19"/>
      <c r="I52" s="21"/>
      <c r="J52" s="21"/>
      <c r="L52" s="24"/>
      <c r="M52" s="24"/>
      <c r="N52" s="32"/>
      <c r="O52" s="32"/>
      <c r="Q52" s="32"/>
    </row>
    <row r="53" spans="4:17" x14ac:dyDescent="0.4">
      <c r="D53" s="19"/>
      <c r="I53" s="21"/>
      <c r="J53" s="21"/>
      <c r="L53" s="24"/>
      <c r="M53" s="24"/>
      <c r="N53" s="32"/>
      <c r="O53" s="32"/>
      <c r="Q53" s="32"/>
    </row>
    <row r="54" spans="4:17" x14ac:dyDescent="0.4">
      <c r="D54" s="19"/>
      <c r="I54" s="21"/>
      <c r="J54" s="21"/>
      <c r="L54" s="24"/>
      <c r="M54" s="24"/>
      <c r="N54" s="32"/>
      <c r="O54" s="32"/>
      <c r="Q54" s="32"/>
    </row>
    <row r="55" spans="4:17" x14ac:dyDescent="0.4">
      <c r="D55" s="19"/>
      <c r="I55" s="21"/>
      <c r="J55" s="21"/>
      <c r="L55" s="24"/>
      <c r="M55" s="24"/>
      <c r="N55" s="32"/>
      <c r="O55" s="32"/>
      <c r="Q55" s="32"/>
    </row>
    <row r="56" spans="4:17" x14ac:dyDescent="0.4">
      <c r="D56" s="19"/>
      <c r="I56" s="21"/>
      <c r="J56" s="21"/>
      <c r="L56" s="24"/>
      <c r="M56" s="24"/>
      <c r="N56" s="32"/>
      <c r="O56" s="32"/>
      <c r="Q56" s="32"/>
    </row>
    <row r="57" spans="4:17" x14ac:dyDescent="0.4">
      <c r="D57" s="19"/>
      <c r="I57" s="21"/>
      <c r="J57" s="21"/>
      <c r="L57" s="24"/>
      <c r="M57" s="24"/>
      <c r="N57" s="32"/>
      <c r="O57" s="32"/>
      <c r="Q57" s="32"/>
    </row>
    <row r="58" spans="4:17" x14ac:dyDescent="0.4">
      <c r="D58" s="19"/>
      <c r="I58" s="21"/>
      <c r="J58" s="21"/>
      <c r="L58" s="24"/>
      <c r="M58" s="24"/>
      <c r="N58" s="32"/>
      <c r="O58" s="32"/>
      <c r="Q58" s="32"/>
    </row>
    <row r="59" spans="4:17" x14ac:dyDescent="0.4">
      <c r="D59" s="19"/>
      <c r="I59" s="21"/>
      <c r="J59" s="21"/>
      <c r="L59" s="24"/>
      <c r="M59" s="24"/>
      <c r="N59" s="32"/>
      <c r="O59" s="32"/>
      <c r="Q59" s="32"/>
    </row>
    <row r="60" spans="4:17" x14ac:dyDescent="0.4">
      <c r="D60" s="19"/>
      <c r="I60" s="21"/>
      <c r="J60" s="21"/>
      <c r="L60" s="24"/>
      <c r="M60" s="24"/>
      <c r="N60" s="32"/>
      <c r="O60" s="32"/>
      <c r="Q60" s="32"/>
    </row>
    <row r="61" spans="4:17" x14ac:dyDescent="0.4">
      <c r="D61" s="19"/>
      <c r="J61" s="21"/>
      <c r="L61" s="24"/>
      <c r="M61" s="24"/>
      <c r="N61" s="32"/>
      <c r="O61" s="32"/>
      <c r="Q61" s="32"/>
    </row>
    <row r="62" spans="4:17" x14ac:dyDescent="0.4">
      <c r="D62" s="19"/>
      <c r="J62" s="21"/>
      <c r="L62" s="24"/>
      <c r="M62" s="24"/>
      <c r="N62" s="32"/>
      <c r="O62" s="32"/>
      <c r="Q62" s="32"/>
    </row>
    <row r="63" spans="4:17" x14ac:dyDescent="0.4">
      <c r="D63" s="19"/>
      <c r="L63" s="24"/>
      <c r="M63" s="24"/>
      <c r="N63" s="32"/>
      <c r="O63" s="32"/>
      <c r="Q63" s="32"/>
    </row>
    <row r="64" spans="4:17" x14ac:dyDescent="0.4">
      <c r="D64" s="19"/>
      <c r="L64" s="24"/>
      <c r="M64" s="24"/>
      <c r="N64" s="32"/>
      <c r="O64" s="32"/>
      <c r="Q64" s="32"/>
    </row>
    <row r="65" spans="4:17" x14ac:dyDescent="0.4">
      <c r="D65" s="19"/>
      <c r="L65" s="24"/>
      <c r="M65" s="24"/>
      <c r="N65" s="32"/>
      <c r="O65" s="32"/>
      <c r="Q65" s="32"/>
    </row>
    <row r="66" spans="4:17" x14ac:dyDescent="0.4">
      <c r="D66" s="19"/>
      <c r="L66" s="24"/>
      <c r="M66" s="24"/>
      <c r="N66" s="32"/>
      <c r="O66" s="32"/>
      <c r="Q66" s="32"/>
    </row>
    <row r="67" spans="4:17" x14ac:dyDescent="0.4">
      <c r="D67" s="19"/>
      <c r="L67" s="24"/>
      <c r="M67" s="24"/>
      <c r="N67" s="32"/>
      <c r="O67" s="32"/>
      <c r="Q67" s="32"/>
    </row>
    <row r="68" spans="4:17" x14ac:dyDescent="0.4">
      <c r="D68" s="19"/>
      <c r="L68" s="24"/>
      <c r="M68" s="24"/>
      <c r="N68" s="32"/>
      <c r="O68" s="32"/>
      <c r="Q68" s="32"/>
    </row>
    <row r="69" spans="4:17" x14ac:dyDescent="0.4">
      <c r="D69" s="19"/>
      <c r="L69" s="24"/>
      <c r="M69" s="24"/>
      <c r="N69" s="32"/>
      <c r="O69" s="32"/>
      <c r="Q69" s="32"/>
    </row>
    <row r="70" spans="4:17" x14ac:dyDescent="0.4">
      <c r="D70" s="19"/>
      <c r="L70" s="24"/>
      <c r="M70" s="24"/>
      <c r="N70" s="32"/>
      <c r="O70" s="32"/>
      <c r="Q70" s="32"/>
    </row>
    <row r="71" spans="4:17" x14ac:dyDescent="0.4">
      <c r="D71" s="19"/>
      <c r="L71" s="24"/>
      <c r="M71" s="24"/>
      <c r="N71" s="32"/>
      <c r="O71" s="32"/>
      <c r="Q71" s="32"/>
    </row>
    <row r="72" spans="4:17" x14ac:dyDescent="0.4">
      <c r="D72" s="19"/>
      <c r="L72" s="24"/>
      <c r="M72" s="24"/>
      <c r="N72" s="32"/>
      <c r="O72" s="32"/>
      <c r="Q72" s="32"/>
    </row>
    <row r="73" spans="4:17" x14ac:dyDescent="0.4">
      <c r="L73" s="24"/>
      <c r="M73" s="24"/>
      <c r="N73" s="32"/>
      <c r="O73" s="32"/>
      <c r="Q73" s="32"/>
    </row>
    <row r="74" spans="4:17" x14ac:dyDescent="0.4">
      <c r="L74" s="24"/>
      <c r="M74" s="24"/>
      <c r="N74" s="32"/>
      <c r="O74" s="32"/>
      <c r="Q74" s="32"/>
    </row>
    <row r="75" spans="4:17" x14ac:dyDescent="0.4">
      <c r="L75" s="24"/>
      <c r="M75" s="24"/>
      <c r="N75" s="32"/>
      <c r="O75" s="32"/>
      <c r="Q75" s="32"/>
    </row>
    <row r="76" spans="4:17" x14ac:dyDescent="0.4">
      <c r="L76" s="24"/>
      <c r="M76" s="24"/>
      <c r="N76" s="32"/>
      <c r="O76" s="32"/>
      <c r="Q76" s="32"/>
    </row>
    <row r="77" spans="4:17" x14ac:dyDescent="0.4">
      <c r="L77" s="24"/>
      <c r="M77" s="24"/>
      <c r="N77" s="32"/>
      <c r="O77" s="32"/>
      <c r="Q77" s="32"/>
    </row>
    <row r="78" spans="4:17" x14ac:dyDescent="0.4">
      <c r="L78" s="24"/>
      <c r="M78" s="24"/>
      <c r="N78" s="32"/>
      <c r="O78" s="32"/>
      <c r="Q78" s="32"/>
    </row>
    <row r="79" spans="4:17" x14ac:dyDescent="0.4">
      <c r="L79" s="24"/>
      <c r="M79" s="24"/>
      <c r="N79" s="32"/>
      <c r="O79" s="32"/>
      <c r="Q79" s="32"/>
    </row>
    <row r="80" spans="4:17" x14ac:dyDescent="0.4">
      <c r="L80" s="24"/>
      <c r="M80" s="24"/>
      <c r="N80" s="32"/>
      <c r="O80" s="32"/>
      <c r="Q80" s="32"/>
    </row>
    <row r="81" spans="12:17" x14ac:dyDescent="0.4">
      <c r="L81" s="24"/>
      <c r="M81" s="24"/>
      <c r="N81" s="32"/>
      <c r="O81" s="32"/>
      <c r="Q81" s="32"/>
    </row>
    <row r="82" spans="12:17" x14ac:dyDescent="0.4">
      <c r="L82" s="24"/>
      <c r="M82" s="24"/>
      <c r="N82" s="32"/>
      <c r="O82" s="32"/>
      <c r="Q82" s="32"/>
    </row>
    <row r="83" spans="12:17" x14ac:dyDescent="0.4">
      <c r="L83" s="24"/>
      <c r="M83" s="24"/>
      <c r="N83" s="32"/>
      <c r="O83" s="32"/>
      <c r="Q83" s="32"/>
    </row>
    <row r="84" spans="12:17" x14ac:dyDescent="0.4">
      <c r="L84" s="24"/>
      <c r="M84" s="24"/>
      <c r="N84" s="32"/>
      <c r="O84" s="32"/>
      <c r="Q84" s="32"/>
    </row>
    <row r="85" spans="12:17" x14ac:dyDescent="0.4">
      <c r="L85" s="24"/>
      <c r="M85" s="24"/>
      <c r="N85" s="32"/>
      <c r="O85" s="32"/>
      <c r="Q85" s="32"/>
    </row>
    <row r="86" spans="12:17" x14ac:dyDescent="0.4">
      <c r="L86" s="24"/>
      <c r="M86" s="24"/>
      <c r="N86" s="32"/>
      <c r="O86" s="32"/>
      <c r="Q86" s="32"/>
    </row>
    <row r="87" spans="12:17" x14ac:dyDescent="0.4">
      <c r="L87" s="24"/>
      <c r="M87" s="24"/>
      <c r="N87" s="32"/>
      <c r="O87" s="32"/>
      <c r="Q87" s="32"/>
    </row>
    <row r="88" spans="12:17" x14ac:dyDescent="0.4">
      <c r="L88" s="24"/>
      <c r="M88" s="24"/>
      <c r="N88" s="32"/>
      <c r="O88" s="32"/>
      <c r="Q88" s="32"/>
    </row>
    <row r="89" spans="12:17" x14ac:dyDescent="0.4">
      <c r="L89" s="24"/>
      <c r="M89" s="24"/>
      <c r="N89" s="32"/>
      <c r="O89" s="32"/>
      <c r="Q89" s="32"/>
    </row>
    <row r="90" spans="12:17" x14ac:dyDescent="0.4">
      <c r="L90" s="24"/>
      <c r="M90" s="24"/>
      <c r="N90" s="32"/>
      <c r="O90" s="32"/>
      <c r="Q90" s="32"/>
    </row>
    <row r="91" spans="12:17" x14ac:dyDescent="0.4">
      <c r="L91" s="24"/>
      <c r="M91" s="24"/>
      <c r="N91" s="32"/>
      <c r="O91" s="32"/>
      <c r="Q91" s="32"/>
    </row>
    <row r="92" spans="12:17" x14ac:dyDescent="0.4">
      <c r="L92" s="24"/>
      <c r="M92" s="24"/>
      <c r="N92" s="32"/>
      <c r="O92" s="32"/>
      <c r="Q92" s="32"/>
    </row>
    <row r="93" spans="12:17" x14ac:dyDescent="0.4">
      <c r="L93" s="24"/>
      <c r="M93" s="24"/>
      <c r="N93" s="32"/>
      <c r="O93" s="32"/>
      <c r="Q93" s="32"/>
    </row>
    <row r="94" spans="12:17" x14ac:dyDescent="0.4">
      <c r="L94" s="24"/>
      <c r="M94" s="24"/>
      <c r="N94" s="32"/>
      <c r="O94" s="32"/>
      <c r="Q94" s="32"/>
    </row>
    <row r="95" spans="12:17" x14ac:dyDescent="0.4">
      <c r="L95" s="24"/>
      <c r="M95" s="24"/>
      <c r="N95" s="32"/>
      <c r="O95" s="32"/>
      <c r="Q95" s="32"/>
    </row>
    <row r="96" spans="12:17" x14ac:dyDescent="0.4">
      <c r="L96" s="24"/>
      <c r="M96" s="24"/>
      <c r="N96" s="32"/>
      <c r="O96" s="32"/>
      <c r="Q96" s="32"/>
    </row>
    <row r="97" spans="12:17" x14ac:dyDescent="0.4">
      <c r="L97" s="24"/>
      <c r="M97" s="24"/>
      <c r="N97" s="32"/>
      <c r="O97" s="32"/>
      <c r="Q97" s="32"/>
    </row>
    <row r="98" spans="12:17" x14ac:dyDescent="0.4">
      <c r="L98" s="24"/>
      <c r="M98" s="24"/>
      <c r="N98" s="32"/>
      <c r="O98" s="32"/>
      <c r="Q98" s="32"/>
    </row>
    <row r="99" spans="12:17" x14ac:dyDescent="0.4">
      <c r="L99" s="24"/>
      <c r="M99" s="24"/>
      <c r="N99" s="32"/>
      <c r="O99" s="32"/>
      <c r="Q99" s="32"/>
    </row>
    <row r="100" spans="12:17" x14ac:dyDescent="0.4">
      <c r="L100" s="24"/>
      <c r="M100" s="24"/>
      <c r="N100" s="32"/>
      <c r="O100" s="32"/>
      <c r="Q100" s="32"/>
    </row>
    <row r="101" spans="12:17" x14ac:dyDescent="0.4">
      <c r="L101" s="24"/>
      <c r="M101" s="24"/>
      <c r="N101" s="32"/>
      <c r="O101" s="32"/>
      <c r="Q101" s="32"/>
    </row>
    <row r="102" spans="12:17" x14ac:dyDescent="0.4">
      <c r="L102" s="24"/>
      <c r="M102" s="24"/>
      <c r="N102" s="32"/>
      <c r="O102" s="32"/>
      <c r="Q102" s="32"/>
    </row>
    <row r="103" spans="12:17" x14ac:dyDescent="0.4">
      <c r="L103" s="24"/>
      <c r="M103" s="24"/>
      <c r="N103" s="32"/>
      <c r="O103" s="32"/>
      <c r="Q103" s="32"/>
    </row>
    <row r="104" spans="12:17" x14ac:dyDescent="0.4">
      <c r="L104" s="24"/>
      <c r="M104" s="24"/>
      <c r="N104" s="32"/>
      <c r="O104" s="32"/>
      <c r="Q104" s="32"/>
    </row>
    <row r="105" spans="12:17" x14ac:dyDescent="0.4">
      <c r="L105" s="24"/>
      <c r="M105" s="24"/>
      <c r="N105" s="32"/>
      <c r="O105" s="32"/>
      <c r="Q105" s="32"/>
    </row>
    <row r="106" spans="12:17" x14ac:dyDescent="0.4">
      <c r="L106" s="24"/>
      <c r="M106" s="24"/>
      <c r="N106" s="32"/>
      <c r="O106" s="32"/>
      <c r="Q106" s="32"/>
    </row>
    <row r="107" spans="12:17" x14ac:dyDescent="0.4">
      <c r="L107" s="24"/>
      <c r="M107" s="24"/>
      <c r="N107" s="32"/>
      <c r="O107" s="32"/>
      <c r="Q107" s="32"/>
    </row>
    <row r="108" spans="12:17" x14ac:dyDescent="0.4">
      <c r="L108" s="24"/>
      <c r="M108" s="24"/>
      <c r="N108" s="32"/>
      <c r="O108" s="32"/>
      <c r="Q108" s="32"/>
    </row>
    <row r="109" spans="12:17" x14ac:dyDescent="0.4">
      <c r="L109" s="24"/>
      <c r="M109" s="24"/>
      <c r="N109" s="32"/>
      <c r="O109" s="32"/>
      <c r="Q109" s="32"/>
    </row>
    <row r="110" spans="12:17" x14ac:dyDescent="0.4">
      <c r="L110" s="24"/>
      <c r="M110" s="24"/>
      <c r="N110" s="32"/>
      <c r="O110" s="32"/>
      <c r="Q110" s="32"/>
    </row>
    <row r="111" spans="12:17" x14ac:dyDescent="0.4">
      <c r="L111" s="24"/>
      <c r="M111" s="24"/>
      <c r="N111" s="32"/>
      <c r="O111" s="32"/>
      <c r="Q111" s="32"/>
    </row>
    <row r="112" spans="12:17" x14ac:dyDescent="0.4">
      <c r="L112" s="24"/>
      <c r="M112" s="24"/>
      <c r="N112" s="32"/>
      <c r="O112" s="32"/>
      <c r="Q112" s="32"/>
    </row>
    <row r="113" spans="12:17" x14ac:dyDescent="0.4">
      <c r="L113" s="24"/>
      <c r="M113" s="24"/>
      <c r="N113" s="32"/>
      <c r="O113" s="32"/>
      <c r="Q113" s="32"/>
    </row>
    <row r="114" spans="12:17" x14ac:dyDescent="0.4">
      <c r="L114" s="24"/>
      <c r="M114" s="24"/>
      <c r="N114" s="32"/>
      <c r="O114" s="32"/>
      <c r="Q114" s="32"/>
    </row>
    <row r="115" spans="12:17" x14ac:dyDescent="0.4">
      <c r="L115" s="24"/>
      <c r="M115" s="24"/>
      <c r="N115" s="32"/>
      <c r="O115" s="32"/>
      <c r="Q115" s="32"/>
    </row>
    <row r="116" spans="12:17" x14ac:dyDescent="0.4">
      <c r="L116" s="24"/>
      <c r="M116" s="24"/>
      <c r="N116" s="32"/>
      <c r="O116" s="32"/>
      <c r="Q116" s="32"/>
    </row>
    <row r="117" spans="12:17" x14ac:dyDescent="0.4">
      <c r="L117" s="24"/>
      <c r="M117" s="24"/>
      <c r="N117" s="32"/>
      <c r="O117" s="32"/>
      <c r="Q117" s="32"/>
    </row>
    <row r="118" spans="12:17" x14ac:dyDescent="0.4">
      <c r="L118" s="24"/>
      <c r="M118" s="24"/>
      <c r="N118" s="32"/>
      <c r="O118" s="32"/>
      <c r="Q118" s="32"/>
    </row>
    <row r="119" spans="12:17" x14ac:dyDescent="0.4">
      <c r="L119" s="24"/>
      <c r="M119" s="24"/>
      <c r="N119" s="32"/>
      <c r="O119" s="32"/>
      <c r="Q119" s="32"/>
    </row>
    <row r="120" spans="12:17" x14ac:dyDescent="0.4">
      <c r="L120" s="24"/>
      <c r="M120" s="24"/>
      <c r="N120" s="32"/>
      <c r="O120" s="32"/>
      <c r="Q120" s="32"/>
    </row>
    <row r="121" spans="12:17" x14ac:dyDescent="0.4">
      <c r="L121" s="24"/>
      <c r="M121" s="24"/>
      <c r="N121" s="32"/>
      <c r="O121" s="32"/>
      <c r="Q121" s="32"/>
    </row>
    <row r="122" spans="12:17" x14ac:dyDescent="0.4">
      <c r="L122" s="24"/>
      <c r="M122" s="24"/>
      <c r="N122" s="32"/>
      <c r="O122" s="32"/>
      <c r="Q122" s="32"/>
    </row>
    <row r="123" spans="12:17" x14ac:dyDescent="0.4">
      <c r="L123" s="24"/>
      <c r="M123" s="24"/>
      <c r="N123" s="32"/>
      <c r="O123" s="32"/>
      <c r="Q123" s="32"/>
    </row>
    <row r="124" spans="12:17" x14ac:dyDescent="0.4">
      <c r="L124" s="24"/>
      <c r="M124" s="24"/>
      <c r="N124" s="32"/>
      <c r="O124" s="32"/>
      <c r="Q124" s="32"/>
    </row>
    <row r="125" spans="12:17" x14ac:dyDescent="0.4">
      <c r="L125" s="24"/>
      <c r="M125" s="24"/>
      <c r="N125" s="32"/>
      <c r="O125" s="32"/>
      <c r="Q125" s="32"/>
    </row>
    <row r="126" spans="12:17" x14ac:dyDescent="0.4">
      <c r="L126" s="24"/>
      <c r="M126" s="24"/>
      <c r="N126" s="32"/>
      <c r="O126" s="32"/>
      <c r="Q126" s="32"/>
    </row>
    <row r="127" spans="12:17" x14ac:dyDescent="0.4">
      <c r="L127" s="24"/>
      <c r="M127" s="24"/>
      <c r="N127" s="32"/>
      <c r="O127" s="32"/>
      <c r="Q127" s="32"/>
    </row>
    <row r="128" spans="12:17" x14ac:dyDescent="0.4">
      <c r="L128" s="24"/>
      <c r="M128" s="24"/>
      <c r="N128" s="32"/>
      <c r="O128" s="32"/>
      <c r="Q128" s="32"/>
    </row>
    <row r="129" spans="12:17" x14ac:dyDescent="0.4">
      <c r="L129" s="24"/>
      <c r="M129" s="24"/>
      <c r="N129" s="32"/>
      <c r="O129" s="32"/>
      <c r="Q129" s="32"/>
    </row>
    <row r="130" spans="12:17" x14ac:dyDescent="0.4">
      <c r="L130" s="24"/>
      <c r="M130" s="24"/>
      <c r="N130" s="32"/>
      <c r="O130" s="32"/>
      <c r="Q130" s="32"/>
    </row>
    <row r="131" spans="12:17" x14ac:dyDescent="0.4">
      <c r="L131" s="24"/>
      <c r="M131" s="24"/>
      <c r="N131" s="32"/>
      <c r="O131" s="32"/>
      <c r="Q131" s="32"/>
    </row>
    <row r="132" spans="12:17" x14ac:dyDescent="0.4">
      <c r="L132" s="24"/>
      <c r="M132" s="24"/>
      <c r="N132" s="32"/>
      <c r="O132" s="32"/>
      <c r="Q132" s="32"/>
    </row>
    <row r="133" spans="12:17" x14ac:dyDescent="0.4">
      <c r="L133" s="24"/>
      <c r="M133" s="24"/>
      <c r="N133" s="32"/>
      <c r="O133" s="32"/>
      <c r="Q133" s="32"/>
    </row>
    <row r="134" spans="12:17" x14ac:dyDescent="0.4">
      <c r="L134" s="24"/>
      <c r="M134" s="24"/>
      <c r="N134" s="32"/>
      <c r="O134" s="32"/>
      <c r="Q134" s="32"/>
    </row>
    <row r="135" spans="12:17" x14ac:dyDescent="0.4">
      <c r="L135" s="24"/>
      <c r="M135" s="24"/>
      <c r="N135" s="32"/>
      <c r="O135" s="32"/>
      <c r="Q135" s="32"/>
    </row>
    <row r="136" spans="12:17" x14ac:dyDescent="0.4">
      <c r="L136" s="24"/>
      <c r="M136" s="24"/>
      <c r="N136" s="32"/>
      <c r="O136" s="32"/>
      <c r="Q136" s="32"/>
    </row>
    <row r="137" spans="12:17" x14ac:dyDescent="0.4">
      <c r="L137" s="24"/>
      <c r="M137" s="24"/>
      <c r="N137" s="32"/>
      <c r="O137" s="32"/>
      <c r="Q137" s="32"/>
    </row>
    <row r="138" spans="12:17" x14ac:dyDescent="0.4">
      <c r="L138" s="24"/>
      <c r="M138" s="24"/>
      <c r="N138" s="32"/>
      <c r="O138" s="32"/>
      <c r="Q138" s="32"/>
    </row>
    <row r="139" spans="12:17" x14ac:dyDescent="0.4">
      <c r="L139" s="24"/>
      <c r="M139" s="24"/>
      <c r="N139" s="32"/>
      <c r="O139" s="32"/>
      <c r="Q139" s="32"/>
    </row>
    <row r="140" spans="12:17" x14ac:dyDescent="0.4">
      <c r="L140" s="24"/>
      <c r="M140" s="24"/>
      <c r="N140" s="32"/>
      <c r="O140" s="32"/>
      <c r="Q140" s="32"/>
    </row>
    <row r="141" spans="12:17" x14ac:dyDescent="0.4">
      <c r="L141" s="24"/>
      <c r="M141" s="24"/>
      <c r="N141" s="32"/>
      <c r="O141" s="32"/>
      <c r="Q141" s="32"/>
    </row>
    <row r="142" spans="12:17" x14ac:dyDescent="0.4">
      <c r="L142" s="24"/>
      <c r="M142" s="24"/>
      <c r="N142" s="32"/>
      <c r="O142" s="32"/>
      <c r="Q142" s="32"/>
    </row>
    <row r="143" spans="12:17" x14ac:dyDescent="0.4">
      <c r="L143" s="24"/>
      <c r="M143" s="24"/>
      <c r="N143" s="32"/>
      <c r="O143" s="32"/>
      <c r="Q143" s="32"/>
    </row>
    <row r="144" spans="12:17" x14ac:dyDescent="0.4">
      <c r="L144" s="24"/>
      <c r="M144" s="24"/>
      <c r="N144" s="32"/>
      <c r="O144" s="32"/>
      <c r="Q144" s="32"/>
    </row>
    <row r="145" spans="12:17" x14ac:dyDescent="0.4">
      <c r="L145" s="24"/>
      <c r="M145" s="24"/>
      <c r="N145" s="32"/>
      <c r="O145" s="32"/>
      <c r="Q145" s="32"/>
    </row>
    <row r="146" spans="12:17" x14ac:dyDescent="0.4">
      <c r="L146" s="24"/>
      <c r="M146" s="24"/>
      <c r="N146" s="32"/>
      <c r="O146" s="32"/>
      <c r="Q146" s="32"/>
    </row>
    <row r="147" spans="12:17" x14ac:dyDescent="0.4">
      <c r="L147" s="24"/>
      <c r="M147" s="24"/>
      <c r="N147" s="32"/>
      <c r="O147" s="32"/>
      <c r="Q147" s="32"/>
    </row>
    <row r="148" spans="12:17" x14ac:dyDescent="0.4">
      <c r="L148" s="24"/>
      <c r="M148" s="24"/>
      <c r="N148" s="32"/>
      <c r="O148" s="32"/>
      <c r="Q148" s="32"/>
    </row>
    <row r="149" spans="12:17" x14ac:dyDescent="0.4">
      <c r="L149" s="24"/>
      <c r="M149" s="24"/>
      <c r="N149" s="32"/>
      <c r="O149" s="32"/>
      <c r="Q149" s="32"/>
    </row>
    <row r="150" spans="12:17" x14ac:dyDescent="0.4">
      <c r="L150" s="24"/>
      <c r="M150" s="24"/>
      <c r="N150" s="32"/>
      <c r="O150" s="32"/>
      <c r="Q150" s="32"/>
    </row>
    <row r="151" spans="12:17" x14ac:dyDescent="0.4">
      <c r="L151" s="24"/>
      <c r="M151" s="24"/>
      <c r="N151" s="32"/>
      <c r="O151" s="32"/>
      <c r="Q151" s="32"/>
    </row>
    <row r="152" spans="12:17" x14ac:dyDescent="0.4">
      <c r="L152" s="24"/>
      <c r="M152" s="24"/>
      <c r="N152" s="32"/>
      <c r="O152" s="32"/>
      <c r="Q152" s="32"/>
    </row>
    <row r="153" spans="12:17" x14ac:dyDescent="0.4">
      <c r="L153" s="24"/>
      <c r="M153" s="24"/>
      <c r="N153" s="32"/>
      <c r="O153" s="32"/>
      <c r="Q153" s="32"/>
    </row>
    <row r="154" spans="12:17" x14ac:dyDescent="0.4">
      <c r="L154" s="24"/>
      <c r="M154" s="24"/>
      <c r="N154" s="32"/>
      <c r="O154" s="32"/>
      <c r="Q154" s="32"/>
    </row>
    <row r="155" spans="12:17" x14ac:dyDescent="0.4">
      <c r="L155" s="24"/>
      <c r="M155" s="24"/>
      <c r="N155" s="32"/>
      <c r="O155" s="32"/>
      <c r="Q155" s="32"/>
    </row>
    <row r="156" spans="12:17" x14ac:dyDescent="0.4">
      <c r="L156" s="24"/>
      <c r="M156" s="24"/>
      <c r="N156" s="32"/>
      <c r="O156" s="32"/>
      <c r="Q156" s="32"/>
    </row>
    <row r="157" spans="12:17" x14ac:dyDescent="0.4">
      <c r="L157" s="24"/>
      <c r="M157" s="24"/>
      <c r="N157" s="32"/>
      <c r="O157" s="32"/>
      <c r="Q157" s="32"/>
    </row>
    <row r="158" spans="12:17" x14ac:dyDescent="0.4">
      <c r="L158" s="24"/>
      <c r="M158" s="24"/>
      <c r="N158" s="32"/>
      <c r="O158" s="32"/>
      <c r="Q158" s="32"/>
    </row>
    <row r="159" spans="12:17" x14ac:dyDescent="0.4">
      <c r="L159" s="24"/>
      <c r="M159" s="24"/>
      <c r="N159" s="32"/>
      <c r="O159" s="32"/>
      <c r="Q159" s="32"/>
    </row>
    <row r="160" spans="12:17" x14ac:dyDescent="0.4">
      <c r="L160" s="24"/>
      <c r="M160" s="24"/>
      <c r="N160" s="32"/>
      <c r="O160" s="32"/>
      <c r="Q160" s="32"/>
    </row>
    <row r="161" spans="12:17" x14ac:dyDescent="0.4">
      <c r="L161" s="24"/>
      <c r="M161" s="24"/>
      <c r="N161" s="32"/>
      <c r="O161" s="32"/>
      <c r="Q161" s="32"/>
    </row>
    <row r="162" spans="12:17" x14ac:dyDescent="0.4">
      <c r="L162" s="24"/>
      <c r="M162" s="24"/>
      <c r="N162" s="32"/>
      <c r="O162" s="32"/>
      <c r="Q162" s="32"/>
    </row>
    <row r="163" spans="12:17" x14ac:dyDescent="0.4">
      <c r="L163" s="24"/>
      <c r="M163" s="24"/>
      <c r="N163" s="32"/>
      <c r="O163" s="32"/>
      <c r="Q163" s="32"/>
    </row>
    <row r="164" spans="12:17" x14ac:dyDescent="0.4">
      <c r="L164" s="24"/>
      <c r="M164" s="24"/>
      <c r="N164" s="32"/>
      <c r="O164" s="32"/>
      <c r="Q164" s="32"/>
    </row>
    <row r="165" spans="12:17" x14ac:dyDescent="0.4">
      <c r="L165" s="24"/>
      <c r="M165" s="24"/>
      <c r="N165" s="32"/>
      <c r="O165" s="32"/>
      <c r="Q165" s="32"/>
    </row>
    <row r="166" spans="12:17" x14ac:dyDescent="0.4">
      <c r="L166" s="24"/>
      <c r="M166" s="24"/>
      <c r="N166" s="32"/>
      <c r="O166" s="32"/>
      <c r="Q166" s="32"/>
    </row>
    <row r="167" spans="12:17" x14ac:dyDescent="0.4">
      <c r="L167" s="24"/>
      <c r="M167" s="24"/>
      <c r="N167" s="32"/>
      <c r="O167" s="32"/>
      <c r="Q167" s="32"/>
    </row>
    <row r="168" spans="12:17" x14ac:dyDescent="0.4">
      <c r="L168" s="24"/>
      <c r="M168" s="24"/>
      <c r="N168" s="32"/>
      <c r="O168" s="32"/>
      <c r="Q168" s="32"/>
    </row>
    <row r="169" spans="12:17" x14ac:dyDescent="0.4">
      <c r="L169" s="24"/>
      <c r="M169" s="24"/>
      <c r="N169" s="32"/>
      <c r="O169" s="32"/>
      <c r="Q169" s="32"/>
    </row>
    <row r="170" spans="12:17" x14ac:dyDescent="0.4">
      <c r="L170" s="24"/>
      <c r="M170" s="24"/>
      <c r="N170" s="32"/>
      <c r="O170" s="32"/>
      <c r="Q170" s="32"/>
    </row>
    <row r="171" spans="12:17" x14ac:dyDescent="0.4">
      <c r="L171" s="24"/>
      <c r="M171" s="24"/>
      <c r="N171" s="32"/>
      <c r="O171" s="32"/>
      <c r="Q171" s="32"/>
    </row>
    <row r="172" spans="12:17" x14ac:dyDescent="0.4">
      <c r="L172" s="24"/>
      <c r="M172" s="24"/>
      <c r="N172" s="32"/>
      <c r="O172" s="32"/>
      <c r="Q172" s="32"/>
    </row>
    <row r="173" spans="12:17" x14ac:dyDescent="0.4">
      <c r="L173" s="24"/>
      <c r="M173" s="24"/>
      <c r="N173" s="32"/>
      <c r="O173" s="32"/>
      <c r="Q173" s="32"/>
    </row>
    <row r="174" spans="12:17" x14ac:dyDescent="0.4">
      <c r="L174" s="24"/>
      <c r="M174" s="24"/>
      <c r="N174" s="32"/>
      <c r="O174" s="32"/>
      <c r="Q174" s="32"/>
    </row>
    <row r="175" spans="12:17" x14ac:dyDescent="0.4">
      <c r="L175" s="24"/>
      <c r="M175" s="24"/>
      <c r="N175" s="32"/>
      <c r="O175" s="32"/>
      <c r="Q175" s="32"/>
    </row>
    <row r="176" spans="12:17" x14ac:dyDescent="0.4">
      <c r="L176" s="24"/>
      <c r="M176" s="24"/>
      <c r="N176" s="32"/>
      <c r="O176" s="32"/>
      <c r="Q176" s="32"/>
    </row>
    <row r="177" spans="12:17" x14ac:dyDescent="0.4">
      <c r="L177" s="24"/>
      <c r="M177" s="24"/>
      <c r="N177" s="32"/>
      <c r="O177" s="32"/>
      <c r="Q177" s="32"/>
    </row>
    <row r="178" spans="12:17" x14ac:dyDescent="0.4">
      <c r="L178" s="24"/>
      <c r="M178" s="24"/>
      <c r="N178" s="32"/>
      <c r="O178" s="32"/>
      <c r="Q178" s="32"/>
    </row>
    <row r="179" spans="12:17" x14ac:dyDescent="0.4">
      <c r="L179" s="24"/>
      <c r="M179" s="24"/>
      <c r="N179" s="32"/>
      <c r="O179" s="32"/>
      <c r="Q179" s="32"/>
    </row>
    <row r="180" spans="12:17" x14ac:dyDescent="0.4">
      <c r="L180" s="24"/>
      <c r="M180" s="24"/>
      <c r="N180" s="32"/>
      <c r="O180" s="32"/>
      <c r="Q180" s="32"/>
    </row>
    <row r="181" spans="12:17" x14ac:dyDescent="0.4">
      <c r="N181" s="32"/>
      <c r="O181" s="32"/>
      <c r="Q181" s="32"/>
    </row>
    <row r="182" spans="12:17" x14ac:dyDescent="0.4">
      <c r="N182" s="32"/>
      <c r="O182" s="32"/>
      <c r="Q182" s="32"/>
    </row>
    <row r="183" spans="12:17" x14ac:dyDescent="0.4">
      <c r="N183" s="32"/>
      <c r="O183" s="32"/>
      <c r="Q183" s="32"/>
    </row>
    <row r="184" spans="12:17" x14ac:dyDescent="0.4">
      <c r="N184" s="32"/>
      <c r="O184" s="32"/>
      <c r="Q184" s="32"/>
    </row>
    <row r="185" spans="12:17" x14ac:dyDescent="0.4">
      <c r="N185" s="32"/>
      <c r="O185" s="32"/>
      <c r="Q185" s="32"/>
    </row>
    <row r="186" spans="12:17" x14ac:dyDescent="0.4">
      <c r="N186" s="32"/>
      <c r="O186" s="32"/>
      <c r="Q186" s="32"/>
    </row>
    <row r="187" spans="12:17" x14ac:dyDescent="0.4">
      <c r="N187" s="32"/>
      <c r="O187" s="32"/>
      <c r="Q187" s="32"/>
    </row>
    <row r="188" spans="12:17" x14ac:dyDescent="0.4">
      <c r="N188" s="32"/>
      <c r="O188" s="32"/>
      <c r="Q188" s="32"/>
    </row>
    <row r="189" spans="12:17" x14ac:dyDescent="0.4">
      <c r="N189" s="32"/>
      <c r="O189" s="32"/>
      <c r="Q189" s="32"/>
    </row>
    <row r="190" spans="12:17" x14ac:dyDescent="0.4">
      <c r="N190" s="32"/>
      <c r="O190" s="32"/>
      <c r="Q190" s="32"/>
    </row>
    <row r="191" spans="12:17" x14ac:dyDescent="0.4">
      <c r="N191" s="32"/>
      <c r="O191" s="32"/>
      <c r="Q191" s="32"/>
    </row>
    <row r="192" spans="12:17" x14ac:dyDescent="0.4">
      <c r="N192" s="32"/>
      <c r="O192" s="32"/>
      <c r="Q192" s="32"/>
    </row>
    <row r="193" spans="14:17" x14ac:dyDescent="0.4">
      <c r="N193" s="32"/>
      <c r="O193" s="32"/>
      <c r="Q193" s="32"/>
    </row>
    <row r="194" spans="14:17" x14ac:dyDescent="0.4">
      <c r="N194" s="32"/>
      <c r="O194" s="32"/>
      <c r="Q194" s="32"/>
    </row>
    <row r="195" spans="14:17" x14ac:dyDescent="0.4">
      <c r="N195" s="32"/>
      <c r="O195" s="32"/>
      <c r="Q195" s="32"/>
    </row>
    <row r="196" spans="14:17" x14ac:dyDescent="0.4">
      <c r="N196" s="32"/>
      <c r="O196" s="32"/>
      <c r="Q196" s="32"/>
    </row>
    <row r="197" spans="14:17" x14ac:dyDescent="0.4">
      <c r="N197" s="32"/>
      <c r="O197" s="32"/>
      <c r="Q197" s="32"/>
    </row>
    <row r="198" spans="14:17" x14ac:dyDescent="0.4">
      <c r="N198" s="32"/>
      <c r="O198" s="32"/>
      <c r="Q198" s="32"/>
    </row>
    <row r="199" spans="14:17" x14ac:dyDescent="0.4">
      <c r="N199" s="32"/>
      <c r="O199" s="32"/>
      <c r="Q199" s="32"/>
    </row>
    <row r="200" spans="14:17" x14ac:dyDescent="0.4">
      <c r="N200" s="32"/>
      <c r="O200" s="32"/>
      <c r="Q200" s="32"/>
    </row>
    <row r="201" spans="14:17" x14ac:dyDescent="0.4">
      <c r="N201" s="32"/>
      <c r="O201" s="32"/>
      <c r="Q201" s="32"/>
    </row>
    <row r="202" spans="14:17" x14ac:dyDescent="0.4">
      <c r="N202" s="32"/>
      <c r="O202" s="32"/>
      <c r="Q202" s="32"/>
    </row>
    <row r="203" spans="14:17" x14ac:dyDescent="0.4">
      <c r="N203" s="32"/>
      <c r="O203" s="32"/>
      <c r="Q203" s="32"/>
    </row>
    <row r="204" spans="14:17" x14ac:dyDescent="0.4">
      <c r="N204" s="32"/>
      <c r="O204" s="32"/>
      <c r="Q204" s="32"/>
    </row>
    <row r="205" spans="14:17" x14ac:dyDescent="0.4">
      <c r="N205" s="32"/>
      <c r="O205" s="32"/>
      <c r="Q205" s="32"/>
    </row>
    <row r="206" spans="14:17" x14ac:dyDescent="0.4">
      <c r="N206" s="32"/>
      <c r="O206" s="32"/>
      <c r="Q206" s="32"/>
    </row>
    <row r="207" spans="14:17" x14ac:dyDescent="0.4">
      <c r="N207" s="32"/>
      <c r="O207" s="32"/>
      <c r="Q207" s="32"/>
    </row>
    <row r="208" spans="14:17" x14ac:dyDescent="0.4">
      <c r="N208" s="32"/>
      <c r="O208" s="32"/>
      <c r="Q208" s="32"/>
    </row>
    <row r="209" spans="14:17" x14ac:dyDescent="0.4">
      <c r="N209" s="32"/>
      <c r="O209" s="32"/>
      <c r="Q209" s="32"/>
    </row>
    <row r="210" spans="14:17" x14ac:dyDescent="0.4">
      <c r="N210" s="32"/>
      <c r="O210" s="32"/>
      <c r="Q210" s="32"/>
    </row>
    <row r="211" spans="14:17" x14ac:dyDescent="0.4">
      <c r="N211" s="32"/>
      <c r="O211" s="32"/>
      <c r="Q211" s="32"/>
    </row>
    <row r="212" spans="14:17" x14ac:dyDescent="0.4">
      <c r="N212" s="32"/>
      <c r="O212" s="32"/>
      <c r="Q212" s="32"/>
    </row>
    <row r="213" spans="14:17" x14ac:dyDescent="0.4">
      <c r="N213" s="32"/>
      <c r="O213" s="32"/>
      <c r="Q213" s="32"/>
    </row>
    <row r="214" spans="14:17" x14ac:dyDescent="0.4">
      <c r="N214" s="32"/>
      <c r="O214" s="32"/>
      <c r="Q214" s="32"/>
    </row>
    <row r="215" spans="14:17" x14ac:dyDescent="0.4">
      <c r="N215" s="32"/>
      <c r="O215" s="32"/>
      <c r="Q215" s="32"/>
    </row>
    <row r="216" spans="14:17" x14ac:dyDescent="0.4">
      <c r="N216" s="32"/>
      <c r="O216" s="32"/>
      <c r="Q216" s="32"/>
    </row>
    <row r="217" spans="14:17" x14ac:dyDescent="0.4">
      <c r="N217" s="32"/>
      <c r="O217" s="32"/>
      <c r="Q217" s="32"/>
    </row>
    <row r="218" spans="14:17" x14ac:dyDescent="0.4">
      <c r="N218" s="32"/>
      <c r="O218" s="32"/>
      <c r="Q218" s="32"/>
    </row>
    <row r="219" spans="14:17" x14ac:dyDescent="0.4">
      <c r="N219" s="32"/>
      <c r="O219" s="32"/>
      <c r="Q219" s="32"/>
    </row>
    <row r="220" spans="14:17" x14ac:dyDescent="0.4">
      <c r="N220" s="32"/>
      <c r="O220" s="32"/>
      <c r="Q220" s="32"/>
    </row>
    <row r="221" spans="14:17" x14ac:dyDescent="0.4">
      <c r="N221" s="32"/>
      <c r="O221" s="32"/>
      <c r="Q221" s="32"/>
    </row>
    <row r="222" spans="14:17" x14ac:dyDescent="0.4">
      <c r="N222" s="32"/>
      <c r="O222" s="32"/>
      <c r="Q222" s="32"/>
    </row>
    <row r="223" spans="14:17" x14ac:dyDescent="0.4">
      <c r="N223" s="32"/>
      <c r="O223" s="32"/>
      <c r="Q223" s="32"/>
    </row>
    <row r="224" spans="14:17" x14ac:dyDescent="0.4">
      <c r="N224" s="32"/>
      <c r="O224" s="32"/>
      <c r="Q224" s="32"/>
    </row>
    <row r="225" spans="14:17" x14ac:dyDescent="0.4">
      <c r="N225" s="32"/>
      <c r="O225" s="32"/>
      <c r="Q225" s="32"/>
    </row>
    <row r="226" spans="14:17" x14ac:dyDescent="0.4">
      <c r="N226" s="32"/>
      <c r="O226" s="32"/>
      <c r="Q226" s="32"/>
    </row>
    <row r="227" spans="14:17" x14ac:dyDescent="0.4">
      <c r="N227" s="32"/>
      <c r="O227" s="32"/>
      <c r="Q227" s="32"/>
    </row>
    <row r="228" spans="14:17" x14ac:dyDescent="0.4">
      <c r="N228" s="32"/>
      <c r="O228" s="32"/>
      <c r="Q228" s="32"/>
    </row>
    <row r="229" spans="14:17" x14ac:dyDescent="0.4">
      <c r="N229" s="32"/>
      <c r="O229" s="32"/>
      <c r="Q229" s="32"/>
    </row>
    <row r="230" spans="14:17" x14ac:dyDescent="0.4">
      <c r="N230" s="32"/>
      <c r="O230" s="32"/>
      <c r="Q230" s="32"/>
    </row>
    <row r="231" spans="14:17" x14ac:dyDescent="0.4">
      <c r="N231" s="32"/>
      <c r="O231" s="32"/>
      <c r="Q231" s="32"/>
    </row>
    <row r="232" spans="14:17" x14ac:dyDescent="0.4">
      <c r="N232" s="32"/>
      <c r="O232" s="32"/>
      <c r="Q232" s="32"/>
    </row>
    <row r="233" spans="14:17" x14ac:dyDescent="0.4">
      <c r="N233" s="32"/>
      <c r="O233" s="32"/>
      <c r="Q233" s="32"/>
    </row>
    <row r="234" spans="14:17" x14ac:dyDescent="0.4">
      <c r="N234" s="32"/>
      <c r="O234" s="32"/>
      <c r="Q234" s="32"/>
    </row>
    <row r="235" spans="14:17" x14ac:dyDescent="0.4">
      <c r="N235" s="32"/>
      <c r="O235" s="32"/>
      <c r="Q235" s="32"/>
    </row>
    <row r="236" spans="14:17" x14ac:dyDescent="0.4">
      <c r="N236" s="32"/>
      <c r="O236" s="32"/>
      <c r="Q236" s="32"/>
    </row>
    <row r="237" spans="14:17" x14ac:dyDescent="0.4">
      <c r="N237" s="32"/>
      <c r="O237" s="32"/>
      <c r="Q237" s="32"/>
    </row>
    <row r="238" spans="14:17" x14ac:dyDescent="0.4">
      <c r="N238" s="32"/>
      <c r="O238" s="32"/>
      <c r="Q238" s="32"/>
    </row>
    <row r="239" spans="14:17" x14ac:dyDescent="0.4">
      <c r="N239" s="32"/>
      <c r="O239" s="32"/>
      <c r="Q239" s="32"/>
    </row>
    <row r="240" spans="14:17" x14ac:dyDescent="0.4">
      <c r="N240" s="32"/>
      <c r="O240" s="32"/>
      <c r="Q240" s="32"/>
    </row>
    <row r="241" spans="14:17" x14ac:dyDescent="0.4">
      <c r="N241" s="32"/>
      <c r="O241" s="32"/>
      <c r="Q241" s="32"/>
    </row>
    <row r="242" spans="14:17" x14ac:dyDescent="0.4">
      <c r="N242" s="32"/>
      <c r="O242" s="32"/>
      <c r="Q242" s="32"/>
    </row>
    <row r="243" spans="14:17" x14ac:dyDescent="0.4">
      <c r="N243" s="32"/>
      <c r="O243" s="32"/>
      <c r="Q243" s="32"/>
    </row>
    <row r="244" spans="14:17" x14ac:dyDescent="0.4">
      <c r="N244" s="32"/>
      <c r="O244" s="32"/>
      <c r="Q244" s="32"/>
    </row>
    <row r="245" spans="14:17" x14ac:dyDescent="0.4">
      <c r="N245" s="32"/>
      <c r="O245" s="32"/>
      <c r="Q245" s="32"/>
    </row>
    <row r="246" spans="14:17" x14ac:dyDescent="0.4">
      <c r="N246" s="32"/>
      <c r="O246" s="32"/>
      <c r="Q246" s="32"/>
    </row>
    <row r="247" spans="14:17" x14ac:dyDescent="0.4">
      <c r="N247" s="32"/>
      <c r="O247" s="32"/>
      <c r="Q247" s="32"/>
    </row>
    <row r="248" spans="14:17" x14ac:dyDescent="0.4">
      <c r="N248" s="32"/>
      <c r="O248" s="32"/>
      <c r="Q248" s="32"/>
    </row>
    <row r="249" spans="14:17" x14ac:dyDescent="0.4">
      <c r="N249" s="32"/>
      <c r="O249" s="32"/>
      <c r="Q249" s="32"/>
    </row>
    <row r="250" spans="14:17" x14ac:dyDescent="0.4">
      <c r="N250" s="32"/>
      <c r="O250" s="32"/>
      <c r="Q250" s="32"/>
    </row>
    <row r="251" spans="14:17" x14ac:dyDescent="0.4">
      <c r="N251" s="32"/>
      <c r="O251" s="32"/>
      <c r="Q251" s="32"/>
    </row>
    <row r="252" spans="14:17" x14ac:dyDescent="0.4">
      <c r="N252" s="32"/>
      <c r="O252" s="32"/>
      <c r="Q252" s="32"/>
    </row>
    <row r="253" spans="14:17" x14ac:dyDescent="0.4">
      <c r="N253" s="32"/>
      <c r="O253" s="32"/>
      <c r="Q253" s="32"/>
    </row>
    <row r="254" spans="14:17" x14ac:dyDescent="0.4">
      <c r="N254" s="32"/>
      <c r="O254" s="32"/>
      <c r="Q254" s="32"/>
    </row>
    <row r="255" spans="14:17" x14ac:dyDescent="0.4">
      <c r="N255" s="32"/>
      <c r="O255" s="32"/>
      <c r="Q255" s="32"/>
    </row>
    <row r="256" spans="14:17" x14ac:dyDescent="0.4">
      <c r="N256" s="32"/>
      <c r="O256" s="32"/>
      <c r="Q256" s="32"/>
    </row>
    <row r="257" spans="14:17" x14ac:dyDescent="0.4">
      <c r="N257" s="32"/>
      <c r="O257" s="32"/>
      <c r="Q257" s="32"/>
    </row>
    <row r="258" spans="14:17" x14ac:dyDescent="0.4">
      <c r="N258" s="32"/>
      <c r="O258" s="32"/>
      <c r="Q258" s="32"/>
    </row>
    <row r="259" spans="14:17" x14ac:dyDescent="0.4">
      <c r="N259" s="32"/>
      <c r="O259" s="32"/>
      <c r="Q259" s="32"/>
    </row>
    <row r="260" spans="14:17" x14ac:dyDescent="0.4">
      <c r="N260" s="32"/>
      <c r="O260" s="32"/>
      <c r="Q260" s="32"/>
    </row>
    <row r="261" spans="14:17" x14ac:dyDescent="0.4">
      <c r="N261" s="32"/>
      <c r="O261" s="32"/>
      <c r="Q261" s="32"/>
    </row>
    <row r="262" spans="14:17" x14ac:dyDescent="0.4">
      <c r="N262" s="32"/>
      <c r="O262" s="32"/>
      <c r="Q262" s="32"/>
    </row>
    <row r="263" spans="14:17" x14ac:dyDescent="0.4">
      <c r="N263" s="32"/>
      <c r="O263" s="32"/>
      <c r="Q263" s="32"/>
    </row>
    <row r="264" spans="14:17" x14ac:dyDescent="0.4">
      <c r="N264" s="32"/>
      <c r="O264" s="32"/>
      <c r="Q264" s="32"/>
    </row>
    <row r="265" spans="14:17" x14ac:dyDescent="0.4">
      <c r="N265" s="32"/>
      <c r="O265" s="32"/>
      <c r="Q265" s="32"/>
    </row>
    <row r="266" spans="14:17" x14ac:dyDescent="0.4">
      <c r="N266" s="32"/>
      <c r="O266" s="32"/>
      <c r="Q266" s="32"/>
    </row>
    <row r="267" spans="14:17" x14ac:dyDescent="0.4">
      <c r="N267" s="32"/>
      <c r="O267" s="32"/>
      <c r="Q267" s="32"/>
    </row>
    <row r="268" spans="14:17" x14ac:dyDescent="0.4">
      <c r="N268" s="32"/>
      <c r="O268" s="32"/>
      <c r="Q268" s="32"/>
    </row>
    <row r="269" spans="14:17" x14ac:dyDescent="0.4">
      <c r="N269" s="32"/>
      <c r="O269" s="32"/>
      <c r="Q269" s="32"/>
    </row>
    <row r="270" spans="14:17" x14ac:dyDescent="0.4">
      <c r="N270" s="32"/>
      <c r="O270" s="32"/>
      <c r="Q270" s="32"/>
    </row>
    <row r="271" spans="14:17" x14ac:dyDescent="0.4">
      <c r="N271" s="32"/>
      <c r="O271" s="32"/>
      <c r="Q271" s="32"/>
    </row>
    <row r="272" spans="14:17" x14ac:dyDescent="0.4">
      <c r="N272" s="32"/>
      <c r="O272" s="32"/>
      <c r="Q272" s="32"/>
    </row>
    <row r="273" spans="14:17" x14ac:dyDescent="0.4">
      <c r="N273" s="32"/>
      <c r="O273" s="32"/>
      <c r="Q273" s="32"/>
    </row>
    <row r="274" spans="14:17" x14ac:dyDescent="0.4">
      <c r="N274" s="32"/>
      <c r="O274" s="32"/>
      <c r="Q274" s="32"/>
    </row>
    <row r="275" spans="14:17" x14ac:dyDescent="0.4">
      <c r="N275" s="32"/>
      <c r="O275" s="32"/>
      <c r="Q275" s="32"/>
    </row>
    <row r="276" spans="14:17" x14ac:dyDescent="0.4">
      <c r="N276" s="32"/>
      <c r="O276" s="32"/>
      <c r="Q276" s="32"/>
    </row>
    <row r="277" spans="14:17" x14ac:dyDescent="0.4">
      <c r="N277" s="32"/>
      <c r="O277" s="32"/>
      <c r="Q277" s="32"/>
    </row>
    <row r="278" spans="14:17" x14ac:dyDescent="0.4">
      <c r="N278" s="32"/>
      <c r="O278" s="32"/>
      <c r="Q278" s="32"/>
    </row>
    <row r="279" spans="14:17" x14ac:dyDescent="0.4">
      <c r="N279" s="32"/>
      <c r="O279" s="32"/>
      <c r="Q279" s="32"/>
    </row>
    <row r="280" spans="14:17" x14ac:dyDescent="0.4">
      <c r="N280" s="32"/>
      <c r="O280" s="32"/>
      <c r="Q280" s="32"/>
    </row>
    <row r="281" spans="14:17" x14ac:dyDescent="0.4">
      <c r="N281" s="32"/>
      <c r="O281" s="32"/>
      <c r="Q281" s="32"/>
    </row>
    <row r="282" spans="14:17" x14ac:dyDescent="0.4">
      <c r="N282" s="32"/>
      <c r="O282" s="32"/>
      <c r="Q282" s="32"/>
    </row>
    <row r="283" spans="14:17" x14ac:dyDescent="0.4">
      <c r="N283" s="32"/>
      <c r="O283" s="32"/>
      <c r="Q283" s="32"/>
    </row>
    <row r="284" spans="14:17" x14ac:dyDescent="0.4">
      <c r="N284" s="32"/>
      <c r="O284" s="32"/>
      <c r="Q284" s="32"/>
    </row>
    <row r="285" spans="14:17" x14ac:dyDescent="0.4">
      <c r="N285" s="32"/>
      <c r="O285" s="32"/>
      <c r="Q285" s="32"/>
    </row>
    <row r="286" spans="14:17" x14ac:dyDescent="0.4">
      <c r="N286" s="32"/>
      <c r="O286" s="32"/>
      <c r="Q286" s="32"/>
    </row>
    <row r="287" spans="14:17" x14ac:dyDescent="0.4">
      <c r="N287" s="32"/>
      <c r="O287" s="32"/>
      <c r="Q287" s="32"/>
    </row>
    <row r="288" spans="14:17" x14ac:dyDescent="0.4">
      <c r="N288" s="32"/>
      <c r="O288" s="32"/>
      <c r="Q288" s="32"/>
    </row>
    <row r="289" spans="14:17" x14ac:dyDescent="0.4">
      <c r="N289" s="32"/>
      <c r="O289" s="32"/>
      <c r="Q289" s="32"/>
    </row>
    <row r="290" spans="14:17" x14ac:dyDescent="0.4">
      <c r="N290" s="32"/>
      <c r="O290" s="32"/>
      <c r="Q290" s="32"/>
    </row>
    <row r="291" spans="14:17" x14ac:dyDescent="0.4">
      <c r="N291" s="32"/>
      <c r="O291" s="32"/>
      <c r="Q291" s="32"/>
    </row>
    <row r="292" spans="14:17" x14ac:dyDescent="0.4">
      <c r="N292" s="32"/>
      <c r="O292" s="32"/>
      <c r="Q292" s="32"/>
    </row>
    <row r="293" spans="14:17" x14ac:dyDescent="0.4">
      <c r="N293" s="32"/>
      <c r="O293" s="32"/>
      <c r="Q293" s="32"/>
    </row>
    <row r="294" spans="14:17" x14ac:dyDescent="0.4">
      <c r="N294" s="32"/>
      <c r="O294" s="32"/>
      <c r="Q294" s="32"/>
    </row>
    <row r="295" spans="14:17" x14ac:dyDescent="0.4">
      <c r="N295" s="32"/>
      <c r="O295" s="32"/>
      <c r="Q295" s="32"/>
    </row>
    <row r="296" spans="14:17" x14ac:dyDescent="0.4">
      <c r="N296" s="32"/>
      <c r="O296" s="32"/>
      <c r="Q296" s="32"/>
    </row>
    <row r="297" spans="14:17" x14ac:dyDescent="0.4">
      <c r="N297" s="32"/>
      <c r="O297" s="32"/>
      <c r="Q297" s="32"/>
    </row>
    <row r="298" spans="14:17" x14ac:dyDescent="0.4">
      <c r="N298" s="32"/>
      <c r="O298" s="32"/>
      <c r="Q298" s="32"/>
    </row>
    <row r="299" spans="14:17" x14ac:dyDescent="0.4">
      <c r="N299" s="32"/>
      <c r="O299" s="32"/>
      <c r="Q299" s="32"/>
    </row>
    <row r="300" spans="14:17" x14ac:dyDescent="0.4">
      <c r="N300" s="32"/>
      <c r="O300" s="32"/>
      <c r="Q300" s="32"/>
    </row>
    <row r="301" spans="14:17" x14ac:dyDescent="0.4">
      <c r="N301" s="32"/>
      <c r="O301" s="32"/>
      <c r="Q301" s="32"/>
    </row>
    <row r="302" spans="14:17" x14ac:dyDescent="0.4">
      <c r="N302" s="32"/>
      <c r="O302" s="32"/>
      <c r="Q302" s="32"/>
    </row>
    <row r="303" spans="14:17" x14ac:dyDescent="0.4">
      <c r="N303" s="32"/>
      <c r="O303" s="32"/>
      <c r="Q303" s="32"/>
    </row>
    <row r="304" spans="14:17" x14ac:dyDescent="0.4">
      <c r="N304" s="32"/>
      <c r="O304" s="32"/>
      <c r="Q304" s="32"/>
    </row>
    <row r="305" spans="14:17" x14ac:dyDescent="0.4">
      <c r="N305" s="32"/>
      <c r="O305" s="32"/>
      <c r="Q305" s="32"/>
    </row>
    <row r="306" spans="14:17" x14ac:dyDescent="0.4">
      <c r="N306" s="32"/>
      <c r="O306" s="32"/>
      <c r="Q306" s="32"/>
    </row>
    <row r="307" spans="14:17" x14ac:dyDescent="0.4">
      <c r="N307" s="32"/>
      <c r="O307" s="32"/>
      <c r="Q307" s="32"/>
    </row>
    <row r="308" spans="14:17" x14ac:dyDescent="0.4">
      <c r="N308" s="32"/>
      <c r="O308" s="32"/>
      <c r="Q308" s="32"/>
    </row>
    <row r="309" spans="14:17" x14ac:dyDescent="0.4">
      <c r="N309" s="32"/>
      <c r="O309" s="32"/>
      <c r="Q309" s="32"/>
    </row>
    <row r="310" spans="14:17" x14ac:dyDescent="0.4">
      <c r="N310" s="32"/>
      <c r="O310" s="32"/>
      <c r="Q310" s="32"/>
    </row>
    <row r="311" spans="14:17" x14ac:dyDescent="0.4">
      <c r="N311" s="32"/>
      <c r="O311" s="32"/>
      <c r="Q311" s="32"/>
    </row>
    <row r="312" spans="14:17" x14ac:dyDescent="0.4">
      <c r="N312" s="32"/>
      <c r="O312" s="32"/>
      <c r="Q312" s="32"/>
    </row>
    <row r="313" spans="14:17" x14ac:dyDescent="0.4">
      <c r="N313" s="32"/>
      <c r="O313" s="32"/>
      <c r="Q313" s="32"/>
    </row>
    <row r="314" spans="14:17" x14ac:dyDescent="0.4">
      <c r="N314" s="32"/>
      <c r="O314" s="32"/>
      <c r="Q314" s="32"/>
    </row>
    <row r="315" spans="14:17" x14ac:dyDescent="0.4">
      <c r="N315" s="32"/>
      <c r="O315" s="32"/>
      <c r="Q315" s="32"/>
    </row>
    <row r="316" spans="14:17" x14ac:dyDescent="0.4">
      <c r="N316" s="32"/>
      <c r="O316" s="32"/>
      <c r="Q316" s="32"/>
    </row>
    <row r="317" spans="14:17" x14ac:dyDescent="0.4">
      <c r="N317" s="32"/>
      <c r="O317" s="32"/>
      <c r="Q317" s="32"/>
    </row>
    <row r="318" spans="14:17" x14ac:dyDescent="0.4">
      <c r="N318" s="32"/>
      <c r="O318" s="32"/>
      <c r="Q318" s="32"/>
    </row>
    <row r="319" spans="14:17" x14ac:dyDescent="0.4">
      <c r="N319" s="32"/>
      <c r="O319" s="32"/>
      <c r="Q319" s="32"/>
    </row>
    <row r="320" spans="14:17" x14ac:dyDescent="0.4">
      <c r="N320" s="32"/>
      <c r="O320" s="32"/>
      <c r="Q320" s="32"/>
    </row>
    <row r="321" spans="14:17" x14ac:dyDescent="0.4">
      <c r="N321" s="32"/>
      <c r="O321" s="32"/>
      <c r="Q321" s="32"/>
    </row>
    <row r="322" spans="14:17" x14ac:dyDescent="0.4">
      <c r="N322" s="32"/>
      <c r="O322" s="32"/>
      <c r="Q322" s="32"/>
    </row>
    <row r="323" spans="14:17" x14ac:dyDescent="0.4">
      <c r="N323" s="32"/>
      <c r="O323" s="32"/>
      <c r="Q323" s="32"/>
    </row>
    <row r="324" spans="14:17" x14ac:dyDescent="0.4">
      <c r="N324" s="32"/>
      <c r="O324" s="32"/>
      <c r="Q324" s="32"/>
    </row>
    <row r="325" spans="14:17" x14ac:dyDescent="0.4">
      <c r="N325" s="32"/>
      <c r="O325" s="32"/>
      <c r="Q325" s="32"/>
    </row>
    <row r="326" spans="14:17" x14ac:dyDescent="0.4">
      <c r="N326" s="32"/>
      <c r="O326" s="32"/>
      <c r="Q326" s="32"/>
    </row>
    <row r="327" spans="14:17" x14ac:dyDescent="0.4">
      <c r="N327" s="32"/>
      <c r="O327" s="32"/>
      <c r="Q327" s="32"/>
    </row>
    <row r="328" spans="14:17" x14ac:dyDescent="0.4">
      <c r="N328" s="32"/>
      <c r="O328" s="32"/>
      <c r="Q328" s="32"/>
    </row>
    <row r="329" spans="14:17" x14ac:dyDescent="0.4">
      <c r="N329" s="32"/>
      <c r="O329" s="32"/>
      <c r="Q329" s="32"/>
    </row>
    <row r="330" spans="14:17" x14ac:dyDescent="0.4">
      <c r="N330" s="32"/>
      <c r="O330" s="32"/>
      <c r="Q330" s="32"/>
    </row>
    <row r="331" spans="14:17" x14ac:dyDescent="0.4">
      <c r="N331" s="32"/>
      <c r="O331" s="32"/>
      <c r="Q331" s="32"/>
    </row>
    <row r="332" spans="14:17" x14ac:dyDescent="0.4">
      <c r="N332" s="32"/>
      <c r="O332" s="32"/>
      <c r="Q332" s="32"/>
    </row>
    <row r="333" spans="14:17" x14ac:dyDescent="0.4">
      <c r="N333" s="32"/>
      <c r="O333" s="32"/>
      <c r="Q333" s="32"/>
    </row>
    <row r="334" spans="14:17" x14ac:dyDescent="0.4">
      <c r="N334" s="32"/>
      <c r="O334" s="32"/>
      <c r="Q334" s="32"/>
    </row>
    <row r="335" spans="14:17" x14ac:dyDescent="0.4">
      <c r="N335" s="32"/>
      <c r="O335" s="32"/>
      <c r="Q335" s="32"/>
    </row>
    <row r="336" spans="14:17" x14ac:dyDescent="0.4">
      <c r="N336" s="32"/>
      <c r="O336" s="32"/>
      <c r="Q336" s="32"/>
    </row>
    <row r="337" spans="14:17" x14ac:dyDescent="0.4">
      <c r="N337" s="32"/>
      <c r="O337" s="32"/>
      <c r="Q337" s="32"/>
    </row>
    <row r="338" spans="14:17" x14ac:dyDescent="0.4">
      <c r="N338" s="32"/>
      <c r="O338" s="32"/>
      <c r="Q338" s="32"/>
    </row>
    <row r="339" spans="14:17" x14ac:dyDescent="0.4">
      <c r="N339" s="32"/>
      <c r="O339" s="32"/>
      <c r="Q339" s="32"/>
    </row>
    <row r="340" spans="14:17" x14ac:dyDescent="0.4">
      <c r="N340" s="32"/>
      <c r="O340" s="32"/>
      <c r="Q340" s="32"/>
    </row>
    <row r="341" spans="14:17" x14ac:dyDescent="0.4">
      <c r="N341" s="32"/>
      <c r="O341" s="32"/>
      <c r="Q341" s="32"/>
    </row>
    <row r="342" spans="14:17" x14ac:dyDescent="0.4">
      <c r="N342" s="32"/>
      <c r="O342" s="32"/>
      <c r="Q342" s="32"/>
    </row>
    <row r="343" spans="14:17" x14ac:dyDescent="0.4">
      <c r="N343" s="32"/>
      <c r="O343" s="32"/>
      <c r="Q343" s="32"/>
    </row>
    <row r="344" spans="14:17" x14ac:dyDescent="0.4">
      <c r="N344" s="32"/>
      <c r="O344" s="32"/>
      <c r="Q344" s="32"/>
    </row>
    <row r="345" spans="14:17" x14ac:dyDescent="0.4">
      <c r="N345" s="32"/>
      <c r="O345" s="32"/>
      <c r="Q345" s="32"/>
    </row>
    <row r="346" spans="14:17" x14ac:dyDescent="0.4">
      <c r="N346" s="32"/>
      <c r="O346" s="32"/>
      <c r="Q346" s="32"/>
    </row>
    <row r="347" spans="14:17" x14ac:dyDescent="0.4">
      <c r="N347" s="32"/>
      <c r="O347" s="32"/>
      <c r="Q347" s="32"/>
    </row>
    <row r="348" spans="14:17" x14ac:dyDescent="0.4">
      <c r="N348" s="32"/>
      <c r="O348" s="32"/>
      <c r="Q348" s="32"/>
    </row>
    <row r="349" spans="14:17" x14ac:dyDescent="0.4">
      <c r="N349" s="32"/>
      <c r="O349" s="32"/>
      <c r="Q349" s="32"/>
    </row>
    <row r="350" spans="14:17" x14ac:dyDescent="0.4">
      <c r="N350" s="32"/>
      <c r="O350" s="32"/>
      <c r="Q350" s="32"/>
    </row>
    <row r="351" spans="14:17" x14ac:dyDescent="0.4">
      <c r="N351" s="32"/>
      <c r="O351" s="32"/>
      <c r="Q351" s="32"/>
    </row>
    <row r="352" spans="14:17" x14ac:dyDescent="0.4">
      <c r="N352" s="32"/>
      <c r="O352" s="32"/>
      <c r="Q352" s="32"/>
    </row>
    <row r="353" spans="14:17" x14ac:dyDescent="0.4">
      <c r="N353" s="32"/>
      <c r="O353" s="32"/>
      <c r="Q353" s="32"/>
    </row>
    <row r="354" spans="14:17" x14ac:dyDescent="0.4">
      <c r="N354" s="32"/>
      <c r="O354" s="32"/>
      <c r="Q354" s="32"/>
    </row>
    <row r="355" spans="14:17" x14ac:dyDescent="0.4">
      <c r="N355" s="32"/>
      <c r="O355" s="32"/>
      <c r="Q355" s="32"/>
    </row>
    <row r="356" spans="14:17" x14ac:dyDescent="0.4">
      <c r="N356" s="32"/>
      <c r="O356" s="32"/>
      <c r="Q356" s="32"/>
    </row>
    <row r="357" spans="14:17" x14ac:dyDescent="0.4">
      <c r="N357" s="32"/>
      <c r="O357" s="32"/>
      <c r="Q357" s="32"/>
    </row>
    <row r="358" spans="14:17" x14ac:dyDescent="0.4">
      <c r="N358" s="32"/>
      <c r="O358" s="32"/>
      <c r="Q358" s="32"/>
    </row>
    <row r="359" spans="14:17" x14ac:dyDescent="0.4">
      <c r="N359" s="32"/>
      <c r="O359" s="32"/>
      <c r="Q359" s="32"/>
    </row>
    <row r="360" spans="14:17" x14ac:dyDescent="0.4">
      <c r="N360" s="32"/>
      <c r="O360" s="32"/>
      <c r="Q360" s="32"/>
    </row>
    <row r="361" spans="14:17" x14ac:dyDescent="0.4">
      <c r="N361" s="32"/>
      <c r="O361" s="32"/>
      <c r="Q361" s="32"/>
    </row>
    <row r="362" spans="14:17" x14ac:dyDescent="0.4">
      <c r="N362" s="32"/>
      <c r="O362" s="32"/>
      <c r="Q362" s="32"/>
    </row>
    <row r="363" spans="14:17" x14ac:dyDescent="0.4">
      <c r="N363" s="32"/>
      <c r="O363" s="32"/>
      <c r="Q363" s="32"/>
    </row>
    <row r="364" spans="14:17" x14ac:dyDescent="0.4">
      <c r="N364" s="32"/>
      <c r="O364" s="32"/>
      <c r="Q364" s="32"/>
    </row>
    <row r="365" spans="14:17" x14ac:dyDescent="0.4">
      <c r="N365" s="32"/>
      <c r="O365" s="32"/>
      <c r="Q365" s="32"/>
    </row>
    <row r="366" spans="14:17" x14ac:dyDescent="0.4">
      <c r="N366" s="32"/>
      <c r="O366" s="32"/>
      <c r="Q366" s="32"/>
    </row>
    <row r="367" spans="14:17" x14ac:dyDescent="0.4">
      <c r="N367" s="32"/>
      <c r="O367" s="32"/>
      <c r="Q367" s="32"/>
    </row>
    <row r="368" spans="14:17" x14ac:dyDescent="0.4">
      <c r="N368" s="32"/>
      <c r="O368" s="32"/>
      <c r="Q368" s="32"/>
    </row>
    <row r="369" spans="14:17" x14ac:dyDescent="0.4">
      <c r="N369" s="32"/>
      <c r="O369" s="32"/>
      <c r="Q369" s="32"/>
    </row>
    <row r="370" spans="14:17" x14ac:dyDescent="0.4">
      <c r="N370" s="32"/>
      <c r="O370" s="32"/>
      <c r="Q370" s="32"/>
    </row>
    <row r="371" spans="14:17" x14ac:dyDescent="0.4">
      <c r="N371" s="32"/>
      <c r="O371" s="32"/>
      <c r="Q371" s="32"/>
    </row>
    <row r="372" spans="14:17" x14ac:dyDescent="0.4">
      <c r="N372" s="32"/>
      <c r="O372" s="32"/>
      <c r="Q372" s="32"/>
    </row>
    <row r="373" spans="14:17" x14ac:dyDescent="0.4">
      <c r="N373" s="32"/>
      <c r="O373" s="32"/>
      <c r="Q373" s="32"/>
    </row>
    <row r="374" spans="14:17" x14ac:dyDescent="0.4">
      <c r="N374" s="32"/>
      <c r="O374" s="32"/>
      <c r="Q374" s="32"/>
    </row>
    <row r="375" spans="14:17" x14ac:dyDescent="0.4">
      <c r="N375" s="32"/>
      <c r="O375" s="32"/>
      <c r="Q375" s="32"/>
    </row>
    <row r="376" spans="14:17" x14ac:dyDescent="0.4">
      <c r="N376" s="32"/>
      <c r="O376" s="32"/>
      <c r="Q376" s="32"/>
    </row>
    <row r="377" spans="14:17" x14ac:dyDescent="0.4">
      <c r="N377" s="32"/>
      <c r="O377" s="32"/>
      <c r="Q377" s="32"/>
    </row>
    <row r="378" spans="14:17" x14ac:dyDescent="0.4">
      <c r="N378" s="32"/>
      <c r="O378" s="32"/>
      <c r="Q378" s="32"/>
    </row>
    <row r="379" spans="14:17" x14ac:dyDescent="0.4">
      <c r="N379" s="32"/>
      <c r="O379" s="32"/>
      <c r="Q379" s="32"/>
    </row>
    <row r="380" spans="14:17" x14ac:dyDescent="0.4">
      <c r="N380" s="32"/>
      <c r="O380" s="32"/>
      <c r="Q380" s="32"/>
    </row>
    <row r="381" spans="14:17" x14ac:dyDescent="0.4">
      <c r="N381" s="32"/>
      <c r="O381" s="32"/>
      <c r="Q381" s="32"/>
    </row>
    <row r="382" spans="14:17" x14ac:dyDescent="0.4">
      <c r="N382" s="32"/>
      <c r="O382" s="32"/>
      <c r="Q382" s="32"/>
    </row>
    <row r="383" spans="14:17" x14ac:dyDescent="0.4">
      <c r="N383" s="32"/>
      <c r="O383" s="32"/>
      <c r="Q383" s="32"/>
    </row>
    <row r="384" spans="14:17" x14ac:dyDescent="0.4">
      <c r="N384" s="32"/>
      <c r="O384" s="32"/>
      <c r="Q384" s="32"/>
    </row>
    <row r="385" spans="14:17" x14ac:dyDescent="0.4">
      <c r="N385" s="32"/>
      <c r="O385" s="32"/>
      <c r="Q385" s="32"/>
    </row>
    <row r="386" spans="14:17" x14ac:dyDescent="0.4">
      <c r="N386" s="32"/>
      <c r="O386" s="32"/>
      <c r="Q386" s="32"/>
    </row>
    <row r="387" spans="14:17" x14ac:dyDescent="0.4">
      <c r="N387" s="32"/>
      <c r="O387" s="32"/>
      <c r="Q387" s="32"/>
    </row>
    <row r="388" spans="14:17" x14ac:dyDescent="0.4">
      <c r="N388" s="32"/>
      <c r="O388" s="32"/>
      <c r="Q388" s="32"/>
    </row>
    <row r="389" spans="14:17" x14ac:dyDescent="0.4">
      <c r="N389" s="32"/>
      <c r="O389" s="32"/>
      <c r="Q389" s="32"/>
    </row>
    <row r="390" spans="14:17" x14ac:dyDescent="0.4">
      <c r="N390" s="32"/>
      <c r="O390" s="32"/>
      <c r="Q390" s="32"/>
    </row>
    <row r="391" spans="14:17" x14ac:dyDescent="0.4">
      <c r="N391" s="32"/>
      <c r="O391" s="32"/>
      <c r="Q391" s="32"/>
    </row>
    <row r="392" spans="14:17" x14ac:dyDescent="0.4">
      <c r="N392" s="32"/>
      <c r="O392" s="32"/>
      <c r="Q392" s="32"/>
    </row>
    <row r="393" spans="14:17" x14ac:dyDescent="0.4">
      <c r="N393" s="32"/>
      <c r="O393" s="32"/>
      <c r="Q393" s="32"/>
    </row>
    <row r="394" spans="14:17" x14ac:dyDescent="0.4">
      <c r="N394" s="32"/>
      <c r="O394" s="32"/>
      <c r="Q394" s="32"/>
    </row>
    <row r="395" spans="14:17" x14ac:dyDescent="0.4">
      <c r="N395" s="32"/>
      <c r="O395" s="32"/>
      <c r="Q395" s="32"/>
    </row>
    <row r="396" spans="14:17" x14ac:dyDescent="0.4">
      <c r="N396" s="32"/>
      <c r="O396" s="32"/>
      <c r="Q396" s="32"/>
    </row>
    <row r="397" spans="14:17" x14ac:dyDescent="0.4">
      <c r="N397" s="32"/>
      <c r="O397" s="32"/>
      <c r="Q397" s="32"/>
    </row>
    <row r="398" spans="14:17" x14ac:dyDescent="0.4">
      <c r="N398" s="32"/>
      <c r="O398" s="32"/>
      <c r="Q398" s="32"/>
    </row>
    <row r="399" spans="14:17" x14ac:dyDescent="0.4">
      <c r="N399" s="32"/>
      <c r="O399" s="32"/>
      <c r="Q399" s="32"/>
    </row>
    <row r="400" spans="14:17" x14ac:dyDescent="0.4">
      <c r="N400" s="32"/>
      <c r="O400" s="32"/>
      <c r="Q400" s="32"/>
    </row>
    <row r="401" spans="14:17" x14ac:dyDescent="0.4">
      <c r="N401" s="32"/>
      <c r="O401" s="32"/>
      <c r="Q401" s="32"/>
    </row>
    <row r="402" spans="14:17" x14ac:dyDescent="0.4">
      <c r="N402" s="32"/>
      <c r="O402" s="32"/>
      <c r="Q402" s="32"/>
    </row>
    <row r="403" spans="14:17" x14ac:dyDescent="0.4">
      <c r="N403" s="32"/>
      <c r="O403" s="32"/>
      <c r="Q403" s="32"/>
    </row>
    <row r="404" spans="14:17" x14ac:dyDescent="0.4">
      <c r="N404" s="32"/>
      <c r="O404" s="32"/>
      <c r="Q404" s="32"/>
    </row>
    <row r="405" spans="14:17" x14ac:dyDescent="0.4">
      <c r="N405" s="32"/>
      <c r="O405" s="32"/>
      <c r="Q405" s="32"/>
    </row>
    <row r="406" spans="14:17" x14ac:dyDescent="0.4">
      <c r="N406" s="32"/>
      <c r="O406" s="32"/>
      <c r="Q406" s="32"/>
    </row>
    <row r="407" spans="14:17" x14ac:dyDescent="0.4">
      <c r="N407" s="32"/>
      <c r="O407" s="32"/>
      <c r="Q407" s="32"/>
    </row>
    <row r="408" spans="14:17" x14ac:dyDescent="0.4">
      <c r="N408" s="32"/>
      <c r="O408" s="32"/>
      <c r="Q408" s="32"/>
    </row>
    <row r="409" spans="14:17" x14ac:dyDescent="0.4">
      <c r="N409" s="32"/>
      <c r="O409" s="32"/>
      <c r="Q409" s="32"/>
    </row>
    <row r="410" spans="14:17" x14ac:dyDescent="0.4">
      <c r="N410" s="32"/>
      <c r="O410" s="32"/>
      <c r="Q410" s="32"/>
    </row>
    <row r="411" spans="14:17" x14ac:dyDescent="0.4">
      <c r="N411" s="32"/>
      <c r="O411" s="32"/>
      <c r="Q411" s="32"/>
    </row>
    <row r="412" spans="14:17" x14ac:dyDescent="0.4">
      <c r="N412" s="32"/>
      <c r="O412" s="32"/>
      <c r="Q412" s="32"/>
    </row>
    <row r="413" spans="14:17" x14ac:dyDescent="0.4">
      <c r="N413" s="32"/>
      <c r="O413" s="32"/>
      <c r="Q413" s="32"/>
    </row>
    <row r="414" spans="14:17" x14ac:dyDescent="0.4">
      <c r="N414" s="32"/>
      <c r="O414" s="32"/>
      <c r="Q414" s="32"/>
    </row>
    <row r="415" spans="14:17" x14ac:dyDescent="0.4">
      <c r="N415" s="32"/>
      <c r="O415" s="32"/>
      <c r="Q415" s="32"/>
    </row>
    <row r="416" spans="14:17" x14ac:dyDescent="0.4">
      <c r="N416" s="32"/>
      <c r="O416" s="32"/>
      <c r="Q416" s="32"/>
    </row>
    <row r="417" spans="14:17" x14ac:dyDescent="0.4">
      <c r="N417" s="32"/>
      <c r="O417" s="32"/>
      <c r="Q417" s="32"/>
    </row>
    <row r="418" spans="14:17" x14ac:dyDescent="0.4">
      <c r="N418" s="32"/>
      <c r="O418" s="32"/>
      <c r="Q418" s="32"/>
    </row>
    <row r="419" spans="14:17" x14ac:dyDescent="0.4">
      <c r="N419" s="32"/>
      <c r="O419" s="32"/>
      <c r="Q419" s="32"/>
    </row>
    <row r="420" spans="14:17" x14ac:dyDescent="0.4">
      <c r="N420" s="32"/>
      <c r="O420" s="32"/>
      <c r="Q420" s="32"/>
    </row>
    <row r="421" spans="14:17" x14ac:dyDescent="0.4">
      <c r="N421" s="32"/>
      <c r="O421" s="32"/>
      <c r="Q421" s="32"/>
    </row>
    <row r="422" spans="14:17" x14ac:dyDescent="0.4">
      <c r="N422" s="32"/>
      <c r="O422" s="32"/>
      <c r="Q422" s="32"/>
    </row>
    <row r="423" spans="14:17" x14ac:dyDescent="0.4">
      <c r="N423" s="32"/>
      <c r="O423" s="32"/>
      <c r="Q423" s="32"/>
    </row>
    <row r="424" spans="14:17" x14ac:dyDescent="0.4">
      <c r="N424" s="32"/>
      <c r="O424" s="32"/>
      <c r="Q424" s="32"/>
    </row>
    <row r="425" spans="14:17" x14ac:dyDescent="0.4">
      <c r="N425" s="32"/>
      <c r="O425" s="32"/>
      <c r="Q425" s="32"/>
    </row>
    <row r="426" spans="14:17" x14ac:dyDescent="0.4">
      <c r="N426" s="32"/>
      <c r="O426" s="32"/>
      <c r="Q426" s="32"/>
    </row>
    <row r="427" spans="14:17" x14ac:dyDescent="0.4">
      <c r="N427" s="32"/>
      <c r="O427" s="32"/>
      <c r="Q427" s="32"/>
    </row>
    <row r="428" spans="14:17" x14ac:dyDescent="0.4">
      <c r="N428" s="32"/>
      <c r="O428" s="32"/>
      <c r="Q428" s="32"/>
    </row>
    <row r="429" spans="14:17" x14ac:dyDescent="0.4">
      <c r="N429" s="32"/>
      <c r="O429" s="32"/>
      <c r="Q429" s="32"/>
    </row>
    <row r="430" spans="14:17" x14ac:dyDescent="0.4">
      <c r="N430" s="32"/>
      <c r="O430" s="32"/>
      <c r="Q430" s="32"/>
    </row>
    <row r="431" spans="14:17" x14ac:dyDescent="0.4">
      <c r="N431" s="32"/>
      <c r="O431" s="32"/>
      <c r="Q431" s="32"/>
    </row>
    <row r="432" spans="14:17" x14ac:dyDescent="0.4">
      <c r="N432" s="32"/>
      <c r="O432" s="32"/>
      <c r="Q432" s="32"/>
    </row>
    <row r="433" spans="14:17" x14ac:dyDescent="0.4">
      <c r="N433" s="32"/>
      <c r="O433" s="32"/>
      <c r="Q433" s="32"/>
    </row>
    <row r="434" spans="14:17" x14ac:dyDescent="0.4">
      <c r="N434" s="32"/>
      <c r="O434" s="32"/>
      <c r="Q434" s="32"/>
    </row>
    <row r="435" spans="14:17" x14ac:dyDescent="0.4">
      <c r="N435" s="32"/>
      <c r="O435" s="32"/>
      <c r="Q435" s="32"/>
    </row>
    <row r="436" spans="14:17" x14ac:dyDescent="0.4">
      <c r="N436" s="32"/>
      <c r="O436" s="32"/>
      <c r="Q436" s="32"/>
    </row>
    <row r="437" spans="14:17" x14ac:dyDescent="0.4">
      <c r="N437" s="32"/>
      <c r="O437" s="32"/>
      <c r="Q437" s="32"/>
    </row>
    <row r="438" spans="14:17" x14ac:dyDescent="0.4">
      <c r="N438" s="32"/>
      <c r="O438" s="32"/>
      <c r="Q438" s="32"/>
    </row>
    <row r="439" spans="14:17" x14ac:dyDescent="0.4">
      <c r="N439" s="32"/>
      <c r="O439" s="32"/>
      <c r="Q439" s="32"/>
    </row>
    <row r="440" spans="14:17" x14ac:dyDescent="0.4">
      <c r="N440" s="32"/>
      <c r="O440" s="32"/>
      <c r="Q440" s="32"/>
    </row>
    <row r="441" spans="14:17" x14ac:dyDescent="0.4">
      <c r="N441" s="32"/>
      <c r="O441" s="32"/>
      <c r="Q441" s="32"/>
    </row>
    <row r="442" spans="14:17" x14ac:dyDescent="0.4">
      <c r="N442" s="32"/>
      <c r="O442" s="32"/>
      <c r="Q442" s="32"/>
    </row>
    <row r="443" spans="14:17" x14ac:dyDescent="0.4">
      <c r="N443" s="32"/>
      <c r="O443" s="32"/>
      <c r="Q443" s="32"/>
    </row>
    <row r="444" spans="14:17" x14ac:dyDescent="0.4">
      <c r="N444" s="32"/>
      <c r="O444" s="32"/>
      <c r="Q444" s="32"/>
    </row>
    <row r="445" spans="14:17" x14ac:dyDescent="0.4">
      <c r="N445" s="32"/>
      <c r="O445" s="32"/>
      <c r="Q445" s="32"/>
    </row>
    <row r="446" spans="14:17" x14ac:dyDescent="0.4">
      <c r="N446" s="32"/>
      <c r="O446" s="32"/>
      <c r="Q446" s="32"/>
    </row>
    <row r="447" spans="14:17" x14ac:dyDescent="0.4">
      <c r="N447" s="32"/>
      <c r="O447" s="32"/>
      <c r="Q447" s="32"/>
    </row>
    <row r="448" spans="14:17" x14ac:dyDescent="0.4">
      <c r="N448" s="32"/>
      <c r="O448" s="32"/>
      <c r="Q448" s="32"/>
    </row>
    <row r="449" spans="14:17" x14ac:dyDescent="0.4">
      <c r="N449" s="32"/>
      <c r="O449" s="32"/>
      <c r="Q449" s="32"/>
    </row>
    <row r="450" spans="14:17" x14ac:dyDescent="0.4">
      <c r="N450" s="32"/>
      <c r="O450" s="32"/>
      <c r="Q450" s="32"/>
    </row>
    <row r="451" spans="14:17" x14ac:dyDescent="0.4">
      <c r="N451" s="32"/>
      <c r="O451" s="32"/>
      <c r="Q451" s="32"/>
    </row>
    <row r="452" spans="14:17" x14ac:dyDescent="0.4">
      <c r="N452" s="32"/>
      <c r="O452" s="32"/>
      <c r="Q452" s="32"/>
    </row>
    <row r="453" spans="14:17" x14ac:dyDescent="0.4">
      <c r="N453" s="32"/>
      <c r="O453" s="32"/>
      <c r="Q453" s="32"/>
    </row>
    <row r="454" spans="14:17" x14ac:dyDescent="0.4">
      <c r="N454" s="32"/>
      <c r="O454" s="32"/>
      <c r="Q454" s="32"/>
    </row>
    <row r="455" spans="14:17" x14ac:dyDescent="0.4">
      <c r="N455" s="32"/>
      <c r="O455" s="32"/>
      <c r="Q455" s="32"/>
    </row>
    <row r="456" spans="14:17" x14ac:dyDescent="0.4">
      <c r="N456" s="32"/>
      <c r="O456" s="32"/>
      <c r="Q456" s="32"/>
    </row>
    <row r="457" spans="14:17" x14ac:dyDescent="0.4">
      <c r="N457" s="32"/>
      <c r="O457" s="32"/>
      <c r="Q457" s="32"/>
    </row>
    <row r="458" spans="14:17" x14ac:dyDescent="0.4">
      <c r="N458" s="32"/>
      <c r="O458" s="32"/>
      <c r="Q458" s="32"/>
    </row>
    <row r="459" spans="14:17" x14ac:dyDescent="0.4">
      <c r="N459" s="32"/>
      <c r="O459" s="32"/>
      <c r="Q459" s="32"/>
    </row>
    <row r="460" spans="14:17" x14ac:dyDescent="0.4">
      <c r="N460" s="32"/>
      <c r="O460" s="32"/>
      <c r="Q460" s="32"/>
    </row>
    <row r="461" spans="14:17" x14ac:dyDescent="0.4">
      <c r="N461" s="32"/>
      <c r="O461" s="32"/>
      <c r="Q461" s="32"/>
    </row>
    <row r="462" spans="14:17" x14ac:dyDescent="0.4">
      <c r="N462" s="32"/>
      <c r="O462" s="32"/>
      <c r="Q462" s="32"/>
    </row>
    <row r="463" spans="14:17" x14ac:dyDescent="0.4">
      <c r="N463" s="32"/>
      <c r="O463" s="32"/>
      <c r="Q463" s="32"/>
    </row>
    <row r="464" spans="14:17" x14ac:dyDescent="0.4">
      <c r="N464" s="32"/>
      <c r="O464" s="32"/>
      <c r="Q464" s="32"/>
    </row>
    <row r="465" spans="14:17" x14ac:dyDescent="0.4">
      <c r="N465" s="32"/>
      <c r="O465" s="32"/>
      <c r="Q465" s="32"/>
    </row>
    <row r="466" spans="14:17" x14ac:dyDescent="0.4">
      <c r="N466" s="32"/>
      <c r="O466" s="32"/>
      <c r="Q466" s="32"/>
    </row>
    <row r="467" spans="14:17" x14ac:dyDescent="0.4">
      <c r="N467" s="32"/>
      <c r="O467" s="32"/>
      <c r="Q467" s="32"/>
    </row>
    <row r="468" spans="14:17" x14ac:dyDescent="0.4">
      <c r="N468" s="32"/>
      <c r="O468" s="32"/>
      <c r="Q468" s="32"/>
    </row>
    <row r="469" spans="14:17" x14ac:dyDescent="0.4">
      <c r="N469" s="32"/>
      <c r="O469" s="32"/>
      <c r="Q469" s="32"/>
    </row>
    <row r="470" spans="14:17" x14ac:dyDescent="0.4">
      <c r="N470" s="32"/>
      <c r="O470" s="32"/>
      <c r="Q470" s="32"/>
    </row>
    <row r="471" spans="14:17" x14ac:dyDescent="0.4">
      <c r="N471" s="32"/>
      <c r="O471" s="32"/>
      <c r="Q471" s="32"/>
    </row>
    <row r="472" spans="14:17" x14ac:dyDescent="0.4">
      <c r="N472" s="32"/>
      <c r="O472" s="32"/>
      <c r="Q472" s="32"/>
    </row>
    <row r="473" spans="14:17" x14ac:dyDescent="0.4">
      <c r="N473" s="32"/>
      <c r="O473" s="32"/>
      <c r="Q473" s="32"/>
    </row>
    <row r="474" spans="14:17" x14ac:dyDescent="0.4">
      <c r="N474" s="32"/>
      <c r="O474" s="32"/>
      <c r="Q474" s="32"/>
    </row>
    <row r="475" spans="14:17" x14ac:dyDescent="0.4">
      <c r="N475" s="32"/>
      <c r="O475" s="32"/>
      <c r="Q475" s="32"/>
    </row>
    <row r="476" spans="14:17" x14ac:dyDescent="0.4">
      <c r="N476" s="32"/>
      <c r="O476" s="32"/>
      <c r="Q476" s="32"/>
    </row>
    <row r="477" spans="14:17" x14ac:dyDescent="0.4">
      <c r="N477" s="32"/>
      <c r="O477" s="32"/>
      <c r="Q477" s="32"/>
    </row>
    <row r="478" spans="14:17" x14ac:dyDescent="0.4">
      <c r="N478" s="32"/>
      <c r="O478" s="32"/>
      <c r="Q478" s="32"/>
    </row>
    <row r="479" spans="14:17" x14ac:dyDescent="0.4">
      <c r="N479" s="32"/>
      <c r="O479" s="32"/>
      <c r="Q479" s="32"/>
    </row>
    <row r="480" spans="14:17" x14ac:dyDescent="0.4">
      <c r="N480" s="32"/>
      <c r="O480" s="32"/>
      <c r="Q480" s="32"/>
    </row>
    <row r="481" spans="14:17" x14ac:dyDescent="0.4">
      <c r="N481" s="32"/>
      <c r="O481" s="32"/>
      <c r="Q481" s="32"/>
    </row>
    <row r="482" spans="14:17" x14ac:dyDescent="0.4">
      <c r="N482" s="32"/>
      <c r="O482" s="32"/>
      <c r="Q482" s="32"/>
    </row>
    <row r="483" spans="14:17" x14ac:dyDescent="0.4">
      <c r="N483" s="32"/>
      <c r="O483" s="32"/>
      <c r="Q483" s="32"/>
    </row>
    <row r="484" spans="14:17" x14ac:dyDescent="0.4">
      <c r="N484" s="32"/>
      <c r="O484" s="32"/>
      <c r="Q484" s="32"/>
    </row>
    <row r="485" spans="14:17" x14ac:dyDescent="0.4">
      <c r="N485" s="32"/>
      <c r="O485" s="32"/>
      <c r="Q485" s="32"/>
    </row>
    <row r="486" spans="14:17" x14ac:dyDescent="0.4">
      <c r="N486" s="32"/>
      <c r="O486" s="32"/>
      <c r="Q486" s="32"/>
    </row>
    <row r="487" spans="14:17" x14ac:dyDescent="0.4">
      <c r="N487" s="32"/>
      <c r="O487" s="32"/>
      <c r="Q487" s="32"/>
    </row>
    <row r="488" spans="14:17" x14ac:dyDescent="0.4">
      <c r="N488" s="32"/>
      <c r="O488" s="32"/>
      <c r="Q488" s="32"/>
    </row>
    <row r="489" spans="14:17" x14ac:dyDescent="0.4">
      <c r="N489" s="32"/>
      <c r="O489" s="32"/>
      <c r="Q489" s="32"/>
    </row>
    <row r="490" spans="14:17" x14ac:dyDescent="0.4">
      <c r="N490" s="32"/>
      <c r="O490" s="32"/>
      <c r="Q490" s="32"/>
    </row>
    <row r="491" spans="14:17" x14ac:dyDescent="0.4">
      <c r="N491" s="32"/>
      <c r="O491" s="32"/>
      <c r="Q491" s="32"/>
    </row>
    <row r="492" spans="14:17" x14ac:dyDescent="0.4">
      <c r="N492" s="32"/>
      <c r="O492" s="32"/>
      <c r="Q492" s="32"/>
    </row>
    <row r="493" spans="14:17" x14ac:dyDescent="0.4">
      <c r="N493" s="32"/>
      <c r="O493" s="32"/>
      <c r="Q493" s="32"/>
    </row>
    <row r="494" spans="14:17" x14ac:dyDescent="0.4">
      <c r="N494" s="32"/>
      <c r="O494" s="32"/>
      <c r="Q494" s="32"/>
    </row>
    <row r="495" spans="14:17" x14ac:dyDescent="0.4">
      <c r="N495" s="32"/>
      <c r="O495" s="32"/>
      <c r="Q495" s="32"/>
    </row>
    <row r="496" spans="14:17" x14ac:dyDescent="0.4">
      <c r="N496" s="32"/>
      <c r="O496" s="32"/>
      <c r="Q496" s="32"/>
    </row>
    <row r="497" spans="14:17" x14ac:dyDescent="0.4">
      <c r="N497" s="32"/>
      <c r="O497" s="32"/>
      <c r="Q497" s="32"/>
    </row>
    <row r="498" spans="14:17" x14ac:dyDescent="0.4">
      <c r="N498" s="32"/>
      <c r="O498" s="32"/>
      <c r="Q498" s="32"/>
    </row>
  </sheetData>
  <conditionalFormatting sqref="B3:E498">
    <cfRule type="expression" dxfId="14" priority="26">
      <formula>IF(AND(NOT(ISBLANK($A3)),ISBLANK(B3)),TRUE,FALSE)</formula>
    </cfRule>
  </conditionalFormatting>
  <conditionalFormatting sqref="F3:F4 F7:F8">
    <cfRule type="expression" dxfId="13" priority="16">
      <formula>IF(AND(NOT(ISBLANK($A3)),ISBLANK(F3)),TRUE,FALSE)</formula>
    </cfRule>
  </conditionalFormatting>
  <conditionalFormatting sqref="G9:H9">
    <cfRule type="expression" dxfId="12" priority="156">
      <formula>AND(NOT(ISBLANK(#REF!)),#REF!="Specific month",ISBLANK(G9))</formula>
    </cfRule>
    <cfRule type="expression" dxfId="11" priority="157">
      <formula>#REF!="Immediately"</formula>
    </cfRule>
    <cfRule type="expression" dxfId="10" priority="158">
      <formula>#REF!="Never repair"</formula>
    </cfRule>
  </conditionalFormatting>
  <conditionalFormatting sqref="G10:H11">
    <cfRule type="expression" dxfId="9" priority="11">
      <formula>AND(NOT(ISBLANK($E9)),$E9="Specific month",ISBLANK(G10))</formula>
    </cfRule>
    <cfRule type="expression" dxfId="8" priority="12">
      <formula>$E9="Immediately"</formula>
    </cfRule>
    <cfRule type="expression" dxfId="7" priority="13">
      <formula>$E9="Never repair"</formula>
    </cfRule>
  </conditionalFormatting>
  <conditionalFormatting sqref="G3:I498">
    <cfRule type="expression" dxfId="6" priority="14">
      <formula>AND(NOT(ISBLANK($E3)),$E3="Specific month",ISBLANK(G3))</formula>
    </cfRule>
    <cfRule type="expression" dxfId="5" priority="15">
      <formula>$E3="Never repair"</formula>
    </cfRule>
  </conditionalFormatting>
  <conditionalFormatting sqref="I3:I498">
    <cfRule type="expression" dxfId="4" priority="24">
      <formula>$E3="Immediately"</formula>
    </cfRule>
  </conditionalFormatting>
  <conditionalFormatting sqref="J3:J1048576">
    <cfRule type="expression" dxfId="3" priority="1">
      <formula>AND($A3&lt;&gt;"",$I3="",$K3="")</formula>
    </cfRule>
  </conditionalFormatting>
  <conditionalFormatting sqref="K3:K1048576">
    <cfRule type="expression" dxfId="2" priority="6">
      <formula>$E3="Never repair"</formula>
    </cfRule>
    <cfRule type="expression" dxfId="1" priority="7">
      <formula>$E3="Specific month"</formula>
    </cfRule>
  </conditionalFormatting>
  <conditionalFormatting sqref="K9:K500">
    <cfRule type="expression" dxfId="0" priority="9">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K9:K55 I3:I53 J8: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L3:M138" xr:uid="{030B7424-D88F-42EF-921A-C45A1986C5E0}">
      <formula1>0</formula1>
    </dataValidation>
    <dataValidation type="list" allowBlank="1" showInputMessage="1" showErrorMessage="1" errorTitle="Wrong input" error="It must be a decimal between -90.0 and 90.0." sqref="N3:O498 Q3:Q498" xr:uid="{9DF2605E-9E7B-47A5-B4E4-4F90FB5375A2}">
      <formula1>"TRUE,FALSE"</formula1>
    </dataValidation>
    <dataValidation type="whole" allowBlank="1" showInputMessage="1" showErrorMessage="1" sqref="P3:P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4.6" x14ac:dyDescent="0.4"/>
  <cols>
    <col min="1" max="1" width="40.69140625" customWidth="1"/>
    <col min="2" max="2" width="10.69140625" customWidth="1"/>
    <col min="3" max="3" width="12.69140625" customWidth="1"/>
  </cols>
  <sheetData>
    <row r="1" spans="1:3" x14ac:dyDescent="0.4">
      <c r="A1" t="s">
        <v>9</v>
      </c>
      <c r="B1" t="s">
        <v>10</v>
      </c>
      <c r="C1" t="s">
        <v>11</v>
      </c>
    </row>
    <row r="2" spans="1:3" x14ac:dyDescent="0.4">
      <c r="A2" t="s">
        <v>391</v>
      </c>
      <c r="B2" t="s">
        <v>392</v>
      </c>
      <c r="C2" s="22">
        <v>390</v>
      </c>
    </row>
    <row r="3" spans="1:3" x14ac:dyDescent="0.4">
      <c r="A3" t="s">
        <v>393</v>
      </c>
      <c r="B3" t="s">
        <v>392</v>
      </c>
      <c r="C3" s="22">
        <v>730</v>
      </c>
    </row>
    <row r="4" spans="1:3" x14ac:dyDescent="0.4">
      <c r="A4" t="s">
        <v>394</v>
      </c>
      <c r="B4" t="s">
        <v>392</v>
      </c>
      <c r="C4" s="22">
        <v>700</v>
      </c>
    </row>
    <row r="5" spans="1:3" x14ac:dyDescent="0.4">
      <c r="A5" t="s">
        <v>395</v>
      </c>
      <c r="B5" t="s">
        <v>337</v>
      </c>
      <c r="C5" s="22">
        <v>1500</v>
      </c>
    </row>
    <row r="6" spans="1:3" x14ac:dyDescent="0.4">
      <c r="A6" t="s">
        <v>396</v>
      </c>
      <c r="B6" t="s">
        <v>13</v>
      </c>
      <c r="C6" s="48" t="b">
        <v>0</v>
      </c>
    </row>
    <row r="7" spans="1:3" x14ac:dyDescent="0.4">
      <c r="A7" t="s">
        <v>397</v>
      </c>
      <c r="B7" t="s">
        <v>398</v>
      </c>
      <c r="C7" s="24">
        <v>30</v>
      </c>
    </row>
    <row r="8" spans="1:3" x14ac:dyDescent="0.4">
      <c r="A8" t="s">
        <v>399</v>
      </c>
      <c r="B8" t="s">
        <v>337</v>
      </c>
    </row>
    <row r="9" spans="1:3" x14ac:dyDescent="0.4">
      <c r="A9" t="s">
        <v>400</v>
      </c>
      <c r="B9" t="s">
        <v>401</v>
      </c>
      <c r="C9">
        <v>97</v>
      </c>
    </row>
    <row r="10" spans="1:3" x14ac:dyDescent="0.4">
      <c r="A10" t="s">
        <v>402</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4.6" x14ac:dyDescent="0.4"/>
  <cols>
    <col min="1" max="1" width="18.23046875" bestFit="1" customWidth="1"/>
    <col min="2" max="2" width="8.23046875" bestFit="1" customWidth="1"/>
    <col min="3" max="3" width="11.4609375" bestFit="1" customWidth="1"/>
    <col min="4" max="4" width="5.23046875" bestFit="1" customWidth="1"/>
  </cols>
  <sheetData>
    <row r="1" spans="1:4" x14ac:dyDescent="0.4">
      <c r="A1" t="s">
        <v>403</v>
      </c>
      <c r="B1" t="s">
        <v>404</v>
      </c>
      <c r="C1" t="s">
        <v>405</v>
      </c>
      <c r="D1" t="s">
        <v>406</v>
      </c>
    </row>
    <row r="2" spans="1:4" x14ac:dyDescent="0.4">
      <c r="A2" t="s">
        <v>100</v>
      </c>
      <c r="B2" t="s">
        <v>407</v>
      </c>
      <c r="C2" s="1">
        <f>AVERAGE(2984,16000,4120,9000,9000)</f>
        <v>8220.7999999999993</v>
      </c>
      <c r="D2">
        <f>210</f>
        <v>210</v>
      </c>
    </row>
    <row r="3" spans="1:4" x14ac:dyDescent="0.4">
      <c r="A3" t="s">
        <v>408</v>
      </c>
      <c r="B3" t="s">
        <v>407</v>
      </c>
      <c r="C3" s="1">
        <f>AVERAGE(7883.625,10167,13440,28800,10167)</f>
        <v>14091.525</v>
      </c>
      <c r="D3">
        <f>210</f>
        <v>210</v>
      </c>
    </row>
    <row r="4" spans="1:4" x14ac:dyDescent="0.4">
      <c r="A4" t="s">
        <v>409</v>
      </c>
      <c r="B4" t="s">
        <v>407</v>
      </c>
      <c r="C4">
        <v>13360</v>
      </c>
      <c r="D4">
        <f>210</f>
        <v>210</v>
      </c>
    </row>
    <row r="5" spans="1:4" x14ac:dyDescent="0.4">
      <c r="A5" t="s">
        <v>104</v>
      </c>
      <c r="B5" t="s">
        <v>105</v>
      </c>
      <c r="C5" s="1">
        <f>AVERAGE(808.83,2058.42,1066.24,1790)</f>
        <v>1430.8724999999999</v>
      </c>
      <c r="D5">
        <f>210</f>
        <v>210</v>
      </c>
    </row>
    <row r="6" spans="1:4" x14ac:dyDescent="0.4">
      <c r="A6" t="s">
        <v>410</v>
      </c>
      <c r="B6" t="s">
        <v>407</v>
      </c>
      <c r="C6" s="1">
        <f>AVERAGE(736,8826,27300)</f>
        <v>12287.333333333334</v>
      </c>
      <c r="D6">
        <f>210</f>
        <v>210</v>
      </c>
    </row>
    <row r="7" spans="1:4" x14ac:dyDescent="0.4">
      <c r="A7" t="s">
        <v>102</v>
      </c>
      <c r="B7" t="s">
        <v>407</v>
      </c>
      <c r="C7" s="1">
        <f>AVERAGE(14390,5440,1250)</f>
        <v>7026.666666666667</v>
      </c>
      <c r="D7">
        <f>210</f>
        <v>210</v>
      </c>
    </row>
    <row r="8" spans="1:4" x14ac:dyDescent="0.4">
      <c r="A8" t="s">
        <v>411</v>
      </c>
      <c r="B8" t="s">
        <v>407</v>
      </c>
      <c r="C8" s="1">
        <f>AVERAGE(1783,662.5,3495,442)</f>
        <v>1595.625</v>
      </c>
      <c r="D8">
        <f>210</f>
        <v>210</v>
      </c>
    </row>
    <row r="9" spans="1:4" x14ac:dyDescent="0.4">
      <c r="A9" t="s">
        <v>412</v>
      </c>
      <c r="B9" t="s">
        <v>407</v>
      </c>
      <c r="C9" s="1">
        <f>AVERAGE(2400,4800,13400,4800)</f>
        <v>6350</v>
      </c>
      <c r="D9">
        <f>210</f>
        <v>210</v>
      </c>
    </row>
    <row r="10" spans="1:4" x14ac:dyDescent="0.4">
      <c r="A10" t="s">
        <v>98</v>
      </c>
      <c r="B10" t="s">
        <v>105</v>
      </c>
      <c r="C10" s="1">
        <f>AVERAGE(805.5,1862.345,2316.2,881)</f>
        <v>1466.26125</v>
      </c>
      <c r="D10">
        <f>210</f>
        <v>210</v>
      </c>
    </row>
    <row r="11" spans="1:4" x14ac:dyDescent="0.4">
      <c r="A11" t="s">
        <v>413</v>
      </c>
      <c r="B11" t="s">
        <v>407</v>
      </c>
      <c r="C11" s="1">
        <f>1413</f>
        <v>1413</v>
      </c>
      <c r="D11">
        <f>210</f>
        <v>210</v>
      </c>
    </row>
    <row r="12" spans="1:4" x14ac:dyDescent="0.4">
      <c r="A12" t="s">
        <v>414</v>
      </c>
      <c r="B12" t="s">
        <v>407</v>
      </c>
      <c r="C12" s="1">
        <f>AVERAGE(11380,20477.5,930,21125)</f>
        <v>13478.125</v>
      </c>
      <c r="D12">
        <f>210</f>
        <v>210</v>
      </c>
    </row>
    <row r="13" spans="1:4" x14ac:dyDescent="0.4">
      <c r="A13" t="s">
        <v>415</v>
      </c>
      <c r="B13" t="s">
        <v>407</v>
      </c>
      <c r="C13" s="1">
        <f>AVERAGE(4639.87,2868,7060,6905.9)</f>
        <v>5368.4424999999992</v>
      </c>
      <c r="D13">
        <f>210</f>
        <v>210</v>
      </c>
    </row>
    <row r="14" spans="1:4" x14ac:dyDescent="0.4">
      <c r="A14" t="s">
        <v>416</v>
      </c>
      <c r="B14" t="s">
        <v>407</v>
      </c>
      <c r="C14" s="1">
        <f>AVERAGE(588.24,257.355,147.797)</f>
        <v>331.13066666666668</v>
      </c>
      <c r="D14">
        <f>210</f>
        <v>210</v>
      </c>
    </row>
    <row r="15" spans="1:4" x14ac:dyDescent="0.4">
      <c r="A15" t="s">
        <v>417</v>
      </c>
      <c r="B15" t="s">
        <v>407</v>
      </c>
      <c r="C15" s="1">
        <f>AVERAGE(15250,5386,9022,6334)</f>
        <v>8998</v>
      </c>
      <c r="D15">
        <f>210</f>
        <v>210</v>
      </c>
    </row>
    <row r="16" spans="1:4" x14ac:dyDescent="0.4">
      <c r="A16" t="s">
        <v>418</v>
      </c>
      <c r="B16" t="s">
        <v>419</v>
      </c>
      <c r="C16" s="1">
        <f>AVERAGE(4665,9505,21200,6320,1470,5600,736,18409,3340,11150)</f>
        <v>8239.5</v>
      </c>
      <c r="D16">
        <f>210</f>
        <v>210</v>
      </c>
    </row>
    <row r="17" spans="1:4" x14ac:dyDescent="0.4">
      <c r="A17" t="s">
        <v>420</v>
      </c>
      <c r="B17" t="s">
        <v>407</v>
      </c>
      <c r="C17" s="1">
        <f>AVERAGE(1000,7040,4207)</f>
        <v>4082.3333333333335</v>
      </c>
      <c r="D17">
        <f>210</f>
        <v>210</v>
      </c>
    </row>
    <row r="18" spans="1:4" x14ac:dyDescent="0.4">
      <c r="A18" t="s">
        <v>96</v>
      </c>
      <c r="B18" t="s">
        <v>419</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4.6" x14ac:dyDescent="0.4"/>
  <cols>
    <col min="1" max="2" width="10.69140625" customWidth="1"/>
  </cols>
  <sheetData>
    <row r="1" spans="1:2" x14ac:dyDescent="0.4">
      <c r="A1" t="s">
        <v>421</v>
      </c>
      <c r="B1" t="s">
        <v>422</v>
      </c>
    </row>
    <row r="2" spans="1:2" x14ac:dyDescent="0.4">
      <c r="A2" t="s">
        <v>282</v>
      </c>
      <c r="B2">
        <v>0.8</v>
      </c>
    </row>
    <row r="3" spans="1:2" x14ac:dyDescent="0.4">
      <c r="A3" t="s">
        <v>423</v>
      </c>
      <c r="B3">
        <v>0.4</v>
      </c>
    </row>
    <row r="4" spans="1:2" x14ac:dyDescent="0.4">
      <c r="A4" t="s">
        <v>424</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4.6" x14ac:dyDescent="0.4"/>
  <cols>
    <col min="1" max="2" width="10.69140625" customWidth="1"/>
  </cols>
  <sheetData>
    <row r="1" spans="1:2" x14ac:dyDescent="0.4">
      <c r="A1" t="s">
        <v>425</v>
      </c>
      <c r="B1" t="s">
        <v>426</v>
      </c>
    </row>
    <row r="2" spans="1:2" x14ac:dyDescent="0.4">
      <c r="A2" t="s">
        <v>427</v>
      </c>
      <c r="B2">
        <v>1010</v>
      </c>
    </row>
    <row r="3" spans="1:2" x14ac:dyDescent="0.4">
      <c r="A3" t="s">
        <v>428</v>
      </c>
      <c r="B3">
        <v>855</v>
      </c>
    </row>
    <row r="4" spans="1:2" x14ac:dyDescent="0.4">
      <c r="A4" t="s">
        <v>429</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Gen_Vessels</vt:lpstr>
      <vt:lpstr>Front_page</vt:lpstr>
      <vt:lpstr>Gen_inputs</vt:lpstr>
      <vt:lpstr>Gen_WTG</vt:lpstr>
      <vt:lpstr>Gen_WEC</vt:lpstr>
      <vt:lpstr>Gen_PV</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2026-07-07T14:01:10Z</dcterms:modified>
  <cp:category/>
  <cp:contentStatus/>
</cp:coreProperties>
</file>