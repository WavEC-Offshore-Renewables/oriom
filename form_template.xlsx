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66925"/>
  <xr:revisionPtr revIDLastSave="0" documentId="13_ncr:1_{2C47E058-97BD-48A0-924C-56C3E1CBD530}" xr6:coauthVersionLast="47" xr6:coauthVersionMax="47" xr10:uidLastSave="{00000000-0000-0000-0000-000000000000}"/>
  <bookViews>
    <workbookView xWindow="-120" yWindow="-120" windowWidth="29040" windowHeight="15720" tabRatio="828" firstSheet="4" activeTab="14"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l="1"/>
  <c r="C16"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<sst xmlns="http://schemas.openxmlformats.org/spreadsheetml/2006/main" count="1446" uniqueCount="449">
  <si>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</si>
  <si>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</si>
  <si>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</si>
  <si>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</si>
  <si>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</si>
  <si>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</si>
  <si>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</si>
  <si>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</si>
  <si>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</si>
  <si>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</si>
  <si>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</si>
  <si>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</si>
  <si>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</si>
  <si>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</si>
  <si>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</si>
  <si>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</si>
  <si>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</si>
  <si>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</si>
  <si>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</si>
  <si>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</si>
  <si>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</si>
  <si>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</si>
  <si>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</si>
  <si>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</si>
  <si>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</si>
  <si>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</si>
  <si>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</si>
  <si>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</si>
  <si>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</si>
  <si>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</si>
  <si>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</si>
  <si>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</si>
  <si>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</si>
  <si>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</si>
  <si>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</si>
  <si>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</si>
  <si>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</si>
  <si>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</si>
  <si>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</si>
  <si>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</si>
  <si>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</si>
  <si>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</si>
  <si>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</si>
  <si>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</si>
  <si>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</si>
  <si>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</si>
  <si>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</si>
  <si>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</si>
  <si>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</si>
  <si>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</si>
  <si>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</si>
  <si>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</si>
  <si>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</si>
  <si>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</si>
  <si>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</si>
  <si>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</si>
  <si>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</si>
  <si>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</si>
  <si>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</si>
  <si>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</si>
  <si>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</si>
  <si>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</si>
  <si>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</si>
  <si>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</si>
  <si>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</si>
  <si>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</si>
  <si>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</si>
  <si>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</si>
  <si>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</si>
  <si>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</si>
  <si>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</si>
  <si>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</si>
  <si>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</si>
  <si>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</si>
  <si>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</si>
  <si>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</si>
  <si>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</si>
  <si>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</si>
  <si>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</si>
  <si>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</si>
  <si>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</si>
  <si>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</si>
  <si>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</si>
  <si>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</si>
  <si>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</si>
  <si>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</si>
  <si>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</si>
  <si>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</si>
  <si>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</si>
  <si>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</si>
  <si>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</si>
  <si>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</si>
  <si>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</si>
  <si>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</si>
  <si>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</si>
  <si>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</si>
  <si>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</si>
  <si>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</si>
  <si>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</si>
  <si>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</si>
  <si>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</si>
  <si>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</si>
  <si>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</si>
  <si>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</si>
  <si>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</si>
  <si>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</si>
  <si>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</si>
  <si>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</si>
  <si>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</si>
  <si>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</si>
  <si>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</si>
  <si>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</si>
  <si>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</si>
  <si>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</si>
  <si>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</si>
  <si>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</si>
  <si>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</si>
  <si>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</si>
  <si>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</si>
  <si>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</si>
  <si>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</si>
  <si>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</si>
  <si>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</si>
  <si>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</si>
  <si>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</si>
  <si>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</si>
  <si>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</si>
  <si>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</si>
  <si>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</si>
  <si>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</si>
  <si>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</si>
  <si>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</si>
  <si>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</si>
  <si>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</si>
  <si>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</si>
  <si>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</si>
  <si>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</si>
  <si>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</si>
  <si>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</si>
  <si>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</si>
  <si>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</si>
  <si>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</si>
  <si>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</si>
  <si>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</si>
  <si>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</si>
  <si>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</si>
  <si>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</si>
  <si>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</si>
  <si>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</si>
  <si>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</si>
  <si>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</si>
  <si>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</si>
  <si>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</si>
  <si>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</si>
  <si>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</si>
  <si>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</si>
  <si>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</si>
  <si>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</si>
  <si>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</si>
  <si>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</si>
  <si>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</si>
  <si>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</si>
  <si>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</si>
  <si>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</si>
  <si>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</si>
  <si>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</si>
  <si>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</si>
  <si>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</si>
  <si>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</si>
  <si>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</si>
  <si>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</si>
  <si>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</si>
  <si>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</si>
  <si>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</si>
  <si>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</si>
  <si>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</si>
  <si>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</si>
  <si>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</si>
  <si>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</si>
  <si>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</si>
  <si>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</si>
  <si>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</si>
  <si>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</si>
  <si>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</si>
  <si>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</si>
  <si>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</si>
  <si>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</si>
  <si>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</si>
  <si>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</si>
  <si>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</si>
  <si>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</si>
  <si>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</si>
  <si>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</si>
  <si>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</si>
  <si>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</si>
  <si>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</si>
  <si>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</si>
  <si>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</si>
  <si>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</si>
  <si>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</si>
  <si>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</si>
  <si>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</si>
  <si>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</si>
  <si>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</si>
  <si>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</si>
  <si>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</si>
  <si>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</si>
  <si>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</si>
  <si>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</si>
  <si>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</si>
  <si>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</si>
  <si>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</si>
  <si>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</si>
  <si>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</si>
  <si>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</si>
  <si>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</si>
  <si>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</si>
  <si>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</si>
  <si>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</si>
  <si>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</si>
  <si>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</si>
  <si>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</si>
  <si>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</si>
  <si>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</si>
  <si>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</si>
  <si>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</si>
  <si>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</si>
  <si>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</si>
  <si>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</si>
  <si>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</si>
  <si>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</si>
  <si>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</si>
  <si>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</si>
  <si>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</si>
  <si>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</si>
  <si>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</si>
  <si>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</si>
  <si>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</si>
  <si>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</si>
  <si>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</si>
  <si>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</si>
  <si>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</si>
  <si>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</si>
  <si>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</si>
  <si>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</si>
  <si>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</si>
  <si>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</si>
  <si>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</si>
  <si>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</si>
  <si>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</si>
  <si>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</si>
  <si>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</si>
  <si>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</si>
  <si>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</si>
  <si>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</si>
  <si>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</si>
  <si>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</si>
  <si>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</si>
  <si>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</si>
  <si>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</si>
  <si>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</si>
  <si>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</si>
  <si>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</si>
  <si>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</si>
  <si>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</si>
  <si>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</si>
  <si>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</si>
  <si>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</si>
  <si>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</si>
  <si>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</si>
  <si>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</si>
  <si>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</si>
  <si>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</si>
  <si>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</si>
  <si>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</si>
  <si>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</si>
  <si>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</si>
  <si>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</si>
  <si>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</si>
  <si>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</si>
  <si>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</si>
  <si>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</si>
  <si>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</si>
  <si>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</si>
  <si>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</si>
  <si>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</si>
  <si>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</si>
  <si>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</si>
  <si>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</si>
  <si>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</si>
  <si>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</si>
  <si>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</si>
  <si>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</si>
  <si>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</si>
  <si>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</si>
  <si>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</si>
  <si>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</si>
  <si>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</si>
  <si>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</si>
  <si>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</si>
  <si>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</si>
  <si>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</si>
  <si>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</si>
  <si>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</si>
  <si>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</si>
  <si>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</si>
  <si>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</si>
  <si>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</si>
  <si>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</si>
  <si>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</si>
  <si>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</si>
  <si>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</si>
  <si>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</si>
  <si>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</si>
  <si>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</si>
  <si>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</si>
  <si>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</si>
  <si>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</si>
  <si>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</si>
  <si>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</si>
  <si>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</si>
  <si>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</si>
  <si>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</si>
  <si>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</si>
  <si>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</si>
  <si>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</si>
  <si>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</si>
  <si>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</si>
  <si>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</si>
  <si>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</si>
  <si>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</si>
  <si>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</si>
  <si>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</si>
  <si>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</si>
  <si>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</si>
  <si>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</si>
  <si>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</si>
  <si>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</si>
  <si>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</si>
  <si>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</si>
  <si>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</si>
  <si>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</si>
  <si>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</si>
  <si>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</si>
  <si>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</si>
  <si>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</si>
  <si>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</si>
  <si>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</si>
  <si>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</si>
  <si>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</si>
  <si>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</si>
  <si>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</si>
  <si>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</si>
  <si>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</si>
  <si>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</si>
  <si>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</si>
  <si>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</si>
  <si>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</si>
  <si>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</si>
  <si>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</si>
  <si>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</si>
  <si>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</si>
  <si>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</si>
  <si>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</si>
  <si>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</si>
  <si>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</si>
  <si>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</si>
  <si>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</si>
  <si>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</si>
  <si>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</si>
  <si>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</si>
  <si>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</si>
  <si>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</si>
  <si>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</si>
  <si>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</si>
  <si>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</si>
  <si>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</si>
  <si>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</si>
  <si>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</si>
  <si>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</si>
  <si>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</si>
  <si>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</si>
  <si>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</si>
  <si>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</si>
  <si>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</si>
  <si>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</si>
  <si>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</si>
  <si>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</si>
  <si>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</si>
  <si>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</si>
  <si>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</si>
  <si>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</si>
  <si>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</si>
  <si>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</si>
  <si>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</si>
  <si>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</si>
  <si>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</si>
  <si>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</si>
  <si>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</si>
  <si>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</si>
  <si>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</si>
  <si>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</si>
  <si>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</si>
  <si>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</si>
  <si>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</si>
  <si>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</si>
  <si>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</si>
  <si>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</si>
  <si>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</si>
  <si>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</si>
  <si>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</si>
  <si>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</si>
  <si>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</si>
  <si>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</si>
  <si>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</si>
  <si>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</si>
  <si>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</si>
  <si>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</si>
  <si>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</si>
  <si>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</si>
  <si>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</si>
  <si>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</si>
  <si>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</si>
  <si>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</si>
  <si>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</si>
  <si>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</si>
  <si>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</si>
  <si>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</si>
  <si>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</si>
  <si>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</si>
  <si>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</si>
  <si>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</si>
  <si>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</si>
  <si>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</si>
  <si>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</si>
  <si>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</si>
  <si>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</si>
  <si>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</si>
  <si>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</si>
  <si>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</si>
  <si>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</si>
  <si>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</si>
  <si>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</si>
  <si>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</si>
  <si>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</si>
  <si>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</si>
  <si>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</si>
  <si>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</si>
  <si>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failure scenario selection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</si>
</sst>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5"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5" fontId="0" fillId="7" borderId="0" xfId="0" applyNumberFormat="1" applyFill="1"/>
    <xf numFmtId="166"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5"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5"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5"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5"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5" fontId="11" fillId="0" borderId="0" xfId="0" applyNumberFormat="1" applyFont="1" applyAlignment="1">
      <alignment horizontal="right" indent="1"/>
    </xf>
    <xf numFmtId="0" fontId="0" fillId="0" borderId="0" xfId="0" applyAlignment="1">
      <alignment vertical="center" wrapText="1"/>
    </xf>
    <xf numFmtId="164"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5"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2">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A9" s="49" t="s">
        <v>446</v>
      </c>
      <c r="B9" s="49" t="s">
        <v>13</v>
      </c>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1" priority="1">
      <formula>AND(ISBLANK($C$3),$C$5&lt;&gt;FALSE)</formula>
    </cfRule>
    <cfRule type="expression" dxfId="60"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440</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433</v>
      </c>
      <c r="B14" t="s">
        <v>13</v>
      </c>
    </row>
    <row r="15" spans="1:3" x14ac:dyDescent="0.25">
      <c r="A15" s="49" t="s">
        <v>438</v>
      </c>
      <c r="B15" t="s">
        <v>13</v>
      </c>
    </row>
    <row r="16" spans="1:3" x14ac:dyDescent="0.25">
      <c r="A16" s="49" t="s">
        <v>439</v>
      </c>
      <c r="B16" t="s">
        <v>13</v>
      </c>
    </row>
  </sheetData>
  <conditionalFormatting sqref="C9:C10">
    <cfRule type="expression" dxfId="59"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445</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433</v>
      </c>
      <c r="B12" t="s">
        <v>13</v>
      </c>
      <c r="C12" s="25"/>
    </row>
  </sheetData>
  <conditionalFormatting sqref="C7">
    <cfRule type="expression" dxfId="58"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433</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R6" sqref="R6"/>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447</v>
      </c>
      <c r="Q2" t="s">
        <v>447</v>
      </c>
      <c r="R2" t="s">
        <v>447</v>
      </c>
      <c r="S2" t="s">
        <v>93</v>
      </c>
      <c r="T2" s="50" t="s">
        <v>13</v>
      </c>
      <c r="U2" s="50" t="s">
        <v>13</v>
      </c>
      <c r="V2" s="49" t="s">
        <v>94</v>
      </c>
      <c r="W2" s="49" t="s">
        <v>13</v>
      </c>
    </row>
    <row r="3" spans="1:24" x14ac:dyDescent="0.2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2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2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25">
      <c r="A10" t="s">
        <v>110</v>
      </c>
      <c r="B10" t="s">
        <v>104</v>
      </c>
      <c r="C10" t="str">
        <f t="shared" si="0"/>
        <v>V201 - CTV</v>
      </c>
      <c r="D10">
        <v>3</v>
      </c>
      <c r="E10">
        <v>10.3</v>
      </c>
      <c r="G10">
        <v>3800</v>
      </c>
      <c r="H10" s="2">
        <v>24</v>
      </c>
      <c r="I10">
        <v>500</v>
      </c>
      <c r="J10" s="1">
        <v>12</v>
      </c>
      <c r="L10">
        <v>1500</v>
      </c>
      <c r="M10" t="s">
        <v>105</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7" priority="2">
      <formula>AND(ISBLANK($H$3:$H$1048576), NOT(ISBLANK($I$3:$I$1048576)))</formula>
    </cfRule>
  </conditionalFormatting>
  <conditionalFormatting sqref="I4">
    <cfRule type="expression" dxfId="56"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2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2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2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2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2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25">
      <c r="A7" t="s">
        <v>147</v>
      </c>
      <c r="B7" t="s">
        <v>147</v>
      </c>
      <c r="C7" t="s">
        <v>144</v>
      </c>
      <c r="D7" t="str">
        <f t="shared" si="0"/>
        <v>IRIS_AUV - IRIS_AUV (Water)</v>
      </c>
      <c r="F7" s="2"/>
      <c r="G7" s="2"/>
      <c r="H7" s="2"/>
      <c r="I7" s="2"/>
      <c r="J7" s="2"/>
      <c r="K7" s="2"/>
      <c r="L7" s="2"/>
      <c r="M7" s="2"/>
      <c r="S7" s="2"/>
      <c r="V7">
        <v>7800</v>
      </c>
    </row>
    <row r="8" spans="1:22" x14ac:dyDescent="0.25">
      <c r="A8" t="s">
        <v>148</v>
      </c>
      <c r="B8" t="s">
        <v>148</v>
      </c>
      <c r="C8" t="s">
        <v>144</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O3" activePane="bottomRight" state="frozen"/>
      <selection pane="topRight" activeCell="C1" sqref="C1"/>
      <selection pane="bottomLeft" activeCell="A3" sqref="A3"/>
      <selection pane="bottomRight" activeCell="AD7" sqref="AD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432</v>
      </c>
      <c r="Y1" s="18" t="s">
        <v>170</v>
      </c>
      <c r="Z1" s="18" t="s">
        <v>171</v>
      </c>
      <c r="AA1" s="18" t="s">
        <v>172</v>
      </c>
      <c r="AB1" s="18" t="s">
        <v>173</v>
      </c>
      <c r="AC1" s="18" t="s">
        <v>174</v>
      </c>
      <c r="AD1" s="18" t="s">
        <v>175</v>
      </c>
      <c r="AE1" s="18" t="s">
        <v>176</v>
      </c>
      <c r="AF1" s="49" t="s">
        <v>177</v>
      </c>
      <c r="AG1" s="18" t="s">
        <v>178</v>
      </c>
    </row>
    <row r="2" spans="1:37" x14ac:dyDescent="0.2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2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2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55" priority="1">
      <formula>AND(COUNTIF(A:A,$A1)&gt;1,$A1&lt;&gt;"")</formula>
    </cfRule>
  </conditionalFormatting>
  <conditionalFormatting sqref="D3:D500 L3:L500">
    <cfRule type="expression" dxfId="54" priority="11">
      <formula>AND(NOT(ISBLANK(D3)),D3=$A3)</formula>
    </cfRule>
  </conditionalFormatting>
  <conditionalFormatting sqref="H3:J500">
    <cfRule type="expression" dxfId="53" priority="79">
      <formula>AND(NOT(ISBLANK($B3)),$H3=0,$I3=0,$J3=0)</formula>
    </cfRule>
  </conditionalFormatting>
  <conditionalFormatting sqref="O3:Q500">
    <cfRule type="expression" dxfId="52" priority="12">
      <formula>AND(NOT(ISBLANK($O3)),NOT(ISBLANK($Q3)))</formula>
    </cfRule>
  </conditionalFormatting>
  <conditionalFormatting sqref="R3:R48">
    <cfRule type="expression" dxfId="51" priority="5">
      <formula>AND(NOT(ISBLANK(R3)),R3=$A3)</formula>
    </cfRule>
  </conditionalFormatting>
  <conditionalFormatting sqref="AD1:AD1048576">
    <cfRule type="expression" dxfId="50" priority="7">
      <formula>AND(NOT(ISBLANK($B1)),IF(AND(NOT(ISBLANK($A1)),ISBLANK(AD1)),TRUE,FALSE))</formula>
    </cfRule>
  </conditionalFormatting>
  <conditionalFormatting sqref="AE3:AE7">
    <cfRule type="expression" dxfId="49"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2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2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2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2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8" priority="5">
      <formula>AND(COUNTIF(A:A,$A1)&gt;1,$A1&lt;&gt;"")</formula>
    </cfRule>
  </conditionalFormatting>
  <conditionalFormatting sqref="D3:E496">
    <cfRule type="expression" dxfId="47" priority="7">
      <formula>AND(NOT(ISBLANK(D3)),D3=$A3)</formula>
    </cfRule>
  </conditionalFormatting>
  <conditionalFormatting sqref="H3:J496">
    <cfRule type="expression" dxfId="46"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3"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2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25">
      <c r="A3" s="18" t="str">
        <f>IF(ISBLANK($B3)=FALSE,_xlfn.CONCAT("owc_",$B3),"")</f>
        <v>owc_CPO_P1</v>
      </c>
      <c r="B3" s="25" t="s">
        <v>241</v>
      </c>
      <c r="C3" s="25" t="s">
        <v>242</v>
      </c>
      <c r="D3" s="25">
        <v>1</v>
      </c>
      <c r="E3" s="25"/>
      <c r="F3" s="49"/>
      <c r="G3" s="25">
        <v>1</v>
      </c>
      <c r="H3" s="73">
        <v>168</v>
      </c>
      <c r="I3" s="25" t="s">
        <v>444</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5" priority="2">
      <formula>AND(COUNTIF(A:A,$A1)&gt;1,$A1&lt;&gt;"")</formula>
    </cfRule>
  </conditionalFormatting>
  <conditionalFormatting sqref="G1:G1048576">
    <cfRule type="expression" dxfId="44" priority="3">
      <formula>AND(NOT(ISBLANK($B1)),#REF!=0,$G1=0,#REF!=0)</formula>
    </cfRule>
  </conditionalFormatting>
  <conditionalFormatting sqref="K3:K8">
    <cfRule type="expression" dxfId="43"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S3" activePane="bottomRight" state="frozen"/>
      <selection pane="topRight" activeCell="C1" sqref="C1"/>
      <selection pane="bottomLeft" activeCell="A3" sqref="A3"/>
      <selection pane="bottomRight" activeCell="AB9" sqref="AB9"/>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432</v>
      </c>
      <c r="U1" s="18" t="s">
        <v>170</v>
      </c>
      <c r="V1" s="18" t="s">
        <v>247</v>
      </c>
      <c r="W1" s="18" t="s">
        <v>172</v>
      </c>
      <c r="X1" s="18" t="s">
        <v>173</v>
      </c>
      <c r="Y1" s="18" t="s">
        <v>174</v>
      </c>
      <c r="Z1" s="18" t="s">
        <v>175</v>
      </c>
      <c r="AA1" s="18" t="s">
        <v>178</v>
      </c>
    </row>
    <row r="2" spans="1:33" x14ac:dyDescent="0.2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2" priority="9">
      <formula>AND(COUNTIF(A:A,$A1)&gt;1,$A1&lt;&gt;"")</formula>
    </cfRule>
  </conditionalFormatting>
  <conditionalFormatting sqref="D6:F492">
    <cfRule type="expression" dxfId="41" priority="5">
      <formula>AND(NOT(ISBLANK($B6)),COUNTBLANK($D6:$F6)&lt;2)</formula>
    </cfRule>
    <cfRule type="expression" dxfId="40" priority="6">
      <formula>AND(NOT(ISBLANK($B6)),COUNTBLANK($D6:$F6)&gt;2)</formula>
    </cfRule>
  </conditionalFormatting>
  <conditionalFormatting sqref="J3:K492">
    <cfRule type="expression" dxfId="39" priority="2">
      <formula>AND(NOT(ISBLANK($K3)),NOT(ISBLANK($L3)))</formula>
    </cfRule>
  </conditionalFormatting>
  <conditionalFormatting sqref="Z3:Z492">
    <cfRule type="expression" dxfId="38"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E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149</v>
      </c>
      <c r="C1" s="18" t="s">
        <v>150</v>
      </c>
      <c r="D1" s="18" t="s">
        <v>256</v>
      </c>
      <c r="E1" s="18" t="s">
        <v>166</v>
      </c>
      <c r="F1" s="18" t="s">
        <v>167</v>
      </c>
      <c r="G1" s="18" t="s">
        <v>265</v>
      </c>
      <c r="H1" s="18" t="s">
        <v>168</v>
      </c>
      <c r="I1" s="18" t="s">
        <v>169</v>
      </c>
      <c r="J1" s="18" t="s">
        <v>432</v>
      </c>
      <c r="K1" s="18" t="s">
        <v>170</v>
      </c>
      <c r="L1" s="18" t="s">
        <v>257</v>
      </c>
      <c r="M1" s="18" t="s">
        <v>172</v>
      </c>
      <c r="N1" s="18" t="s">
        <v>173</v>
      </c>
      <c r="O1" s="18" t="s">
        <v>174</v>
      </c>
      <c r="P1" s="18" t="s">
        <v>239</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2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7" priority="9">
      <formula>COUNTIF(B:B,$B1)&gt;1</formula>
    </cfRule>
  </conditionalFormatting>
  <conditionalFormatting sqref="B6:B498">
    <cfRule type="expression" dxfId="36"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J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149</v>
      </c>
      <c r="C1" s="18" t="s">
        <v>150</v>
      </c>
      <c r="D1" s="18" t="s">
        <v>166</v>
      </c>
      <c r="E1" s="18" t="s">
        <v>167</v>
      </c>
      <c r="F1" s="18" t="s">
        <v>265</v>
      </c>
      <c r="G1" s="18" t="s">
        <v>168</v>
      </c>
      <c r="H1" s="18" t="s">
        <v>169</v>
      </c>
      <c r="I1" s="18" t="s">
        <v>432</v>
      </c>
      <c r="J1" s="18" t="s">
        <v>436</v>
      </c>
      <c r="K1" s="18" t="s">
        <v>437</v>
      </c>
      <c r="L1" s="18" t="s">
        <v>441</v>
      </c>
      <c r="M1" s="18" t="s">
        <v>170</v>
      </c>
      <c r="N1" s="18" t="s">
        <v>257</v>
      </c>
      <c r="O1" s="18" t="s">
        <v>172</v>
      </c>
      <c r="P1" s="18" t="s">
        <v>174</v>
      </c>
    </row>
    <row r="2" spans="1:28" x14ac:dyDescent="0.2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2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435</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435</v>
      </c>
      <c r="K4" s="25"/>
      <c r="N4" s="25">
        <v>1</v>
      </c>
      <c r="O4" s="25">
        <v>0</v>
      </c>
      <c r="Q4" s="25"/>
      <c r="R4" s="25"/>
      <c r="S4" s="25"/>
      <c r="T4" s="25"/>
      <c r="U4" s="25"/>
      <c r="V4" s="25"/>
      <c r="W4" s="25"/>
      <c r="X4" s="25"/>
      <c r="Y4" s="25"/>
      <c r="Z4" s="25"/>
      <c r="AA4" s="25"/>
      <c r="AB4" s="25"/>
    </row>
    <row r="5" spans="1:28" x14ac:dyDescent="0.2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435</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5" priority="2">
      <formula>AND(COUNTIF(A:A,$A1)&gt;1,$A1&lt;&gt;"")</formula>
    </cfRule>
  </conditionalFormatting>
  <conditionalFormatting sqref="J3:K11">
    <cfRule type="expression" dxfId="34"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D5" sqref="D5"/>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25">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25">
      <c r="A3" s="18" t="s">
        <v>278</v>
      </c>
      <c r="B3" s="18" t="s">
        <v>279</v>
      </c>
      <c r="C3" s="18" t="s">
        <v>280</v>
      </c>
      <c r="D3" s="18" t="s">
        <v>281</v>
      </c>
      <c r="E3" s="18" t="s">
        <v>282</v>
      </c>
      <c r="F3" s="28"/>
      <c r="G3" s="28"/>
      <c r="H3" s="28"/>
      <c r="J3" s="18">
        <v>1.5</v>
      </c>
      <c r="O3" s="18" t="b">
        <v>0</v>
      </c>
    </row>
    <row r="4" spans="1:15" x14ac:dyDescent="0.25">
      <c r="A4" s="18" t="s">
        <v>283</v>
      </c>
      <c r="B4" s="18" t="s">
        <v>279</v>
      </c>
      <c r="C4" s="18" t="s">
        <v>280</v>
      </c>
      <c r="D4" s="18" t="s">
        <v>284</v>
      </c>
      <c r="E4" s="18" t="s">
        <v>285</v>
      </c>
      <c r="F4" s="28"/>
      <c r="G4" s="28" t="b">
        <v>1</v>
      </c>
      <c r="H4" s="28"/>
      <c r="I4" s="18">
        <v>2</v>
      </c>
      <c r="J4" s="18">
        <v>1.5</v>
      </c>
      <c r="O4" s="18" t="b">
        <v>1</v>
      </c>
    </row>
    <row r="5" spans="1:15" x14ac:dyDescent="0.25">
      <c r="A5" s="18" t="s">
        <v>286</v>
      </c>
      <c r="B5" s="18" t="s">
        <v>279</v>
      </c>
      <c r="C5" s="18" t="s">
        <v>280</v>
      </c>
      <c r="D5" s="18" t="s">
        <v>287</v>
      </c>
      <c r="E5" s="18" t="s">
        <v>282</v>
      </c>
      <c r="F5" s="28"/>
      <c r="G5" s="28" t="b">
        <v>1</v>
      </c>
      <c r="H5" s="28"/>
      <c r="J5" s="18">
        <v>1.5</v>
      </c>
      <c r="O5" s="18" t="b">
        <v>0</v>
      </c>
    </row>
    <row r="6" spans="1:15" x14ac:dyDescent="0.25">
      <c r="A6" s="18" t="s">
        <v>288</v>
      </c>
      <c r="B6" s="18" t="s">
        <v>279</v>
      </c>
      <c r="C6" s="18" t="s">
        <v>289</v>
      </c>
      <c r="D6" s="18" t="s">
        <v>290</v>
      </c>
      <c r="E6" s="18" t="s">
        <v>282</v>
      </c>
      <c r="F6" s="28"/>
      <c r="G6" s="28" t="b">
        <v>1</v>
      </c>
      <c r="H6" s="28"/>
      <c r="J6" s="18">
        <v>1.5</v>
      </c>
      <c r="O6" s="18" t="b">
        <v>0</v>
      </c>
    </row>
    <row r="7" spans="1:15" x14ac:dyDescent="0.25">
      <c r="A7" s="18" t="s">
        <v>291</v>
      </c>
      <c r="B7" s="18" t="s">
        <v>279</v>
      </c>
      <c r="C7" s="18" t="s">
        <v>289</v>
      </c>
      <c r="D7" s="18" t="s">
        <v>292</v>
      </c>
      <c r="E7" s="18" t="s">
        <v>285</v>
      </c>
      <c r="F7" s="28"/>
      <c r="G7" s="28" t="b">
        <v>1</v>
      </c>
      <c r="H7" s="28"/>
      <c r="I7" s="18">
        <v>2</v>
      </c>
      <c r="J7" s="18">
        <v>1.5</v>
      </c>
      <c r="O7" s="18" t="b">
        <v>1</v>
      </c>
    </row>
    <row r="8" spans="1:15" x14ac:dyDescent="0.25">
      <c r="A8" s="18" t="s">
        <v>293</v>
      </c>
      <c r="B8" s="18" t="s">
        <v>279</v>
      </c>
      <c r="C8" s="18" t="s">
        <v>289</v>
      </c>
      <c r="D8" s="18" t="s">
        <v>294</v>
      </c>
      <c r="E8" s="18" t="s">
        <v>285</v>
      </c>
      <c r="F8" s="28"/>
      <c r="G8" s="28"/>
      <c r="H8" s="28"/>
      <c r="J8" s="18">
        <v>1.5</v>
      </c>
      <c r="O8" s="18" t="b">
        <v>0</v>
      </c>
    </row>
    <row r="9" spans="1:15" x14ac:dyDescent="0.25">
      <c r="A9" s="18" t="s">
        <v>295</v>
      </c>
      <c r="B9" s="18" t="s">
        <v>279</v>
      </c>
      <c r="C9" s="18" t="s">
        <v>289</v>
      </c>
      <c r="D9" s="18" t="s">
        <v>284</v>
      </c>
      <c r="E9" s="18" t="s">
        <v>285</v>
      </c>
      <c r="F9" s="28"/>
      <c r="G9" s="28" t="b">
        <v>1</v>
      </c>
      <c r="H9" s="28"/>
      <c r="I9" s="18">
        <v>2</v>
      </c>
      <c r="J9" s="18">
        <v>1.5</v>
      </c>
      <c r="O9" s="18" t="b">
        <v>1</v>
      </c>
    </row>
    <row r="10" spans="1:15" x14ac:dyDescent="0.25">
      <c r="A10" s="18" t="s">
        <v>296</v>
      </c>
      <c r="B10" s="18" t="s">
        <v>279</v>
      </c>
      <c r="C10" s="18" t="s">
        <v>289</v>
      </c>
      <c r="D10" s="18" t="s">
        <v>287</v>
      </c>
      <c r="E10" s="18" t="s">
        <v>282</v>
      </c>
      <c r="F10" s="28"/>
      <c r="G10" s="28" t="b">
        <v>1</v>
      </c>
      <c r="H10" s="28"/>
      <c r="J10" s="18">
        <v>1.5</v>
      </c>
      <c r="O10" s="18" t="b">
        <v>0</v>
      </c>
    </row>
    <row r="11" spans="1:15" x14ac:dyDescent="0.25">
      <c r="A11" s="18" t="s">
        <v>297</v>
      </c>
      <c r="B11" s="18" t="s">
        <v>279</v>
      </c>
      <c r="C11" s="18" t="s">
        <v>298</v>
      </c>
      <c r="D11" s="18" t="s">
        <v>290</v>
      </c>
      <c r="E11" s="18" t="s">
        <v>282</v>
      </c>
      <c r="F11" s="28"/>
      <c r="G11" s="28" t="b">
        <v>1</v>
      </c>
      <c r="H11" s="28"/>
      <c r="J11" s="18">
        <v>1.5</v>
      </c>
      <c r="O11" s="18" t="b">
        <v>0</v>
      </c>
    </row>
    <row r="12" spans="1:15" x14ac:dyDescent="0.25">
      <c r="A12" s="18" t="s">
        <v>299</v>
      </c>
      <c r="B12" s="18" t="s">
        <v>279</v>
      </c>
      <c r="C12" s="18" t="s">
        <v>298</v>
      </c>
      <c r="D12" s="18" t="s">
        <v>292</v>
      </c>
      <c r="E12" s="18" t="s">
        <v>285</v>
      </c>
      <c r="F12" s="28"/>
      <c r="G12" s="28" t="b">
        <v>1</v>
      </c>
      <c r="H12" s="28"/>
      <c r="I12" s="18">
        <v>2</v>
      </c>
      <c r="J12" s="18">
        <v>1.5</v>
      </c>
      <c r="O12" s="18" t="b">
        <v>1</v>
      </c>
    </row>
    <row r="13" spans="1:15" x14ac:dyDescent="0.25">
      <c r="A13" s="68" t="s">
        <v>300</v>
      </c>
      <c r="B13" s="68" t="s">
        <v>279</v>
      </c>
      <c r="C13" s="68" t="s">
        <v>298</v>
      </c>
      <c r="D13" s="68" t="s">
        <v>301</v>
      </c>
      <c r="E13" s="68" t="s">
        <v>282</v>
      </c>
      <c r="F13" s="69"/>
      <c r="G13" s="69"/>
      <c r="H13" s="69"/>
      <c r="I13" s="68"/>
      <c r="J13" s="68">
        <v>1.5</v>
      </c>
      <c r="K13" s="68"/>
      <c r="L13" s="68"/>
      <c r="M13" s="68"/>
      <c r="N13" s="68"/>
      <c r="O13" s="68" t="b">
        <v>0</v>
      </c>
    </row>
    <row r="14" spans="1:15" x14ac:dyDescent="0.25">
      <c r="A14" s="18" t="s">
        <v>302</v>
      </c>
      <c r="B14" s="18" t="s">
        <v>303</v>
      </c>
      <c r="C14" s="18" t="s">
        <v>304</v>
      </c>
      <c r="D14" s="18" t="s">
        <v>305</v>
      </c>
      <c r="E14" s="18" t="s">
        <v>306</v>
      </c>
      <c r="F14" s="28"/>
      <c r="G14" s="28" t="b">
        <v>1</v>
      </c>
      <c r="H14" s="28"/>
      <c r="I14" s="18">
        <v>168</v>
      </c>
      <c r="O14" s="18" t="b">
        <v>0</v>
      </c>
    </row>
    <row r="15" spans="1:15" x14ac:dyDescent="0.25">
      <c r="A15" s="18" t="s">
        <v>307</v>
      </c>
      <c r="B15" s="18" t="s">
        <v>303</v>
      </c>
      <c r="C15" s="18" t="str">
        <f ca="1">IF(ISBLANK($C15)=FALSE,_xlfn.CONCAT("owc_",$C15),"")</f>
        <v>owc_MJ1</v>
      </c>
      <c r="D15" s="18" t="s">
        <v>281</v>
      </c>
      <c r="E15" s="18" t="s">
        <v>282</v>
      </c>
      <c r="F15" s="28"/>
      <c r="G15" s="28"/>
      <c r="H15" s="28"/>
      <c r="I15" s="68"/>
      <c r="O15" s="18" t="b">
        <v>0</v>
      </c>
    </row>
    <row r="16" spans="1:15" x14ac:dyDescent="0.2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25">
      <c r="A17" s="18" t="s">
        <v>310</v>
      </c>
      <c r="B17" s="18" t="s">
        <v>303</v>
      </c>
      <c r="C17" s="18" t="str">
        <f ca="1">IF(ISBLANK($C17)=FALSE,_xlfn.CONCAT("owc_",$C17),"")</f>
        <v>owc_MJ1</v>
      </c>
      <c r="D17" s="68" t="s">
        <v>301</v>
      </c>
      <c r="E17" s="18" t="s">
        <v>282</v>
      </c>
      <c r="F17" s="28"/>
      <c r="G17" s="28"/>
      <c r="H17" s="28"/>
      <c r="I17" s="68"/>
      <c r="O17" s="18" t="b">
        <v>0</v>
      </c>
    </row>
    <row r="18" spans="1:15" x14ac:dyDescent="0.25">
      <c r="A18" s="18" t="s">
        <v>311</v>
      </c>
      <c r="B18" s="18" t="s">
        <v>303</v>
      </c>
      <c r="C18" s="18" t="s">
        <v>312</v>
      </c>
      <c r="D18" s="18" t="s">
        <v>313</v>
      </c>
      <c r="E18" s="18" t="s">
        <v>306</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3" priority="49">
      <formula>COUNTIF(A:A,A1)&gt;1</formula>
    </cfRule>
  </conditionalFormatting>
  <conditionalFormatting sqref="A3:O500">
    <cfRule type="expression" dxfId="32" priority="96">
      <formula>$C3&lt;&gt;$C4</formula>
    </cfRule>
  </conditionalFormatting>
  <conditionalFormatting sqref="A13:O13">
    <cfRule type="expression" dxfId="31" priority="29">
      <formula>$C13&lt;&gt;#REF!</formula>
    </cfRule>
  </conditionalFormatting>
  <conditionalFormatting sqref="D17">
    <cfRule type="expression" dxfId="30" priority="1">
      <formula>$C17&lt;&gt;#REF!</formula>
    </cfRule>
  </conditionalFormatting>
  <conditionalFormatting sqref="F3:F496 G19:H496">
    <cfRule type="expression" dxfId="29" priority="15">
      <formula>AND(NOT(ISBLANK($F3)),$F3&gt;$I3)</formula>
    </cfRule>
  </conditionalFormatting>
  <conditionalFormatting sqref="G3:G18">
    <cfRule type="expression" dxfId="26" priority="11">
      <formula>AND(NOT(ISBLANK($G3)),$G3&gt;$I3)</formula>
    </cfRule>
  </conditionalFormatting>
  <conditionalFormatting sqref="H3:H14">
    <cfRule type="expression" dxfId="25" priority="16">
      <formula>AND(NOT(ISBLANK($H3)),$H3&gt;$I3)</formula>
    </cfRule>
  </conditionalFormatting>
  <conditionalFormatting sqref="H15:H17">
    <cfRule type="expression" dxfId="24" priority="30">
      <formula>AND(NOT(ISBLANK($F15)),$F15&gt;$I15)</formula>
    </cfRule>
  </conditionalFormatting>
  <conditionalFormatting sqref="H18">
    <cfRule type="expression" dxfId="23" priority="2">
      <formula>AND(NOT(ISBLANK($H18)),$H18&gt;$I18)</formula>
    </cfRule>
  </conditionalFormatting>
  <conditionalFormatting sqref="I3:I496">
    <cfRule type="expression" dxfId="22" priority="4">
      <formula>AND($O3,$I3&gt;10)</formula>
    </cfRule>
    <cfRule type="expression" dxfId="21" priority="5">
      <formula>OR(IF(AND(ISNUMBER(SEARCH("tow",LOWER($D3))),$E3="transit"),TRUE,FALSE),IF(ISNUMBER(SEARCH("transit",LOWER($D3))),TRUE,FALSE))</formula>
    </cfRule>
  </conditionalFormatting>
  <conditionalFormatting sqref="I15">
    <cfRule type="expression" dxfId="20" priority="9">
      <formula>$C15&lt;&gt;#REF!</formula>
    </cfRule>
  </conditionalFormatting>
  <conditionalFormatting sqref="I17">
    <cfRule type="expression" dxfId="19" priority="6">
      <formula>$C17&lt;&gt;#REF!</formula>
    </cfRule>
  </conditionalFormatting>
  <conditionalFormatting sqref="L3:M496">
    <cfRule type="expression" dxfId="18" priority="14">
      <formula>AND(NOT(ISBLANK($L3)),NOT(ISBLANK($M3)))</formula>
    </cfRule>
  </conditionalFormatting>
  <conditionalFormatting sqref="M3:M13 M15 M17 M19:M496">
    <cfRule type="expression" dxfId="17" priority="133">
      <formula>AND(AND(IFERROR(FIND("ofw",$C3)&gt;0=FALSE,TRUE),IFERROR(FIND("oce",$C3)&gt;0=FALSE,TRUE)),NOT(ISBLANK($A3)))</formula>
    </cfRule>
  </conditionalFormatting>
  <conditionalFormatting sqref="M14">
    <cfRule type="expression" dxfId="16" priority="116">
      <formula>AND(AND(IFERROR(FIND("ofw",$C14)&gt;0=FALSE,TRUE),IFERROR(FIND("oce",$C14)&gt;0=FALSE,TRUE)),NOT(ISBLANK(#REF!)))</formula>
    </cfRule>
  </conditionalFormatting>
  <conditionalFormatting sqref="M16">
    <cfRule type="expression" dxfId="15" priority="142">
      <formula>AND(AND(IFERROR(FIND("ofw",$C16)&gt;0=FALSE,TRUE),IFERROR(FIND("oce",$C16)&gt;0=FALSE,TRUE)),NOT(ISBLANK($A14)))</formula>
    </cfRule>
  </conditionalFormatting>
  <conditionalFormatting sqref="M18">
    <cfRule type="expression" dxfId="14"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7"/>
  <sheetViews>
    <sheetView tabSelected="1" workbookViewId="0">
      <selection activeCell="C17" sqref="A17:C17"/>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314</v>
      </c>
      <c r="B2" t="s">
        <v>315</v>
      </c>
      <c r="C2" s="21">
        <v>54.036999999999999</v>
      </c>
    </row>
    <row r="3" spans="1:3" x14ac:dyDescent="0.25">
      <c r="A3" t="s">
        <v>316</v>
      </c>
      <c r="B3" t="s">
        <v>315</v>
      </c>
      <c r="C3" s="21">
        <v>5.9649999999999999</v>
      </c>
    </row>
    <row r="4" spans="1:3" x14ac:dyDescent="0.25">
      <c r="A4" t="s">
        <v>317</v>
      </c>
      <c r="B4" t="s">
        <v>13</v>
      </c>
      <c r="C4" t="s">
        <v>434</v>
      </c>
    </row>
    <row r="5" spans="1:3" x14ac:dyDescent="0.25">
      <c r="A5" t="s">
        <v>318</v>
      </c>
      <c r="B5" t="s">
        <v>30</v>
      </c>
      <c r="C5" s="21">
        <v>10</v>
      </c>
    </row>
    <row r="6" spans="1:3" x14ac:dyDescent="0.25">
      <c r="A6" t="s">
        <v>319</v>
      </c>
      <c r="B6" t="s">
        <v>30</v>
      </c>
      <c r="C6" s="21">
        <v>2.0000000000000001E-4</v>
      </c>
    </row>
    <row r="7" spans="1:3" x14ac:dyDescent="0.25">
      <c r="A7" t="s">
        <v>320</v>
      </c>
      <c r="B7" t="s">
        <v>321</v>
      </c>
      <c r="C7" s="22">
        <v>5</v>
      </c>
    </row>
    <row r="8" spans="1:3" x14ac:dyDescent="0.25">
      <c r="A8" t="s">
        <v>322</v>
      </c>
      <c r="B8" t="s">
        <v>277</v>
      </c>
      <c r="C8" s="49"/>
    </row>
    <row r="9" spans="1:3" x14ac:dyDescent="0.25">
      <c r="A9" t="s">
        <v>323</v>
      </c>
      <c r="B9" t="s">
        <v>277</v>
      </c>
    </row>
    <row r="10" spans="1:3" x14ac:dyDescent="0.25">
      <c r="A10" t="s">
        <v>324</v>
      </c>
      <c r="B10" t="s">
        <v>277</v>
      </c>
      <c r="C10">
        <v>0.1</v>
      </c>
    </row>
    <row r="11" spans="1:3" x14ac:dyDescent="0.25">
      <c r="A11" t="s">
        <v>325</v>
      </c>
      <c r="B11" t="s">
        <v>277</v>
      </c>
      <c r="C11" s="21">
        <v>4</v>
      </c>
    </row>
    <row r="12" spans="1:3" x14ac:dyDescent="0.25">
      <c r="A12" t="s">
        <v>326</v>
      </c>
      <c r="B12" t="s">
        <v>13</v>
      </c>
      <c r="C12" s="21">
        <v>0.3</v>
      </c>
    </row>
    <row r="13" spans="1:3" x14ac:dyDescent="0.25">
      <c r="A13" t="s">
        <v>327</v>
      </c>
      <c r="B13" t="s">
        <v>321</v>
      </c>
      <c r="C13" s="59"/>
    </row>
    <row r="14" spans="1:3" x14ac:dyDescent="0.25">
      <c r="A14" t="s">
        <v>328</v>
      </c>
      <c r="B14" t="s">
        <v>277</v>
      </c>
      <c r="C14" s="24">
        <v>12</v>
      </c>
    </row>
    <row r="15" spans="1:3" x14ac:dyDescent="0.25">
      <c r="A15" t="s">
        <v>17</v>
      </c>
      <c r="B15" t="s">
        <v>13</v>
      </c>
      <c r="C15" s="17" t="b">
        <v>1</v>
      </c>
    </row>
    <row r="16" spans="1:3" x14ac:dyDescent="0.25">
      <c r="A16" t="s">
        <v>329</v>
      </c>
      <c r="B16" t="s">
        <v>13</v>
      </c>
    </row>
    <row r="17" spans="1:3" x14ac:dyDescent="0.25">
      <c r="A17" t="s">
        <v>448</v>
      </c>
      <c r="B17" t="s">
        <v>13</v>
      </c>
      <c r="C17">
        <v>1</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330</v>
      </c>
      <c r="B2" t="s">
        <v>331</v>
      </c>
      <c r="C2" s="21">
        <v>5</v>
      </c>
    </row>
    <row r="3" spans="1:34" x14ac:dyDescent="0.25">
      <c r="A3" t="s">
        <v>332</v>
      </c>
      <c r="B3" t="s">
        <v>13</v>
      </c>
      <c r="C3" s="24">
        <v>2019</v>
      </c>
    </row>
    <row r="4" spans="1:34" x14ac:dyDescent="0.25">
      <c r="A4" t="s">
        <v>333</v>
      </c>
      <c r="B4" t="s">
        <v>13</v>
      </c>
      <c r="C4" s="24">
        <v>1</v>
      </c>
    </row>
    <row r="5" spans="1:34" x14ac:dyDescent="0.25">
      <c r="A5" t="s">
        <v>334</v>
      </c>
      <c r="B5" t="s">
        <v>13</v>
      </c>
      <c r="C5" s="24">
        <v>50</v>
      </c>
    </row>
    <row r="6" spans="1:34" x14ac:dyDescent="0.25">
      <c r="A6" t="s">
        <v>335</v>
      </c>
      <c r="B6" t="s">
        <v>13</v>
      </c>
      <c r="C6" s="24">
        <v>10</v>
      </c>
    </row>
    <row r="7" spans="1:34" x14ac:dyDescent="0.25">
      <c r="A7" t="s">
        <v>336</v>
      </c>
      <c r="B7" t="s">
        <v>13</v>
      </c>
      <c r="C7" s="24">
        <v>90</v>
      </c>
    </row>
    <row r="8" spans="1:34" x14ac:dyDescent="0.25">
      <c r="A8" t="s">
        <v>338</v>
      </c>
      <c r="B8" t="s">
        <v>13</v>
      </c>
      <c r="C8" s="24">
        <v>28</v>
      </c>
    </row>
    <row r="9" spans="1:34" x14ac:dyDescent="0.25">
      <c r="A9" t="s">
        <v>339</v>
      </c>
      <c r="B9" t="s">
        <v>331</v>
      </c>
      <c r="C9" s="24">
        <v>1</v>
      </c>
    </row>
    <row r="10" spans="1:34" x14ac:dyDescent="0.25">
      <c r="A10" t="s">
        <v>340</v>
      </c>
      <c r="B10" t="s">
        <v>331</v>
      </c>
      <c r="C10" s="24">
        <v>0</v>
      </c>
    </row>
    <row r="11" spans="1:34" x14ac:dyDescent="0.25">
      <c r="A11" t="s">
        <v>341</v>
      </c>
      <c r="B11" t="s">
        <v>13</v>
      </c>
      <c r="C11" s="22">
        <v>2</v>
      </c>
    </row>
    <row r="12" spans="1:34" x14ac:dyDescent="0.2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O8" sqref="O8"/>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346</v>
      </c>
      <c r="B1" t="s">
        <v>347</v>
      </c>
      <c r="C1" t="s">
        <v>348</v>
      </c>
      <c r="D1" t="s">
        <v>349</v>
      </c>
      <c r="E1" t="s">
        <v>350</v>
      </c>
      <c r="F1" t="s">
        <v>351</v>
      </c>
      <c r="G1" t="s">
        <v>352</v>
      </c>
      <c r="H1" t="s">
        <v>353</v>
      </c>
      <c r="I1" t="s">
        <v>354</v>
      </c>
      <c r="J1" t="s">
        <v>355</v>
      </c>
      <c r="K1" t="s">
        <v>356</v>
      </c>
      <c r="L1" t="s">
        <v>357</v>
      </c>
      <c r="M1" t="s">
        <v>358</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359</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360</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F3" sqref="F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150</v>
      </c>
      <c r="C1" s="80" t="s">
        <v>361</v>
      </c>
      <c r="D1" s="80" t="s">
        <v>362</v>
      </c>
      <c r="E1" s="80" t="s">
        <v>363</v>
      </c>
      <c r="F1" s="81" t="s">
        <v>364</v>
      </c>
      <c r="G1" s="80" t="s">
        <v>365</v>
      </c>
      <c r="H1" s="80" t="s">
        <v>366</v>
      </c>
      <c r="I1" s="80" t="s">
        <v>367</v>
      </c>
      <c r="J1" s="80" t="s">
        <v>442</v>
      </c>
      <c r="K1" s="80" t="s">
        <v>368</v>
      </c>
      <c r="L1" s="80" t="s">
        <v>173</v>
      </c>
      <c r="M1" s="80" t="s">
        <v>369</v>
      </c>
      <c r="N1" s="80" t="s">
        <v>370</v>
      </c>
      <c r="O1" s="80" t="s">
        <v>371</v>
      </c>
      <c r="P1" s="80" t="s">
        <v>372</v>
      </c>
    </row>
    <row r="2" spans="1:16" x14ac:dyDescent="0.25">
      <c r="A2" t="s">
        <v>13</v>
      </c>
      <c r="B2" s="18" t="s">
        <v>13</v>
      </c>
      <c r="C2" s="18" t="s">
        <v>13</v>
      </c>
      <c r="D2" s="18" t="s">
        <v>373</v>
      </c>
      <c r="E2" s="18" t="s">
        <v>13</v>
      </c>
      <c r="F2" s="13" t="s">
        <v>13</v>
      </c>
      <c r="G2" s="18" t="s">
        <v>13</v>
      </c>
      <c r="H2" s="18" t="s">
        <v>13</v>
      </c>
      <c r="I2" t="s">
        <v>13</v>
      </c>
      <c r="J2" s="79" t="s">
        <v>13</v>
      </c>
      <c r="K2" s="18" t="s">
        <v>277</v>
      </c>
      <c r="L2" s="18" t="s">
        <v>13</v>
      </c>
      <c r="M2" s="18" t="s">
        <v>13</v>
      </c>
      <c r="N2" s="18" t="s">
        <v>13</v>
      </c>
      <c r="O2" s="50" t="s">
        <v>13</v>
      </c>
      <c r="P2" s="18" t="s">
        <v>13</v>
      </c>
    </row>
    <row r="3" spans="1:16" x14ac:dyDescent="0.25">
      <c r="A3" s="70" t="s">
        <v>374</v>
      </c>
      <c r="B3" s="62" t="s">
        <v>375</v>
      </c>
      <c r="C3" s="19">
        <v>1</v>
      </c>
      <c r="D3" s="19">
        <v>0.34</v>
      </c>
      <c r="E3" s="20" t="s">
        <v>376</v>
      </c>
      <c r="F3" s="13" t="s">
        <v>185</v>
      </c>
      <c r="G3" s="20" t="s">
        <v>377</v>
      </c>
      <c r="H3" s="20" t="s">
        <v>378</v>
      </c>
      <c r="I3" s="21"/>
      <c r="K3" s="30"/>
      <c r="L3" s="30">
        <v>100</v>
      </c>
      <c r="M3" s="32"/>
      <c r="N3" s="32" t="b">
        <v>1</v>
      </c>
      <c r="O3">
        <v>100</v>
      </c>
      <c r="P3" s="32"/>
    </row>
    <row r="4" spans="1:16" ht="15.75" customHeight="1" x14ac:dyDescent="0.25">
      <c r="A4" s="70" t="s">
        <v>379</v>
      </c>
      <c r="B4" s="71" t="s">
        <v>380</v>
      </c>
      <c r="C4" s="19">
        <v>1</v>
      </c>
      <c r="D4" s="19">
        <v>0.01</v>
      </c>
      <c r="E4" s="20" t="s">
        <v>376</v>
      </c>
      <c r="F4" s="13" t="s">
        <v>185</v>
      </c>
      <c r="G4" s="20" t="s">
        <v>381</v>
      </c>
      <c r="H4" s="20" t="s">
        <v>382</v>
      </c>
      <c r="I4" s="21"/>
      <c r="K4" s="30">
        <v>72</v>
      </c>
      <c r="L4" s="30">
        <v>1000</v>
      </c>
      <c r="M4" s="32"/>
      <c r="N4" s="32" t="b">
        <v>1</v>
      </c>
      <c r="O4">
        <v>100</v>
      </c>
      <c r="P4" s="32"/>
    </row>
    <row r="5" spans="1:16" x14ac:dyDescent="0.25">
      <c r="A5" s="70" t="s">
        <v>383</v>
      </c>
      <c r="B5" s="62" t="s">
        <v>384</v>
      </c>
      <c r="C5" s="19">
        <v>1</v>
      </c>
      <c r="D5" s="19">
        <v>0.3</v>
      </c>
      <c r="E5" s="20" t="s">
        <v>376</v>
      </c>
      <c r="F5" s="44" t="s">
        <v>185</v>
      </c>
      <c r="G5" s="20" t="s">
        <v>377</v>
      </c>
      <c r="H5" s="20" t="s">
        <v>385</v>
      </c>
      <c r="I5" s="21"/>
      <c r="K5" s="30"/>
      <c r="L5" s="30">
        <v>200</v>
      </c>
      <c r="M5" s="32"/>
      <c r="N5" s="32" t="b">
        <v>1</v>
      </c>
      <c r="O5">
        <v>100</v>
      </c>
      <c r="P5" s="32"/>
    </row>
    <row r="6" spans="1:16" x14ac:dyDescent="0.25">
      <c r="A6" s="70" t="s">
        <v>386</v>
      </c>
      <c r="B6" s="62" t="s">
        <v>387</v>
      </c>
      <c r="C6" s="19">
        <v>1</v>
      </c>
      <c r="D6" s="19">
        <v>0.1</v>
      </c>
      <c r="E6" s="20" t="s">
        <v>443</v>
      </c>
      <c r="F6" s="44" t="s">
        <v>185</v>
      </c>
      <c r="G6" s="20" t="s">
        <v>381</v>
      </c>
      <c r="H6" s="20" t="s">
        <v>304</v>
      </c>
      <c r="I6" s="21"/>
      <c r="K6" s="30">
        <v>72</v>
      </c>
      <c r="L6" s="30">
        <v>2000</v>
      </c>
      <c r="M6" s="32"/>
      <c r="N6" s="32" t="b">
        <v>1</v>
      </c>
      <c r="O6">
        <v>100</v>
      </c>
      <c r="P6" s="32"/>
    </row>
    <row r="7" spans="1:16" x14ac:dyDescent="0.25">
      <c r="A7" s="70" t="s">
        <v>388</v>
      </c>
      <c r="B7" s="62" t="s">
        <v>389</v>
      </c>
      <c r="C7" s="19">
        <v>1</v>
      </c>
      <c r="D7" s="19">
        <v>0.3</v>
      </c>
      <c r="E7" s="20" t="s">
        <v>376</v>
      </c>
      <c r="F7" s="13" t="s">
        <v>185</v>
      </c>
      <c r="G7" s="20" t="s">
        <v>377</v>
      </c>
      <c r="H7" s="20" t="s">
        <v>390</v>
      </c>
      <c r="I7" s="21"/>
      <c r="K7" s="30"/>
      <c r="L7" s="30">
        <v>300</v>
      </c>
      <c r="M7" s="32"/>
      <c r="N7" s="32" t="b">
        <v>1</v>
      </c>
      <c r="O7">
        <v>100</v>
      </c>
      <c r="P7" s="32"/>
    </row>
    <row r="8" spans="1:16" x14ac:dyDescent="0.25">
      <c r="A8" s="70" t="s">
        <v>391</v>
      </c>
      <c r="B8" s="62" t="s">
        <v>392</v>
      </c>
      <c r="C8" s="19">
        <v>1</v>
      </c>
      <c r="D8" s="19">
        <v>0.1</v>
      </c>
      <c r="E8" s="20" t="s">
        <v>376</v>
      </c>
      <c r="F8" s="13" t="s">
        <v>185</v>
      </c>
      <c r="G8" s="20" t="s">
        <v>381</v>
      </c>
      <c r="H8" s="20" t="s">
        <v>312</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10">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4:F1048576" xr:uid="{BAD3AD25-E462-4275-A962-70E6823341A7}">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F3" xr:uid="{73A7B6D3-C59C-477D-B960-194B5D5FC295}">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393</v>
      </c>
      <c r="B2" t="s">
        <v>394</v>
      </c>
      <c r="C2" s="22">
        <v>390</v>
      </c>
    </row>
    <row r="3" spans="1:3" x14ac:dyDescent="0.25">
      <c r="A3" t="s">
        <v>395</v>
      </c>
      <c r="B3" t="s">
        <v>394</v>
      </c>
      <c r="C3" s="22">
        <v>730</v>
      </c>
    </row>
    <row r="4" spans="1:3" x14ac:dyDescent="0.25">
      <c r="A4" t="s">
        <v>396</v>
      </c>
      <c r="B4" t="s">
        <v>394</v>
      </c>
      <c r="C4" s="22">
        <v>700</v>
      </c>
    </row>
    <row r="5" spans="1:3" x14ac:dyDescent="0.25">
      <c r="A5" t="s">
        <v>397</v>
      </c>
      <c r="B5" t="s">
        <v>337</v>
      </c>
      <c r="C5" s="22">
        <v>1500</v>
      </c>
    </row>
    <row r="6" spans="1:3" x14ac:dyDescent="0.25">
      <c r="A6" t="s">
        <v>398</v>
      </c>
      <c r="B6" t="s">
        <v>13</v>
      </c>
      <c r="C6" s="48" t="b">
        <v>0</v>
      </c>
    </row>
    <row r="7" spans="1:3" x14ac:dyDescent="0.25">
      <c r="A7" t="s">
        <v>399</v>
      </c>
      <c r="B7" t="s">
        <v>400</v>
      </c>
      <c r="C7" s="24">
        <v>30</v>
      </c>
    </row>
    <row r="8" spans="1:3" x14ac:dyDescent="0.25">
      <c r="A8" t="s">
        <v>401</v>
      </c>
      <c r="B8" t="s">
        <v>337</v>
      </c>
    </row>
    <row r="9" spans="1:3" x14ac:dyDescent="0.25">
      <c r="A9" t="s">
        <v>402</v>
      </c>
      <c r="B9" t="s">
        <v>403</v>
      </c>
      <c r="C9">
        <v>97</v>
      </c>
    </row>
    <row r="10" spans="1:3" x14ac:dyDescent="0.25">
      <c r="A10" t="s">
        <v>404</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405</v>
      </c>
      <c r="B1" t="s">
        <v>406</v>
      </c>
      <c r="C1" t="s">
        <v>407</v>
      </c>
      <c r="D1" t="s">
        <v>408</v>
      </c>
    </row>
    <row r="2" spans="1:4" x14ac:dyDescent="0.25">
      <c r="A2" t="s">
        <v>100</v>
      </c>
      <c r="B2" t="s">
        <v>409</v>
      </c>
      <c r="C2" s="1">
        <f>AVERAGE(2984,16000,4120,9000,9000)</f>
        <v>8220.7999999999993</v>
      </c>
      <c r="D2">
        <f>210</f>
        <v>210</v>
      </c>
    </row>
    <row r="3" spans="1:4" x14ac:dyDescent="0.25">
      <c r="A3" t="s">
        <v>410</v>
      </c>
      <c r="B3" t="s">
        <v>409</v>
      </c>
      <c r="C3" s="1">
        <f>AVERAGE(7883.625,10167,13440,28800,10167)</f>
        <v>14091.525</v>
      </c>
      <c r="D3">
        <f>210</f>
        <v>210</v>
      </c>
    </row>
    <row r="4" spans="1:4" x14ac:dyDescent="0.25">
      <c r="A4" t="s">
        <v>411</v>
      </c>
      <c r="B4" t="s">
        <v>409</v>
      </c>
      <c r="C4">
        <v>13360</v>
      </c>
      <c r="D4">
        <f>210</f>
        <v>210</v>
      </c>
    </row>
    <row r="5" spans="1:4" x14ac:dyDescent="0.25">
      <c r="A5" t="s">
        <v>104</v>
      </c>
      <c r="B5" t="s">
        <v>105</v>
      </c>
      <c r="C5" s="1">
        <f>AVERAGE(808.83,2058.42,1066.24,1790)</f>
        <v>1430.8724999999999</v>
      </c>
      <c r="D5">
        <f>210</f>
        <v>210</v>
      </c>
    </row>
    <row r="6" spans="1:4" x14ac:dyDescent="0.25">
      <c r="A6" t="s">
        <v>412</v>
      </c>
      <c r="B6" t="s">
        <v>409</v>
      </c>
      <c r="C6" s="1">
        <f>AVERAGE(736,8826,27300)</f>
        <v>12287.333333333334</v>
      </c>
      <c r="D6">
        <f>210</f>
        <v>210</v>
      </c>
    </row>
    <row r="7" spans="1:4" x14ac:dyDescent="0.25">
      <c r="A7" t="s">
        <v>102</v>
      </c>
      <c r="B7" t="s">
        <v>409</v>
      </c>
      <c r="C7" s="1">
        <f>AVERAGE(14390,5440,1250)</f>
        <v>7026.666666666667</v>
      </c>
      <c r="D7">
        <f>210</f>
        <v>210</v>
      </c>
    </row>
    <row r="8" spans="1:4" x14ac:dyDescent="0.25">
      <c r="A8" t="s">
        <v>413</v>
      </c>
      <c r="B8" t="s">
        <v>409</v>
      </c>
      <c r="C8" s="1">
        <f>AVERAGE(1783,662.5,3495,442)</f>
        <v>1595.625</v>
      </c>
      <c r="D8">
        <f>210</f>
        <v>210</v>
      </c>
    </row>
    <row r="9" spans="1:4" x14ac:dyDescent="0.25">
      <c r="A9" t="s">
        <v>414</v>
      </c>
      <c r="B9" t="s">
        <v>409</v>
      </c>
      <c r="C9" s="1">
        <f>AVERAGE(2400,4800,13400,4800)</f>
        <v>6350</v>
      </c>
      <c r="D9">
        <f>210</f>
        <v>210</v>
      </c>
    </row>
    <row r="10" spans="1:4" x14ac:dyDescent="0.25">
      <c r="A10" t="s">
        <v>98</v>
      </c>
      <c r="B10" t="s">
        <v>105</v>
      </c>
      <c r="C10" s="1">
        <f>AVERAGE(805.5,1862.345,2316.2,881)</f>
        <v>1466.26125</v>
      </c>
      <c r="D10">
        <f>210</f>
        <v>210</v>
      </c>
    </row>
    <row r="11" spans="1:4" x14ac:dyDescent="0.25">
      <c r="A11" t="s">
        <v>415</v>
      </c>
      <c r="B11" t="s">
        <v>409</v>
      </c>
      <c r="C11" s="1">
        <f>1413</f>
        <v>1413</v>
      </c>
      <c r="D11">
        <f>210</f>
        <v>210</v>
      </c>
    </row>
    <row r="12" spans="1:4" x14ac:dyDescent="0.25">
      <c r="A12" t="s">
        <v>416</v>
      </c>
      <c r="B12" t="s">
        <v>409</v>
      </c>
      <c r="C12" s="1">
        <f>AVERAGE(11380,20477.5,930,21125)</f>
        <v>13478.125</v>
      </c>
      <c r="D12">
        <f>210</f>
        <v>210</v>
      </c>
    </row>
    <row r="13" spans="1:4" x14ac:dyDescent="0.25">
      <c r="A13" t="s">
        <v>417</v>
      </c>
      <c r="B13" t="s">
        <v>409</v>
      </c>
      <c r="C13" s="1">
        <f>AVERAGE(4639.87,2868,7060,6905.9)</f>
        <v>5368.4424999999992</v>
      </c>
      <c r="D13">
        <f>210</f>
        <v>210</v>
      </c>
    </row>
    <row r="14" spans="1:4" x14ac:dyDescent="0.25">
      <c r="A14" t="s">
        <v>418</v>
      </c>
      <c r="B14" t="s">
        <v>409</v>
      </c>
      <c r="C14" s="1">
        <f>AVERAGE(588.24,257.355,147.797)</f>
        <v>331.13066666666668</v>
      </c>
      <c r="D14">
        <f>210</f>
        <v>210</v>
      </c>
    </row>
    <row r="15" spans="1:4" x14ac:dyDescent="0.25">
      <c r="A15" t="s">
        <v>419</v>
      </c>
      <c r="B15" t="s">
        <v>409</v>
      </c>
      <c r="C15" s="1">
        <f>AVERAGE(15250,5386,9022,6334)</f>
        <v>8998</v>
      </c>
      <c r="D15">
        <f>210</f>
        <v>210</v>
      </c>
    </row>
    <row r="16" spans="1:4" x14ac:dyDescent="0.25">
      <c r="A16" t="s">
        <v>420</v>
      </c>
      <c r="B16" t="s">
        <v>421</v>
      </c>
      <c r="C16" s="1">
        <f>AVERAGE(4665,9505,21200,6320,1470,5600,736,18409,3340,11150)</f>
        <v>8239.5</v>
      </c>
      <c r="D16">
        <f>210</f>
        <v>210</v>
      </c>
    </row>
    <row r="17" spans="1:4" x14ac:dyDescent="0.25">
      <c r="A17" t="s">
        <v>422</v>
      </c>
      <c r="B17" t="s">
        <v>409</v>
      </c>
      <c r="C17" s="1">
        <f>AVERAGE(1000,7040,4207)</f>
        <v>4082.3333333333335</v>
      </c>
      <c r="D17">
        <f>210</f>
        <v>210</v>
      </c>
    </row>
    <row r="18" spans="1:4" x14ac:dyDescent="0.25">
      <c r="A18" t="s">
        <v>96</v>
      </c>
      <c r="B18" t="s">
        <v>421</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423</v>
      </c>
      <c r="B1" t="s">
        <v>424</v>
      </c>
    </row>
    <row r="2" spans="1:2" x14ac:dyDescent="0.25">
      <c r="A2" t="s">
        <v>282</v>
      </c>
      <c r="B2">
        <v>0.8</v>
      </c>
    </row>
    <row r="3" spans="1:2" x14ac:dyDescent="0.25">
      <c r="A3" t="s">
        <v>425</v>
      </c>
      <c r="B3">
        <v>0.4</v>
      </c>
    </row>
    <row r="4" spans="1:2" x14ac:dyDescent="0.25">
      <c r="A4" t="s">
        <v>426</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427</v>
      </c>
      <c r="B1" t="s">
        <v>428</v>
      </c>
    </row>
    <row r="2" spans="1:2" x14ac:dyDescent="0.25">
      <c r="A2" t="s">
        <v>429</v>
      </c>
      <c r="B2">
        <v>1010</v>
      </c>
    </row>
    <row r="3" spans="1:2" x14ac:dyDescent="0.25">
      <c r="A3" t="s">
        <v>430</v>
      </c>
      <c r="B3">
        <v>855</v>
      </c>
    </row>
    <row r="4" spans="1:2" x14ac:dyDescent="0.25">
      <c r="A4" t="s">
        <v>431</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2026-06-08T15:32:44Z</dcterms:modified>
  <cp:category/>
  <cp:contentStatus/>
</cp:coreProperties>
</file>