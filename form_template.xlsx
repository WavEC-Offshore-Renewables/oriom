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66925"/>
  <xr:revisionPtr revIDLastSave="0" documentId="13_ncr:1_{4364F6A8-CDC6-473B-AF4D-35CE3F1A28B3}" xr6:coauthVersionLast="47" xr6:coauthVersionMax="47" xr10:uidLastSave="{00000000-0000-0000-0000-000000000000}"/>
  <bookViews>
    <workbookView xWindow="-120" yWindow="-120" windowWidth="29040" windowHeight="15720" tabRatio="828" firstSheet="6" activeTab="14"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l="1"/>
  <c r="C17" i="21"/>
  <c r="C15"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<sst xmlns="http://schemas.openxmlformats.org/spreadsheetml/2006/main" count="1462" uniqueCount="456">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</sst>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
    <numFmt numFmtId="166"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5"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5" fontId="0" fillId="7" borderId="0" xfId="0" applyNumberFormat="1" applyFill="1"/>
    <xf numFmtId="166"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5"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5"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5"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5"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5"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5" fontId="11" fillId="0" borderId="0" xfId="0" applyNumberFormat="1" applyFont="1" applyAlignment="1">
      <alignment horizontal="right" indent="1"/>
    </xf>
    <xf numFmtId="0" fontId="0" fillId="0" borderId="0" xfId="0" applyAlignment="1">
      <alignment vertical="center" wrapText="1"/>
    </xf>
    <xf numFmtId="164"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5"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7">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444</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6" priority="1">
      <formula>AND(ISBLANK($C$3),$C$5&lt;&gt;FALSE)</formula>
    </cfRule>
    <cfRule type="expression" dxfId="65"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438</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431</v>
      </c>
      <c r="B14" t="s">
        <v>13</v>
      </c>
    </row>
    <row r="15" spans="1:3" x14ac:dyDescent="0.25">
      <c r="A15" s="49" t="s">
        <v>436</v>
      </c>
      <c r="B15" t="s">
        <v>13</v>
      </c>
    </row>
    <row r="16" spans="1:3" x14ac:dyDescent="0.25">
      <c r="A16" s="49" t="s">
        <v>437</v>
      </c>
      <c r="B16" t="s">
        <v>13</v>
      </c>
    </row>
  </sheetData>
  <conditionalFormatting sqref="C9:C10">
    <cfRule type="expression" dxfId="64"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443</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431</v>
      </c>
      <c r="B12" t="s">
        <v>13</v>
      </c>
      <c r="C12" s="25"/>
    </row>
  </sheetData>
  <conditionalFormatting sqref="C7">
    <cfRule type="expression" dxfId="63"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431</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N6" sqref="N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62" priority="2">
      <formula>AND(ISBLANK($H$3:$H$1048576), NOT(ISBLANK($I$3:$I$1048576)))</formula>
    </cfRule>
  </conditionalFormatting>
  <conditionalFormatting sqref="I4">
    <cfRule type="expression" dxfId="61"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X1048554" activePane="bottomRight" state="frozen"/>
      <selection pane="topRight" activeCell="C1" sqref="C1"/>
      <selection pane="bottomLeft" activeCell="A3" sqref="A3"/>
      <selection pane="bottomRight" activeCell="AE1048556" sqref="AE104855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60" priority="1">
      <formula>AND(COUNTIF(A:A,$A1)&gt;1,$A1&lt;&gt;"")</formula>
    </cfRule>
  </conditionalFormatting>
  <conditionalFormatting sqref="D3:D500 L3:L500">
    <cfRule type="expression" dxfId="59" priority="11">
      <formula>AND(NOT(ISBLANK(D3)),D3=$A3)</formula>
    </cfRule>
  </conditionalFormatting>
  <conditionalFormatting sqref="H3:J500">
    <cfRule type="expression" dxfId="58" priority="79">
      <formula>AND(NOT(ISBLANK($B3)),$H3=0,$I3=0,$J3=0)</formula>
    </cfRule>
  </conditionalFormatting>
  <conditionalFormatting sqref="O3:Q500">
    <cfRule type="expression" dxfId="57" priority="12">
      <formula>AND(NOT(ISBLANK($O3)),NOT(ISBLANK($Q3)))</formula>
    </cfRule>
  </conditionalFormatting>
  <conditionalFormatting sqref="R3:R48">
    <cfRule type="expression" dxfId="56" priority="5">
      <formula>AND(NOT(ISBLANK(R3)),R3=$A3)</formula>
    </cfRule>
  </conditionalFormatting>
  <conditionalFormatting sqref="AD1:AD1048576">
    <cfRule type="expression" dxfId="55" priority="7">
      <formula>AND(NOT(ISBLANK($B1)),IF(AND(NOT(ISBLANK($A1)),ISBLANK(AD1)),TRUE,FALSE))</formula>
    </cfRule>
  </conditionalFormatting>
  <conditionalFormatting sqref="AE3:AE7">
    <cfRule type="expression" dxfId="54"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3" priority="5">
      <formula>AND(COUNTIF(A:A,$A1)&gt;1,$A1&lt;&gt;"")</formula>
    </cfRule>
  </conditionalFormatting>
  <conditionalFormatting sqref="D3:E496">
    <cfRule type="expression" dxfId="52" priority="7">
      <formula>AND(NOT(ISBLANK(D3)),D3=$A3)</formula>
    </cfRule>
  </conditionalFormatting>
  <conditionalFormatting sqref="H3:J496">
    <cfRule type="expression" dxfId="51"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50" priority="2">
      <formula>AND(COUNTIF(A:A,$A1)&gt;1,$A1&lt;&gt;"")</formula>
    </cfRule>
  </conditionalFormatting>
  <conditionalFormatting sqref="G1:G1048576">
    <cfRule type="expression" dxfId="49" priority="3">
      <formula>AND(NOT(ISBLANK($B1)),#REF!=0,$G1=0,#REF!=0)</formula>
    </cfRule>
  </conditionalFormatting>
  <conditionalFormatting sqref="K3:K8">
    <cfRule type="expression" dxfId="48"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7" priority="9">
      <formula>AND(COUNTIF(A:A,$A1)&gt;1,$A1&lt;&gt;"")</formula>
    </cfRule>
  </conditionalFormatting>
  <conditionalFormatting sqref="D6:F492">
    <cfRule type="expression" dxfId="46" priority="5">
      <formula>AND(NOT(ISBLANK($B6)),COUNTBLANK($D6:$F6)&lt;2)</formula>
    </cfRule>
    <cfRule type="expression" dxfId="45" priority="6">
      <formula>AND(NOT(ISBLANK($B6)),COUNTBLANK($D6:$F6)&gt;2)</formula>
    </cfRule>
  </conditionalFormatting>
  <conditionalFormatting sqref="J3:K492">
    <cfRule type="expression" dxfId="44" priority="2">
      <formula>AND(NOT(ISBLANK($K3)),NOT(ISBLANK($L3)))</formula>
    </cfRule>
  </conditionalFormatting>
  <conditionalFormatting sqref="Z3:Z492">
    <cfRule type="expression" dxfId="43"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mc:AlternateContent xmlns:x12ac="http://schemas.microsoft.com/office/spreadsheetml/2011/1/ac" xmlns:mc="http://schemas.openxmlformats.org/markup-compatibility/2006">
        <mc:Choice Requires="x12ac">
          <x12ac:list>exp_cable, exp_cable_island, dyn_cable-sub, array_cable, cable_cb, cable_transf, cable_switch,     cable_inv, string_cable, substation, mv_transformer, circuit_braker, switcher, inverter, device," hub, shore"</x12ac:list>
        </mc:Choice>
        <mc:Fallback>
          <formula1>"exp_cable, exp_cable_island, dyn_cable-sub, array_cable, cable_cb, cable_transf, cable_switch,     cable_inv, string_cable, substation, mv_transformer, circuit_braker, switcher, inverter, device, hub, shore"</formula1>
        </mc:Fallback>
      </mc:AlternateContent>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42" priority="9">
      <formula>COUNTIF(B:B,$B1)&gt;1</formula>
    </cfRule>
  </conditionalFormatting>
  <conditionalFormatting sqref="B6:B498">
    <cfRule type="expression" dxfId="41"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0" priority="2">
      <formula>AND(COUNTIF(A:A,$A1)&gt;1,$A1&lt;&gt;"")</formula>
    </cfRule>
  </conditionalFormatting>
  <conditionalFormatting sqref="J3:K11">
    <cfRule type="expression" dxfId="39"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28"/>
      <c r="G13" s="69"/>
      <c r="H13" s="28"/>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8" priority="56">
      <formula>COUNTIF(A:A,A1)&gt;1</formula>
    </cfRule>
  </conditionalFormatting>
  <conditionalFormatting sqref="A3:O500">
    <cfRule type="expression" dxfId="37" priority="103">
      <formula>$C3&lt;&gt;$C4</formula>
    </cfRule>
  </conditionalFormatting>
  <conditionalFormatting sqref="A13:O13">
    <cfRule type="expression" dxfId="36" priority="36">
      <formula>$C13&lt;&gt;#REF!</formula>
    </cfRule>
  </conditionalFormatting>
  <conditionalFormatting sqref="D17">
    <cfRule type="expression" dxfId="35" priority="8">
      <formula>$C17&lt;&gt;#REF!</formula>
    </cfRule>
  </conditionalFormatting>
  <conditionalFormatting sqref="F3:F496">
    <cfRule type="expression" dxfId="33" priority="5">
      <formula>AND(NOT(ISBLANK($F3)),$F3&gt;$I3)</formula>
    </cfRule>
  </conditionalFormatting>
  <conditionalFormatting sqref="G3:G18">
    <cfRule type="expression" dxfId="29" priority="18">
      <formula>AND(NOT(ISBLANK($G3)),$G3&gt;$I3)</formula>
    </cfRule>
  </conditionalFormatting>
  <conditionalFormatting sqref="G19:H496">
    <cfRule type="expression" dxfId="28" priority="22">
      <formula>AND(NOT(ISBLANK($F19)),$F19&gt;$I19)</formula>
    </cfRule>
  </conditionalFormatting>
  <conditionalFormatting sqref="H3:H14">
    <cfRule type="expression" dxfId="26" priority="23">
      <formula>AND(NOT(ISBLANK($H3)),$H3&gt;$I3)</formula>
    </cfRule>
  </conditionalFormatting>
  <conditionalFormatting sqref="H3:H17">
    <cfRule type="expression" dxfId="25" priority="1">
      <formula>AND(NOT(ISBLANK($F3)),$F3&gt;$I3)</formula>
    </cfRule>
  </conditionalFormatting>
  <conditionalFormatting sqref="H18">
    <cfRule type="expression" dxfId="23" priority="9">
      <formula>AND(NOT(ISBLANK($H18)),$H18&gt;$I18)</formula>
    </cfRule>
  </conditionalFormatting>
  <conditionalFormatting sqref="I3:I496">
    <cfRule type="expression" dxfId="22" priority="11">
      <formula>AND($O3,$I3&gt;10)</formula>
    </cfRule>
    <cfRule type="expression" dxfId="21" priority="12">
      <formula>OR(IF(AND(ISNUMBER(SEARCH("tow",LOWER($D3))),$E3="transit"),TRUE,FALSE),IF(ISNUMBER(SEARCH("transit",LOWER($D3))),TRUE,FALSE))</formula>
    </cfRule>
  </conditionalFormatting>
  <conditionalFormatting sqref="I15">
    <cfRule type="expression" dxfId="20" priority="16">
      <formula>$C15&lt;&gt;#REF!</formula>
    </cfRule>
  </conditionalFormatting>
  <conditionalFormatting sqref="I17">
    <cfRule type="expression" dxfId="19" priority="13">
      <formula>$C17&lt;&gt;#REF!</formula>
    </cfRule>
  </conditionalFormatting>
  <conditionalFormatting sqref="L3:M496">
    <cfRule type="expression" dxfId="18" priority="21">
      <formula>AND(NOT(ISBLANK($L3)),NOT(ISBLANK($M3)))</formula>
    </cfRule>
  </conditionalFormatting>
  <conditionalFormatting sqref="M3:M13 M15 M17 M19:M496">
    <cfRule type="expression" dxfId="17" priority="140">
      <formula>AND(AND(IFERROR(FIND("ofw",$C3)&gt;0=FALSE,TRUE),IFERROR(FIND("oce",$C3)&gt;0=FALSE,TRUE)),NOT(ISBLANK($A3)))</formula>
    </cfRule>
  </conditionalFormatting>
  <conditionalFormatting sqref="M14">
    <cfRule type="expression" dxfId="16" priority="123">
      <formula>AND(AND(IFERROR(FIND("ofw",$C14)&gt;0=FALSE,TRUE),IFERROR(FIND("oce",$C14)&gt;0=FALSE,TRUE)),NOT(ISBLANK(#REF!)))</formula>
    </cfRule>
  </conditionalFormatting>
  <conditionalFormatting sqref="M16">
    <cfRule type="expression" dxfId="15" priority="149">
      <formula>AND(AND(IFERROR(FIND("ofw",$C16)&gt;0=FALSE,TRUE),IFERROR(FIND("oce",$C16)&gt;0=FALSE,TRUE)),NOT(ISBLANK($A14)))</formula>
    </cfRule>
  </conditionalFormatting>
  <conditionalFormatting sqref="M18">
    <cfRule type="expression" dxfId="14"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tabSelected="1" workbookViewId="0">
      <selection activeCell="F15" sqref="F15"/>
    </sheetView>
  </sheetViews>
  <sheetFormatPr defaultRowHeight="15" x14ac:dyDescent="0.25"/>
  <cols>
    <col min="1" max="1" width="43.140625" bestFit="1"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432</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455</v>
      </c>
      <c r="B15" t="s">
        <v>13</v>
      </c>
      <c r="C15">
        <v>0</v>
      </c>
    </row>
    <row r="16" spans="1:3" x14ac:dyDescent="0.25">
      <c r="A16" t="s">
        <v>17</v>
      </c>
      <c r="B16" t="s">
        <v>13</v>
      </c>
      <c r="C16" s="17" t="b">
        <v>1</v>
      </c>
    </row>
    <row r="17" spans="1:3" x14ac:dyDescent="0.25">
      <c r="A17" t="s">
        <v>329</v>
      </c>
      <c r="B17" t="s">
        <v>13</v>
      </c>
    </row>
    <row r="18" spans="1:3" x14ac:dyDescent="0.25">
      <c r="A18" t="s">
        <v>449</v>
      </c>
      <c r="B18" t="s">
        <v>13</v>
      </c>
      <c r="C18">
        <v>2</v>
      </c>
    </row>
    <row r="19" spans="1:3" x14ac:dyDescent="0.25">
      <c r="A19" t="s">
        <v>446</v>
      </c>
      <c r="B19" t="s">
        <v>13</v>
      </c>
      <c r="C19" t="s">
        <v>447</v>
      </c>
    </row>
    <row r="20" spans="1:3" x14ac:dyDescent="0.25">
      <c r="A20" t="s">
        <v>448</v>
      </c>
      <c r="B20" t="s">
        <v>13</v>
      </c>
      <c r="C20" t="s">
        <v>447</v>
      </c>
    </row>
    <row r="21" spans="1:3" x14ac:dyDescent="0.25">
      <c r="A21" t="s">
        <v>450</v>
      </c>
      <c r="B21" t="s">
        <v>321</v>
      </c>
      <c r="C21">
        <v>50</v>
      </c>
    </row>
    <row r="22" spans="1:3" x14ac:dyDescent="0.25">
      <c r="A22" t="s">
        <v>451</v>
      </c>
      <c r="B22" t="s">
        <v>321</v>
      </c>
      <c r="C22">
        <v>100</v>
      </c>
    </row>
    <row r="23" spans="1:3" x14ac:dyDescent="0.25">
      <c r="A23" t="s">
        <v>452</v>
      </c>
      <c r="B23" t="s">
        <v>13</v>
      </c>
    </row>
    <row r="24" spans="1:3" x14ac:dyDescent="0.25">
      <c r="A24" t="s">
        <v>453</v>
      </c>
      <c r="B24" t="s">
        <v>13</v>
      </c>
    </row>
    <row r="25" spans="1:3" x14ac:dyDescent="0.25">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I15" sqref="I15"/>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359</v>
      </c>
      <c r="D1" s="80" t="s">
        <v>360</v>
      </c>
      <c r="E1" s="80" t="s">
        <v>361</v>
      </c>
      <c r="F1" s="81" t="s">
        <v>362</v>
      </c>
      <c r="G1" s="80" t="s">
        <v>363</v>
      </c>
      <c r="H1" s="80" t="s">
        <v>364</v>
      </c>
      <c r="I1" s="80" t="s">
        <v>365</v>
      </c>
      <c r="J1" s="80" t="s">
        <v>440</v>
      </c>
      <c r="K1" s="80" t="s">
        <v>366</v>
      </c>
      <c r="L1" s="80" t="s">
        <v>173</v>
      </c>
      <c r="M1" s="80" t="s">
        <v>367</v>
      </c>
      <c r="N1" s="80" t="s">
        <v>368</v>
      </c>
      <c r="O1" s="80" t="s">
        <v>369</v>
      </c>
      <c r="P1" s="80" t="s">
        <v>370</v>
      </c>
    </row>
    <row r="2" spans="1:16" x14ac:dyDescent="0.25">
      <c r="A2" t="s">
        <v>13</v>
      </c>
      <c r="B2" s="18" t="s">
        <v>13</v>
      </c>
      <c r="C2" s="18" t="s">
        <v>13</v>
      </c>
      <c r="D2" s="18" t="s">
        <v>371</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372</v>
      </c>
      <c r="B3" s="62" t="s">
        <v>373</v>
      </c>
      <c r="C3" s="19">
        <v>1</v>
      </c>
      <c r="D3" s="19">
        <v>0.34</v>
      </c>
      <c r="E3" s="20" t="s">
        <v>374</v>
      </c>
      <c r="F3" s="13" t="s">
        <v>185</v>
      </c>
      <c r="G3" s="20" t="s">
        <v>375</v>
      </c>
      <c r="H3" s="20" t="s">
        <v>376</v>
      </c>
      <c r="I3" s="21"/>
      <c r="K3" s="30"/>
      <c r="L3" s="30">
        <v>100</v>
      </c>
      <c r="M3" s="32"/>
      <c r="N3" s="32" t="b">
        <v>1</v>
      </c>
      <c r="O3">
        <v>100</v>
      </c>
      <c r="P3" s="32"/>
    </row>
    <row r="4" spans="1:16" ht="15.75" customHeight="1" x14ac:dyDescent="0.25">
      <c r="A4" s="70" t="s">
        <v>377</v>
      </c>
      <c r="B4" s="71" t="s">
        <v>378</v>
      </c>
      <c r="C4" s="19">
        <v>1</v>
      </c>
      <c r="D4" s="19">
        <v>0.01</v>
      </c>
      <c r="E4" s="20" t="s">
        <v>374</v>
      </c>
      <c r="F4" s="13" t="s">
        <v>185</v>
      </c>
      <c r="G4" s="20" t="s">
        <v>379</v>
      </c>
      <c r="H4" s="20" t="s">
        <v>380</v>
      </c>
      <c r="I4" s="21"/>
      <c r="K4" s="30">
        <v>72</v>
      </c>
      <c r="L4" s="30">
        <v>1000</v>
      </c>
      <c r="M4" s="32"/>
      <c r="N4" s="32" t="b">
        <v>1</v>
      </c>
      <c r="O4">
        <v>100</v>
      </c>
      <c r="P4" s="32"/>
    </row>
    <row r="5" spans="1:16" x14ac:dyDescent="0.25">
      <c r="A5" s="70" t="s">
        <v>381</v>
      </c>
      <c r="B5" s="62" t="s">
        <v>382</v>
      </c>
      <c r="C5" s="19">
        <v>1</v>
      </c>
      <c r="D5" s="19">
        <v>0.3</v>
      </c>
      <c r="E5" s="20" t="s">
        <v>374</v>
      </c>
      <c r="F5" s="44" t="s">
        <v>185</v>
      </c>
      <c r="G5" s="20" t="s">
        <v>375</v>
      </c>
      <c r="H5" s="20" t="s">
        <v>383</v>
      </c>
      <c r="I5" s="21"/>
      <c r="K5" s="30"/>
      <c r="L5" s="30">
        <v>200</v>
      </c>
      <c r="M5" s="32"/>
      <c r="N5" s="32" t="b">
        <v>1</v>
      </c>
      <c r="O5">
        <v>100</v>
      </c>
      <c r="P5" s="32"/>
    </row>
    <row r="6" spans="1:16" x14ac:dyDescent="0.25">
      <c r="A6" s="70" t="s">
        <v>384</v>
      </c>
      <c r="B6" s="62" t="s">
        <v>385</v>
      </c>
      <c r="C6" s="19">
        <v>1</v>
      </c>
      <c r="D6" s="19">
        <v>0.1</v>
      </c>
      <c r="E6" s="20" t="s">
        <v>441</v>
      </c>
      <c r="F6" s="44" t="s">
        <v>185</v>
      </c>
      <c r="G6" s="20" t="s">
        <v>379</v>
      </c>
      <c r="H6" s="20" t="s">
        <v>304</v>
      </c>
      <c r="I6" s="21">
        <v>6</v>
      </c>
      <c r="K6" s="30">
        <v>72</v>
      </c>
      <c r="L6" s="30">
        <v>2000</v>
      </c>
      <c r="M6" s="32"/>
      <c r="N6" s="32" t="b">
        <v>1</v>
      </c>
      <c r="O6">
        <v>100</v>
      </c>
      <c r="P6" s="32"/>
    </row>
    <row r="7" spans="1:16" x14ac:dyDescent="0.25">
      <c r="A7" s="70" t="s">
        <v>386</v>
      </c>
      <c r="B7" s="62" t="s">
        <v>387</v>
      </c>
      <c r="C7" s="19">
        <v>1</v>
      </c>
      <c r="D7" s="19">
        <v>0.3</v>
      </c>
      <c r="E7" s="20" t="s">
        <v>374</v>
      </c>
      <c r="F7" s="13" t="s">
        <v>185</v>
      </c>
      <c r="G7" s="20" t="s">
        <v>375</v>
      </c>
      <c r="H7" s="20" t="s">
        <v>388</v>
      </c>
      <c r="I7" s="21"/>
      <c r="K7" s="30"/>
      <c r="L7" s="30">
        <v>300</v>
      </c>
      <c r="M7" s="32"/>
      <c r="N7" s="32" t="b">
        <v>1</v>
      </c>
      <c r="O7">
        <v>100</v>
      </c>
      <c r="P7" s="32"/>
    </row>
    <row r="8" spans="1:16" x14ac:dyDescent="0.25">
      <c r="A8" s="70" t="s">
        <v>389</v>
      </c>
      <c r="B8" s="62" t="s">
        <v>390</v>
      </c>
      <c r="C8" s="19">
        <v>1</v>
      </c>
      <c r="D8" s="19">
        <v>0.1</v>
      </c>
      <c r="E8" s="20" t="s">
        <v>374</v>
      </c>
      <c r="F8" s="13" t="s">
        <v>185</v>
      </c>
      <c r="G8" s="20" t="s">
        <v>379</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391</v>
      </c>
      <c r="B2" t="s">
        <v>392</v>
      </c>
      <c r="C2" s="22">
        <v>390</v>
      </c>
    </row>
    <row r="3" spans="1:3" x14ac:dyDescent="0.25">
      <c r="A3" t="s">
        <v>393</v>
      </c>
      <c r="B3" t="s">
        <v>392</v>
      </c>
      <c r="C3" s="22">
        <v>730</v>
      </c>
    </row>
    <row r="4" spans="1:3" x14ac:dyDescent="0.25">
      <c r="A4" t="s">
        <v>394</v>
      </c>
      <c r="B4" t="s">
        <v>392</v>
      </c>
      <c r="C4" s="22">
        <v>700</v>
      </c>
    </row>
    <row r="5" spans="1:3" x14ac:dyDescent="0.25">
      <c r="A5" t="s">
        <v>395</v>
      </c>
      <c r="B5" t="s">
        <v>337</v>
      </c>
      <c r="C5" s="22">
        <v>1500</v>
      </c>
    </row>
    <row r="6" spans="1:3" x14ac:dyDescent="0.25">
      <c r="A6" t="s">
        <v>396</v>
      </c>
      <c r="B6" t="s">
        <v>13</v>
      </c>
      <c r="C6" s="48" t="b">
        <v>0</v>
      </c>
    </row>
    <row r="7" spans="1:3" x14ac:dyDescent="0.25">
      <c r="A7" t="s">
        <v>397</v>
      </c>
      <c r="B7" t="s">
        <v>398</v>
      </c>
      <c r="C7" s="24">
        <v>30</v>
      </c>
    </row>
    <row r="8" spans="1:3" x14ac:dyDescent="0.25">
      <c r="A8" t="s">
        <v>399</v>
      </c>
      <c r="B8" t="s">
        <v>337</v>
      </c>
    </row>
    <row r="9" spans="1:3" x14ac:dyDescent="0.25">
      <c r="A9" t="s">
        <v>400</v>
      </c>
      <c r="B9" t="s">
        <v>401</v>
      </c>
      <c r="C9">
        <v>97</v>
      </c>
    </row>
    <row r="10" spans="1:3" x14ac:dyDescent="0.25">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403</v>
      </c>
      <c r="B1" t="s">
        <v>404</v>
      </c>
      <c r="C1" t="s">
        <v>405</v>
      </c>
      <c r="D1" t="s">
        <v>406</v>
      </c>
    </row>
    <row r="2" spans="1:4" x14ac:dyDescent="0.25">
      <c r="A2" t="s">
        <v>100</v>
      </c>
      <c r="B2" t="s">
        <v>407</v>
      </c>
      <c r="C2" s="1">
        <f>AVERAGE(2984,16000,4120,9000,9000)</f>
        <v>8220.7999999999993</v>
      </c>
      <c r="D2">
        <f>210</f>
        <v>210</v>
      </c>
    </row>
    <row r="3" spans="1:4" x14ac:dyDescent="0.25">
      <c r="A3" t="s">
        <v>408</v>
      </c>
      <c r="B3" t="s">
        <v>407</v>
      </c>
      <c r="C3" s="1">
        <f>AVERAGE(7883.625,10167,13440,28800,10167)</f>
        <v>14091.525</v>
      </c>
      <c r="D3">
        <f>210</f>
        <v>210</v>
      </c>
    </row>
    <row r="4" spans="1:4" x14ac:dyDescent="0.25">
      <c r="A4" t="s">
        <v>409</v>
      </c>
      <c r="B4" t="s">
        <v>407</v>
      </c>
      <c r="C4">
        <v>13360</v>
      </c>
      <c r="D4">
        <f>210</f>
        <v>210</v>
      </c>
    </row>
    <row r="5" spans="1:4" x14ac:dyDescent="0.25">
      <c r="A5" t="s">
        <v>104</v>
      </c>
      <c r="B5" t="s">
        <v>105</v>
      </c>
      <c r="C5" s="1">
        <f>AVERAGE(808.83,2058.42,1066.24,1790)</f>
        <v>1430.8724999999999</v>
      </c>
      <c r="D5">
        <f>210</f>
        <v>210</v>
      </c>
    </row>
    <row r="6" spans="1:4" x14ac:dyDescent="0.25">
      <c r="A6" t="s">
        <v>410</v>
      </c>
      <c r="B6" t="s">
        <v>407</v>
      </c>
      <c r="C6" s="1">
        <f>AVERAGE(736,8826,27300)</f>
        <v>12287.333333333334</v>
      </c>
      <c r="D6">
        <f>210</f>
        <v>210</v>
      </c>
    </row>
    <row r="7" spans="1:4" x14ac:dyDescent="0.25">
      <c r="A7" t="s">
        <v>102</v>
      </c>
      <c r="B7" t="s">
        <v>407</v>
      </c>
      <c r="C7" s="1">
        <f>AVERAGE(14390,5440,1250)</f>
        <v>7026.666666666667</v>
      </c>
      <c r="D7">
        <f>210</f>
        <v>210</v>
      </c>
    </row>
    <row r="8" spans="1:4" x14ac:dyDescent="0.25">
      <c r="A8" t="s">
        <v>411</v>
      </c>
      <c r="B8" t="s">
        <v>407</v>
      </c>
      <c r="C8" s="1">
        <f>AVERAGE(1783,662.5,3495,442)</f>
        <v>1595.625</v>
      </c>
      <c r="D8">
        <f>210</f>
        <v>210</v>
      </c>
    </row>
    <row r="9" spans="1:4" x14ac:dyDescent="0.25">
      <c r="A9" t="s">
        <v>412</v>
      </c>
      <c r="B9" t="s">
        <v>407</v>
      </c>
      <c r="C9" s="1">
        <f>AVERAGE(2400,4800,13400,4800)</f>
        <v>6350</v>
      </c>
      <c r="D9">
        <f>210</f>
        <v>210</v>
      </c>
    </row>
    <row r="10" spans="1:4" x14ac:dyDescent="0.25">
      <c r="A10" t="s">
        <v>98</v>
      </c>
      <c r="B10" t="s">
        <v>105</v>
      </c>
      <c r="C10" s="1">
        <f>AVERAGE(805.5,1862.345,2316.2,881)</f>
        <v>1466.26125</v>
      </c>
      <c r="D10">
        <f>210</f>
        <v>210</v>
      </c>
    </row>
    <row r="11" spans="1:4" x14ac:dyDescent="0.25">
      <c r="A11" t="s">
        <v>413</v>
      </c>
      <c r="B11" t="s">
        <v>407</v>
      </c>
      <c r="C11" s="1">
        <f>1413</f>
        <v>1413</v>
      </c>
      <c r="D11">
        <f>210</f>
        <v>210</v>
      </c>
    </row>
    <row r="12" spans="1:4" x14ac:dyDescent="0.25">
      <c r="A12" t="s">
        <v>414</v>
      </c>
      <c r="B12" t="s">
        <v>407</v>
      </c>
      <c r="C12" s="1">
        <f>AVERAGE(11380,20477.5,930,21125)</f>
        <v>13478.125</v>
      </c>
      <c r="D12">
        <f>210</f>
        <v>210</v>
      </c>
    </row>
    <row r="13" spans="1:4" x14ac:dyDescent="0.25">
      <c r="A13" t="s">
        <v>415</v>
      </c>
      <c r="B13" t="s">
        <v>407</v>
      </c>
      <c r="C13" s="1">
        <f>AVERAGE(4639.87,2868,7060,6905.9)</f>
        <v>5368.4424999999992</v>
      </c>
      <c r="D13">
        <f>210</f>
        <v>210</v>
      </c>
    </row>
    <row r="14" spans="1:4" x14ac:dyDescent="0.25">
      <c r="A14" t="s">
        <v>416</v>
      </c>
      <c r="B14" t="s">
        <v>407</v>
      </c>
      <c r="C14" s="1">
        <f>AVERAGE(588.24,257.355,147.797)</f>
        <v>331.13066666666668</v>
      </c>
      <c r="D14">
        <f>210</f>
        <v>210</v>
      </c>
    </row>
    <row r="15" spans="1:4" x14ac:dyDescent="0.25">
      <c r="A15" t="s">
        <v>417</v>
      </c>
      <c r="B15" t="s">
        <v>407</v>
      </c>
      <c r="C15" s="1">
        <f>AVERAGE(15250,5386,9022,6334)</f>
        <v>8998</v>
      </c>
      <c r="D15">
        <f>210</f>
        <v>210</v>
      </c>
    </row>
    <row r="16" spans="1:4" x14ac:dyDescent="0.25">
      <c r="A16" t="s">
        <v>418</v>
      </c>
      <c r="B16" t="s">
        <v>419</v>
      </c>
      <c r="C16" s="1">
        <f>AVERAGE(4665,9505,21200,6320,1470,5600,736,18409,3340,11150)</f>
        <v>8239.5</v>
      </c>
      <c r="D16">
        <f>210</f>
        <v>210</v>
      </c>
    </row>
    <row r="17" spans="1:4" x14ac:dyDescent="0.25">
      <c r="A17" t="s">
        <v>420</v>
      </c>
      <c r="B17" t="s">
        <v>407</v>
      </c>
      <c r="C17" s="1">
        <f>AVERAGE(1000,7040,4207)</f>
        <v>4082.3333333333335</v>
      </c>
      <c r="D17">
        <f>210</f>
        <v>210</v>
      </c>
    </row>
    <row r="18" spans="1:4" x14ac:dyDescent="0.25">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421</v>
      </c>
      <c r="B1" t="s">
        <v>422</v>
      </c>
    </row>
    <row r="2" spans="1:2" x14ac:dyDescent="0.25">
      <c r="A2" t="s">
        <v>282</v>
      </c>
      <c r="B2">
        <v>0.8</v>
      </c>
    </row>
    <row r="3" spans="1:2" x14ac:dyDescent="0.25">
      <c r="A3" t="s">
        <v>423</v>
      </c>
      <c r="B3">
        <v>0.4</v>
      </c>
    </row>
    <row r="4" spans="1:2" x14ac:dyDescent="0.25">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425</v>
      </c>
      <c r="B1" t="s">
        <v>426</v>
      </c>
    </row>
    <row r="2" spans="1:2" x14ac:dyDescent="0.25">
      <c r="A2" t="s">
        <v>427</v>
      </c>
      <c r="B2">
        <v>1010</v>
      </c>
    </row>
    <row r="3" spans="1:2" x14ac:dyDescent="0.25">
      <c r="A3" t="s">
        <v>428</v>
      </c>
      <c r="B3">
        <v>855</v>
      </c>
    </row>
    <row r="4" spans="1:2" x14ac:dyDescent="0.25">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2026-06-08T14:56:25Z</dcterms:modified>
  <cp:category/>
  <cp:contentStatus/>
</cp:coreProperties>
</file>