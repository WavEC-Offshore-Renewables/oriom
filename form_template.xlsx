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66925"/>
  <xr:revisionPtr revIDLastSave="0" documentId="13_ncr:1_{5184309D-8440-4C4F-8737-8DAA4D2D8088}" xr6:coauthVersionLast="47" xr6:coauthVersionMax="47" xr10:uidLastSave="{00000000-0000-0000-0000-000000000000}"/>
  <bookViews>
    <workbookView xWindow="-120" yWindow="-120" windowWidth="29040" windowHeight="15720" tabRatio="828" firstSheet="5" activeTab="7"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c r="C17"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<sst xmlns="http://schemas.openxmlformats.org/spreadsheetml/2006/main" count="1440" uniqueCount="445">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</sst>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1">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cellXfs>
  <cellStyles count="2">
    <cellStyle name="Normal" xfId="0" builtinId="0"/>
    <cellStyle name="Percent" xfId="1" builtinId="5"/>
  </cellStyles>
  <dxfs count="62">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C7" sqref="C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1" priority="1">
      <formula>AND(ISBLANK($C$3),$C$5&lt;&gt;FALSE)</formula>
    </cfRule>
    <cfRule type="expression" dxfId="60"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C11" sqref="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441</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439</v>
      </c>
      <c r="B15" t="s">
        <v>13</v>
      </c>
    </row>
    <row r="16" spans="1:3" x14ac:dyDescent="0.25">
      <c r="A16" s="49" t="s">
        <v>440</v>
      </c>
      <c r="B16" t="s">
        <v>13</v>
      </c>
    </row>
  </sheetData>
  <conditionalFormatting sqref="C9:C10">
    <cfRule type="expression" dxfId="59"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A10" sqref="A9:A10"/>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8"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H13" sqref="H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7" priority="2">
      <formula>AND(ISBLANK($H$3:$H$1048576), NOT(ISBLANK($I$3:$I$1048576)))</formula>
    </cfRule>
  </conditionalFormatting>
  <conditionalFormatting sqref="I4">
    <cfRule type="expression" dxfId="5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tabSelected="1" zoomScale="85" zoomScaleNormal="85" workbookViewId="0">
      <pane xSplit="3" ySplit="2" topLeftCell="J3" activePane="bottomRight" state="frozen"/>
      <selection pane="topRight" activeCell="C1" sqref="C1"/>
      <selection pane="bottomLeft" activeCell="A3" sqref="A3"/>
      <selection pane="bottomRight" activeCell="X8" sqref="X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266</v>
      </c>
      <c r="V1" s="18" t="s">
        <v>169</v>
      </c>
      <c r="W1" s="18" t="s">
        <v>170</v>
      </c>
      <c r="X1" s="18" t="s">
        <v>433</v>
      </c>
      <c r="Y1" s="18" t="s">
        <v>171</v>
      </c>
      <c r="Z1" s="18" t="s">
        <v>172</v>
      </c>
      <c r="AA1" s="18" t="s">
        <v>173</v>
      </c>
      <c r="AB1" s="18" t="s">
        <v>174</v>
      </c>
      <c r="AC1" s="18" t="s">
        <v>175</v>
      </c>
      <c r="AD1" s="18" t="s">
        <v>176</v>
      </c>
      <c r="AE1" s="18" t="s">
        <v>177</v>
      </c>
      <c r="AF1" s="49" t="s">
        <v>178</v>
      </c>
      <c r="AG1" s="18" t="s">
        <v>179</v>
      </c>
    </row>
    <row r="2" spans="1:37"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13</v>
      </c>
      <c r="Z2" s="18" t="s">
        <v>13</v>
      </c>
      <c r="AA2" s="18" t="s">
        <v>182</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186</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186</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v>1</v>
      </c>
      <c r="V5" s="25"/>
      <c r="W5" s="25" t="str">
        <f>IFERROR(IF(ISBLANK(V5),"",INDEX(Gen_Vessels!$A$3:$C$500,MATCH(InspectionSite!$V5,Gen_Vessels!$C$3:$C$500,0),1)),"")</f>
        <v/>
      </c>
      <c r="X5" s="25"/>
      <c r="Y5" s="25" t="s">
        <v>143</v>
      </c>
      <c r="Z5" s="25">
        <v>2</v>
      </c>
      <c r="AA5" s="25"/>
      <c r="AB5" s="25"/>
      <c r="AC5" s="25"/>
      <c r="AD5" s="20" t="s">
        <v>186</v>
      </c>
      <c r="AF5" s="49"/>
      <c r="AG5" s="25"/>
      <c r="AH5" s="25"/>
      <c r="AI5" s="25"/>
      <c r="AJ5" s="25"/>
      <c r="AK5" s="25"/>
    </row>
    <row r="6" spans="1:37"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186</v>
      </c>
      <c r="AF6" s="49"/>
      <c r="AG6" s="25"/>
      <c r="AH6" s="25"/>
      <c r="AI6" s="25"/>
      <c r="AJ6" s="25"/>
      <c r="AK6" s="25"/>
    </row>
    <row r="7" spans="1:37"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186</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55" priority="1">
      <formula>AND(COUNTIF(A:A,$A1)&gt;1,$A1&lt;&gt;"")</formula>
    </cfRule>
  </conditionalFormatting>
  <conditionalFormatting sqref="D3:D500 L3:L500">
    <cfRule type="expression" dxfId="54" priority="11">
      <formula>AND(NOT(ISBLANK(D3)),D3=$A3)</formula>
    </cfRule>
  </conditionalFormatting>
  <conditionalFormatting sqref="H3:J500">
    <cfRule type="expression" dxfId="53" priority="79">
      <formula>AND(NOT(ISBLANK($B3)),$H3=0,$I3=0,$J3=0)</formula>
    </cfRule>
  </conditionalFormatting>
  <conditionalFormatting sqref="O3:Q500">
    <cfRule type="expression" dxfId="52" priority="12">
      <formula>AND(NOT(ISBLANK($O3)),NOT(ISBLANK($Q3)))</formula>
    </cfRule>
  </conditionalFormatting>
  <conditionalFormatting sqref="R3:R48">
    <cfRule type="expression" dxfId="51" priority="5">
      <formula>AND(NOT(ISBLANK(R3)),R3=$A3)</formula>
    </cfRule>
  </conditionalFormatting>
  <conditionalFormatting sqref="AD1:AD1048576">
    <cfRule type="expression" dxfId="50" priority="7">
      <formula>AND(NOT(ISBLANK($B1)),IF(AND(NOT(ISBLANK($A1)),ISBLANK(AD1)),TRUE,FALSE))</formula>
    </cfRule>
  </conditionalFormatting>
  <conditionalFormatting sqref="AE3:AE7">
    <cfRule type="expression" dxfId="49" priority="9">
      <formula>AND(COUNTIF(AE:AE,$A3)&gt;1,$A3&lt;&gt;"")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D3:AD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8:AD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8" priority="5">
      <formula>AND(COUNTIF(A:A,$A1)&gt;1,$A1&lt;&gt;"")</formula>
    </cfRule>
  </conditionalFormatting>
  <conditionalFormatting sqref="D3:E496">
    <cfRule type="expression" dxfId="47" priority="7">
      <formula>AND(NOT(ISBLANK(D3)),D3=$A3)</formula>
    </cfRule>
  </conditionalFormatting>
  <conditionalFormatting sqref="H3:J496">
    <cfRule type="expression" dxfId="46"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5" priority="2">
      <formula>AND(COUNTIF(A:A,$A1)&gt;1,$A1&lt;&gt;"")</formula>
    </cfRule>
  </conditionalFormatting>
  <conditionalFormatting sqref="G1:G1048576">
    <cfRule type="expression" dxfId="44" priority="3">
      <formula>AND(NOT(ISBLANK($B1)),#REF!=0,$G1=0,#REF!=0)</formula>
    </cfRule>
  </conditionalFormatting>
  <conditionalFormatting sqref="K3:K8">
    <cfRule type="expression" dxfId="43"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Q1" sqref="Q1:Q1048576"/>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2" priority="9">
      <formula>AND(COUNTIF(A:A,$A1)&gt;1,$A1&lt;&gt;"")</formula>
    </cfRule>
  </conditionalFormatting>
  <conditionalFormatting sqref="D6:F492">
    <cfRule type="expression" dxfId="41" priority="5">
      <formula>AND(NOT(ISBLANK($B6)),COUNTBLANK($D6:$F6)&lt;2)</formula>
    </cfRule>
    <cfRule type="expression" dxfId="40" priority="6">
      <formula>AND(NOT(ISBLANK($B6)),COUNTBLANK($D6:$F6)&gt;2)</formula>
    </cfRule>
  </conditionalFormatting>
  <conditionalFormatting sqref="J3:K492">
    <cfRule type="expression" dxfId="39" priority="2">
      <formula>AND(NOT(ISBLANK($K3)),NOT(ISBLANK($L3)))</formula>
    </cfRule>
  </conditionalFormatting>
  <conditionalFormatting sqref="Z3:Z492">
    <cfRule type="expression" dxfId="38"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7" priority="9">
      <formula>COUNTIF(B:B,$B1)&gt;1</formula>
    </cfRule>
  </conditionalFormatting>
  <conditionalFormatting sqref="B6:B498">
    <cfRule type="expression" dxfId="36"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G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442</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5" priority="2">
      <formula>AND(COUNTIF(A:A,$A1)&gt;1,$A1&lt;&gt;"")</formula>
    </cfRule>
  </conditionalFormatting>
  <conditionalFormatting sqref="J3:K11">
    <cfRule type="expression" dxfId="34"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3" priority="49">
      <formula>COUNTIF(A:A,A1)&gt;1</formula>
    </cfRule>
  </conditionalFormatting>
  <conditionalFormatting sqref="A3:O500">
    <cfRule type="expression" dxfId="32" priority="96">
      <formula>$C3&lt;&gt;$C4</formula>
    </cfRule>
  </conditionalFormatting>
  <conditionalFormatting sqref="A13:O13">
    <cfRule type="expression" dxfId="31" priority="29">
      <formula>$C13&lt;&gt;#REF!</formula>
    </cfRule>
  </conditionalFormatting>
  <conditionalFormatting sqref="D17">
    <cfRule type="expression" dxfId="30" priority="1">
      <formula>$C17&lt;&gt;#REF!</formula>
    </cfRule>
  </conditionalFormatting>
  <conditionalFormatting sqref="F3:F496 G19:H496">
    <cfRule type="expression" dxfId="29" priority="15">
      <formula>AND(NOT(ISBLANK($F3)),$F3&gt;$I3)</formula>
    </cfRule>
  </conditionalFormatting>
  <conditionalFormatting sqref="G3:G18">
    <cfRule type="expression" dxfId="26" priority="11">
      <formula>AND(NOT(ISBLANK($G3)),$G3&gt;$I3)</formula>
    </cfRule>
  </conditionalFormatting>
  <conditionalFormatting sqref="H3:H14">
    <cfRule type="expression" dxfId="25" priority="16">
      <formula>AND(NOT(ISBLANK($H3)),$H3&gt;$I3)</formula>
    </cfRule>
  </conditionalFormatting>
  <conditionalFormatting sqref="H15:H17">
    <cfRule type="expression" dxfId="24" priority="30">
      <formula>AND(NOT(ISBLANK($F15)),$F15&gt;$I15)</formula>
    </cfRule>
  </conditionalFormatting>
  <conditionalFormatting sqref="H18">
    <cfRule type="expression" dxfId="23" priority="2">
      <formula>AND(NOT(ISBLANK($H18)),$H18&gt;$I18)</formula>
    </cfRule>
  </conditionalFormatting>
  <conditionalFormatting sqref="I3:I496">
    <cfRule type="expression" dxfId="22" priority="4">
      <formula>AND($O3,$I3&gt;10)</formula>
    </cfRule>
    <cfRule type="expression" dxfId="21" priority="5">
      <formula>OR(IF(AND(ISNUMBER(SEARCH("tow",LOWER($D3))),$E3="transit"),TRUE,FALSE),IF(ISNUMBER(SEARCH("transit",LOWER($D3))),TRUE,FALSE))</formula>
    </cfRule>
  </conditionalFormatting>
  <conditionalFormatting sqref="I15">
    <cfRule type="expression" dxfId="20" priority="9">
      <formula>$C15&lt;&gt;#REF!</formula>
    </cfRule>
  </conditionalFormatting>
  <conditionalFormatting sqref="I17">
    <cfRule type="expression" dxfId="19" priority="6">
      <formula>$C17&lt;&gt;#REF!</formula>
    </cfRule>
  </conditionalFormatting>
  <conditionalFormatting sqref="L3:M496">
    <cfRule type="expression" dxfId="18" priority="14">
      <formula>AND(NOT(ISBLANK($L3)),NOT(ISBLANK($M3)))</formula>
    </cfRule>
  </conditionalFormatting>
  <conditionalFormatting sqref="M3:M13 M15 M17 M19:M496">
    <cfRule type="expression" dxfId="17" priority="133">
      <formula>AND(AND(IFERROR(FIND("ofw",$C3)&gt;0=FALSE,TRUE),IFERROR(FIND("oce",$C3)&gt;0=FALSE,TRUE)),NOT(ISBLANK($A3)))</formula>
    </cfRule>
  </conditionalFormatting>
  <conditionalFormatting sqref="M14">
    <cfRule type="expression" dxfId="16" priority="116">
      <formula>AND(AND(IFERROR(FIND("ofw",$C14)&gt;0=FALSE,TRUE),IFERROR(FIND("oce",$C14)&gt;0=FALSE,TRUE)),NOT(ISBLANK(#REF!)))</formula>
    </cfRule>
  </conditionalFormatting>
  <conditionalFormatting sqref="M16">
    <cfRule type="expression" dxfId="15" priority="142">
      <formula>AND(AND(IFERROR(FIND("ofw",$C16)&gt;0=FALSE,TRUE),IFERROR(FIND("oce",$C16)&gt;0=FALSE,TRUE)),NOT(ISBLANK($A14)))</formula>
    </cfRule>
  </conditionalFormatting>
  <conditionalFormatting sqref="M18">
    <cfRule type="expression" dxfId="14"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I3" sqref="I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151</v>
      </c>
      <c r="C1" s="80" t="s">
        <v>362</v>
      </c>
      <c r="D1" s="80" t="s">
        <v>363</v>
      </c>
      <c r="E1" s="80" t="s">
        <v>364</v>
      </c>
      <c r="F1" s="80" t="s">
        <v>365</v>
      </c>
      <c r="G1" s="80" t="s">
        <v>366</v>
      </c>
      <c r="H1" s="80" t="s">
        <v>367</v>
      </c>
      <c r="I1" s="80" t="s">
        <v>368</v>
      </c>
      <c r="J1" s="80" t="s">
        <v>443</v>
      </c>
      <c r="K1" s="80" t="s">
        <v>369</v>
      </c>
      <c r="L1" s="80" t="s">
        <v>174</v>
      </c>
      <c r="M1" s="80" t="s">
        <v>370</v>
      </c>
      <c r="N1" s="80" t="s">
        <v>371</v>
      </c>
      <c r="O1" s="80" t="s">
        <v>372</v>
      </c>
      <c r="P1" s="80" t="s">
        <v>373</v>
      </c>
    </row>
    <row r="2" spans="1:16" x14ac:dyDescent="0.25">
      <c r="A2" t="s">
        <v>13</v>
      </c>
      <c r="B2" s="18" t="s">
        <v>13</v>
      </c>
      <c r="C2" s="18" t="s">
        <v>13</v>
      </c>
      <c r="D2" s="18" t="s">
        <v>374</v>
      </c>
      <c r="E2" s="18" t="s">
        <v>13</v>
      </c>
      <c r="F2" s="18" t="s">
        <v>13</v>
      </c>
      <c r="G2" s="18" t="s">
        <v>13</v>
      </c>
      <c r="H2" s="18" t="s">
        <v>13</v>
      </c>
      <c r="I2" t="s">
        <v>13</v>
      </c>
      <c r="J2" s="79" t="s">
        <v>13</v>
      </c>
      <c r="K2" s="18" t="s">
        <v>278</v>
      </c>
      <c r="L2" s="18" t="s">
        <v>13</v>
      </c>
      <c r="M2" s="18" t="s">
        <v>13</v>
      </c>
      <c r="N2" s="18" t="s">
        <v>13</v>
      </c>
      <c r="O2" s="50" t="s">
        <v>13</v>
      </c>
      <c r="P2" s="18" t="s">
        <v>13</v>
      </c>
    </row>
    <row r="3" spans="1:16" x14ac:dyDescent="0.25">
      <c r="A3" s="70" t="s">
        <v>375</v>
      </c>
      <c r="B3" s="62" t="s">
        <v>376</v>
      </c>
      <c r="C3" s="19">
        <v>1</v>
      </c>
      <c r="D3" s="19">
        <v>0.34</v>
      </c>
      <c r="E3" s="20" t="s">
        <v>377</v>
      </c>
      <c r="F3" s="20" t="s">
        <v>186</v>
      </c>
      <c r="G3" s="20" t="s">
        <v>378</v>
      </c>
      <c r="H3" s="20" t="s">
        <v>379</v>
      </c>
      <c r="I3" s="21"/>
      <c r="K3" s="30"/>
      <c r="L3" s="30">
        <v>100</v>
      </c>
      <c r="M3" s="32"/>
      <c r="N3" s="32" t="b">
        <v>1</v>
      </c>
      <c r="O3">
        <v>100</v>
      </c>
      <c r="P3" s="32"/>
    </row>
    <row r="4" spans="1:16" ht="15.75" customHeight="1" x14ac:dyDescent="0.25">
      <c r="A4" s="70" t="s">
        <v>380</v>
      </c>
      <c r="B4" s="71" t="s">
        <v>381</v>
      </c>
      <c r="C4" s="19">
        <v>1</v>
      </c>
      <c r="D4" s="19">
        <v>0.01</v>
      </c>
      <c r="E4" s="20" t="s">
        <v>377</v>
      </c>
      <c r="F4" s="20" t="s">
        <v>186</v>
      </c>
      <c r="G4" s="20" t="s">
        <v>382</v>
      </c>
      <c r="H4" s="20" t="s">
        <v>383</v>
      </c>
      <c r="I4" s="21"/>
      <c r="K4" s="30">
        <v>72</v>
      </c>
      <c r="L4" s="30">
        <v>1000</v>
      </c>
      <c r="M4" s="32"/>
      <c r="N4" s="32" t="b">
        <v>1</v>
      </c>
      <c r="O4">
        <v>100</v>
      </c>
      <c r="P4" s="32"/>
    </row>
    <row r="5" spans="1:16" x14ac:dyDescent="0.25">
      <c r="A5" s="70" t="s">
        <v>384</v>
      </c>
      <c r="B5" s="62" t="s">
        <v>385</v>
      </c>
      <c r="C5" s="19">
        <v>1</v>
      </c>
      <c r="D5" s="19">
        <v>0.3</v>
      </c>
      <c r="E5" s="20" t="s">
        <v>377</v>
      </c>
      <c r="F5" s="20" t="s">
        <v>186</v>
      </c>
      <c r="G5" s="20" t="s">
        <v>378</v>
      </c>
      <c r="H5" s="20" t="s">
        <v>386</v>
      </c>
      <c r="I5" s="21"/>
      <c r="K5" s="30"/>
      <c r="L5" s="30">
        <v>200</v>
      </c>
      <c r="M5" s="32"/>
      <c r="N5" s="32" t="b">
        <v>1</v>
      </c>
      <c r="O5">
        <v>100</v>
      </c>
      <c r="P5" s="32"/>
    </row>
    <row r="6" spans="1:16" x14ac:dyDescent="0.25">
      <c r="A6" s="70" t="s">
        <v>387</v>
      </c>
      <c r="B6" s="62" t="s">
        <v>388</v>
      </c>
      <c r="C6" s="19">
        <v>1</v>
      </c>
      <c r="D6" s="19">
        <v>0.1</v>
      </c>
      <c r="E6" s="20" t="s">
        <v>444</v>
      </c>
      <c r="F6" s="20" t="s">
        <v>186</v>
      </c>
      <c r="G6" s="20" t="s">
        <v>382</v>
      </c>
      <c r="H6" s="20" t="s">
        <v>305</v>
      </c>
      <c r="I6" s="21"/>
      <c r="K6" s="30">
        <v>72</v>
      </c>
      <c r="L6" s="30">
        <v>2000</v>
      </c>
      <c r="M6" s="32"/>
      <c r="N6" s="32" t="b">
        <v>1</v>
      </c>
      <c r="O6">
        <v>100</v>
      </c>
      <c r="P6" s="32"/>
    </row>
    <row r="7" spans="1:16" x14ac:dyDescent="0.25">
      <c r="A7" s="70" t="s">
        <v>389</v>
      </c>
      <c r="B7" s="62" t="s">
        <v>390</v>
      </c>
      <c r="C7" s="19">
        <v>1</v>
      </c>
      <c r="D7" s="19">
        <v>0.3</v>
      </c>
      <c r="E7" s="20" t="s">
        <v>377</v>
      </c>
      <c r="F7" s="20" t="s">
        <v>186</v>
      </c>
      <c r="G7" s="20" t="s">
        <v>378</v>
      </c>
      <c r="H7" s="20" t="s">
        <v>391</v>
      </c>
      <c r="I7" s="21"/>
      <c r="K7" s="30"/>
      <c r="L7" s="30">
        <v>300</v>
      </c>
      <c r="M7" s="32"/>
      <c r="N7" s="32" t="b">
        <v>1</v>
      </c>
      <c r="O7">
        <v>100</v>
      </c>
      <c r="P7" s="32"/>
    </row>
    <row r="8" spans="1:16" x14ac:dyDescent="0.25">
      <c r="A8" s="70" t="s">
        <v>392</v>
      </c>
      <c r="B8" s="62" t="s">
        <v>393</v>
      </c>
      <c r="C8" s="19">
        <v>1</v>
      </c>
      <c r="D8" s="19">
        <v>0.1</v>
      </c>
      <c r="E8" s="20" t="s">
        <v>377</v>
      </c>
      <c r="F8" s="20" t="s">
        <v>186</v>
      </c>
      <c r="G8" s="20" t="s">
        <v>382</v>
      </c>
      <c r="H8" s="20" t="s">
        <v>313</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D8" sqref="D8"/>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2026-04-08T17:44:12Z</dcterms:modified>
  <cp:category/>
  <cp:contentStatus/>
</cp:coreProperties>
</file>